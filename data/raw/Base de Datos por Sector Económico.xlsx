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ruccion1 (ch)" sheetId="1" r:id="rId4"/>
    <sheet state="visible" name="Construccion2(Ch)" sheetId="2" r:id="rId5"/>
    <sheet state="visible" name="Construccion 3 (ch)" sheetId="3" r:id="rId6"/>
    <sheet state="visible" name="Construccion1 (Mex)" sheetId="4" r:id="rId7"/>
    <sheet state="visible" name="Construcción 2. (Mex)" sheetId="5" r:id="rId8"/>
    <sheet state="visible" name="Salud1(ch)" sheetId="6" r:id="rId9"/>
    <sheet state="visible" name="Salud2(ch)" sheetId="7" r:id="rId10"/>
    <sheet state="hidden" name="Salud3(ch)" sheetId="8" r:id="rId11"/>
    <sheet state="hidden" name="Controles según problema de sal" sheetId="9" r:id="rId12"/>
    <sheet state="hidden" name="Hoja 21" sheetId="10" r:id="rId13"/>
    <sheet state="hidden" name="Hoja 22" sheetId="11" r:id="rId14"/>
    <sheet state="visible" name="Salud1(Mex)" sheetId="12" r:id="rId15"/>
    <sheet state="visible" name="Salud2(Mex)" sheetId="13" r:id="rId16"/>
    <sheet state="visible" name="Salud3(Mex)" sheetId="14" r:id="rId17"/>
    <sheet state="visible" name="Turismo1 (ch)" sheetId="15" r:id="rId18"/>
    <sheet state="visible" name="Turismo2 (ch)" sheetId="16" r:id="rId19"/>
    <sheet state="visible" name="Turismo1 (Méx)" sheetId="17" r:id="rId20"/>
    <sheet state="visible" name="Turismo2(Méx)" sheetId="18" r:id="rId21"/>
  </sheets>
  <definedNames/>
  <calcPr/>
</workbook>
</file>

<file path=xl/sharedStrings.xml><?xml version="1.0" encoding="utf-8"?>
<sst xmlns="http://schemas.openxmlformats.org/spreadsheetml/2006/main" count="4667" uniqueCount="393">
  <si>
    <t>Descripción series</t>
  </si>
  <si>
    <t>IPV General.</t>
  </si>
  <si>
    <t>IPV Casas</t>
  </si>
  <si>
    <t>IPV Casas Nuevas</t>
  </si>
  <si>
    <t>IPV Casas Usadas</t>
  </si>
  <si>
    <t>IPV Departamentos</t>
  </si>
  <si>
    <t>IPV Departamentos Nuevos</t>
  </si>
  <si>
    <t>IPV Departamentos Usados</t>
  </si>
  <si>
    <t>IPV Nuevas</t>
  </si>
  <si>
    <t>IPV Usadas</t>
  </si>
  <si>
    <t>El IPV (índice de precio de la vivienda) se elabora sobre la base de registros administrativos innominados del Servicio de Impuestos Internos, correspondientes a transacciones efectivas del valor de viviendas nuevas y usadas</t>
  </si>
  <si>
    <t xml:space="preserve"> </t>
  </si>
  <si>
    <t>Índice de Precios de Materiales e Insumos de Construcción (IPMIC)</t>
  </si>
  <si>
    <t>Construcción de edificios</t>
  </si>
  <si>
    <t>Construcción de obras de ingeniería civil</t>
  </si>
  <si>
    <t>Actividades especializadas de construcción</t>
  </si>
  <si>
    <t>Madera aserrada, cepillada y astillada</t>
  </si>
  <si>
    <t>Tableros y madera prensada</t>
  </si>
  <si>
    <t>Otros productos químicos básicos</t>
  </si>
  <si>
    <t>Pinturas y barnices</t>
  </si>
  <si>
    <t>Productos de plástico</t>
  </si>
  <si>
    <t>Otros productos de vidrio</t>
  </si>
  <si>
    <t>Cemento, cal y yeso</t>
  </si>
  <si>
    <t>Hormigón premezclado</t>
  </si>
  <si>
    <t>Mezclas asfálticas</t>
  </si>
  <si>
    <t>Otros productos de minerales no metálicos</t>
  </si>
  <si>
    <t>Productos de hierro y acero</t>
  </si>
  <si>
    <t>Productos básicos de metales no ferrosos</t>
  </si>
  <si>
    <t>Productos metálicos de uso estructural</t>
  </si>
  <si>
    <t>Otros productos metálicos</t>
  </si>
  <si>
    <t>Maquinaria para uso industrial</t>
  </si>
  <si>
    <t>Máquinas y aparatos de uso doméstico</t>
  </si>
  <si>
    <t>Otras maquinarias y equipos eléctricos</t>
  </si>
  <si>
    <t>Muebles</t>
  </si>
  <si>
    <t>MERCADO NACIONAL</t>
  </si>
  <si>
    <t>Departamentos</t>
  </si>
  <si>
    <t>Casas</t>
  </si>
  <si>
    <t>Viviendas</t>
  </si>
  <si>
    <t>Stock</t>
  </si>
  <si>
    <t>Ventas</t>
  </si>
  <si>
    <t>Meses</t>
  </si>
  <si>
    <t>Ene</t>
  </si>
  <si>
    <t>Feb</t>
  </si>
  <si>
    <t>Mar</t>
  </si>
  <si>
    <t>Abr</t>
  </si>
  <si>
    <t>May</t>
  </si>
  <si>
    <t>Las cifras fueron revisadas a partir de CASEN 2020, en base a la actualización de la metodología de expansión de las cifras nacionales.</t>
  </si>
  <si>
    <t>Jun</t>
  </si>
  <si>
    <t>Jul</t>
  </si>
  <si>
    <t>Stock: unidades de viviendas (departamentos o casas) disponibles para venta en cada momento del tiempo.</t>
  </si>
  <si>
    <t>Ago</t>
  </si>
  <si>
    <t>Ventas: promesas de compraventa firmadas en cada momento del tiempo.</t>
  </si>
  <si>
    <t>Sep</t>
  </si>
  <si>
    <t>Meses: medida de la velocidad de ventas que se calcula como el cociente entre el stock disponible en un mes concreto y las unidades vendidas en ese mismo mes. Representa el número de meses necesarios para vender todo el stock disponible asumiendo que el ritmo de ventas se mantendrá estable y no habrá ingreso de nuevas unidades.</t>
  </si>
  <si>
    <t>Oct</t>
  </si>
  <si>
    <t>Nov</t>
  </si>
  <si>
    <t>Dic</t>
  </si>
  <si>
    <t>FUENTE</t>
  </si>
  <si>
    <t>Gerencia de Estudios , Cámara Chilena de la Construcción</t>
  </si>
  <si>
    <t>Gasto del producto interno bruto, volumen a precios del año anterior encadenado, series empalmadas, referencia 2018 (miles de millones de pesos encadenados CLP)</t>
  </si>
  <si>
    <t>Total México</t>
  </si>
  <si>
    <t>Construcción y otras obras</t>
  </si>
  <si>
    <t xml:space="preserve">N° de Vivienda </t>
  </si>
  <si>
    <t>Vivienda (número)</t>
  </si>
  <si>
    <t>Número de viviendas autorizadas en obras nuevas, total país (CH)</t>
  </si>
  <si>
    <t>Concepto</t>
  </si>
  <si>
    <t>2022 P</t>
  </si>
  <si>
    <t>2023 P</t>
  </si>
  <si>
    <t>PIB de la vivienda</t>
  </si>
  <si>
    <t>1,065,073</t>
  </si>
  <si>
    <t>1,156,240</t>
  </si>
  <si>
    <t>1,235,753</t>
  </si>
  <si>
    <t>1,292,515</t>
  </si>
  <si>
    <t>1,180,524</t>
  </si>
  <si>
    <t>1,358,009</t>
  </si>
  <si>
    <t>1,484,766</t>
  </si>
  <si>
    <t>1,596,333</t>
  </si>
  <si>
    <t>Proporción respecto al total nacional (porcentaje)</t>
  </si>
  <si>
    <t>PIB de la Vivienda por ámbito económico</t>
  </si>
  <si>
    <t>Edificación</t>
  </si>
  <si>
    <t>1,006,007</t>
  </si>
  <si>
    <t>1,089,415</t>
  </si>
  <si>
    <t>Adquisición</t>
  </si>
  <si>
    <t>Uso</t>
  </si>
  <si>
    <t>Regulación y fomento</t>
  </si>
  <si>
    <t>Puestos de trabajo (Unidades)1/</t>
  </si>
  <si>
    <t>2,351,170</t>
  </si>
  <si>
    <t>2,329,886</t>
  </si>
  <si>
    <t>2,375,346</t>
  </si>
  <si>
    <t>2,441,326</t>
  </si>
  <si>
    <t>2,467,946</t>
  </si>
  <si>
    <t>2,524,605</t>
  </si>
  <si>
    <t>2,503,717</t>
  </si>
  <si>
    <t>2,340,085</t>
  </si>
  <si>
    <t>2,333,677</t>
  </si>
  <si>
    <t>2,193,530</t>
  </si>
  <si>
    <t>2,185,532</t>
  </si>
  <si>
    <t>https://www.inegi.org.mx/programas/viviendasat/2018/</t>
  </si>
  <si>
    <t>Producto Interno Bruto del sector vivienda, Base 2018</t>
  </si>
  <si>
    <t>Valores corrientes</t>
  </si>
  <si>
    <t>Millones de pesos y porcentaje</t>
  </si>
  <si>
    <t>(Mexico)</t>
  </si>
  <si>
    <t>Banco de México</t>
  </si>
  <si>
    <t>índice de Volumen de la Industria de la Construcción por subsectores:
es un indicador real (en cantidades/volumen, no en pesos) que muestra cómo cambia la producción de la construcción y de cada uno de sus subsectores en el tiempo. Se publica por Edificación (236), Obras de ingeniería civil (237) y Trabajos especializados para la construcción (238), y forma parte del Indicador Mensual de la Actividad Industrial (IMAI) del INEGI. Se expresa como un índice con base 2018=100 y se calcula con una metodología tipo Laspeyres (estructura fija del año base). 
inegi.org.mx
Cómo se interpreta
Nivel del índice (base 2018=100): si Edificación marca 110, significa que el volumen producido es 10% mayor que en 2018; si marca 90, es 10% menor. 
inegi.org.mx
Variaciones publicadas: se difunden cambios mensuales desestacionalizados (para comparar contra el mes inmediato anterior quitando estacionalidad) y variaciones anuales (respecto al mismo mes del año previo). 
inegi.org.mx
Cobertura y fuentes: el IMAI usa, entre otras, la Encuesta Nacional de Empresas Constructoras (ENEC) para derivar estos índices por subsector; por eso mide volumen real, no valores corrientes. 
inegi.org.mx
Para qué sirve
Seguimiento cíclico: permite ver si la construcción acelera o se enfría por tipo de obra (vivienda/edificación, carreteras/infraestructura, instalaciones y acabados). 
inegi.org.mx
Planeación y análisis: es insumo para el PIB industrial, análisis sectoriales y decisiones de política y negocio (por ejemplo, detectar caídas en obra civil versus expansión en edificación).</t>
  </si>
  <si>
    <t>Producción</t>
  </si>
  <si>
    <t>Índice de volumen de la industria de la construcción por subsectores</t>
  </si>
  <si>
    <t>Título</t>
  </si>
  <si>
    <t>Índice de volumen de la producción industrial, Series originales, Construcción</t>
  </si>
  <si>
    <t>Índice de volumen de la industria de la construcción por subsectores, Total, Edificación</t>
  </si>
  <si>
    <t>Índice de volumen de la industria de la construcción por subsectores, Total, Construcción de obras de ingeniería civil u obra pesada</t>
  </si>
  <si>
    <t>Periodo disponible</t>
  </si>
  <si>
    <t>Ene 1993 - Ago 2017</t>
  </si>
  <si>
    <t>Periodicidad</t>
  </si>
  <si>
    <t>Mensual</t>
  </si>
  <si>
    <t>Cifra</t>
  </si>
  <si>
    <t>Indices</t>
  </si>
  <si>
    <t>Unidad</t>
  </si>
  <si>
    <t>Porcentajes</t>
  </si>
  <si>
    <t>Base</t>
  </si>
  <si>
    <t>(Base 2008=100)</t>
  </si>
  <si>
    <t>Aviso</t>
  </si>
  <si>
    <t>Tipo de información</t>
  </si>
  <si>
    <t>Tasa de crecimiento anual</t>
  </si>
  <si>
    <t>Fecha</t>
  </si>
  <si>
    <t>SR13813</t>
  </si>
  <si>
    <t>SR13850</t>
  </si>
  <si>
    <t>SR13851</t>
  </si>
  <si>
    <t>Sep 2000</t>
  </si>
  <si>
    <t>Sep 2001</t>
  </si>
  <si>
    <t>Sep 2002</t>
  </si>
  <si>
    <t>Sep 2003</t>
  </si>
  <si>
    <t>Sep 2004</t>
  </si>
  <si>
    <t>Sep 2005</t>
  </si>
  <si>
    <t>Sep 2006</t>
  </si>
  <si>
    <t>Sep 2007</t>
  </si>
  <si>
    <t>Sep 2008</t>
  </si>
  <si>
    <t>Sep 2009</t>
  </si>
  <si>
    <t>Sep 2010</t>
  </si>
  <si>
    <t>Sep 2011</t>
  </si>
  <si>
    <t>Sep 2012</t>
  </si>
  <si>
    <t>Sep 2013</t>
  </si>
  <si>
    <t>Sep 2014</t>
  </si>
  <si>
    <t>Sep 2015</t>
  </si>
  <si>
    <t>Sep 2016</t>
  </si>
  <si>
    <t>Ingresos SECTOR PRIVADO (MM$) / % del PIB / N° de Camas Hospitalarias</t>
  </si>
  <si>
    <t>Año</t>
  </si>
  <si>
    <t>INGRESOS SECTOR PRIVADO (MM$)</t>
  </si>
  <si>
    <t>gasto en salud % PIB</t>
  </si>
  <si>
    <t>camas hospitalarias</t>
  </si>
  <si>
    <t>Chile - Natalidad</t>
  </si>
  <si>
    <t>Nacimientos registrados</t>
  </si>
  <si>
    <t>Nota / fuente</t>
  </si>
  <si>
    <t>Tasa Natalidad</t>
  </si>
  <si>
    <t>Índice de Fecund.</t>
  </si>
  <si>
    <r>
      <t xml:space="preserve">247 358 nacidos vivos. </t>
    </r>
    <r>
      <rPr>
        <color rgb="FF1155CC"/>
        <u/>
      </rPr>
      <t>Instituto Nacional de Estadísticas</t>
    </r>
    <r>
      <rPr>
        <color rgb="FF1155CC"/>
        <u/>
      </rPr>
      <t>+2</t>
    </r>
    <r>
      <rPr>
        <color rgb="FF1155CC"/>
        <u/>
      </rPr>
      <t>La Tercera</t>
    </r>
    <r>
      <rPr>
        <color rgb="FF1155CC"/>
        <u/>
      </rPr>
      <t>+2</t>
    </r>
  </si>
  <si>
    <t>Anuario Estadísticas Vitales 2011.</t>
  </si>
  <si>
    <r>
      <t xml:space="preserve">244 670 nacimientos. </t>
    </r>
    <r>
      <rPr>
        <color rgb="FF1155CC"/>
        <u/>
      </rPr>
      <t>ADN Radio</t>
    </r>
    <r>
      <rPr>
        <color rgb="FF1155CC"/>
        <u/>
      </rPr>
      <t>+2</t>
    </r>
    <r>
      <rPr>
        <color rgb="FF1155CC"/>
        <u/>
      </rPr>
      <t>La Nación</t>
    </r>
    <r>
      <rPr>
        <color rgb="FF1155CC"/>
        <u/>
      </rPr>
      <t>+2</t>
    </r>
  </si>
  <si>
    <t>Notificado por INE.</t>
  </si>
  <si>
    <r>
      <t xml:space="preserve">231 749 nacimientos. </t>
    </r>
    <r>
      <rPr>
        <color rgb="FF1155CC"/>
        <u/>
      </rPr>
      <t>La Nación</t>
    </r>
    <r>
      <rPr>
        <color rgb="FF1155CC"/>
        <u/>
      </rPr>
      <t>+1</t>
    </r>
  </si>
  <si>
    <t>Según Anuario 2016.</t>
  </si>
  <si>
    <r>
      <t xml:space="preserve">219 186 nacimientos. </t>
    </r>
    <r>
      <rPr>
        <color rgb="FF1155CC"/>
        <u/>
      </rPr>
      <t>Instituto Nacional de Estadísticas</t>
    </r>
  </si>
  <si>
    <t>Según Anuario 2017.</t>
  </si>
  <si>
    <r>
      <t xml:space="preserve">189 303 nacimientos. </t>
    </r>
    <r>
      <rPr>
        <color rgb="FF1155CC"/>
        <u/>
      </rPr>
      <t>Instituto Nacional de Estadísticas</t>
    </r>
    <r>
      <rPr>
        <color rgb="FF1155CC"/>
        <u/>
      </rPr>
      <t>+1</t>
    </r>
  </si>
  <si>
    <t>Estadísticas Vitales 2022.</t>
  </si>
  <si>
    <t>2023 (provisionales)</t>
  </si>
  <si>
    <r>
      <t xml:space="preserve">174 067 nacimientos. </t>
    </r>
    <r>
      <rPr>
        <color rgb="FF1155CC"/>
        <u/>
      </rPr>
      <t>Duna</t>
    </r>
    <r>
      <rPr>
        <color rgb="FF1155CC"/>
        <u/>
      </rPr>
      <t>+2</t>
    </r>
    <r>
      <rPr>
        <color rgb="FF1155CC"/>
        <u/>
      </rPr>
      <t>Instituto Nacional de Estadísticas</t>
    </r>
    <r>
      <rPr>
        <color rgb="FF1155CC"/>
        <u/>
      </rPr>
      <t>+2</t>
    </r>
  </si>
  <si>
    <t>Datos provisionales.</t>
  </si>
  <si>
    <t>2024 (provisionales)</t>
  </si>
  <si>
    <r>
      <t xml:space="preserve">154 441 nacimientos. </t>
    </r>
    <r>
      <rPr>
        <color rgb="FF1155CC"/>
        <u/>
      </rPr>
      <t>Cooperativa.cl</t>
    </r>
    <r>
      <rPr>
        <color rgb="FF1155CC"/>
        <u/>
      </rPr>
      <t>+1</t>
    </r>
  </si>
  <si>
    <t>Boletín Demográfico Anual Provisional.</t>
  </si>
  <si>
    <t>Chile</t>
  </si>
  <si>
    <t>2017 [ Enero - Diciembre ]</t>
  </si>
  <si>
    <t xml:space="preserve"> CONTROLES SEGÚN PROBLEMA DE SALUD</t>
  </si>
  <si>
    <t>TIPO DE CONTROL</t>
  </si>
  <si>
    <t>PROFESIONAL</t>
  </si>
  <si>
    <t>TOTAL</t>
  </si>
  <si>
    <t>POR EDAD</t>
  </si>
  <si>
    <t>BENEFICIARIOS</t>
  </si>
  <si>
    <t>0 - 4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</si>
  <si>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</si>
  <si>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</si>
  <si>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</si>
  <si>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</si>
  <si>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</si>
  <si>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</si>
  <si>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</si>
  <si>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</si>
  <si>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</si>
  <si>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</si>
  <si>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</si>
  <si>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</si>
  <si>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</si>
  <si>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y mas</t>
  </si>
  <si>
    <t>Ambos Sexos</t>
  </si>
  <si>
    <t>Hombres</t>
  </si>
  <si>
    <t>Mujeres</t>
  </si>
  <si>
    <t>Acumulado Pais</t>
  </si>
  <si>
    <t>DE SALUD CARDIOVASCULAR</t>
  </si>
  <si>
    <t>MÉDICO</t>
  </si>
  <si>
    <t>ENFERMERA /O</t>
  </si>
  <si>
    <t>NUTRICIONISTA</t>
  </si>
  <si>
    <t>TÉCNICO PARAMÉDICO</t>
  </si>
  <si>
    <t>DE TUBERCULOSIS</t>
  </si>
  <si>
    <t>SEGUIMIENTO AUTOVALENTE CON RIESGO</t>
  </si>
  <si>
    <t>SEGUIMIENTO RIESGO DEPENDENCIA</t>
  </si>
  <si>
    <t>DE INFECCIÓN TRANSMISIÓN SEXUAL</t>
  </si>
  <si>
    <t>MATRONA /ÓN</t>
  </si>
  <si>
    <t>OTROS PROBLEMAS DE SALUD</t>
  </si>
  <si>
    <t>NIÑOS CON NECESIDADES ESPECIALES</t>
  </si>
  <si>
    <t>Servicio: Arica</t>
  </si>
  <si>
    <t>Servicio: Iquique</t>
  </si>
  <si>
    <t>Servicio: Antofagasta</t>
  </si>
  <si>
    <t>Servicio: Atacama</t>
  </si>
  <si>
    <t>Servicio: Coquimbo</t>
  </si>
  <si>
    <t>Servicio: Valparaíso San Antonio</t>
  </si>
  <si>
    <t>Servicio: Viña del Mar Quillota</t>
  </si>
  <si>
    <t>Servicio: Aconcagua</t>
  </si>
  <si>
    <t>Servicio: Metropolitano Norte</t>
  </si>
  <si>
    <t>Servicio: Metropolitano Occidente</t>
  </si>
  <si>
    <t>Servicio: Metropolitano Central</t>
  </si>
  <si>
    <t>Servicio: Metropolitano Oriente</t>
  </si>
  <si>
    <t>Servicio: Metropolitano Sur</t>
  </si>
  <si>
    <t>Servicio: Metropolitano Sur Oriente</t>
  </si>
  <si>
    <t>Servicio: Del Libertador B.O'Higgins</t>
  </si>
  <si>
    <t>Servicio: Del Maule</t>
  </si>
  <si>
    <t>Servicio: Ñuble</t>
  </si>
  <si>
    <t>Servicio: Concepción</t>
  </si>
  <si>
    <t>Servicio: Arauco</t>
  </si>
  <si>
    <t>Servicio: Talcahuano</t>
  </si>
  <si>
    <t>Servicio: Biobío</t>
  </si>
  <si>
    <t>Servicio: Araucanía Norte</t>
  </si>
  <si>
    <t>Servicio: Araucanía Sur</t>
  </si>
  <si>
    <t>Servicio: Valdivia</t>
  </si>
  <si>
    <t>Servicio: Osorno</t>
  </si>
  <si>
    <t>Servicio: Del Reloncaví</t>
  </si>
  <si>
    <t>Servicio: Chiloé</t>
  </si>
  <si>
    <t>Servicio: Aisén</t>
  </si>
  <si>
    <t>Servicio: Magallanes</t>
  </si>
  <si>
    <t>2018 [ Enero - Diciembre ]</t>
  </si>
  <si>
    <t>2019 [ Enero - Diciembre ]</t>
  </si>
  <si>
    <t>Servicio: Servicio de Salud Arica</t>
  </si>
  <si>
    <t>Servicio: Servicio de Salud Iquique</t>
  </si>
  <si>
    <t>Servicio: Servicio de Salud Antofagasta</t>
  </si>
  <si>
    <t>Servicio: Servicio de Salud Atacama</t>
  </si>
  <si>
    <t>Servicio: Servicio de Salud Coquimbo</t>
  </si>
  <si>
    <t>Servicio: Servicio de Salud Valparaíso San Antonio</t>
  </si>
  <si>
    <t>Servicio: Servicio de Salud Viña del Mar Quillota</t>
  </si>
  <si>
    <t>Servicio: Servicio de Salud Aconcagua</t>
  </si>
  <si>
    <t>Servicio: Servicio de Salud Metropolitano Norte</t>
  </si>
  <si>
    <t>Servicio: Servicio de Salud Metropolitano Occidente</t>
  </si>
  <si>
    <t>Servicio: Servicio de Salud Metropolitano Central</t>
  </si>
  <si>
    <t>Servicio: Servicio de Salud Metropolitano Oriente</t>
  </si>
  <si>
    <t>Servicio: Servicio de Salud Metropolitano Sur</t>
  </si>
  <si>
    <t>Servicio: Servicio de Salud Metropolitano Sur Oriente</t>
  </si>
  <si>
    <t>Servicio: Servicio de Salud Del Libertador B.O'Higgins</t>
  </si>
  <si>
    <t>Servicio: Servicio de Salud Del Maule</t>
  </si>
  <si>
    <t>Servicio: Servicio de Salud Ñuble</t>
  </si>
  <si>
    <t>Servicio: Servicio de Salud Concepción</t>
  </si>
  <si>
    <t>Servicio: Servicio de Salud Arauco</t>
  </si>
  <si>
    <t>Servicio: Servicio de Salud Talcahuano</t>
  </si>
  <si>
    <t>Servicio: Servicio de Salud Biobío</t>
  </si>
  <si>
    <t>Servicio: Servicio de Salud Araucanía Norte</t>
  </si>
  <si>
    <t>Servicio: Servicio de Salud Araucanía Sur</t>
  </si>
  <si>
    <t>Servicio: Servicio de Salud Valdivia</t>
  </si>
  <si>
    <t>Servicio: Servicio de Salud Osorno</t>
  </si>
  <si>
    <t>Servicio: Servicio de Salud Del Reloncaví</t>
  </si>
  <si>
    <t>Servicio: Servicio de Salud Chiloé</t>
  </si>
  <si>
    <t>Servicio: Servicio de Salud Aisén</t>
  </si>
  <si>
    <t>Servicio: Servicio de Salud Magallanes</t>
  </si>
  <si>
    <t>2020 [ Enero - Diciembre ]</t>
  </si>
  <si>
    <t>Egresos hospitalarios por año (SSA y SESAS)</t>
  </si>
  <si>
    <t>Entidad Federativa</t>
  </si>
  <si>
    <t>AGS</t>
  </si>
  <si>
    <t>BC</t>
  </si>
  <si>
    <t>BCS</t>
  </si>
  <si>
    <t>CAMP</t>
  </si>
  <si>
    <t>COAH</t>
  </si>
  <si>
    <t>COL</t>
  </si>
  <si>
    <t>CHIS</t>
  </si>
  <si>
    <t>CHI</t>
  </si>
  <si>
    <t>CDMX</t>
  </si>
  <si>
    <t>DGO</t>
  </si>
  <si>
    <t>GTO</t>
  </si>
  <si>
    <t>GRO</t>
  </si>
  <si>
    <t>HGO</t>
  </si>
  <si>
    <t>JAL</t>
  </si>
  <si>
    <t>MEX</t>
  </si>
  <si>
    <t>MICH</t>
  </si>
  <si>
    <t>MOR</t>
  </si>
  <si>
    <t>NAY</t>
  </si>
  <si>
    <t>NL</t>
  </si>
  <si>
    <t>OAX</t>
  </si>
  <si>
    <t>PUE</t>
  </si>
  <si>
    <t>QRO</t>
  </si>
  <si>
    <t>QROO</t>
  </si>
  <si>
    <t>SLP</t>
  </si>
  <si>
    <t>SIN</t>
  </si>
  <si>
    <t>SON</t>
  </si>
  <si>
    <t>TAB</t>
  </si>
  <si>
    <t>TAMPS</t>
  </si>
  <si>
    <t>TLAX</t>
  </si>
  <si>
    <t>VER</t>
  </si>
  <si>
    <t>YUC</t>
  </si>
  <si>
    <t>ZAC</t>
  </si>
  <si>
    <t>Nacional</t>
  </si>
  <si>
    <t>Nacimientos/por año</t>
  </si>
  <si>
    <t xml:space="preserve">DIFUNCIONES POR AÑO </t>
  </si>
  <si>
    <t>Datos de Chile</t>
  </si>
  <si>
    <t>Llegada de turistas extranjeros</t>
  </si>
  <si>
    <t>Llegada de turistas nacionales</t>
  </si>
  <si>
    <t>Excursionistas</t>
  </si>
  <si>
    <t>Divisas</t>
  </si>
  <si>
    <t>Ingresos por turismo netas en uf</t>
  </si>
  <si>
    <t>Gasto promedio</t>
  </si>
  <si>
    <t>Ocupacion hotelera</t>
  </si>
  <si>
    <t>Llegadas de turistas</t>
  </si>
  <si>
    <t>Var. interanual</t>
  </si>
  <si>
    <t>-</t>
  </si>
  <si>
    <t>CHILE: Ventas netas (UF) de empresas según actividad característica del turismo, por tamaño de empresa, total nacional, período 2005-2019</t>
  </si>
  <si>
    <t>ACT / Tamaño empresa</t>
  </si>
  <si>
    <t>Ventas netas (UF)</t>
  </si>
  <si>
    <t>Sin Ventas/Sin Información</t>
  </si>
  <si>
    <t>Micro</t>
  </si>
  <si>
    <t>Pequeña</t>
  </si>
  <si>
    <t>Mediana</t>
  </si>
  <si>
    <t>Grande</t>
  </si>
  <si>
    <t>Total ACT</t>
  </si>
  <si>
    <t>Variación anual (%)</t>
  </si>
  <si>
    <t>ss</t>
  </si>
  <si>
    <t>https://datatur.sectur.gob.mx/SitePages/FlujoPorAerolinea.aspx</t>
  </si>
  <si>
    <t>MOVIMIENTO DE VUELOS POR LÍNEAS AÉREAS (MEXICO)</t>
  </si>
  <si>
    <t>TOTAL GENERAL DE VUELOS</t>
  </si>
  <si>
    <t>Instituto Nacional de Estadística y Geografía (INEGI)</t>
  </si>
  <si>
    <t>Visitantes por entidad de registro según persona que acompaña al visitante, serie anual de 2016 a 2024</t>
  </si>
  <si>
    <t/>
  </si>
  <si>
    <t>Visitantes</t>
  </si>
  <si>
    <t>Entidad de registro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</si>
  <si>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</si>
  <si>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</si>
  <si>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</si>
  <si>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</si>
  <si>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</si>
  <si>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</si>
  <si>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</si>
  <si>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</si>
  <si>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</si>
  <si>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</t>
  </si>
  <si>
    <t>Nadie</t>
  </si>
  <si>
    <t>Familia</t>
  </si>
  <si>
    <t>Pareja/novio(a)</t>
  </si>
  <si>
    <t>Amigos/conocidos</t>
  </si>
  <si>
    <t>Compañeros de Trabajo</t>
  </si>
  <si>
    <t>Grupo Escolar</t>
  </si>
  <si>
    <t>Grupo de esparcimiento (turístico, recreativo, etc.)</t>
  </si>
  <si>
    <t>Otro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</si>
  <si>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</si>
  <si>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</si>
  <si>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</si>
  <si>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</si>
  <si>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</si>
  <si>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</si>
  <si>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</si>
  <si>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</si>
  <si>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</si>
  <si>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</si>
  <si>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</si>
  <si>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</si>
  <si>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</si>
  <si>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</si>
  <si>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</si>
  <si>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</si>
  <si>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</si>
  <si>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</si>
  <si>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</si>
  <si>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</si>
  <si>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</si>
  <si>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</si>
  <si>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</si>
  <si>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</si>
  <si>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</si>
  <si>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</si>
  <si>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</si>
  <si>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</si>
  <si>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</si>
  <si>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</si>
  <si>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</si>
  <si>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</si>
  <si>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TOTALES</t>
  </si>
  <si>
    <t>Notas:</t>
  </si>
  <si>
    <t>El total de visitantes de cada año corresponde a los registros de las instituciones museísticas que reportan información al cierre del año de referencia.</t>
  </si>
  <si>
    <t>La suma de los registros en este tabulado puede ser mayor que el número total de visitantes registrados, dado que el visitante puede declarar más de un tipo de compañía.</t>
  </si>
  <si>
    <t>Para 2020, durante la contingencia sanitaria ocasionada por la pandemia derivada de la COVID-19, la mayoría de los museos en el país estuvieron cerrados al público durante la mayor parte del año, lo cual coincidió con la disminución del número de visitantes a museos en comparación con años previos.</t>
  </si>
  <si>
    <t>Fuente: INEGI. Estadística de Museos (EM).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</si>
</sst>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.m."/>
    <numFmt numFmtId="165" formatCode="d.m"/>
    <numFmt numFmtId="166" formatCode="mmm yyyy"/>
    <numFmt numFmtId="167" formatCode="dd-mmm"/>
    <numFmt numFmtId="168" formatCode="mmm-d"/>
    <numFmt numFmtId="169" formatCode="###,###,###,###,##0"/>
  </numFmts>
  <fonts count="61">
    <font>
      <sz val="10.0"/>
      <color rgb="FF000000"/>
      <name val="Arial"/>
      <scheme val="minor"/>
    </font>
    <font>
      <b/>
      <sz val="12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theme="1"/>
      <name val="Calibri"/>
    </font>
    <font>
      <b/>
      <color rgb="FFFFFFFF"/>
      <name val="Arial"/>
    </font>
    <font/>
    <font>
      <color theme="1"/>
      <name val="Arial"/>
    </font>
    <font>
      <b/>
      <sz val="11.0"/>
      <color rgb="FF000000"/>
      <name val="Calibri"/>
    </font>
    <font>
      <sz val="8.0"/>
      <color rgb="FF000000"/>
      <name val="Calibri"/>
    </font>
    <font>
      <b/>
      <sz val="11.0"/>
      <color rgb="FF212529"/>
      <name val="Arial"/>
    </font>
    <font>
      <b/>
      <sz val="11.0"/>
      <color theme="1"/>
      <name val="Arial"/>
      <scheme val="minor"/>
    </font>
    <font>
      <color rgb="FF000000"/>
      <name val="Arial"/>
    </font>
    <font>
      <color rgb="FF212529"/>
      <name val="Inherit"/>
    </font>
    <font>
      <b/>
      <sz val="8.0"/>
      <color rgb="FF003057"/>
      <name val="Arial"/>
    </font>
    <font>
      <sz val="11.0"/>
      <color rgb="FF000000"/>
      <name val="&quot;Aptos Narrow&quot;"/>
    </font>
    <font>
      <b/>
      <sz val="9.0"/>
      <color rgb="FF2E3438"/>
      <name val="Arial"/>
    </font>
    <font>
      <b/>
      <sz val="9.0"/>
      <color rgb="FF003057"/>
      <name val="Arial"/>
    </font>
    <font>
      <sz val="9.0"/>
      <color rgb="FF2E3438"/>
      <name val="Arial"/>
    </font>
    <font>
      <u/>
      <color rgb="FF0000FF"/>
    </font>
    <font>
      <color theme="1"/>
      <name val="&quot;Helvetica Neue&quot;"/>
    </font>
    <font>
      <b/>
      <sz val="14.0"/>
      <color theme="1"/>
      <name val="Calibri"/>
    </font>
    <font>
      <sz val="10.0"/>
      <color theme="1"/>
      <name val="Arial"/>
      <scheme val="minor"/>
    </font>
    <font>
      <sz val="11.0"/>
      <color theme="1"/>
      <name val="Calibri"/>
    </font>
    <font>
      <b/>
      <sz val="11.0"/>
      <color rgb="FFC00000"/>
      <name val="Calibri"/>
    </font>
    <font>
      <b/>
      <color theme="1"/>
      <name val="Arial"/>
      <scheme val="minor"/>
    </font>
    <font>
      <b/>
      <sz val="12.0"/>
      <color theme="1"/>
      <name val="Calibri"/>
    </font>
    <font>
      <b/>
      <sz val="11.0"/>
      <color rgb="FFFFFFFF"/>
      <name val="Arial"/>
    </font>
    <font>
      <b/>
      <sz val="8.0"/>
      <color rgb="FF305B96"/>
      <name val="Arial"/>
    </font>
    <font>
      <sz val="8.0"/>
      <color rgb="FF000000"/>
      <name val="Arial"/>
    </font>
    <font>
      <b/>
      <sz val="12.0"/>
      <color rgb="FF001D35"/>
      <name val="&quot;Google Sans&quot;"/>
    </font>
    <font>
      <b/>
      <sz val="15.0"/>
      <color theme="1"/>
      <name val="Verdana"/>
    </font>
    <font>
      <b/>
      <sz val="11.0"/>
      <color theme="1"/>
      <name val="Verdana"/>
    </font>
    <font>
      <sz val="8.0"/>
      <color theme="1"/>
      <name val="Verdana"/>
    </font>
    <font>
      <b/>
      <color theme="1"/>
      <name val="Calibri"/>
    </font>
    <font>
      <b/>
      <sz val="13.0"/>
      <color theme="1"/>
      <name val="Arial"/>
      <scheme val="minor"/>
    </font>
    <font>
      <sz val="8.0"/>
      <color rgb="FF000000"/>
      <name val="Verdana"/>
    </font>
    <font>
      <b/>
      <sz val="14.0"/>
      <color rgb="FF000000"/>
      <name val="Calibri"/>
    </font>
    <font>
      <b/>
      <color rgb="FF000000"/>
      <name val="Calibri"/>
    </font>
    <font>
      <b/>
      <sz val="15.0"/>
      <color theme="1"/>
      <name val="Arial"/>
      <scheme val="minor"/>
    </font>
    <font>
      <b/>
      <sz val="12.0"/>
      <color theme="1"/>
      <name val="Montserrat"/>
    </font>
    <font>
      <sz val="11.0"/>
      <color rgb="FFFFFFFF"/>
      <name val="Arial"/>
    </font>
    <font>
      <sz val="11.0"/>
      <color rgb="FF000000"/>
      <name val="Arial"/>
    </font>
    <font>
      <sz val="16.0"/>
      <color theme="1"/>
      <name val="Inherit"/>
    </font>
    <font>
      <sz val="14.0"/>
      <color rgb="FF000000"/>
      <name val="Montserrat"/>
    </font>
    <font>
      <b/>
      <sz val="11.0"/>
      <color rgb="FF000000"/>
      <name val="Arial"/>
    </font>
    <font>
      <b/>
      <sz val="12.0"/>
      <color theme="1"/>
      <name val="Arial"/>
      <scheme val="minor"/>
    </font>
    <font>
      <b/>
      <sz val="11.0"/>
      <color rgb="FF595959"/>
      <name val="Calibri"/>
    </font>
    <font>
      <sz val="9.0"/>
      <color theme="1"/>
      <name val="Calibri"/>
    </font>
    <font>
      <b/>
      <sz val="9.0"/>
      <color rgb="FF555559"/>
      <name val="Calibri"/>
    </font>
    <font>
      <b/>
      <sz val="9.0"/>
      <color rgb="FFFFFFFF"/>
      <name val="Calibri"/>
    </font>
    <font>
      <b/>
      <sz val="13.0"/>
      <color rgb="FFFFFFFF"/>
      <name val="Calibri"/>
    </font>
    <font>
      <b/>
      <sz val="9.0"/>
      <color rgb="FFFF0000"/>
      <name val="Calibri"/>
    </font>
    <font>
      <b/>
      <sz val="7.0"/>
      <color rgb="FF000000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8.0"/>
      <color rgb="FF000000"/>
      <name val="Arial"/>
    </font>
    <font>
      <b/>
      <sz val="9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1F497D"/>
        <bgColor rgb="FF1F497D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E0E6EB"/>
        <bgColor rgb="FFE0E6EB"/>
      </patternFill>
    </fill>
    <fill>
      <patternFill patternType="solid">
        <fgColor rgb="FFF5F7F8"/>
        <bgColor rgb="FFF5F7F8"/>
      </patternFill>
    </fill>
    <fill>
      <patternFill patternType="solid">
        <fgColor rgb="FFE6E7E7"/>
        <bgColor rgb="FFE6E7E7"/>
      </patternFill>
    </fill>
    <fill>
      <patternFill patternType="solid">
        <fgColor rgb="FFCFCFCF"/>
        <bgColor rgb="FFCFCFCF"/>
      </patternFill>
    </fill>
    <fill>
      <patternFill patternType="solid">
        <fgColor rgb="FFE3EBED"/>
        <bgColor rgb="FFE3EBED"/>
      </patternFill>
    </fill>
    <fill>
      <patternFill patternType="solid">
        <fgColor rgb="FF4E80C0"/>
        <bgColor rgb="FF4E80C0"/>
      </patternFill>
    </fill>
    <fill>
      <patternFill patternType="solid">
        <fgColor rgb="FFFFFDFA"/>
        <bgColor rgb="FFFFFDFA"/>
      </patternFill>
    </fill>
    <fill>
      <patternFill patternType="solid">
        <fgColor rgb="FFFFF1E0"/>
        <bgColor rgb="FFFFF1E0"/>
      </patternFill>
    </fill>
    <fill>
      <patternFill patternType="solid">
        <fgColor rgb="FFD2CCCC"/>
        <bgColor rgb="FFD2CCCC"/>
      </patternFill>
    </fill>
    <fill>
      <patternFill patternType="solid">
        <fgColor rgb="FFFFFFCC"/>
        <bgColor rgb="FFFFFFCC"/>
      </patternFill>
    </fill>
    <fill>
      <patternFill patternType="solid">
        <fgColor rgb="FFC0C0C0"/>
        <bgColor rgb="FFC0C0C0"/>
      </patternFill>
    </fill>
    <fill>
      <patternFill patternType="solid">
        <fgColor rgb="FFF0EEEE"/>
        <bgColor rgb="FFF0EEEE"/>
      </patternFill>
    </fill>
    <fill>
      <patternFill patternType="solid">
        <fgColor rgb="FF9D2449"/>
        <bgColor rgb="FF9D2449"/>
      </patternFill>
    </fill>
    <fill>
      <patternFill patternType="solid">
        <fgColor rgb="FFD4C19C"/>
        <bgColor rgb="FFD4C19C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DDDDDD"/>
        <bgColor rgb="FFDDDDDD"/>
      </patternFill>
    </fill>
    <fill>
      <patternFill patternType="solid">
        <fgColor rgb="FFF9F9F9"/>
        <bgColor rgb="FFF9F9F9"/>
      </patternFill>
    </fill>
    <fill>
      <patternFill patternType="solid">
        <fgColor rgb="FFFF9900"/>
        <bgColor rgb="FFFF9900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CCD6DE"/>
      </left>
      <right style="thin">
        <color rgb="FFCCD6DE"/>
      </right>
      <top style="thin">
        <color rgb="FFCCD6DE"/>
      </top>
    </border>
    <border>
      <right style="thin">
        <color rgb="FFCCD6DE"/>
      </right>
      <top style="thin">
        <color rgb="FFCCD6DE"/>
      </top>
      <bottom style="thin">
        <color rgb="FFCCD6DE"/>
      </bottom>
    </border>
    <border>
      <left style="thin">
        <color rgb="FFCCD6DE"/>
      </left>
      <right style="thin">
        <color rgb="FFCCD6DE"/>
      </right>
      <bottom style="thin">
        <color rgb="FFCCD6DE"/>
      </bottom>
    </border>
    <border>
      <right style="thin">
        <color rgb="FFCCD6DE"/>
      </right>
    </border>
    <border>
      <right style="thin">
        <color rgb="FFCCD6DE"/>
      </right>
      <bottom style="thin">
        <color rgb="FF000000"/>
      </bottom>
    </border>
    <border>
      <right style="thin">
        <color rgb="FFCCD6DE"/>
      </right>
      <bottom style="thin">
        <color rgb="FFCCD6DE"/>
      </bottom>
    </border>
    <border>
      <bottom style="thin">
        <color rgb="FF000000"/>
      </bottom>
    </border>
    <border>
      <top style="thin">
        <color rgb="FFB8B2AD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1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right" readingOrder="0" shrinkToFit="0" wrapText="0"/>
    </xf>
    <xf borderId="1" fillId="0" fontId="2" numFmtId="0" xfId="0" applyAlignment="1" applyBorder="1" applyFont="1">
      <alignment horizontal="left" shrinkToFit="0" wrapText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 shrinkToFit="0" vertical="top" wrapText="0"/>
    </xf>
    <xf borderId="1" fillId="0" fontId="2" numFmtId="2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3" fontId="5" numFmtId="0" xfId="0" applyAlignment="1" applyBorder="1" applyFill="1" applyFont="1">
      <alignment horizontal="center" readingOrder="0"/>
    </xf>
    <xf borderId="3" fillId="0" fontId="6" numFmtId="0" xfId="0" applyBorder="1" applyFont="1"/>
    <xf borderId="4" fillId="3" fontId="5" numFmtId="0" xfId="0" applyAlignment="1" applyBorder="1" applyFont="1">
      <alignment horizontal="center" readingOrder="0" shrinkToFit="0" vertical="bottom" wrapText="0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0" fillId="4" fontId="5" numFmtId="0" xfId="0" applyAlignment="1" applyFill="1" applyFont="1">
      <alignment horizontal="center" readingOrder="0" shrinkToFit="0" vertical="bottom" wrapText="0"/>
    </xf>
    <xf borderId="6" fillId="4" fontId="5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0" fillId="0" fontId="7" numFmtId="3" xfId="0" applyAlignment="1" applyFont="1" applyNumberForma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vertical="bottom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center" readingOrder="0" shrinkToFit="0" vertical="bottom" wrapText="0"/>
    </xf>
    <xf borderId="5" fillId="0" fontId="7" numFmtId="3" xfId="0" applyAlignment="1" applyBorder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7" fillId="5" fontId="9" numFmtId="0" xfId="0" applyAlignment="1" applyBorder="1" applyFill="1" applyFont="1">
      <alignment horizontal="center" readingOrder="0" shrinkToFit="0" vertical="bottom" wrapText="0"/>
    </xf>
    <xf borderId="8" fillId="5" fontId="9" numFmtId="0" xfId="0" applyAlignment="1" applyBorder="1" applyFont="1">
      <alignment horizontal="left" readingOrder="0" shrinkToFit="0" vertical="bottom" wrapText="0"/>
    </xf>
    <xf borderId="8" fillId="0" fontId="2" numFmtId="0" xfId="0" applyAlignment="1" applyBorder="1" applyFont="1">
      <alignment shrinkToFit="0" vertical="bottom" wrapText="0"/>
    </xf>
    <xf borderId="0" fillId="5" fontId="10" numFmtId="0" xfId="0" applyAlignment="1" applyFont="1">
      <alignment horizontal="left" readingOrder="0"/>
    </xf>
    <xf borderId="1" fillId="0" fontId="2" numFmtId="164" xfId="0" applyAlignment="1" applyBorder="1" applyFont="1" applyNumberFormat="1">
      <alignment horizontal="left" readingOrder="0" shrinkToFit="0" wrapText="0"/>
    </xf>
    <xf borderId="1" fillId="0" fontId="2" numFmtId="4" xfId="0" applyAlignment="1" applyBorder="1" applyFont="1" applyNumberFormat="1">
      <alignment horizontal="right" readingOrder="0" shrinkToFit="0" wrapText="0"/>
    </xf>
    <xf borderId="0" fillId="0" fontId="11" numFmtId="0" xfId="0" applyAlignment="1" applyFont="1">
      <alignment readingOrder="0"/>
    </xf>
    <xf borderId="1" fillId="2" fontId="1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horizontal="right" readingOrder="0" shrinkToFit="0" vertical="bottom" wrapText="0"/>
    </xf>
    <xf borderId="1" fillId="0" fontId="2" numFmtId="3" xfId="0" applyAlignment="1" applyBorder="1" applyFont="1" applyNumberFormat="1">
      <alignment horizontal="right" readingOrder="0" shrinkToFit="0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 shrinkToFit="0" wrapText="0"/>
    </xf>
    <xf borderId="9" fillId="6" fontId="14" numFmtId="0" xfId="0" applyAlignment="1" applyBorder="1" applyFill="1" applyFont="1">
      <alignment horizontal="center" readingOrder="0"/>
    </xf>
    <xf borderId="10" fillId="6" fontId="14" numFmtId="0" xfId="0" applyAlignment="1" applyBorder="1" applyFont="1">
      <alignment horizontal="center" readingOrder="0"/>
    </xf>
    <xf borderId="11" fillId="0" fontId="6" numFmtId="0" xfId="0" applyBorder="1" applyFont="1"/>
    <xf borderId="0" fillId="6" fontId="15" numFmtId="0" xfId="0" applyAlignment="1" applyFont="1">
      <alignment shrinkToFit="0" vertical="bottom" wrapText="0"/>
    </xf>
    <xf borderId="12" fillId="6" fontId="15" numFmtId="0" xfId="0" applyAlignment="1" applyBorder="1" applyFont="1">
      <alignment shrinkToFit="0" vertical="bottom" wrapText="0"/>
    </xf>
    <xf borderId="11" fillId="6" fontId="16" numFmtId="0" xfId="0" applyAlignment="1" applyBorder="1" applyFont="1">
      <alignment horizontal="left" readingOrder="0"/>
    </xf>
    <xf borderId="13" fillId="5" fontId="16" numFmtId="0" xfId="0" applyAlignment="1" applyBorder="1" applyFont="1">
      <alignment horizontal="right" readingOrder="0"/>
    </xf>
    <xf borderId="13" fillId="7" fontId="16" numFmtId="165" xfId="0" applyAlignment="1" applyBorder="1" applyFill="1" applyFont="1" applyNumberFormat="1">
      <alignment horizontal="right" readingOrder="0"/>
    </xf>
    <xf borderId="11" fillId="6" fontId="17" numFmtId="0" xfId="0" applyAlignment="1" applyBorder="1" applyFont="1">
      <alignment horizontal="left" readingOrder="0"/>
    </xf>
    <xf borderId="13" fillId="5" fontId="16" numFmtId="0" xfId="0" applyAlignment="1" applyBorder="1" applyFont="1">
      <alignment horizontal="right"/>
    </xf>
    <xf borderId="13" fillId="7" fontId="18" numFmtId="0" xfId="0" applyAlignment="1" applyBorder="1" applyFont="1">
      <alignment horizontal="right" readingOrder="0"/>
    </xf>
    <xf borderId="13" fillId="5" fontId="18" numFmtId="0" xfId="0" applyAlignment="1" applyBorder="1" applyFont="1">
      <alignment horizontal="right" readingOrder="0"/>
    </xf>
    <xf borderId="14" fillId="7" fontId="16" numFmtId="0" xfId="0" applyAlignment="1" applyBorder="1" applyFont="1">
      <alignment horizontal="right" readingOrder="0"/>
    </xf>
    <xf borderId="0" fillId="0" fontId="19" numFmtId="0" xfId="0" applyAlignment="1" applyFont="1">
      <alignment readingOrder="0"/>
    </xf>
    <xf borderId="0" fillId="5" fontId="20" numFmtId="0" xfId="0" applyAlignment="1" applyFont="1">
      <alignment readingOrder="0"/>
    </xf>
    <xf borderId="0" fillId="0" fontId="21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22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1" fillId="8" fontId="4" numFmtId="0" xfId="0" applyAlignment="1" applyBorder="1" applyFill="1" applyFont="1">
      <alignment horizontal="left" readingOrder="0" shrinkToFit="0" vertical="center" wrapText="1"/>
    </xf>
    <xf borderId="1" fillId="9" fontId="4" numFmtId="0" xfId="0" applyAlignment="1" applyBorder="1" applyFill="1" applyFont="1">
      <alignment horizontal="center" readingOrder="0" shrinkToFit="0" vertical="center" wrapText="1"/>
    </xf>
    <xf borderId="1" fillId="8" fontId="4" numFmtId="0" xfId="0" applyAlignment="1" applyBorder="1" applyFont="1">
      <alignment horizontal="left" readingOrder="0"/>
    </xf>
    <xf borderId="1" fillId="8" fontId="23" numFmtId="0" xfId="0" applyAlignment="1" applyBorder="1" applyFont="1">
      <alignment horizontal="center" readingOrder="0"/>
    </xf>
    <xf borderId="1" fillId="8" fontId="24" numFmtId="0" xfId="0" applyAlignment="1" applyBorder="1" applyFont="1">
      <alignment horizontal="center"/>
    </xf>
    <xf borderId="1" fillId="10" fontId="4" numFmtId="0" xfId="0" applyAlignment="1" applyBorder="1" applyFill="1" applyFont="1">
      <alignment horizontal="left" readingOrder="0"/>
    </xf>
    <xf borderId="1" fillId="10" fontId="4" numFmtId="0" xfId="0" applyAlignment="1" applyBorder="1" applyFont="1">
      <alignment horizontal="center" readingOrder="0"/>
    </xf>
    <xf borderId="1" fillId="0" fontId="4" numFmtId="166" xfId="0" applyAlignment="1" applyBorder="1" applyFont="1" applyNumberFormat="1">
      <alignment horizontal="left" readingOrder="0" shrinkToFit="0" wrapText="0"/>
    </xf>
    <xf borderId="1" fillId="0" fontId="23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25" numFmtId="0" xfId="0" applyAlignment="1" applyFont="1">
      <alignment readingOrder="0"/>
    </xf>
    <xf borderId="1" fillId="2" fontId="26" numFmtId="0" xfId="0" applyAlignment="1" applyBorder="1" applyFont="1">
      <alignment horizontal="center" shrinkToFit="0" wrapText="1"/>
    </xf>
    <xf borderId="1" fillId="2" fontId="26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right" vertical="bottom"/>
    </xf>
    <xf borderId="1" fillId="0" fontId="23" numFmtId="4" xfId="0" applyBorder="1" applyFont="1" applyNumberFormat="1"/>
    <xf borderId="1" fillId="0" fontId="23" numFmtId="165" xfId="0" applyBorder="1" applyFont="1" applyNumberFormat="1"/>
    <xf borderId="1" fillId="0" fontId="3" numFmtId="3" xfId="0" applyAlignment="1" applyBorder="1" applyFont="1" applyNumberFormat="1">
      <alignment readingOrder="0"/>
    </xf>
    <xf borderId="1" fillId="0" fontId="23" numFmtId="4" xfId="0" applyAlignment="1" applyBorder="1" applyFont="1" applyNumberFormat="1">
      <alignment horizontal="right"/>
    </xf>
    <xf borderId="0" fillId="11" fontId="27" numFmtId="0" xfId="0" applyAlignment="1" applyFill="1" applyFont="1">
      <alignment horizontal="center" readingOrder="0"/>
    </xf>
    <xf borderId="0" fillId="0" fontId="25" numFmtId="0" xfId="0" applyAlignment="1" applyFont="1">
      <alignment horizontal="center" readingOrder="0"/>
    </xf>
    <xf borderId="15" fillId="12" fontId="28" numFmtId="0" xfId="0" applyAlignment="1" applyBorder="1" applyFill="1" applyFont="1">
      <alignment horizontal="center" readingOrder="0"/>
    </xf>
    <xf borderId="0" fillId="0" fontId="3" numFmtId="3" xfId="0" applyAlignment="1" applyFont="1" applyNumberFormat="1">
      <alignment readingOrder="0"/>
    </xf>
    <xf borderId="16" fillId="13" fontId="29" numFmtId="0" xfId="0" applyAlignment="1" applyBorder="1" applyFill="1" applyFont="1">
      <alignment horizontal="right" readingOrder="0" shrinkToFit="0" vertical="bottom" wrapText="0"/>
    </xf>
    <xf borderId="0" fillId="5" fontId="30" numFmtId="3" xfId="0" applyAlignment="1" applyFont="1" applyNumberFormat="1">
      <alignment readingOrder="0"/>
    </xf>
    <xf borderId="0" fillId="0" fontId="31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32" numFmtId="0" xfId="0" applyAlignment="1" applyFont="1">
      <alignment horizontal="center" vertical="bottom"/>
    </xf>
    <xf borderId="17" fillId="0" fontId="33" numFmtId="0" xfId="0" applyAlignment="1" applyBorder="1" applyFont="1">
      <alignment horizontal="center" vertical="bottom"/>
    </xf>
    <xf borderId="2" fillId="0" fontId="33" numFmtId="0" xfId="0" applyAlignment="1" applyBorder="1" applyFont="1">
      <alignment horizontal="center" vertical="bottom"/>
    </xf>
    <xf borderId="8" fillId="0" fontId="33" numFmtId="0" xfId="0" applyAlignment="1" applyBorder="1" applyFont="1">
      <alignment horizontal="center" vertical="bottom"/>
    </xf>
    <xf borderId="8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15" fillId="0" fontId="6" numFmtId="0" xfId="0" applyBorder="1" applyFont="1"/>
    <xf borderId="21" fillId="0" fontId="6" numFmtId="0" xfId="0" applyBorder="1" applyFont="1"/>
    <xf borderId="8" fillId="0" fontId="33" numFmtId="167" xfId="0" applyAlignment="1" applyBorder="1" applyFont="1" applyNumberFormat="1">
      <alignment horizontal="center" vertical="bottom"/>
    </xf>
    <xf borderId="8" fillId="0" fontId="33" numFmtId="168" xfId="0" applyAlignment="1" applyBorder="1" applyFont="1" applyNumberFormat="1">
      <alignment horizontal="center" vertical="bottom"/>
    </xf>
    <xf borderId="22" fillId="0" fontId="6" numFmtId="0" xfId="0" applyBorder="1" applyFont="1"/>
    <xf borderId="21" fillId="0" fontId="33" numFmtId="0" xfId="0" applyAlignment="1" applyBorder="1" applyFont="1">
      <alignment horizontal="center" vertical="bottom"/>
    </xf>
    <xf borderId="8" fillId="14" fontId="21" numFmtId="0" xfId="0" applyAlignment="1" applyBorder="1" applyFill="1" applyFont="1">
      <alignment vertical="bottom"/>
    </xf>
    <xf borderId="19" fillId="0" fontId="33" numFmtId="0" xfId="0" applyAlignment="1" applyBorder="1" applyFont="1">
      <alignment vertical="bottom"/>
    </xf>
    <xf borderId="21" fillId="0" fontId="33" numFmtId="0" xfId="0" applyAlignment="1" applyBorder="1" applyFont="1">
      <alignment vertical="bottom"/>
    </xf>
    <xf borderId="1" fillId="15" fontId="33" numFmtId="3" xfId="0" applyAlignment="1" applyBorder="1" applyFill="1" applyFont="1" applyNumberFormat="1">
      <alignment horizontal="center" vertical="bottom"/>
    </xf>
    <xf borderId="1" fillId="16" fontId="33" numFmtId="0" xfId="0" applyAlignment="1" applyBorder="1" applyFill="1" applyFont="1">
      <alignment horizontal="center" vertical="bottom"/>
    </xf>
    <xf borderId="18" fillId="0" fontId="33" numFmtId="0" xfId="0" applyAlignment="1" applyBorder="1" applyFont="1">
      <alignment vertical="bottom"/>
    </xf>
    <xf borderId="1" fillId="15" fontId="33" numFmtId="0" xfId="0" applyAlignment="1" applyBorder="1" applyFont="1">
      <alignment horizontal="center" vertical="bottom"/>
    </xf>
    <xf borderId="15" fillId="17" fontId="34" numFmtId="0" xfId="0" applyAlignment="1" applyBorder="1" applyFill="1" applyFont="1">
      <alignment vertical="bottom"/>
    </xf>
    <xf borderId="0" fillId="5" fontId="35" numFmtId="0" xfId="0" applyAlignment="1" applyFont="1">
      <alignment readingOrder="0"/>
    </xf>
    <xf borderId="0" fillId="5" fontId="3" numFmtId="0" xfId="0" applyFont="1"/>
    <xf borderId="0" fillId="5" fontId="36" numFmtId="0" xfId="0" applyAlignment="1" applyFont="1">
      <alignment horizontal="center" readingOrder="0"/>
    </xf>
    <xf borderId="0" fillId="5" fontId="36" numFmtId="167" xfId="0" applyAlignment="1" applyFont="1" applyNumberFormat="1">
      <alignment horizontal="center" readingOrder="0"/>
    </xf>
    <xf borderId="0" fillId="5" fontId="36" numFmtId="168" xfId="0" applyAlignment="1" applyFont="1" applyNumberFormat="1">
      <alignment horizontal="center" readingOrder="0"/>
    </xf>
    <xf borderId="0" fillId="5" fontId="37" numFmtId="0" xfId="0" applyAlignment="1" applyFont="1">
      <alignment readingOrder="0" vertical="bottom"/>
    </xf>
    <xf borderId="0" fillId="5" fontId="36" numFmtId="0" xfId="0" applyAlignment="1" applyFont="1">
      <alignment horizontal="left" readingOrder="0" vertical="bottom"/>
    </xf>
    <xf borderId="0" fillId="5" fontId="36" numFmtId="3" xfId="0" applyAlignment="1" applyFont="1" applyNumberFormat="1">
      <alignment horizontal="center" readingOrder="0" vertical="bottom"/>
    </xf>
    <xf borderId="0" fillId="5" fontId="36" numFmtId="0" xfId="0" applyAlignment="1" applyFont="1">
      <alignment horizontal="center" readingOrder="0" vertical="bottom"/>
    </xf>
    <xf borderId="0" fillId="5" fontId="38" numFmtId="0" xfId="0" applyAlignment="1" applyFont="1">
      <alignment horizontal="left" readingOrder="0" vertical="bottom"/>
    </xf>
    <xf borderId="0" fillId="0" fontId="39" numFmtId="0" xfId="0" applyAlignment="1" applyFont="1">
      <alignment readingOrder="0"/>
    </xf>
    <xf borderId="17" fillId="0" fontId="36" numFmtId="0" xfId="0" applyAlignment="1" applyBorder="1" applyFont="1">
      <alignment horizontal="center" readingOrder="0"/>
    </xf>
    <xf borderId="2" fillId="0" fontId="36" numFmtId="0" xfId="0" applyAlignment="1" applyBorder="1" applyFont="1">
      <alignment horizontal="center" readingOrder="0"/>
    </xf>
    <xf borderId="8" fillId="0" fontId="36" numFmtId="0" xfId="0" applyAlignment="1" applyBorder="1" applyFont="1">
      <alignment horizontal="center" readingOrder="0"/>
    </xf>
    <xf borderId="8" fillId="0" fontId="36" numFmtId="167" xfId="0" applyAlignment="1" applyBorder="1" applyFont="1" applyNumberFormat="1">
      <alignment horizontal="center" readingOrder="0"/>
    </xf>
    <xf borderId="8" fillId="0" fontId="36" numFmtId="168" xfId="0" applyAlignment="1" applyBorder="1" applyFont="1" applyNumberFormat="1">
      <alignment horizontal="center" readingOrder="0"/>
    </xf>
    <xf borderId="21" fillId="0" fontId="36" numFmtId="0" xfId="0" applyAlignment="1" applyBorder="1" applyFont="1">
      <alignment horizontal="center" readingOrder="0"/>
    </xf>
    <xf borderId="8" fillId="14" fontId="37" numFmtId="0" xfId="0" applyAlignment="1" applyBorder="1" applyFont="1">
      <alignment readingOrder="0" vertical="bottom"/>
    </xf>
    <xf borderId="19" fillId="0" fontId="36" numFmtId="0" xfId="0" applyAlignment="1" applyBorder="1" applyFont="1">
      <alignment horizontal="left" readingOrder="0" vertical="bottom"/>
    </xf>
    <xf borderId="21" fillId="0" fontId="36" numFmtId="0" xfId="0" applyAlignment="1" applyBorder="1" applyFont="1">
      <alignment horizontal="left" readingOrder="0" vertical="bottom"/>
    </xf>
    <xf borderId="1" fillId="15" fontId="36" numFmtId="3" xfId="0" applyAlignment="1" applyBorder="1" applyFont="1" applyNumberFormat="1">
      <alignment horizontal="center" readingOrder="0" vertical="bottom"/>
    </xf>
    <xf borderId="1" fillId="16" fontId="36" numFmtId="0" xfId="0" applyAlignment="1" applyBorder="1" applyFont="1">
      <alignment horizontal="center" readingOrder="0" vertical="bottom"/>
    </xf>
    <xf borderId="18" fillId="0" fontId="36" numFmtId="0" xfId="0" applyAlignment="1" applyBorder="1" applyFont="1">
      <alignment horizontal="left" readingOrder="0" vertical="bottom"/>
    </xf>
    <xf borderId="1" fillId="15" fontId="36" numFmtId="0" xfId="0" applyAlignment="1" applyBorder="1" applyFont="1">
      <alignment horizontal="center" readingOrder="0" vertical="bottom"/>
    </xf>
    <xf borderId="15" fillId="17" fontId="38" numFmtId="0" xfId="0" applyAlignment="1" applyBorder="1" applyFont="1">
      <alignment horizontal="left" readingOrder="0" vertical="bottom"/>
    </xf>
    <xf borderId="0" fillId="5" fontId="40" numFmtId="0" xfId="0" applyAlignment="1" applyFont="1">
      <alignment horizontal="center" readingOrder="0"/>
    </xf>
    <xf borderId="1" fillId="18" fontId="41" numFmtId="0" xfId="0" applyAlignment="1" applyBorder="1" applyFill="1" applyFont="1">
      <alignment horizontal="center" readingOrder="0"/>
    </xf>
    <xf borderId="1" fillId="0" fontId="42" numFmtId="0" xfId="0" applyAlignment="1" applyBorder="1" applyFont="1">
      <alignment horizontal="center" readingOrder="0" shrinkToFit="0" vertical="bottom" wrapText="0"/>
    </xf>
    <xf borderId="1" fillId="0" fontId="42" numFmtId="3" xfId="0" applyAlignment="1" applyBorder="1" applyFont="1" applyNumberFormat="1">
      <alignment horizontal="center" readingOrder="0" shrinkToFit="0" vertical="bottom" wrapText="0"/>
    </xf>
    <xf borderId="1" fillId="19" fontId="42" numFmtId="0" xfId="0" applyAlignment="1" applyBorder="1" applyFill="1" applyFont="1">
      <alignment horizontal="center" readingOrder="0" shrinkToFit="0" vertical="bottom" wrapText="0"/>
    </xf>
    <xf borderId="1" fillId="19" fontId="42" numFmtId="3" xfId="0" applyAlignment="1" applyBorder="1" applyFont="1" applyNumberFormat="1">
      <alignment horizontal="center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42" numFmtId="0" xfId="0" applyAlignment="1" applyFont="1">
      <alignment horizontal="center" shrinkToFit="0" vertical="bottom" wrapText="0"/>
    </xf>
    <xf borderId="0" fillId="5" fontId="43" numFmtId="0" xfId="0" applyAlignment="1" applyFont="1">
      <alignment horizontal="left" readingOrder="0"/>
    </xf>
    <xf borderId="0" fillId="5" fontId="44" numFmtId="0" xfId="0" applyAlignment="1" applyFont="1">
      <alignment horizontal="left"/>
    </xf>
    <xf borderId="1" fillId="0" fontId="42" numFmtId="0" xfId="0" applyAlignment="1" applyBorder="1" applyFont="1">
      <alignment horizontal="right" readingOrder="0" shrinkToFit="0" vertical="bottom" wrapText="0"/>
    </xf>
    <xf borderId="1" fillId="19" fontId="45" numFmtId="0" xfId="0" applyAlignment="1" applyBorder="1" applyFont="1">
      <alignment horizontal="center" readingOrder="0" shrinkToFit="0" vertical="bottom" wrapText="0"/>
    </xf>
    <xf borderId="1" fillId="19" fontId="45" numFmtId="3" xfId="0" applyAlignment="1" applyBorder="1" applyFont="1" applyNumberFormat="1">
      <alignment horizontal="center" readingOrder="0" shrinkToFit="0" vertical="bottom" wrapText="0"/>
    </xf>
    <xf borderId="0" fillId="0" fontId="25" numFmtId="0" xfId="0" applyFont="1"/>
    <xf borderId="0" fillId="0" fontId="3" numFmtId="0" xfId="0" applyAlignment="1" applyFont="1">
      <alignment horizontal="center" readingOrder="0"/>
    </xf>
    <xf borderId="1" fillId="0" fontId="42" numFmtId="3" xfId="0" applyAlignment="1" applyBorder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0" fontId="46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3" xfId="0" applyBorder="1" applyFont="1" applyNumberFormat="1"/>
    <xf borderId="1" fillId="0" fontId="2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3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10" xfId="0" applyAlignment="1" applyBorder="1" applyFont="1" applyNumberFormat="1">
      <alignment horizontal="center" readingOrder="0"/>
    </xf>
    <xf borderId="0" fillId="5" fontId="47" numFmtId="0" xfId="0" applyAlignment="1" applyFont="1">
      <alignment readingOrder="0" shrinkToFit="0" wrapText="0"/>
    </xf>
    <xf borderId="0" fillId="5" fontId="48" numFmtId="0" xfId="0" applyAlignment="1" applyFont="1">
      <alignment shrinkToFit="0" vertical="bottom" wrapText="0"/>
    </xf>
    <xf borderId="0" fillId="5" fontId="49" numFmtId="0" xfId="0" applyAlignment="1" applyFont="1">
      <alignment shrinkToFit="0" wrapText="0"/>
    </xf>
    <xf borderId="0" fillId="5" fontId="48" numFmtId="0" xfId="0" applyAlignment="1" applyFont="1">
      <alignment shrinkToFit="0" wrapText="0"/>
    </xf>
    <xf borderId="23" fillId="20" fontId="50" numFmtId="0" xfId="0" applyAlignment="1" applyBorder="1" applyFill="1" applyFont="1">
      <alignment horizontal="center" readingOrder="0"/>
    </xf>
    <xf borderId="24" fillId="20" fontId="51" numFmtId="0" xfId="0" applyAlignment="1" applyBorder="1" applyFont="1">
      <alignment horizontal="center" readingOrder="0" shrinkToFit="0" vertical="bottom" wrapText="0"/>
    </xf>
    <xf borderId="24" fillId="0" fontId="6" numFmtId="0" xfId="0" applyBorder="1" applyFont="1"/>
    <xf borderId="24" fillId="5" fontId="50" numFmtId="0" xfId="0" applyAlignment="1" applyBorder="1" applyFont="1">
      <alignment horizontal="center" shrinkToFit="0" vertical="bottom" wrapText="0"/>
    </xf>
    <xf borderId="25" fillId="0" fontId="6" numFmtId="0" xfId="0" applyBorder="1" applyFont="1"/>
    <xf borderId="26" fillId="20" fontId="50" numFmtId="0" xfId="0" applyAlignment="1" applyBorder="1" applyFont="1">
      <alignment horizontal="center" readingOrder="0" shrinkToFit="0" vertical="bottom" wrapText="0"/>
    </xf>
    <xf borderId="26" fillId="5" fontId="50" numFmtId="0" xfId="0" applyAlignment="1" applyBorder="1" applyFont="1">
      <alignment horizontal="center" shrinkToFit="0" vertical="bottom" wrapText="0"/>
    </xf>
    <xf borderId="0" fillId="5" fontId="50" numFmtId="0" xfId="0" applyAlignment="1" applyFont="1">
      <alignment horizontal="center"/>
    </xf>
    <xf borderId="0" fillId="5" fontId="52" numFmtId="0" xfId="0" applyAlignment="1" applyFont="1">
      <alignment horizontal="center" shrinkToFit="0" vertical="bottom" wrapText="0"/>
    </xf>
    <xf borderId="0" fillId="5" fontId="50" numFmtId="0" xfId="0" applyAlignment="1" applyFont="1">
      <alignment horizontal="center" shrinkToFit="0" vertical="bottom" wrapText="0"/>
    </xf>
    <xf borderId="0" fillId="5" fontId="48" numFmtId="0" xfId="0" applyAlignment="1" applyFont="1">
      <alignment readingOrder="0" shrinkToFit="0" vertical="bottom" wrapText="0"/>
    </xf>
    <xf borderId="0" fillId="5" fontId="48" numFmtId="0" xfId="0" applyAlignment="1" applyFont="1">
      <alignment horizontal="right" readingOrder="0" shrinkToFit="0" vertical="bottom" wrapText="0"/>
    </xf>
    <xf borderId="0" fillId="5" fontId="48" numFmtId="3" xfId="0" applyAlignment="1" applyFont="1" applyNumberFormat="1">
      <alignment horizontal="right" readingOrder="0" shrinkToFit="0" vertical="bottom" wrapText="0"/>
    </xf>
    <xf borderId="0" fillId="20" fontId="50" numFmtId="0" xfId="0" applyAlignment="1" applyFont="1">
      <alignment readingOrder="0" shrinkToFit="0" vertical="bottom" wrapText="0"/>
    </xf>
    <xf borderId="0" fillId="20" fontId="50" numFmtId="3" xfId="0" applyAlignment="1" applyFont="1" applyNumberFormat="1">
      <alignment horizontal="right" readingOrder="0" shrinkToFit="0" vertical="bottom" wrapText="0"/>
    </xf>
    <xf borderId="0" fillId="5" fontId="50" numFmtId="0" xfId="0" applyAlignment="1" applyFont="1">
      <alignment horizontal="right" shrinkToFit="0" wrapText="0"/>
    </xf>
    <xf borderId="27" fillId="20" fontId="51" numFmtId="0" xfId="0" applyAlignment="1" applyBorder="1" applyFont="1">
      <alignment horizontal="center" readingOrder="0" shrinkToFit="0" vertical="bottom" wrapText="0"/>
    </xf>
    <xf borderId="28" fillId="0" fontId="6" numFmtId="0" xfId="0" applyBorder="1" applyFont="1"/>
    <xf borderId="0" fillId="20" fontId="50" numFmtId="0" xfId="0" applyAlignment="1" applyFont="1">
      <alignment horizontal="right" readingOrder="0" shrinkToFit="0" vertical="bottom" wrapText="0"/>
    </xf>
    <xf borderId="0" fillId="0" fontId="53" numFmtId="0" xfId="0" applyAlignment="1" applyFont="1">
      <alignment shrinkToFit="0" vertical="bottom" wrapText="0"/>
    </xf>
    <xf borderId="7" fillId="21" fontId="54" numFmtId="0" xfId="0" applyAlignment="1" applyBorder="1" applyFill="1" applyFont="1">
      <alignment horizontal="center" readingOrder="0" shrinkToFit="0" vertical="bottom" wrapText="0"/>
    </xf>
    <xf borderId="1" fillId="0" fontId="55" numFmtId="0" xfId="0" applyAlignment="1" applyBorder="1" applyFont="1">
      <alignment shrinkToFit="0" vertical="bottom" wrapText="0"/>
    </xf>
    <xf borderId="1" fillId="0" fontId="56" numFmtId="0" xfId="0" applyAlignment="1" applyBorder="1" applyFont="1">
      <alignment horizontal="center" readingOrder="0" shrinkToFit="0" vertical="bottom" wrapText="0"/>
    </xf>
    <xf borderId="1" fillId="5" fontId="57" numFmtId="0" xfId="0" applyAlignment="1" applyBorder="1" applyFont="1">
      <alignment horizontal="left" readingOrder="0" shrinkToFit="0" vertical="bottom" wrapText="0"/>
    </xf>
    <xf borderId="1" fillId="0" fontId="54" numFmtId="3" xfId="0" applyAlignment="1" applyBorder="1" applyFont="1" applyNumberFormat="1">
      <alignment horizontal="center" readingOrder="0" shrinkToFit="0" vertical="bottom" wrapText="0"/>
    </xf>
    <xf borderId="1" fillId="5" fontId="54" numFmtId="3" xfId="0" applyAlignment="1" applyBorder="1" applyFont="1" applyNumberFormat="1">
      <alignment horizontal="center" readingOrder="0" shrinkToFit="0" vertical="bottom" wrapText="0"/>
    </xf>
    <xf borderId="0" fillId="0" fontId="58" numFmtId="0" xfId="0" applyAlignment="1" applyFont="1">
      <alignment shrinkToFit="0" vertical="bottom" wrapText="0"/>
    </xf>
    <xf borderId="0" fillId="0" fontId="23" numFmtId="0" xfId="0" applyAlignment="1" applyFont="1">
      <alignment vertical="bottom"/>
    </xf>
    <xf borderId="0" fillId="0" fontId="59" numFmtId="0" xfId="0" applyAlignment="1" applyFont="1">
      <alignment shrinkToFit="0" vertical="bottom" wrapText="0"/>
    </xf>
    <xf borderId="28" fillId="0" fontId="7" numFmtId="0" xfId="0" applyAlignment="1" applyBorder="1" applyFont="1">
      <alignment vertical="bottom"/>
    </xf>
    <xf borderId="28" fillId="0" fontId="23" numFmtId="0" xfId="0" applyAlignment="1" applyBorder="1" applyFont="1">
      <alignment vertical="bottom"/>
    </xf>
    <xf borderId="29" fillId="22" fontId="60" numFmtId="0" xfId="0" applyAlignment="1" applyBorder="1" applyFill="1" applyFont="1">
      <alignment shrinkToFit="0" vertical="top" wrapText="1"/>
    </xf>
    <xf borderId="28" fillId="22" fontId="60" numFmtId="0" xfId="0" applyAlignment="1" applyBorder="1" applyFont="1">
      <alignment horizontal="center" shrinkToFit="0" vertical="top" wrapText="1"/>
    </xf>
    <xf borderId="30" fillId="0" fontId="6" numFmtId="0" xfId="0" applyBorder="1" applyFont="1"/>
    <xf borderId="30" fillId="22" fontId="60" numFmtId="0" xfId="0" applyAlignment="1" applyBorder="1" applyFont="1">
      <alignment horizontal="center" shrinkToFit="0" vertical="top" wrapText="1"/>
    </xf>
    <xf borderId="25" fillId="22" fontId="60" numFmtId="0" xfId="0" applyAlignment="1" applyBorder="1" applyFont="1">
      <alignment shrinkToFit="0" vertical="top" wrapText="1"/>
    </xf>
    <xf borderId="30" fillId="23" fontId="7" numFmtId="169" xfId="0" applyAlignment="1" applyBorder="1" applyFill="1" applyFont="1" applyNumberFormat="1">
      <alignment horizontal="right" vertical="bottom"/>
    </xf>
    <xf borderId="30" fillId="5" fontId="7" numFmtId="169" xfId="0" applyAlignment="1" applyBorder="1" applyFont="1" applyNumberFormat="1">
      <alignment horizontal="right" vertical="bottom"/>
    </xf>
    <xf borderId="0" fillId="24" fontId="4" numFmtId="0" xfId="0" applyAlignment="1" applyFill="1" applyFont="1">
      <alignment readingOrder="0" vertical="bottom"/>
    </xf>
    <xf borderId="0" fillId="24" fontId="4" numFmtId="169" xfId="0" applyAlignment="1" applyFont="1" applyNumberFormat="1">
      <alignment vertical="bottom"/>
    </xf>
    <xf borderId="0" fillId="24" fontId="4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6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egi.org.mx/programas/viviendasat/2018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e.gob.cl/docs/default-source/nacimientos-matrimonios-y-defunciones/publicaciones-y-anuarios/anuarios-de-estad%C3%ADsticas-vitales/ine_anuario-de-estad%C3%ADsticas-vitales_2011.pdf?sfvrsn=d63702e4_3&amp;utm_source=chatgpt.com" TargetMode="External"/><Relationship Id="rId2" Type="http://schemas.openxmlformats.org/officeDocument/2006/relationships/hyperlink" Target="https://www.adnradio.cl/nacional/2017/08/25/ine-en-2015-disminuyeron-los-nacimientos-y-los-matrimonios-y-subieron-las-muertes-3559692.html?utm_source=chatgpt.com" TargetMode="External"/><Relationship Id="rId3" Type="http://schemas.openxmlformats.org/officeDocument/2006/relationships/hyperlink" Target="https://www.lanacion.cl/numero-de-nacimientos-en-chile-descendio-56-entre-2015-y-2016/?utm_source=chatgpt.com" TargetMode="External"/><Relationship Id="rId4" Type="http://schemas.openxmlformats.org/officeDocument/2006/relationships/hyperlink" Target="https://www.ine.gob.cl/estadisticas/sociales/demografia-y-vitales/proyecciones-de-poblacion/2019/11/15/n%C3%BAmero-de-nacimientos-en-chile-descendi%C3%B3-5-4-entre-2016-y-2017?utm_source=chatgpt.com" TargetMode="External"/><Relationship Id="rId5" Type="http://schemas.openxmlformats.org/officeDocument/2006/relationships/hyperlink" Target="https://www.ine.gob.cl/docs/default-source/nacimientos-matrimonios-y-defunciones/publicaciones-y-anuarios/presentaci%C3%B3n-de-resultados/estad%C3%ADsticas-vitales-2022-y-provisionales-2023.pdf?sfvrsn=6eb3fce1_4&amp;utm_source=chatgpt.com" TargetMode="External"/><Relationship Id="rId6" Type="http://schemas.openxmlformats.org/officeDocument/2006/relationships/hyperlink" Target="https://www.duna.cl/noticias/2025/03/17/ultimas-estadisticas-vitales-del-ine-revelan-un-descenso-en-la-fecundidad-y-nacimientos-en-chile/?utm_source=chatgpt.com" TargetMode="External"/><Relationship Id="rId7" Type="http://schemas.openxmlformats.org/officeDocument/2006/relationships/hyperlink" Target="https://www.cooperativa.cl/noticias/pais/poblacion/estadistica-confirma-la-caida-de-los-nacimientos-en-2024/2025-05-15/205310.html?utm_source=chatgpt.com" TargetMode="External"/><Relationship Id="rId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atatur.sectur.gob.mx/SitePages/FlujoPorAerolinea.aspx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</cols>
  <sheetData>
    <row r="2">
      <c r="A2" s="1" t="s">
        <v>0</v>
      </c>
      <c r="B2" s="2">
        <v>2002.0</v>
      </c>
      <c r="C2" s="2">
        <v>2003.0</v>
      </c>
      <c r="D2" s="2">
        <v>2004.0</v>
      </c>
      <c r="E2" s="2">
        <v>2005.0</v>
      </c>
      <c r="F2" s="2">
        <v>2006.0</v>
      </c>
      <c r="G2" s="2">
        <v>2007.0</v>
      </c>
      <c r="H2" s="2">
        <v>2008.0</v>
      </c>
      <c r="I2" s="2">
        <v>2009.0</v>
      </c>
      <c r="J2" s="2">
        <v>2010.0</v>
      </c>
      <c r="K2" s="2">
        <v>2011.0</v>
      </c>
      <c r="L2" s="2">
        <v>2012.0</v>
      </c>
      <c r="M2" s="2">
        <v>2013.0</v>
      </c>
      <c r="N2" s="2">
        <v>2014.0</v>
      </c>
      <c r="O2" s="2">
        <v>2015.0</v>
      </c>
      <c r="P2" s="2">
        <v>2016.0</v>
      </c>
      <c r="Q2" s="2">
        <v>2017.0</v>
      </c>
      <c r="R2" s="2">
        <v>2018.0</v>
      </c>
      <c r="S2" s="2">
        <v>2019.0</v>
      </c>
      <c r="T2" s="2">
        <v>2020.0</v>
      </c>
      <c r="U2" s="2">
        <v>2021.0</v>
      </c>
      <c r="V2" s="2">
        <v>2022.0</v>
      </c>
      <c r="W2" s="2">
        <v>2023.0</v>
      </c>
      <c r="X2" s="2">
        <v>2024.0</v>
      </c>
    </row>
    <row r="3">
      <c r="A3" s="3" t="s">
        <v>1</v>
      </c>
      <c r="B3" s="4">
        <v>82.4</v>
      </c>
      <c r="C3" s="4">
        <v>84.23</v>
      </c>
      <c r="D3" s="4">
        <v>89.13</v>
      </c>
      <c r="E3" s="4">
        <v>92.3</v>
      </c>
      <c r="F3" s="4">
        <v>94.79</v>
      </c>
      <c r="G3" s="4">
        <v>98.78</v>
      </c>
      <c r="H3" s="4">
        <v>100.0</v>
      </c>
      <c r="I3" s="4">
        <v>102.27</v>
      </c>
      <c r="J3" s="4">
        <v>108.77</v>
      </c>
      <c r="K3" s="4">
        <v>118.1</v>
      </c>
      <c r="L3" s="4">
        <v>126.74</v>
      </c>
      <c r="M3" s="4">
        <v>137.04</v>
      </c>
      <c r="N3" s="4">
        <v>148.27</v>
      </c>
      <c r="O3" s="4">
        <v>160.65</v>
      </c>
      <c r="P3" s="4">
        <v>165.03</v>
      </c>
      <c r="Q3" s="4">
        <v>174.68</v>
      </c>
      <c r="R3" s="4">
        <v>187.58</v>
      </c>
      <c r="S3" s="4">
        <v>198.33</v>
      </c>
      <c r="T3" s="4">
        <v>205.27</v>
      </c>
      <c r="U3" s="4">
        <v>219.6</v>
      </c>
      <c r="V3" s="4">
        <v>210.37</v>
      </c>
      <c r="W3" s="4">
        <v>210.99</v>
      </c>
      <c r="X3" s="4">
        <v>217.31</v>
      </c>
    </row>
    <row r="4">
      <c r="A4" s="3" t="s">
        <v>2</v>
      </c>
      <c r="B4" s="4">
        <v>78.1</v>
      </c>
      <c r="C4" s="4">
        <v>80.96</v>
      </c>
      <c r="D4" s="4">
        <v>87.8</v>
      </c>
      <c r="E4" s="4">
        <v>91.02</v>
      </c>
      <c r="F4" s="4">
        <v>94.34</v>
      </c>
      <c r="G4" s="4">
        <v>98.51</v>
      </c>
      <c r="H4" s="4">
        <v>100.0</v>
      </c>
      <c r="I4" s="4">
        <v>102.31</v>
      </c>
      <c r="J4" s="4">
        <v>110.82</v>
      </c>
      <c r="K4" s="4">
        <v>122.58</v>
      </c>
      <c r="L4" s="4">
        <v>130.35</v>
      </c>
      <c r="M4" s="4">
        <v>140.16</v>
      </c>
      <c r="N4" s="4">
        <v>151.08</v>
      </c>
      <c r="O4" s="4">
        <v>161.84</v>
      </c>
      <c r="P4" s="4">
        <v>164.58</v>
      </c>
      <c r="Q4" s="4">
        <v>173.25</v>
      </c>
      <c r="R4" s="4">
        <v>189.31</v>
      </c>
      <c r="S4" s="4">
        <v>201.51</v>
      </c>
      <c r="T4" s="4">
        <v>207.46</v>
      </c>
      <c r="U4" s="4">
        <v>225.89</v>
      </c>
      <c r="V4" s="4">
        <v>212.01</v>
      </c>
      <c r="W4" s="4">
        <v>213.88</v>
      </c>
      <c r="X4" s="4">
        <v>221.63</v>
      </c>
    </row>
    <row r="5">
      <c r="A5" s="3" t="s">
        <v>3</v>
      </c>
      <c r="B5" s="4">
        <v>70.7</v>
      </c>
      <c r="C5" s="4">
        <v>74.87</v>
      </c>
      <c r="D5" s="4">
        <v>82.49</v>
      </c>
      <c r="E5" s="4">
        <v>85.98</v>
      </c>
      <c r="F5" s="4">
        <v>91.54</v>
      </c>
      <c r="G5" s="4">
        <v>95.92</v>
      </c>
      <c r="H5" s="4">
        <v>100.0</v>
      </c>
      <c r="I5" s="4">
        <v>102.89</v>
      </c>
      <c r="J5" s="4">
        <v>104.18</v>
      </c>
      <c r="K5" s="4">
        <v>118.54</v>
      </c>
      <c r="L5" s="4">
        <v>129.72</v>
      </c>
      <c r="M5" s="4">
        <v>135.89</v>
      </c>
      <c r="N5" s="4">
        <v>143.52</v>
      </c>
      <c r="O5" s="4">
        <v>157.52</v>
      </c>
      <c r="P5" s="4">
        <v>160.13</v>
      </c>
      <c r="Q5" s="4">
        <v>167.25</v>
      </c>
      <c r="R5" s="4">
        <v>175.71</v>
      </c>
      <c r="S5" s="4">
        <v>184.43</v>
      </c>
      <c r="T5" s="4">
        <v>195.66</v>
      </c>
      <c r="U5" s="4">
        <v>203.85</v>
      </c>
      <c r="V5" s="4">
        <v>211.14</v>
      </c>
      <c r="W5" s="5"/>
      <c r="X5" s="5"/>
    </row>
    <row r="6">
      <c r="A6" s="3" t="s">
        <v>4</v>
      </c>
      <c r="B6" s="4">
        <v>85.3</v>
      </c>
      <c r="C6" s="4">
        <v>86.81</v>
      </c>
      <c r="D6" s="4">
        <v>92.76</v>
      </c>
      <c r="E6" s="4">
        <v>95.7</v>
      </c>
      <c r="F6" s="4">
        <v>96.81</v>
      </c>
      <c r="G6" s="4">
        <v>100.8</v>
      </c>
      <c r="H6" s="4">
        <v>100.0</v>
      </c>
      <c r="I6" s="4">
        <v>101.88</v>
      </c>
      <c r="J6" s="4">
        <v>115.64</v>
      </c>
      <c r="K6" s="4">
        <v>125.34</v>
      </c>
      <c r="L6" s="4">
        <v>131.0</v>
      </c>
      <c r="M6" s="4">
        <v>143.26</v>
      </c>
      <c r="N6" s="4">
        <v>156.33</v>
      </c>
      <c r="O6" s="4">
        <v>165.12</v>
      </c>
      <c r="P6" s="4">
        <v>167.95</v>
      </c>
      <c r="Q6" s="4">
        <v>177.56</v>
      </c>
      <c r="R6" s="4">
        <v>198.79</v>
      </c>
      <c r="S6" s="4">
        <v>213.03</v>
      </c>
      <c r="T6" s="4">
        <v>216.58</v>
      </c>
      <c r="U6" s="4">
        <v>240.72</v>
      </c>
      <c r="V6" s="4">
        <v>218.6</v>
      </c>
      <c r="W6" s="4">
        <v>216.65</v>
      </c>
      <c r="X6" s="4">
        <v>222.65</v>
      </c>
    </row>
    <row r="7">
      <c r="A7" s="3" t="s">
        <v>5</v>
      </c>
      <c r="B7" s="4">
        <v>89.96</v>
      </c>
      <c r="C7" s="4">
        <v>89.88</v>
      </c>
      <c r="D7" s="4">
        <v>91.13</v>
      </c>
      <c r="E7" s="4">
        <v>94.21</v>
      </c>
      <c r="F7" s="4">
        <v>95.43</v>
      </c>
      <c r="G7" s="4">
        <v>99.15</v>
      </c>
      <c r="H7" s="4">
        <v>100.0</v>
      </c>
      <c r="I7" s="4">
        <v>102.23</v>
      </c>
      <c r="J7" s="4">
        <v>106.51</v>
      </c>
      <c r="K7" s="4">
        <v>112.96</v>
      </c>
      <c r="L7" s="4">
        <v>122.6</v>
      </c>
      <c r="M7" s="4">
        <v>133.61</v>
      </c>
      <c r="N7" s="4">
        <v>145.28</v>
      </c>
      <c r="O7" s="4">
        <v>159.42</v>
      </c>
      <c r="P7" s="4">
        <v>165.49</v>
      </c>
      <c r="Q7" s="4">
        <v>176.1</v>
      </c>
      <c r="R7" s="4">
        <v>186.31</v>
      </c>
      <c r="S7" s="4">
        <v>195.76</v>
      </c>
      <c r="T7" s="4">
        <v>203.51</v>
      </c>
      <c r="U7" s="4">
        <v>214.16</v>
      </c>
      <c r="V7" s="4">
        <v>209.18</v>
      </c>
      <c r="W7" s="4">
        <v>208.67</v>
      </c>
      <c r="X7" s="4">
        <v>213.68</v>
      </c>
    </row>
    <row r="8">
      <c r="A8" s="3" t="s">
        <v>6</v>
      </c>
      <c r="B8" s="4">
        <v>86.38</v>
      </c>
      <c r="C8" s="4">
        <v>86.95</v>
      </c>
      <c r="D8" s="4">
        <v>86.67</v>
      </c>
      <c r="E8" s="4">
        <v>90.8</v>
      </c>
      <c r="F8" s="4">
        <v>93.12</v>
      </c>
      <c r="G8" s="4">
        <v>98.09</v>
      </c>
      <c r="H8" s="4">
        <v>100.0</v>
      </c>
      <c r="I8" s="4">
        <v>100.06</v>
      </c>
      <c r="J8" s="4">
        <v>99.32</v>
      </c>
      <c r="K8" s="4">
        <v>104.61</v>
      </c>
      <c r="L8" s="4">
        <v>112.92</v>
      </c>
      <c r="M8" s="4">
        <v>118.8</v>
      </c>
      <c r="N8" s="4">
        <v>126.74</v>
      </c>
      <c r="O8" s="4">
        <v>141.06</v>
      </c>
      <c r="P8" s="4">
        <v>147.65</v>
      </c>
      <c r="Q8" s="4">
        <v>158.9</v>
      </c>
      <c r="R8" s="4">
        <v>166.15</v>
      </c>
      <c r="S8" s="4">
        <v>172.66</v>
      </c>
      <c r="T8" s="4">
        <v>181.67</v>
      </c>
      <c r="U8" s="4">
        <v>187.7</v>
      </c>
      <c r="V8" s="4">
        <v>194.13</v>
      </c>
      <c r="W8" s="4">
        <v>192.94</v>
      </c>
      <c r="X8" s="4">
        <v>199.91</v>
      </c>
    </row>
    <row r="9">
      <c r="A9" s="3" t="s">
        <v>7</v>
      </c>
      <c r="B9" s="4">
        <v>97.06</v>
      </c>
      <c r="C9" s="4">
        <v>96.04</v>
      </c>
      <c r="D9" s="4">
        <v>99.64</v>
      </c>
      <c r="E9" s="4">
        <v>100.95</v>
      </c>
      <c r="F9" s="4">
        <v>100.07</v>
      </c>
      <c r="G9" s="4">
        <v>101.43</v>
      </c>
      <c r="H9" s="4">
        <v>100.0</v>
      </c>
      <c r="I9" s="4">
        <v>106.64</v>
      </c>
      <c r="J9" s="4">
        <v>124.11</v>
      </c>
      <c r="K9" s="4">
        <v>133.5</v>
      </c>
      <c r="L9" s="4">
        <v>146.18</v>
      </c>
      <c r="M9" s="4">
        <v>165.58</v>
      </c>
      <c r="N9" s="4">
        <v>183.99</v>
      </c>
      <c r="O9" s="4">
        <v>197.72</v>
      </c>
      <c r="P9" s="4">
        <v>202.79</v>
      </c>
      <c r="Q9" s="4">
        <v>211.68</v>
      </c>
      <c r="R9" s="4">
        <v>229.43</v>
      </c>
      <c r="S9" s="4">
        <v>244.88</v>
      </c>
      <c r="T9" s="4">
        <v>249.79</v>
      </c>
      <c r="U9" s="4">
        <v>271.66</v>
      </c>
      <c r="V9" s="4">
        <v>248.43</v>
      </c>
      <c r="W9" s="4">
        <v>249.23</v>
      </c>
      <c r="X9" s="4">
        <v>250.41</v>
      </c>
    </row>
    <row r="10">
      <c r="A10" s="3" t="s">
        <v>8</v>
      </c>
      <c r="B10" s="4">
        <v>77.08</v>
      </c>
      <c r="C10" s="4">
        <v>79.89</v>
      </c>
      <c r="D10" s="4">
        <v>84.52</v>
      </c>
      <c r="E10" s="4">
        <v>88.3</v>
      </c>
      <c r="F10" s="4">
        <v>92.36</v>
      </c>
      <c r="G10" s="4">
        <v>97.03</v>
      </c>
      <c r="H10" s="4">
        <v>100.0</v>
      </c>
      <c r="I10" s="4">
        <v>101.35</v>
      </c>
      <c r="J10" s="4">
        <v>101.39</v>
      </c>
      <c r="K10" s="4">
        <v>110.5</v>
      </c>
      <c r="L10" s="4">
        <v>119.97</v>
      </c>
      <c r="M10" s="4">
        <v>125.94</v>
      </c>
      <c r="N10" s="4">
        <v>133.71</v>
      </c>
      <c r="O10" s="4">
        <v>147.98</v>
      </c>
      <c r="P10" s="4">
        <v>153.18</v>
      </c>
      <c r="Q10" s="4">
        <v>163.11</v>
      </c>
      <c r="R10" s="4">
        <v>170.82</v>
      </c>
      <c r="S10" s="4">
        <v>178.11</v>
      </c>
      <c r="T10" s="4">
        <v>187.85</v>
      </c>
      <c r="U10" s="4">
        <v>194.72</v>
      </c>
      <c r="V10" s="4">
        <v>201.48</v>
      </c>
      <c r="W10" s="4">
        <v>203.82</v>
      </c>
      <c r="X10" s="4">
        <v>212.31</v>
      </c>
    </row>
    <row r="11">
      <c r="A11" s="3" t="s">
        <v>9</v>
      </c>
      <c r="B11" s="4">
        <v>88.9</v>
      </c>
      <c r="C11" s="4">
        <v>89.62</v>
      </c>
      <c r="D11" s="4">
        <v>94.86</v>
      </c>
      <c r="E11" s="4">
        <v>97.3</v>
      </c>
      <c r="F11" s="4">
        <v>97.79</v>
      </c>
      <c r="G11" s="4">
        <v>100.99</v>
      </c>
      <c r="H11" s="4">
        <v>100.0</v>
      </c>
      <c r="I11" s="4">
        <v>103.32</v>
      </c>
      <c r="J11" s="4">
        <v>118.2</v>
      </c>
      <c r="K11" s="4">
        <v>127.82</v>
      </c>
      <c r="L11" s="4">
        <v>135.66</v>
      </c>
      <c r="M11" s="4">
        <v>150.22</v>
      </c>
      <c r="N11" s="4">
        <v>165.02</v>
      </c>
      <c r="O11" s="4">
        <v>175.39</v>
      </c>
      <c r="P11" s="4">
        <v>178.96</v>
      </c>
      <c r="Q11" s="4">
        <v>188.31</v>
      </c>
      <c r="R11" s="4">
        <v>208.23</v>
      </c>
      <c r="S11" s="4">
        <v>222.79</v>
      </c>
      <c r="T11" s="4">
        <v>226.8</v>
      </c>
      <c r="U11" s="4">
        <v>249.96</v>
      </c>
      <c r="V11" s="4">
        <v>227.62</v>
      </c>
      <c r="W11" s="4">
        <v>226.63</v>
      </c>
      <c r="X11" s="4">
        <v>230.88</v>
      </c>
    </row>
    <row r="13">
      <c r="A13" s="6" t="s">
        <v>10</v>
      </c>
    </row>
    <row r="15">
      <c r="A1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51.63"/>
  </cols>
  <sheetData>
    <row r="2">
      <c r="A2" s="6" t="s">
        <v>11</v>
      </c>
      <c r="B2" s="7" t="s">
        <v>12</v>
      </c>
      <c r="C2" s="8">
        <v>2019.0</v>
      </c>
      <c r="D2" s="8">
        <v>2020.0</v>
      </c>
      <c r="E2" s="8">
        <v>2021.0</v>
      </c>
      <c r="F2" s="8">
        <v>2022.0</v>
      </c>
      <c r="G2" s="8">
        <v>2023.0</v>
      </c>
      <c r="H2" s="8">
        <v>2024.0</v>
      </c>
    </row>
    <row r="3">
      <c r="A3" s="6"/>
      <c r="B3" s="9" t="s">
        <v>13</v>
      </c>
      <c r="C3" s="10">
        <v>100.0</v>
      </c>
      <c r="D3" s="8">
        <v>106.05</v>
      </c>
      <c r="E3" s="8">
        <v>127.99</v>
      </c>
      <c r="F3" s="11">
        <v>158.4</v>
      </c>
      <c r="G3" s="8">
        <v>157.84</v>
      </c>
      <c r="H3" s="8">
        <v>162.88</v>
      </c>
    </row>
    <row r="4">
      <c r="B4" s="9" t="s">
        <v>14</v>
      </c>
      <c r="C4" s="10">
        <v>100.0</v>
      </c>
      <c r="D4" s="8">
        <v>106.98</v>
      </c>
      <c r="E4" s="8">
        <v>129.11</v>
      </c>
      <c r="F4" s="11">
        <v>159.77</v>
      </c>
      <c r="G4" s="8">
        <v>160.88</v>
      </c>
      <c r="H4" s="8">
        <v>166.09</v>
      </c>
    </row>
    <row r="5">
      <c r="B5" s="9" t="s">
        <v>15</v>
      </c>
      <c r="C5" s="10">
        <v>100.0</v>
      </c>
      <c r="D5" s="8">
        <v>104.79</v>
      </c>
      <c r="E5" s="8">
        <v>127.87</v>
      </c>
      <c r="F5" s="11">
        <v>162.08</v>
      </c>
      <c r="G5" s="8">
        <v>160.14</v>
      </c>
      <c r="H5" s="8">
        <v>163.77</v>
      </c>
    </row>
    <row r="6">
      <c r="B6" s="9" t="s">
        <v>16</v>
      </c>
      <c r="C6" s="10">
        <v>100.0</v>
      </c>
      <c r="D6" s="8">
        <v>106.16</v>
      </c>
      <c r="E6" s="8">
        <v>127.33</v>
      </c>
      <c r="F6" s="11">
        <v>155.4</v>
      </c>
      <c r="G6" s="8">
        <v>154.55</v>
      </c>
      <c r="H6" s="8">
        <v>160.29</v>
      </c>
    </row>
    <row r="7">
      <c r="B7" s="9" t="s">
        <v>17</v>
      </c>
      <c r="C7" s="10">
        <v>100.0</v>
      </c>
      <c r="D7" s="8">
        <v>104.08</v>
      </c>
      <c r="E7" s="8">
        <v>125.34</v>
      </c>
      <c r="F7" s="11">
        <v>154.11</v>
      </c>
      <c r="G7" s="8">
        <v>142.28</v>
      </c>
      <c r="H7" s="8">
        <v>144.32</v>
      </c>
    </row>
    <row r="8">
      <c r="B8" s="9" t="s">
        <v>18</v>
      </c>
      <c r="C8" s="10">
        <v>100.0</v>
      </c>
      <c r="D8" s="8">
        <v>111.93</v>
      </c>
      <c r="E8" s="8">
        <v>140.81</v>
      </c>
      <c r="F8" s="11">
        <v>177.2</v>
      </c>
      <c r="G8" s="8">
        <v>159.06</v>
      </c>
      <c r="H8" s="8">
        <v>168.46</v>
      </c>
    </row>
    <row r="9">
      <c r="B9" s="9" t="s">
        <v>19</v>
      </c>
      <c r="C9" s="10">
        <v>100.0</v>
      </c>
      <c r="D9" s="8">
        <v>106.95</v>
      </c>
      <c r="E9" s="8">
        <v>122.72</v>
      </c>
      <c r="F9" s="11">
        <v>159.5</v>
      </c>
      <c r="G9" s="8">
        <v>159.23</v>
      </c>
      <c r="H9" s="8">
        <v>166.3</v>
      </c>
    </row>
    <row r="10">
      <c r="B10" s="9" t="s">
        <v>20</v>
      </c>
      <c r="C10" s="10">
        <v>100.0</v>
      </c>
      <c r="D10" s="8">
        <v>103.08</v>
      </c>
      <c r="E10" s="8">
        <v>110.7</v>
      </c>
      <c r="F10" s="11">
        <v>133.52</v>
      </c>
      <c r="G10" s="8">
        <v>148.91</v>
      </c>
      <c r="H10" s="8">
        <v>166.12</v>
      </c>
    </row>
    <row r="11">
      <c r="B11" s="9" t="s">
        <v>21</v>
      </c>
      <c r="C11" s="10">
        <v>100.0</v>
      </c>
      <c r="D11" s="8">
        <v>104.67</v>
      </c>
      <c r="E11" s="8">
        <v>126.39</v>
      </c>
      <c r="F11" s="11">
        <v>152.63</v>
      </c>
      <c r="G11" s="8">
        <v>147.28</v>
      </c>
      <c r="H11" s="8">
        <v>150.69</v>
      </c>
    </row>
    <row r="12">
      <c r="B12" s="9" t="s">
        <v>22</v>
      </c>
      <c r="C12" s="10">
        <v>100.0</v>
      </c>
      <c r="D12" s="8">
        <v>105.81</v>
      </c>
      <c r="E12" s="8">
        <v>117.49</v>
      </c>
      <c r="F12" s="11">
        <v>150.51</v>
      </c>
      <c r="G12" s="8">
        <v>158.72</v>
      </c>
      <c r="H12" s="8">
        <v>168.82</v>
      </c>
    </row>
    <row r="13">
      <c r="B13" s="9" t="s">
        <v>23</v>
      </c>
      <c r="C13" s="10">
        <v>100.0</v>
      </c>
      <c r="D13" s="8">
        <v>103.78</v>
      </c>
      <c r="E13" s="8">
        <v>117.19</v>
      </c>
      <c r="F13" s="11">
        <v>140.82</v>
      </c>
      <c r="G13" s="8">
        <v>144.17</v>
      </c>
      <c r="H13" s="8">
        <v>140.97</v>
      </c>
    </row>
    <row r="14">
      <c r="B14" s="9" t="s">
        <v>24</v>
      </c>
      <c r="C14" s="10">
        <v>100.0</v>
      </c>
      <c r="D14" s="8">
        <v>109.31</v>
      </c>
      <c r="E14" s="8">
        <v>142.98</v>
      </c>
      <c r="F14" s="11">
        <v>190.98</v>
      </c>
      <c r="G14" s="8">
        <v>198.13</v>
      </c>
      <c r="H14" s="8">
        <v>203.8</v>
      </c>
    </row>
    <row r="15">
      <c r="B15" s="9" t="s">
        <v>25</v>
      </c>
      <c r="C15" s="10">
        <v>100.0</v>
      </c>
      <c r="D15" s="8">
        <v>100.05</v>
      </c>
      <c r="E15" s="8">
        <v>108.84</v>
      </c>
      <c r="F15" s="11">
        <v>152.03</v>
      </c>
      <c r="G15" s="8">
        <v>151.42</v>
      </c>
      <c r="H15" s="8">
        <v>163.07</v>
      </c>
    </row>
    <row r="16">
      <c r="B16" s="9" t="s">
        <v>26</v>
      </c>
      <c r="C16" s="10">
        <v>100.0</v>
      </c>
      <c r="D16" s="8">
        <v>107.6</v>
      </c>
      <c r="E16" s="8">
        <v>113.94</v>
      </c>
      <c r="F16" s="11">
        <v>125.34</v>
      </c>
      <c r="G16" s="8">
        <v>146.26</v>
      </c>
      <c r="H16" s="8">
        <v>161.34</v>
      </c>
    </row>
    <row r="17">
      <c r="B17" s="9" t="s">
        <v>27</v>
      </c>
      <c r="C17" s="10">
        <v>100.0</v>
      </c>
      <c r="D17" s="8">
        <v>109.02</v>
      </c>
      <c r="E17" s="8">
        <v>152.83</v>
      </c>
      <c r="F17" s="11">
        <v>183.05</v>
      </c>
      <c r="G17" s="8">
        <v>162.94</v>
      </c>
      <c r="H17" s="8">
        <v>158.99</v>
      </c>
    </row>
    <row r="18">
      <c r="B18" s="9" t="s">
        <v>28</v>
      </c>
      <c r="C18" s="10">
        <v>100.0</v>
      </c>
      <c r="D18" s="8">
        <v>110.87</v>
      </c>
      <c r="E18" s="8">
        <v>147.32</v>
      </c>
      <c r="F18" s="11">
        <v>172.08</v>
      </c>
      <c r="G18" s="8">
        <v>169.66</v>
      </c>
      <c r="H18" s="8">
        <v>196.46</v>
      </c>
    </row>
    <row r="19">
      <c r="B19" s="9" t="s">
        <v>29</v>
      </c>
      <c r="C19" s="10">
        <v>100.0</v>
      </c>
      <c r="D19" s="8">
        <v>104.97</v>
      </c>
      <c r="E19" s="8">
        <v>125.65</v>
      </c>
      <c r="F19" s="11">
        <v>148.86</v>
      </c>
      <c r="G19" s="8">
        <v>150.81</v>
      </c>
      <c r="H19" s="8">
        <v>148.4</v>
      </c>
    </row>
    <row r="20">
      <c r="B20" s="9" t="s">
        <v>30</v>
      </c>
      <c r="C20" s="10">
        <v>100.0</v>
      </c>
      <c r="D20" s="8">
        <v>106.31</v>
      </c>
      <c r="E20" s="8">
        <v>126.89</v>
      </c>
      <c r="F20" s="11">
        <v>148.28</v>
      </c>
      <c r="G20" s="8">
        <v>152.06</v>
      </c>
      <c r="H20" s="8">
        <v>155.62</v>
      </c>
    </row>
    <row r="21">
      <c r="B21" s="9" t="s">
        <v>31</v>
      </c>
      <c r="C21" s="10">
        <v>100.0</v>
      </c>
      <c r="D21" s="8">
        <v>118.34</v>
      </c>
      <c r="E21" s="8">
        <v>120.79</v>
      </c>
      <c r="F21" s="11">
        <v>130.51</v>
      </c>
      <c r="G21" s="8">
        <v>135.74</v>
      </c>
      <c r="H21" s="8">
        <v>146.42</v>
      </c>
    </row>
    <row r="22">
      <c r="B22" s="9" t="s">
        <v>32</v>
      </c>
      <c r="C22" s="10">
        <v>100.0</v>
      </c>
      <c r="D22" s="8">
        <v>116.28</v>
      </c>
      <c r="E22" s="8">
        <v>128.61</v>
      </c>
      <c r="F22" s="11">
        <v>150.82</v>
      </c>
      <c r="G22" s="8">
        <v>157.12</v>
      </c>
      <c r="H22" s="8">
        <v>148.21</v>
      </c>
    </row>
    <row r="23">
      <c r="B23" s="9" t="s">
        <v>33</v>
      </c>
      <c r="C23" s="10">
        <v>100.0</v>
      </c>
      <c r="D23" s="8">
        <v>108.64</v>
      </c>
      <c r="E23" s="8">
        <v>125.03</v>
      </c>
      <c r="F23" s="11">
        <v>132.57</v>
      </c>
      <c r="G23" s="8">
        <v>130.63</v>
      </c>
      <c r="H23" s="8">
        <v>133.17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2">
      <c r="B2" s="12" t="s">
        <v>34</v>
      </c>
      <c r="C2" s="13"/>
      <c r="D2" s="14" t="s">
        <v>35</v>
      </c>
      <c r="E2" s="15"/>
      <c r="F2" s="13"/>
      <c r="G2" s="14" t="s">
        <v>36</v>
      </c>
      <c r="H2" s="15"/>
      <c r="I2" s="13"/>
      <c r="J2" s="14" t="s">
        <v>37</v>
      </c>
      <c r="K2" s="15"/>
      <c r="L2" s="13"/>
    </row>
    <row r="3">
      <c r="B3" s="16"/>
      <c r="C3" s="17"/>
      <c r="D3" s="18" t="s">
        <v>38</v>
      </c>
      <c r="E3" s="18" t="s">
        <v>39</v>
      </c>
      <c r="F3" s="19" t="s">
        <v>40</v>
      </c>
      <c r="G3" s="18" t="s">
        <v>38</v>
      </c>
      <c r="H3" s="18" t="s">
        <v>39</v>
      </c>
      <c r="I3" s="19" t="s">
        <v>40</v>
      </c>
      <c r="J3" s="18" t="s">
        <v>38</v>
      </c>
      <c r="K3" s="18" t="s">
        <v>39</v>
      </c>
      <c r="L3" s="19" t="s">
        <v>40</v>
      </c>
    </row>
    <row r="4">
      <c r="B4" s="20">
        <v>2004.0</v>
      </c>
      <c r="C4" s="21" t="s">
        <v>41</v>
      </c>
      <c r="D4" s="22">
        <v>37212.0</v>
      </c>
      <c r="E4" s="22">
        <v>1750.0</v>
      </c>
      <c r="F4" s="23">
        <v>21.3</v>
      </c>
      <c r="G4" s="22">
        <v>18771.0</v>
      </c>
      <c r="H4" s="22">
        <v>1199.0</v>
      </c>
      <c r="I4" s="23">
        <v>15.7</v>
      </c>
      <c r="J4" s="22">
        <v>55983.0</v>
      </c>
      <c r="K4" s="22">
        <v>2949.0</v>
      </c>
      <c r="L4" s="23">
        <v>19.0</v>
      </c>
    </row>
    <row r="5">
      <c r="B5" s="24"/>
      <c r="C5" s="21" t="s">
        <v>42</v>
      </c>
      <c r="D5" s="22">
        <v>36793.0</v>
      </c>
      <c r="E5" s="22">
        <v>1699.0</v>
      </c>
      <c r="F5" s="23">
        <v>21.7</v>
      </c>
      <c r="G5" s="22">
        <v>17857.0</v>
      </c>
      <c r="H5" s="22">
        <v>1214.0</v>
      </c>
      <c r="I5" s="23">
        <v>14.7</v>
      </c>
      <c r="J5" s="22">
        <v>54650.0</v>
      </c>
      <c r="K5" s="22">
        <v>2913.0</v>
      </c>
      <c r="L5" s="23">
        <v>18.8</v>
      </c>
    </row>
    <row r="6">
      <c r="B6" s="24"/>
      <c r="C6" s="21" t="s">
        <v>43</v>
      </c>
      <c r="D6" s="22">
        <v>35743.0</v>
      </c>
      <c r="E6" s="22">
        <v>2103.0</v>
      </c>
      <c r="F6" s="23">
        <v>17.0</v>
      </c>
      <c r="G6" s="22">
        <v>17509.0</v>
      </c>
      <c r="H6" s="22">
        <v>1820.0</v>
      </c>
      <c r="I6" s="23">
        <v>9.6</v>
      </c>
      <c r="J6" s="22">
        <v>53252.0</v>
      </c>
      <c r="K6" s="22">
        <v>3923.0</v>
      </c>
      <c r="L6" s="23">
        <v>13.6</v>
      </c>
    </row>
    <row r="7">
      <c r="B7" s="24"/>
      <c r="C7" s="21" t="s">
        <v>44</v>
      </c>
      <c r="D7" s="22">
        <v>35796.0</v>
      </c>
      <c r="E7" s="22">
        <v>2272.0</v>
      </c>
      <c r="F7" s="23">
        <v>15.8</v>
      </c>
      <c r="G7" s="22">
        <v>16304.0</v>
      </c>
      <c r="H7" s="22">
        <v>1967.0</v>
      </c>
      <c r="I7" s="23">
        <v>8.3</v>
      </c>
      <c r="J7" s="22">
        <v>52099.0</v>
      </c>
      <c r="K7" s="22">
        <v>4238.0</v>
      </c>
      <c r="L7" s="23">
        <v>12.3</v>
      </c>
    </row>
    <row r="8">
      <c r="B8" s="24"/>
      <c r="C8" s="21" t="s">
        <v>45</v>
      </c>
      <c r="D8" s="22">
        <v>38372.0</v>
      </c>
      <c r="E8" s="22">
        <v>2651.0</v>
      </c>
      <c r="F8" s="23">
        <v>14.5</v>
      </c>
      <c r="G8" s="22">
        <v>17056.0</v>
      </c>
      <c r="H8" s="22">
        <v>1982.0</v>
      </c>
      <c r="I8" s="23">
        <v>8.6</v>
      </c>
      <c r="J8" s="22">
        <v>55428.0</v>
      </c>
      <c r="K8" s="22">
        <v>4633.0</v>
      </c>
      <c r="L8" s="23">
        <v>12.0</v>
      </c>
      <c r="N8" s="25" t="s">
        <v>46</v>
      </c>
      <c r="W8" s="24"/>
    </row>
    <row r="9">
      <c r="B9" s="24"/>
      <c r="C9" s="21" t="s">
        <v>47</v>
      </c>
      <c r="D9" s="22">
        <v>36053.0</v>
      </c>
      <c r="E9" s="22">
        <v>2522.0</v>
      </c>
      <c r="F9" s="23">
        <v>14.3</v>
      </c>
      <c r="G9" s="22">
        <v>19232.0</v>
      </c>
      <c r="H9" s="22">
        <v>1882.0</v>
      </c>
      <c r="I9" s="23">
        <v>10.2</v>
      </c>
      <c r="J9" s="22">
        <v>55285.0</v>
      </c>
      <c r="K9" s="22">
        <v>4405.0</v>
      </c>
      <c r="L9" s="23">
        <v>12.6</v>
      </c>
      <c r="W9" s="24"/>
    </row>
    <row r="10">
      <c r="B10" s="24"/>
      <c r="C10" s="21" t="s">
        <v>48</v>
      </c>
      <c r="D10" s="22">
        <v>36993.0</v>
      </c>
      <c r="E10" s="22">
        <v>2965.0</v>
      </c>
      <c r="F10" s="23">
        <v>12.5</v>
      </c>
      <c r="G10" s="22">
        <v>18557.0</v>
      </c>
      <c r="H10" s="22">
        <v>2592.0</v>
      </c>
      <c r="I10" s="23">
        <v>7.2</v>
      </c>
      <c r="J10" s="22">
        <v>55550.0</v>
      </c>
      <c r="K10" s="22">
        <v>5556.0</v>
      </c>
      <c r="L10" s="23">
        <v>10.0</v>
      </c>
      <c r="N10" s="26" t="s">
        <v>49</v>
      </c>
      <c r="W10" s="24"/>
    </row>
    <row r="11">
      <c r="B11" s="24"/>
      <c r="C11" s="21" t="s">
        <v>50</v>
      </c>
      <c r="D11" s="22">
        <v>35279.0</v>
      </c>
      <c r="E11" s="22">
        <v>2912.0</v>
      </c>
      <c r="F11" s="23">
        <v>12.1</v>
      </c>
      <c r="G11" s="22">
        <v>16985.0</v>
      </c>
      <c r="H11" s="22">
        <v>2654.0</v>
      </c>
      <c r="I11" s="23">
        <v>6.4</v>
      </c>
      <c r="J11" s="22">
        <v>52265.0</v>
      </c>
      <c r="K11" s="22">
        <v>5566.0</v>
      </c>
      <c r="L11" s="23">
        <v>9.4</v>
      </c>
      <c r="N11" s="26" t="s">
        <v>51</v>
      </c>
      <c r="T11" s="24"/>
      <c r="U11" s="24"/>
      <c r="V11" s="24"/>
      <c r="W11" s="24"/>
    </row>
    <row r="12">
      <c r="B12" s="24"/>
      <c r="C12" s="21" t="s">
        <v>52</v>
      </c>
      <c r="D12" s="22">
        <v>37220.0</v>
      </c>
      <c r="E12" s="22">
        <v>2679.0</v>
      </c>
      <c r="F12" s="23">
        <v>13.9</v>
      </c>
      <c r="G12" s="22">
        <v>17637.0</v>
      </c>
      <c r="H12" s="22">
        <v>2160.0</v>
      </c>
      <c r="I12" s="23">
        <v>8.2</v>
      </c>
      <c r="J12" s="22">
        <v>54857.0</v>
      </c>
      <c r="K12" s="22">
        <v>4838.0</v>
      </c>
      <c r="L12" s="23">
        <v>11.3</v>
      </c>
      <c r="N12" s="27" t="s">
        <v>53</v>
      </c>
    </row>
    <row r="13">
      <c r="B13" s="24"/>
      <c r="C13" s="21" t="s">
        <v>54</v>
      </c>
      <c r="D13" s="22">
        <v>37797.0</v>
      </c>
      <c r="E13" s="22">
        <v>2471.0</v>
      </c>
      <c r="F13" s="23">
        <v>15.3</v>
      </c>
      <c r="G13" s="22">
        <v>17097.0</v>
      </c>
      <c r="H13" s="22">
        <v>2245.0</v>
      </c>
      <c r="I13" s="23">
        <v>7.6</v>
      </c>
      <c r="J13" s="22">
        <v>54893.0</v>
      </c>
      <c r="K13" s="22">
        <v>4716.0</v>
      </c>
      <c r="L13" s="23">
        <v>11.6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>
      <c r="B14" s="24"/>
      <c r="C14" s="21" t="s">
        <v>55</v>
      </c>
      <c r="D14" s="22">
        <v>40766.0</v>
      </c>
      <c r="E14" s="22">
        <v>1938.0</v>
      </c>
      <c r="F14" s="23">
        <v>21.0</v>
      </c>
      <c r="G14" s="22">
        <v>15830.0</v>
      </c>
      <c r="H14" s="22">
        <v>1973.0</v>
      </c>
      <c r="I14" s="23">
        <v>8.0</v>
      </c>
      <c r="J14" s="22">
        <v>56596.0</v>
      </c>
      <c r="K14" s="22">
        <v>3911.0</v>
      </c>
      <c r="L14" s="23">
        <v>14.5</v>
      </c>
    </row>
    <row r="15">
      <c r="B15" s="24"/>
      <c r="C15" s="21" t="s">
        <v>56</v>
      </c>
      <c r="D15" s="22">
        <v>34830.0</v>
      </c>
      <c r="E15" s="22">
        <v>1735.0</v>
      </c>
      <c r="F15" s="23">
        <v>20.1</v>
      </c>
      <c r="G15" s="22">
        <v>14846.0</v>
      </c>
      <c r="H15" s="22">
        <v>1430.0</v>
      </c>
      <c r="I15" s="23">
        <v>10.4</v>
      </c>
      <c r="J15" s="22">
        <v>49676.0</v>
      </c>
      <c r="K15" s="22">
        <v>3164.0</v>
      </c>
      <c r="L15" s="23">
        <v>15.7</v>
      </c>
    </row>
    <row r="16">
      <c r="B16" s="20">
        <v>2005.0</v>
      </c>
      <c r="C16" s="21" t="s">
        <v>41</v>
      </c>
      <c r="D16" s="22">
        <v>35568.0</v>
      </c>
      <c r="E16" s="22">
        <v>1870.0</v>
      </c>
      <c r="F16" s="23">
        <v>19.0</v>
      </c>
      <c r="G16" s="22">
        <v>15008.0</v>
      </c>
      <c r="H16" s="22">
        <v>1471.0</v>
      </c>
      <c r="I16" s="23">
        <v>10.2</v>
      </c>
      <c r="J16" s="22">
        <v>50576.0</v>
      </c>
      <c r="K16" s="22">
        <v>3341.0</v>
      </c>
      <c r="L16" s="23">
        <v>15.1</v>
      </c>
    </row>
    <row r="17">
      <c r="B17" s="24"/>
      <c r="C17" s="21" t="s">
        <v>42</v>
      </c>
      <c r="D17" s="22">
        <v>38333.0</v>
      </c>
      <c r="E17" s="22">
        <v>1968.0</v>
      </c>
      <c r="F17" s="23">
        <v>19.5</v>
      </c>
      <c r="G17" s="22">
        <v>15590.0</v>
      </c>
      <c r="H17" s="22">
        <v>1673.0</v>
      </c>
      <c r="I17" s="23">
        <v>9.3</v>
      </c>
      <c r="J17" s="22">
        <v>53922.0</v>
      </c>
      <c r="K17" s="22">
        <v>3641.0</v>
      </c>
      <c r="L17" s="23">
        <v>14.8</v>
      </c>
    </row>
    <row r="18">
      <c r="B18" s="24"/>
      <c r="C18" s="21" t="s">
        <v>43</v>
      </c>
      <c r="D18" s="22">
        <v>38282.0</v>
      </c>
      <c r="E18" s="22">
        <v>1969.0</v>
      </c>
      <c r="F18" s="23">
        <v>19.4</v>
      </c>
      <c r="G18" s="22">
        <v>17175.0</v>
      </c>
      <c r="H18" s="22">
        <v>2100.0</v>
      </c>
      <c r="I18" s="23">
        <v>8.2</v>
      </c>
      <c r="J18" s="22">
        <v>55456.0</v>
      </c>
      <c r="K18" s="22">
        <v>4069.0</v>
      </c>
      <c r="L18" s="23">
        <v>13.6</v>
      </c>
    </row>
    <row r="19">
      <c r="B19" s="24"/>
      <c r="C19" s="21" t="s">
        <v>44</v>
      </c>
      <c r="D19" s="22">
        <v>40939.0</v>
      </c>
      <c r="E19" s="22">
        <v>2546.0</v>
      </c>
      <c r="F19" s="23">
        <v>16.1</v>
      </c>
      <c r="G19" s="22">
        <v>16545.0</v>
      </c>
      <c r="H19" s="22">
        <v>1849.0</v>
      </c>
      <c r="I19" s="23">
        <v>8.9</v>
      </c>
      <c r="J19" s="22">
        <v>57483.0</v>
      </c>
      <c r="K19" s="22">
        <v>4395.0</v>
      </c>
      <c r="L19" s="23">
        <v>13.1</v>
      </c>
    </row>
    <row r="20">
      <c r="B20" s="24"/>
      <c r="C20" s="21" t="s">
        <v>45</v>
      </c>
      <c r="D20" s="22">
        <v>47786.0</v>
      </c>
      <c r="E20" s="22">
        <v>2821.0</v>
      </c>
      <c r="F20" s="23">
        <v>16.9</v>
      </c>
      <c r="G20" s="22">
        <v>16436.0</v>
      </c>
      <c r="H20" s="22">
        <v>2612.0</v>
      </c>
      <c r="I20" s="23">
        <v>6.3</v>
      </c>
      <c r="J20" s="22">
        <v>64223.0</v>
      </c>
      <c r="K20" s="22">
        <v>5433.0</v>
      </c>
      <c r="L20" s="23">
        <v>11.8</v>
      </c>
    </row>
    <row r="21">
      <c r="B21" s="24"/>
      <c r="C21" s="21" t="s">
        <v>47</v>
      </c>
      <c r="D21" s="22">
        <v>49856.0</v>
      </c>
      <c r="E21" s="22">
        <v>2761.0</v>
      </c>
      <c r="F21" s="23">
        <v>18.1</v>
      </c>
      <c r="G21" s="22">
        <v>15267.0</v>
      </c>
      <c r="H21" s="22">
        <v>2307.0</v>
      </c>
      <c r="I21" s="23">
        <v>6.6</v>
      </c>
      <c r="J21" s="22">
        <v>65123.0</v>
      </c>
      <c r="K21" s="22">
        <v>5068.0</v>
      </c>
      <c r="L21" s="23">
        <v>12.8</v>
      </c>
    </row>
    <row r="22">
      <c r="B22" s="24"/>
      <c r="C22" s="21" t="s">
        <v>48</v>
      </c>
      <c r="D22" s="22">
        <v>49296.0</v>
      </c>
      <c r="E22" s="22">
        <v>3276.0</v>
      </c>
      <c r="F22" s="23">
        <v>15.0</v>
      </c>
      <c r="G22" s="22">
        <v>15662.0</v>
      </c>
      <c r="H22" s="22">
        <v>2545.0</v>
      </c>
      <c r="I22" s="23">
        <v>6.2</v>
      </c>
      <c r="J22" s="22">
        <v>64958.0</v>
      </c>
      <c r="K22" s="22">
        <v>5821.0</v>
      </c>
      <c r="L22" s="23">
        <v>11.2</v>
      </c>
    </row>
    <row r="23">
      <c r="B23" s="24"/>
      <c r="C23" s="21" t="s">
        <v>50</v>
      </c>
      <c r="D23" s="22">
        <v>47640.0</v>
      </c>
      <c r="E23" s="22">
        <v>3471.0</v>
      </c>
      <c r="F23" s="23">
        <v>13.7</v>
      </c>
      <c r="G23" s="22">
        <v>14976.0</v>
      </c>
      <c r="H23" s="22">
        <v>2452.0</v>
      </c>
      <c r="I23" s="23">
        <v>6.1</v>
      </c>
      <c r="J23" s="22">
        <v>62615.0</v>
      </c>
      <c r="K23" s="22">
        <v>5923.0</v>
      </c>
      <c r="L23" s="23">
        <v>10.6</v>
      </c>
    </row>
    <row r="24">
      <c r="B24" s="24"/>
      <c r="C24" s="21" t="s">
        <v>52</v>
      </c>
      <c r="D24" s="22">
        <v>46886.0</v>
      </c>
      <c r="E24" s="22">
        <v>2953.0</v>
      </c>
      <c r="F24" s="23">
        <v>15.9</v>
      </c>
      <c r="G24" s="22">
        <v>14443.0</v>
      </c>
      <c r="H24" s="22">
        <v>2092.0</v>
      </c>
      <c r="I24" s="23">
        <v>6.9</v>
      </c>
      <c r="J24" s="22">
        <v>61329.0</v>
      </c>
      <c r="K24" s="22">
        <v>5045.0</v>
      </c>
      <c r="L24" s="23">
        <v>12.2</v>
      </c>
    </row>
    <row r="25">
      <c r="B25" s="24"/>
      <c r="C25" s="21" t="s">
        <v>54</v>
      </c>
      <c r="D25" s="22">
        <v>45234.0</v>
      </c>
      <c r="E25" s="22">
        <v>2572.0</v>
      </c>
      <c r="F25" s="23">
        <v>17.6</v>
      </c>
      <c r="G25" s="22">
        <v>15269.0</v>
      </c>
      <c r="H25" s="22">
        <v>2860.0</v>
      </c>
      <c r="I25" s="23">
        <v>5.3</v>
      </c>
      <c r="J25" s="22">
        <v>60503.0</v>
      </c>
      <c r="K25" s="22">
        <v>5432.0</v>
      </c>
      <c r="L25" s="23">
        <v>11.1</v>
      </c>
    </row>
    <row r="26">
      <c r="B26" s="24"/>
      <c r="C26" s="21" t="s">
        <v>55</v>
      </c>
      <c r="D26" s="22">
        <v>43665.0</v>
      </c>
      <c r="E26" s="22">
        <v>2834.0</v>
      </c>
      <c r="F26" s="23">
        <v>15.4</v>
      </c>
      <c r="G26" s="22">
        <v>14956.0</v>
      </c>
      <c r="H26" s="22">
        <v>2265.0</v>
      </c>
      <c r="I26" s="23">
        <v>6.6</v>
      </c>
      <c r="J26" s="22">
        <v>58621.0</v>
      </c>
      <c r="K26" s="22">
        <v>5099.0</v>
      </c>
      <c r="L26" s="23">
        <v>11.5</v>
      </c>
    </row>
    <row r="27">
      <c r="B27" s="24"/>
      <c r="C27" s="21" t="s">
        <v>56</v>
      </c>
      <c r="D27" s="22">
        <v>43100.0</v>
      </c>
      <c r="E27" s="22">
        <v>2066.0</v>
      </c>
      <c r="F27" s="23">
        <v>20.9</v>
      </c>
      <c r="G27" s="22">
        <v>14765.0</v>
      </c>
      <c r="H27" s="22">
        <v>1556.0</v>
      </c>
      <c r="I27" s="23">
        <v>9.5</v>
      </c>
      <c r="J27" s="22">
        <v>57865.0</v>
      </c>
      <c r="K27" s="22">
        <v>3622.0</v>
      </c>
      <c r="L27" s="23">
        <v>16.0</v>
      </c>
    </row>
    <row r="28">
      <c r="B28" s="20">
        <v>2006.0</v>
      </c>
      <c r="C28" s="21" t="s">
        <v>41</v>
      </c>
      <c r="D28" s="22">
        <v>43176.0</v>
      </c>
      <c r="E28" s="22">
        <v>1980.0</v>
      </c>
      <c r="F28" s="23">
        <v>21.8</v>
      </c>
      <c r="G28" s="22">
        <v>14869.0</v>
      </c>
      <c r="H28" s="22">
        <v>1941.0</v>
      </c>
      <c r="I28" s="28">
        <v>7.7</v>
      </c>
      <c r="J28" s="29">
        <v>58045.0</v>
      </c>
      <c r="K28" s="22">
        <v>3922.0</v>
      </c>
      <c r="L28" s="23">
        <v>14.8</v>
      </c>
    </row>
    <row r="29">
      <c r="B29" s="24"/>
      <c r="C29" s="21" t="s">
        <v>42</v>
      </c>
      <c r="D29" s="22">
        <v>42279.0</v>
      </c>
      <c r="E29" s="22">
        <v>2196.0</v>
      </c>
      <c r="F29" s="23">
        <v>19.3</v>
      </c>
      <c r="G29" s="22">
        <v>14277.0</v>
      </c>
      <c r="H29" s="22">
        <v>2075.0</v>
      </c>
      <c r="I29" s="28">
        <v>6.9</v>
      </c>
      <c r="J29" s="29">
        <v>56556.0</v>
      </c>
      <c r="K29" s="22">
        <v>4271.0</v>
      </c>
      <c r="L29" s="23">
        <v>13.2</v>
      </c>
    </row>
    <row r="30">
      <c r="B30" s="24"/>
      <c r="C30" s="21" t="s">
        <v>43</v>
      </c>
      <c r="D30" s="22">
        <v>43343.0</v>
      </c>
      <c r="E30" s="22">
        <v>2578.0</v>
      </c>
      <c r="F30" s="23">
        <v>16.8</v>
      </c>
      <c r="G30" s="22">
        <v>14552.0</v>
      </c>
      <c r="H30" s="22">
        <v>1894.0</v>
      </c>
      <c r="I30" s="28">
        <v>7.7</v>
      </c>
      <c r="J30" s="29">
        <v>57895.0</v>
      </c>
      <c r="K30" s="22">
        <v>4472.0</v>
      </c>
      <c r="L30" s="23">
        <v>12.9</v>
      </c>
    </row>
    <row r="31">
      <c r="B31" s="24"/>
      <c r="C31" s="21" t="s">
        <v>44</v>
      </c>
      <c r="D31" s="22">
        <v>41578.0</v>
      </c>
      <c r="E31" s="22">
        <v>2313.0</v>
      </c>
      <c r="F31" s="23">
        <v>18.0</v>
      </c>
      <c r="G31" s="22">
        <v>16750.0</v>
      </c>
      <c r="H31" s="22">
        <v>2200.0</v>
      </c>
      <c r="I31" s="28">
        <v>7.6</v>
      </c>
      <c r="J31" s="29">
        <v>58329.0</v>
      </c>
      <c r="K31" s="22">
        <v>4513.0</v>
      </c>
      <c r="L31" s="23">
        <v>12.9</v>
      </c>
    </row>
    <row r="32">
      <c r="B32" s="24"/>
      <c r="C32" s="21" t="s">
        <v>45</v>
      </c>
      <c r="D32" s="22">
        <v>46248.0</v>
      </c>
      <c r="E32" s="22">
        <v>2837.0</v>
      </c>
      <c r="F32" s="23">
        <v>16.3</v>
      </c>
      <c r="G32" s="22">
        <v>16305.0</v>
      </c>
      <c r="H32" s="22">
        <v>2317.0</v>
      </c>
      <c r="I32" s="28">
        <v>7.0</v>
      </c>
      <c r="J32" s="29">
        <v>62553.0</v>
      </c>
      <c r="K32" s="22">
        <v>5154.0</v>
      </c>
      <c r="L32" s="23">
        <v>12.1</v>
      </c>
    </row>
    <row r="33">
      <c r="B33" s="24"/>
      <c r="C33" s="21" t="s">
        <v>47</v>
      </c>
      <c r="D33" s="22">
        <v>47092.0</v>
      </c>
      <c r="E33" s="22">
        <v>2782.0</v>
      </c>
      <c r="F33" s="23">
        <v>16.9</v>
      </c>
      <c r="G33" s="22">
        <v>16877.0</v>
      </c>
      <c r="H33" s="22">
        <v>2063.0</v>
      </c>
      <c r="I33" s="28">
        <v>8.2</v>
      </c>
      <c r="J33" s="29">
        <v>63968.0</v>
      </c>
      <c r="K33" s="22">
        <v>4845.0</v>
      </c>
      <c r="L33" s="23">
        <v>13.2</v>
      </c>
    </row>
    <row r="34">
      <c r="B34" s="24"/>
      <c r="C34" s="21" t="s">
        <v>48</v>
      </c>
      <c r="D34" s="22">
        <v>52255.0</v>
      </c>
      <c r="E34" s="22">
        <v>3307.0</v>
      </c>
      <c r="F34" s="23">
        <v>15.8</v>
      </c>
      <c r="G34" s="22">
        <v>19993.0</v>
      </c>
      <c r="H34" s="22">
        <v>2269.0</v>
      </c>
      <c r="I34" s="28">
        <v>8.8</v>
      </c>
      <c r="J34" s="29">
        <v>72248.0</v>
      </c>
      <c r="K34" s="22">
        <v>5576.0</v>
      </c>
      <c r="L34" s="23">
        <v>13.0</v>
      </c>
    </row>
    <row r="35">
      <c r="B35" s="24"/>
      <c r="C35" s="21" t="s">
        <v>50</v>
      </c>
      <c r="D35" s="22">
        <v>54149.0</v>
      </c>
      <c r="E35" s="22">
        <v>3644.0</v>
      </c>
      <c r="F35" s="23">
        <v>14.9</v>
      </c>
      <c r="G35" s="22">
        <v>20928.0</v>
      </c>
      <c r="H35" s="22">
        <v>2691.0</v>
      </c>
      <c r="I35" s="28">
        <v>7.8</v>
      </c>
      <c r="J35" s="29">
        <v>75076.0</v>
      </c>
      <c r="K35" s="22">
        <v>6335.0</v>
      </c>
      <c r="L35" s="23">
        <v>11.9</v>
      </c>
    </row>
    <row r="36">
      <c r="B36" s="24"/>
      <c r="C36" s="21" t="s">
        <v>52</v>
      </c>
      <c r="D36" s="22">
        <v>52658.0</v>
      </c>
      <c r="E36" s="22">
        <v>2699.0</v>
      </c>
      <c r="F36" s="23">
        <v>19.5</v>
      </c>
      <c r="G36" s="22">
        <v>20057.0</v>
      </c>
      <c r="H36" s="22">
        <v>2538.0</v>
      </c>
      <c r="I36" s="28">
        <v>7.9</v>
      </c>
      <c r="J36" s="29">
        <v>72715.0</v>
      </c>
      <c r="K36" s="22">
        <v>5237.0</v>
      </c>
      <c r="L36" s="23">
        <v>13.9</v>
      </c>
    </row>
    <row r="37">
      <c r="B37" s="24"/>
      <c r="C37" s="21" t="s">
        <v>54</v>
      </c>
      <c r="D37" s="22">
        <v>51709.0</v>
      </c>
      <c r="E37" s="22">
        <v>3147.0</v>
      </c>
      <c r="F37" s="23">
        <v>16.4</v>
      </c>
      <c r="G37" s="22">
        <v>19458.0</v>
      </c>
      <c r="H37" s="22">
        <v>2585.0</v>
      </c>
      <c r="I37" s="28">
        <v>7.5</v>
      </c>
      <c r="J37" s="29">
        <v>71167.0</v>
      </c>
      <c r="K37" s="22">
        <v>5732.0</v>
      </c>
      <c r="L37" s="23">
        <v>12.4</v>
      </c>
    </row>
    <row r="38">
      <c r="B38" s="24"/>
      <c r="C38" s="21" t="s">
        <v>55</v>
      </c>
      <c r="D38" s="22">
        <v>50449.0</v>
      </c>
      <c r="E38" s="22">
        <v>2766.0</v>
      </c>
      <c r="F38" s="23">
        <v>18.2</v>
      </c>
      <c r="G38" s="22">
        <v>22644.0</v>
      </c>
      <c r="H38" s="22">
        <v>2704.0</v>
      </c>
      <c r="I38" s="28">
        <v>8.4</v>
      </c>
      <c r="J38" s="29">
        <v>73094.0</v>
      </c>
      <c r="K38" s="22">
        <v>5470.0</v>
      </c>
      <c r="L38" s="23">
        <v>13.4</v>
      </c>
    </row>
    <row r="39">
      <c r="B39" s="24"/>
      <c r="C39" s="21" t="s">
        <v>56</v>
      </c>
      <c r="D39" s="22">
        <v>49981.0</v>
      </c>
      <c r="E39" s="22">
        <v>2071.0</v>
      </c>
      <c r="F39" s="23">
        <v>24.1</v>
      </c>
      <c r="G39" s="22">
        <v>20843.0</v>
      </c>
      <c r="H39" s="22">
        <v>1454.0</v>
      </c>
      <c r="I39" s="28">
        <v>14.3</v>
      </c>
      <c r="J39" s="29">
        <v>70824.0</v>
      </c>
      <c r="K39" s="22">
        <v>3525.0</v>
      </c>
      <c r="L39" s="23">
        <v>20.1</v>
      </c>
    </row>
    <row r="40">
      <c r="B40" s="20">
        <v>2007.0</v>
      </c>
      <c r="C40" s="21" t="s">
        <v>41</v>
      </c>
      <c r="D40" s="22">
        <v>49086.0</v>
      </c>
      <c r="E40" s="22">
        <v>2447.0</v>
      </c>
      <c r="F40" s="23">
        <v>20.1</v>
      </c>
      <c r="G40" s="22">
        <v>18111.0</v>
      </c>
      <c r="H40" s="22">
        <v>1843.0</v>
      </c>
      <c r="I40" s="28">
        <v>9.8</v>
      </c>
      <c r="J40" s="29">
        <v>67197.0</v>
      </c>
      <c r="K40" s="22">
        <v>4290.0</v>
      </c>
      <c r="L40" s="23">
        <v>15.7</v>
      </c>
    </row>
    <row r="41">
      <c r="B41" s="24"/>
      <c r="C41" s="21" t="s">
        <v>42</v>
      </c>
      <c r="D41" s="22">
        <v>48067.0</v>
      </c>
      <c r="E41" s="22">
        <v>2587.0</v>
      </c>
      <c r="F41" s="23">
        <v>18.6</v>
      </c>
      <c r="G41" s="22">
        <v>17457.0</v>
      </c>
      <c r="H41" s="22">
        <v>1707.0</v>
      </c>
      <c r="I41" s="28">
        <v>10.2</v>
      </c>
      <c r="J41" s="29">
        <v>65524.0</v>
      </c>
      <c r="K41" s="22">
        <v>4295.0</v>
      </c>
      <c r="L41" s="23">
        <v>15.3</v>
      </c>
    </row>
    <row r="42">
      <c r="B42" s="24"/>
      <c r="C42" s="21" t="s">
        <v>43</v>
      </c>
      <c r="D42" s="22">
        <v>52477.0</v>
      </c>
      <c r="E42" s="22">
        <v>3078.0</v>
      </c>
      <c r="F42" s="23">
        <v>17.0</v>
      </c>
      <c r="G42" s="22">
        <v>15713.0</v>
      </c>
      <c r="H42" s="22">
        <v>2172.0</v>
      </c>
      <c r="I42" s="28">
        <v>7.2</v>
      </c>
      <c r="J42" s="29">
        <v>68190.0</v>
      </c>
      <c r="K42" s="22">
        <v>5251.0</v>
      </c>
      <c r="L42" s="23">
        <v>13.0</v>
      </c>
    </row>
    <row r="43">
      <c r="B43" s="24"/>
      <c r="C43" s="21" t="s">
        <v>44</v>
      </c>
      <c r="D43" s="22">
        <v>52754.0</v>
      </c>
      <c r="E43" s="22">
        <v>2654.0</v>
      </c>
      <c r="F43" s="23">
        <v>19.9</v>
      </c>
      <c r="G43" s="22">
        <v>15586.0</v>
      </c>
      <c r="H43" s="22">
        <v>2075.0</v>
      </c>
      <c r="I43" s="28">
        <v>7.5</v>
      </c>
      <c r="J43" s="29">
        <v>68340.0</v>
      </c>
      <c r="K43" s="22">
        <v>4729.0</v>
      </c>
      <c r="L43" s="23">
        <v>14.5</v>
      </c>
    </row>
    <row r="44">
      <c r="B44" s="24"/>
      <c r="C44" s="21" t="s">
        <v>45</v>
      </c>
      <c r="D44" s="22">
        <v>56426.0</v>
      </c>
      <c r="E44" s="22">
        <v>2651.0</v>
      </c>
      <c r="F44" s="23">
        <v>21.3</v>
      </c>
      <c r="G44" s="22">
        <v>17712.0</v>
      </c>
      <c r="H44" s="22">
        <v>2296.0</v>
      </c>
      <c r="I44" s="28">
        <v>7.7</v>
      </c>
      <c r="J44" s="29">
        <v>74138.0</v>
      </c>
      <c r="K44" s="22">
        <v>4947.0</v>
      </c>
      <c r="L44" s="23">
        <v>15.0</v>
      </c>
    </row>
    <row r="45">
      <c r="B45" s="24"/>
      <c r="C45" s="21" t="s">
        <v>47</v>
      </c>
      <c r="D45" s="22">
        <v>58178.0</v>
      </c>
      <c r="E45" s="22">
        <v>2716.0</v>
      </c>
      <c r="F45" s="23">
        <v>21.4</v>
      </c>
      <c r="G45" s="22">
        <v>16719.0</v>
      </c>
      <c r="H45" s="22">
        <v>1927.0</v>
      </c>
      <c r="I45" s="28">
        <v>8.7</v>
      </c>
      <c r="J45" s="29">
        <v>74897.0</v>
      </c>
      <c r="K45" s="22">
        <v>4643.0</v>
      </c>
      <c r="L45" s="23">
        <v>16.1</v>
      </c>
    </row>
    <row r="46">
      <c r="B46" s="24"/>
      <c r="C46" s="21" t="s">
        <v>48</v>
      </c>
      <c r="D46" s="22">
        <v>61136.0</v>
      </c>
      <c r="E46" s="22">
        <v>3155.0</v>
      </c>
      <c r="F46" s="23">
        <v>19.4</v>
      </c>
      <c r="G46" s="22">
        <v>18188.0</v>
      </c>
      <c r="H46" s="22">
        <v>1986.0</v>
      </c>
      <c r="I46" s="28">
        <v>9.2</v>
      </c>
      <c r="J46" s="29">
        <v>79324.0</v>
      </c>
      <c r="K46" s="22">
        <v>5141.0</v>
      </c>
      <c r="L46" s="23">
        <v>15.4</v>
      </c>
    </row>
    <row r="47">
      <c r="B47" s="24"/>
      <c r="C47" s="21" t="s">
        <v>50</v>
      </c>
      <c r="D47" s="22">
        <v>66172.0</v>
      </c>
      <c r="E47" s="22">
        <v>3412.0</v>
      </c>
      <c r="F47" s="23">
        <v>19.4</v>
      </c>
      <c r="G47" s="22">
        <v>20212.0</v>
      </c>
      <c r="H47" s="22">
        <v>2076.0</v>
      </c>
      <c r="I47" s="28">
        <v>9.7</v>
      </c>
      <c r="J47" s="29">
        <v>86384.0</v>
      </c>
      <c r="K47" s="22">
        <v>5488.0</v>
      </c>
      <c r="L47" s="23">
        <v>15.7</v>
      </c>
    </row>
    <row r="48">
      <c r="B48" s="24"/>
      <c r="C48" s="21" t="s">
        <v>52</v>
      </c>
      <c r="D48" s="22">
        <v>64842.0</v>
      </c>
      <c r="E48" s="22">
        <v>2369.0</v>
      </c>
      <c r="F48" s="23">
        <v>27.4</v>
      </c>
      <c r="G48" s="22">
        <v>23365.0</v>
      </c>
      <c r="H48" s="22">
        <v>1961.0</v>
      </c>
      <c r="I48" s="28">
        <v>11.9</v>
      </c>
      <c r="J48" s="29">
        <v>88207.0</v>
      </c>
      <c r="K48" s="22">
        <v>4329.0</v>
      </c>
      <c r="L48" s="23">
        <v>20.4</v>
      </c>
    </row>
    <row r="49">
      <c r="B49" s="24"/>
      <c r="C49" s="21" t="s">
        <v>54</v>
      </c>
      <c r="D49" s="22">
        <v>64369.0</v>
      </c>
      <c r="E49" s="22">
        <v>2908.0</v>
      </c>
      <c r="F49" s="23">
        <v>22.1</v>
      </c>
      <c r="G49" s="22">
        <v>24943.0</v>
      </c>
      <c r="H49" s="22">
        <v>3008.0</v>
      </c>
      <c r="I49" s="28">
        <v>8.3</v>
      </c>
      <c r="J49" s="29">
        <v>89312.0</v>
      </c>
      <c r="K49" s="22">
        <v>5915.0</v>
      </c>
      <c r="L49" s="23">
        <v>15.1</v>
      </c>
    </row>
    <row r="50">
      <c r="B50" s="24"/>
      <c r="C50" s="21" t="s">
        <v>55</v>
      </c>
      <c r="D50" s="22">
        <v>63708.0</v>
      </c>
      <c r="E50" s="22">
        <v>2534.0</v>
      </c>
      <c r="F50" s="23">
        <v>25.1</v>
      </c>
      <c r="G50" s="22">
        <v>27186.0</v>
      </c>
      <c r="H50" s="22">
        <v>2808.0</v>
      </c>
      <c r="I50" s="28">
        <v>9.7</v>
      </c>
      <c r="J50" s="29">
        <v>90894.0</v>
      </c>
      <c r="K50" s="22">
        <v>5342.0</v>
      </c>
      <c r="L50" s="23">
        <v>17.0</v>
      </c>
    </row>
    <row r="51">
      <c r="B51" s="24"/>
      <c r="C51" s="21" t="s">
        <v>56</v>
      </c>
      <c r="D51" s="22">
        <v>68387.0</v>
      </c>
      <c r="E51" s="22">
        <v>2455.0</v>
      </c>
      <c r="F51" s="23">
        <v>27.9</v>
      </c>
      <c r="G51" s="22">
        <v>24992.0</v>
      </c>
      <c r="H51" s="22">
        <v>1582.0</v>
      </c>
      <c r="I51" s="28">
        <v>15.8</v>
      </c>
      <c r="J51" s="29">
        <v>93379.0</v>
      </c>
      <c r="K51" s="22">
        <v>4037.0</v>
      </c>
      <c r="L51" s="23">
        <v>23.1</v>
      </c>
    </row>
    <row r="52">
      <c r="B52" s="20">
        <v>2008.0</v>
      </c>
      <c r="C52" s="21" t="s">
        <v>41</v>
      </c>
      <c r="D52" s="22">
        <v>66419.0</v>
      </c>
      <c r="E52" s="22">
        <v>2592.0</v>
      </c>
      <c r="F52" s="23">
        <v>25.6</v>
      </c>
      <c r="G52" s="22">
        <v>26084.0</v>
      </c>
      <c r="H52" s="22">
        <v>2092.0</v>
      </c>
      <c r="I52" s="28">
        <v>12.5</v>
      </c>
      <c r="J52" s="29">
        <v>92503.0</v>
      </c>
      <c r="K52" s="22">
        <v>4684.0</v>
      </c>
      <c r="L52" s="23">
        <v>19.7</v>
      </c>
    </row>
    <row r="53">
      <c r="B53" s="24"/>
      <c r="C53" s="21" t="s">
        <v>42</v>
      </c>
      <c r="D53" s="22">
        <v>64227.0</v>
      </c>
      <c r="E53" s="22">
        <v>2902.0</v>
      </c>
      <c r="F53" s="23">
        <v>22.1</v>
      </c>
      <c r="G53" s="22">
        <v>25222.0</v>
      </c>
      <c r="H53" s="22">
        <v>1831.0</v>
      </c>
      <c r="I53" s="28">
        <v>13.8</v>
      </c>
      <c r="J53" s="29">
        <v>89449.0</v>
      </c>
      <c r="K53" s="22">
        <v>4733.0</v>
      </c>
      <c r="L53" s="23">
        <v>18.9</v>
      </c>
    </row>
    <row r="54">
      <c r="B54" s="24"/>
      <c r="C54" s="21" t="s">
        <v>43</v>
      </c>
      <c r="D54" s="22">
        <v>60846.0</v>
      </c>
      <c r="E54" s="22">
        <v>3050.0</v>
      </c>
      <c r="F54" s="23">
        <v>19.9</v>
      </c>
      <c r="G54" s="22">
        <v>22363.0</v>
      </c>
      <c r="H54" s="22">
        <v>2711.0</v>
      </c>
      <c r="I54" s="28">
        <v>8.2</v>
      </c>
      <c r="J54" s="29">
        <v>83209.0</v>
      </c>
      <c r="K54" s="22">
        <v>5761.0</v>
      </c>
      <c r="L54" s="23">
        <v>14.4</v>
      </c>
    </row>
    <row r="55">
      <c r="B55" s="24"/>
      <c r="C55" s="21" t="s">
        <v>44</v>
      </c>
      <c r="D55" s="22">
        <v>63021.0</v>
      </c>
      <c r="E55" s="22">
        <v>1974.0</v>
      </c>
      <c r="F55" s="23">
        <v>31.9</v>
      </c>
      <c r="G55" s="22">
        <v>22133.0</v>
      </c>
      <c r="H55" s="22">
        <v>1667.0</v>
      </c>
      <c r="I55" s="28">
        <v>13.3</v>
      </c>
      <c r="J55" s="29">
        <v>85154.0</v>
      </c>
      <c r="K55" s="22">
        <v>3641.0</v>
      </c>
      <c r="L55" s="23">
        <v>23.4</v>
      </c>
    </row>
    <row r="56">
      <c r="B56" s="24"/>
      <c r="C56" s="21" t="s">
        <v>45</v>
      </c>
      <c r="D56" s="22">
        <v>62404.0</v>
      </c>
      <c r="E56" s="22">
        <v>2414.0</v>
      </c>
      <c r="F56" s="23">
        <v>25.8</v>
      </c>
      <c r="G56" s="22">
        <v>24829.0</v>
      </c>
      <c r="H56" s="22">
        <v>1836.0</v>
      </c>
      <c r="I56" s="28">
        <v>13.5</v>
      </c>
      <c r="J56" s="29">
        <v>87232.0</v>
      </c>
      <c r="K56" s="22">
        <v>4250.0</v>
      </c>
      <c r="L56" s="23">
        <v>20.5</v>
      </c>
    </row>
    <row r="57">
      <c r="B57" s="24"/>
      <c r="C57" s="21" t="s">
        <v>47</v>
      </c>
      <c r="D57" s="22">
        <v>61931.0</v>
      </c>
      <c r="E57" s="22">
        <v>2390.0</v>
      </c>
      <c r="F57" s="23">
        <v>25.9</v>
      </c>
      <c r="G57" s="22">
        <v>24454.0</v>
      </c>
      <c r="H57" s="22">
        <v>1704.0</v>
      </c>
      <c r="I57" s="28">
        <v>14.3</v>
      </c>
      <c r="J57" s="29">
        <v>86385.0</v>
      </c>
      <c r="K57" s="22">
        <v>4094.0</v>
      </c>
      <c r="L57" s="23">
        <v>21.1</v>
      </c>
    </row>
    <row r="58">
      <c r="B58" s="24"/>
      <c r="C58" s="21" t="s">
        <v>48</v>
      </c>
      <c r="D58" s="22">
        <v>62952.0</v>
      </c>
      <c r="E58" s="22">
        <v>2626.0</v>
      </c>
      <c r="F58" s="23">
        <v>24.0</v>
      </c>
      <c r="G58" s="22">
        <v>23501.0</v>
      </c>
      <c r="H58" s="22">
        <v>1609.0</v>
      </c>
      <c r="I58" s="28">
        <v>14.6</v>
      </c>
      <c r="J58" s="29">
        <v>86453.0</v>
      </c>
      <c r="K58" s="22">
        <v>4235.0</v>
      </c>
      <c r="L58" s="23">
        <v>20.4</v>
      </c>
    </row>
    <row r="59">
      <c r="B59" s="24"/>
      <c r="C59" s="21" t="s">
        <v>50</v>
      </c>
      <c r="D59" s="22">
        <v>65524.0</v>
      </c>
      <c r="E59" s="22">
        <v>2418.0</v>
      </c>
      <c r="F59" s="23">
        <v>27.1</v>
      </c>
      <c r="G59" s="22">
        <v>23273.0</v>
      </c>
      <c r="H59" s="22">
        <v>1384.0</v>
      </c>
      <c r="I59" s="28">
        <v>16.8</v>
      </c>
      <c r="J59" s="29">
        <v>88797.0</v>
      </c>
      <c r="K59" s="22">
        <v>3803.0</v>
      </c>
      <c r="L59" s="23">
        <v>23.4</v>
      </c>
    </row>
    <row r="60">
      <c r="B60" s="24"/>
      <c r="C60" s="21" t="s">
        <v>52</v>
      </c>
      <c r="D60" s="22">
        <v>64500.0</v>
      </c>
      <c r="E60" s="22">
        <v>2060.0</v>
      </c>
      <c r="F60" s="23">
        <v>31.3</v>
      </c>
      <c r="G60" s="22">
        <v>23205.0</v>
      </c>
      <c r="H60" s="22">
        <v>1328.0</v>
      </c>
      <c r="I60" s="28">
        <v>17.5</v>
      </c>
      <c r="J60" s="29">
        <v>87704.0</v>
      </c>
      <c r="K60" s="22">
        <v>3388.0</v>
      </c>
      <c r="L60" s="23">
        <v>25.9</v>
      </c>
    </row>
    <row r="61">
      <c r="B61" s="24"/>
      <c r="C61" s="21" t="s">
        <v>54</v>
      </c>
      <c r="D61" s="22">
        <v>66925.0</v>
      </c>
      <c r="E61" s="22">
        <v>2348.0</v>
      </c>
      <c r="F61" s="23">
        <v>28.5</v>
      </c>
      <c r="G61" s="22">
        <v>23812.0</v>
      </c>
      <c r="H61" s="22">
        <v>1338.0</v>
      </c>
      <c r="I61" s="28">
        <v>17.8</v>
      </c>
      <c r="J61" s="29">
        <v>90737.0</v>
      </c>
      <c r="K61" s="22">
        <v>3686.0</v>
      </c>
      <c r="L61" s="23">
        <v>24.6</v>
      </c>
    </row>
    <row r="62">
      <c r="B62" s="24"/>
      <c r="C62" s="21" t="s">
        <v>55</v>
      </c>
      <c r="D62" s="22">
        <v>65050.0</v>
      </c>
      <c r="E62" s="22">
        <v>1851.0</v>
      </c>
      <c r="F62" s="23">
        <v>35.1</v>
      </c>
      <c r="G62" s="22">
        <v>24702.0</v>
      </c>
      <c r="H62" s="22">
        <v>1099.0</v>
      </c>
      <c r="I62" s="28">
        <v>22.5</v>
      </c>
      <c r="J62" s="29">
        <v>89752.0</v>
      </c>
      <c r="K62" s="22">
        <v>2950.0</v>
      </c>
      <c r="L62" s="23">
        <v>30.4</v>
      </c>
    </row>
    <row r="63">
      <c r="B63" s="24"/>
      <c r="C63" s="21" t="s">
        <v>56</v>
      </c>
      <c r="D63" s="22">
        <v>65429.0</v>
      </c>
      <c r="E63" s="22">
        <v>1841.0</v>
      </c>
      <c r="F63" s="23">
        <v>35.5</v>
      </c>
      <c r="G63" s="22">
        <v>24712.0</v>
      </c>
      <c r="H63" s="22">
        <v>1188.0</v>
      </c>
      <c r="I63" s="28">
        <v>20.8</v>
      </c>
      <c r="J63" s="29">
        <v>90141.0</v>
      </c>
      <c r="K63" s="22">
        <v>3029.0</v>
      </c>
      <c r="L63" s="23">
        <v>29.8</v>
      </c>
    </row>
    <row r="64">
      <c r="B64" s="20">
        <v>2009.0</v>
      </c>
      <c r="C64" s="21" t="s">
        <v>41</v>
      </c>
      <c r="D64" s="22">
        <v>63745.0</v>
      </c>
      <c r="E64" s="22">
        <v>2080.0</v>
      </c>
      <c r="F64" s="23">
        <v>30.6</v>
      </c>
      <c r="G64" s="22">
        <v>24856.0</v>
      </c>
      <c r="H64" s="22">
        <v>1229.0</v>
      </c>
      <c r="I64" s="23">
        <v>20.2</v>
      </c>
      <c r="J64" s="22">
        <v>88601.0</v>
      </c>
      <c r="K64" s="22">
        <v>3309.0</v>
      </c>
      <c r="L64" s="23">
        <v>26.8</v>
      </c>
    </row>
    <row r="65">
      <c r="B65" s="24"/>
      <c r="C65" s="21" t="s">
        <v>42</v>
      </c>
      <c r="D65" s="22">
        <v>63524.0</v>
      </c>
      <c r="E65" s="22">
        <v>2306.0</v>
      </c>
      <c r="F65" s="23">
        <v>27.5</v>
      </c>
      <c r="G65" s="22">
        <v>23885.0</v>
      </c>
      <c r="H65" s="22">
        <v>1329.0</v>
      </c>
      <c r="I65" s="23">
        <v>18.0</v>
      </c>
      <c r="J65" s="22">
        <v>87409.0</v>
      </c>
      <c r="K65" s="22">
        <v>3635.0</v>
      </c>
      <c r="L65" s="23">
        <v>24.0</v>
      </c>
    </row>
    <row r="66">
      <c r="B66" s="24"/>
      <c r="C66" s="21" t="s">
        <v>43</v>
      </c>
      <c r="D66" s="22">
        <v>62316.0</v>
      </c>
      <c r="E66" s="22">
        <v>2871.0</v>
      </c>
      <c r="F66" s="23">
        <v>21.7</v>
      </c>
      <c r="G66" s="22">
        <v>23441.0</v>
      </c>
      <c r="H66" s="22">
        <v>1764.0</v>
      </c>
      <c r="I66" s="23">
        <v>13.3</v>
      </c>
      <c r="J66" s="22">
        <v>85757.0</v>
      </c>
      <c r="K66" s="22">
        <v>4635.0</v>
      </c>
      <c r="L66" s="23">
        <v>18.5</v>
      </c>
    </row>
    <row r="67">
      <c r="B67" s="24"/>
      <c r="C67" s="21" t="s">
        <v>44</v>
      </c>
      <c r="D67" s="22">
        <v>62144.0</v>
      </c>
      <c r="E67" s="22">
        <v>2693.0</v>
      </c>
      <c r="F67" s="23">
        <v>23.1</v>
      </c>
      <c r="G67" s="22">
        <v>22078.0</v>
      </c>
      <c r="H67" s="22">
        <v>1779.0</v>
      </c>
      <c r="I67" s="23">
        <v>12.4</v>
      </c>
      <c r="J67" s="22">
        <v>84222.0</v>
      </c>
      <c r="K67" s="22">
        <v>4472.0</v>
      </c>
      <c r="L67" s="23">
        <v>18.8</v>
      </c>
    </row>
    <row r="68">
      <c r="B68" s="24"/>
      <c r="C68" s="21" t="s">
        <v>45</v>
      </c>
      <c r="D68" s="22">
        <v>61089.0</v>
      </c>
      <c r="E68" s="22">
        <v>3069.0</v>
      </c>
      <c r="F68" s="23">
        <v>19.9</v>
      </c>
      <c r="G68" s="22">
        <v>21613.0</v>
      </c>
      <c r="H68" s="22">
        <v>1699.0</v>
      </c>
      <c r="I68" s="23">
        <v>12.7</v>
      </c>
      <c r="J68" s="22">
        <v>82702.0</v>
      </c>
      <c r="K68" s="22">
        <v>4768.0</v>
      </c>
      <c r="L68" s="23">
        <v>17.3</v>
      </c>
    </row>
    <row r="69">
      <c r="B69" s="24"/>
      <c r="C69" s="21" t="s">
        <v>47</v>
      </c>
      <c r="D69" s="22">
        <v>62108.0</v>
      </c>
      <c r="E69" s="22">
        <v>3460.0</v>
      </c>
      <c r="F69" s="23">
        <v>18.0</v>
      </c>
      <c r="G69" s="22">
        <v>21075.0</v>
      </c>
      <c r="H69" s="22">
        <v>1615.0</v>
      </c>
      <c r="I69" s="23">
        <v>13.0</v>
      </c>
      <c r="J69" s="22">
        <v>83183.0</v>
      </c>
      <c r="K69" s="22">
        <v>5075.0</v>
      </c>
      <c r="L69" s="23">
        <v>16.4</v>
      </c>
    </row>
    <row r="70">
      <c r="B70" s="24"/>
      <c r="C70" s="21" t="s">
        <v>48</v>
      </c>
      <c r="D70" s="22">
        <v>56836.0</v>
      </c>
      <c r="E70" s="22">
        <v>3189.0</v>
      </c>
      <c r="F70" s="23">
        <v>17.8</v>
      </c>
      <c r="G70" s="22">
        <v>18663.0</v>
      </c>
      <c r="H70" s="22">
        <v>1696.0</v>
      </c>
      <c r="I70" s="23">
        <v>11.0</v>
      </c>
      <c r="J70" s="22">
        <v>75499.0</v>
      </c>
      <c r="K70" s="22">
        <v>4885.0</v>
      </c>
      <c r="L70" s="23">
        <v>15.5</v>
      </c>
    </row>
    <row r="71">
      <c r="B71" s="24"/>
      <c r="C71" s="21" t="s">
        <v>50</v>
      </c>
      <c r="D71" s="22">
        <v>65058.0</v>
      </c>
      <c r="E71" s="22">
        <v>3248.0</v>
      </c>
      <c r="F71" s="23">
        <v>20.0</v>
      </c>
      <c r="G71" s="22">
        <v>18646.0</v>
      </c>
      <c r="H71" s="22">
        <v>1595.0</v>
      </c>
      <c r="I71" s="23">
        <v>11.7</v>
      </c>
      <c r="J71" s="22">
        <v>83704.0</v>
      </c>
      <c r="K71" s="22">
        <v>4843.0</v>
      </c>
      <c r="L71" s="23">
        <v>17.3</v>
      </c>
    </row>
    <row r="72">
      <c r="B72" s="24"/>
      <c r="C72" s="21" t="s">
        <v>52</v>
      </c>
      <c r="D72" s="22">
        <v>63985.0</v>
      </c>
      <c r="E72" s="22">
        <v>2729.0</v>
      </c>
      <c r="F72" s="23">
        <v>23.4</v>
      </c>
      <c r="G72" s="22">
        <v>18125.0</v>
      </c>
      <c r="H72" s="22">
        <v>1499.0</v>
      </c>
      <c r="I72" s="23">
        <v>12.1</v>
      </c>
      <c r="J72" s="22">
        <v>82110.0</v>
      </c>
      <c r="K72" s="22">
        <v>4228.0</v>
      </c>
      <c r="L72" s="23">
        <v>19.4</v>
      </c>
    </row>
    <row r="73">
      <c r="B73" s="24"/>
      <c r="C73" s="21" t="s">
        <v>54</v>
      </c>
      <c r="D73" s="22">
        <v>63103.0</v>
      </c>
      <c r="E73" s="22">
        <v>3150.0</v>
      </c>
      <c r="F73" s="23">
        <v>20.0</v>
      </c>
      <c r="G73" s="22">
        <v>16694.0</v>
      </c>
      <c r="H73" s="22">
        <v>1468.0</v>
      </c>
      <c r="I73" s="23">
        <v>11.4</v>
      </c>
      <c r="J73" s="22">
        <v>79797.0</v>
      </c>
      <c r="K73" s="22">
        <v>4618.0</v>
      </c>
      <c r="L73" s="23">
        <v>17.3</v>
      </c>
    </row>
    <row r="74">
      <c r="B74" s="24"/>
      <c r="C74" s="21" t="s">
        <v>55</v>
      </c>
      <c r="D74" s="22">
        <v>61993.0</v>
      </c>
      <c r="E74" s="22">
        <v>2930.0</v>
      </c>
      <c r="F74" s="23">
        <v>21.2</v>
      </c>
      <c r="G74" s="22">
        <v>15143.0</v>
      </c>
      <c r="H74" s="22">
        <v>1453.0</v>
      </c>
      <c r="I74" s="23">
        <v>10.4</v>
      </c>
      <c r="J74" s="22">
        <v>77136.0</v>
      </c>
      <c r="K74" s="22">
        <v>4383.0</v>
      </c>
      <c r="L74" s="23">
        <v>17.6</v>
      </c>
    </row>
    <row r="75">
      <c r="B75" s="24"/>
      <c r="C75" s="21" t="s">
        <v>56</v>
      </c>
      <c r="D75" s="22">
        <v>59811.0</v>
      </c>
      <c r="E75" s="22">
        <v>2410.0</v>
      </c>
      <c r="F75" s="23">
        <v>24.8</v>
      </c>
      <c r="G75" s="22">
        <v>14210.0</v>
      </c>
      <c r="H75" s="22">
        <v>1408.0</v>
      </c>
      <c r="I75" s="23">
        <v>10.1</v>
      </c>
      <c r="J75" s="22">
        <v>74021.0</v>
      </c>
      <c r="K75" s="22">
        <v>3818.0</v>
      </c>
      <c r="L75" s="23">
        <v>19.4</v>
      </c>
    </row>
    <row r="76">
      <c r="B76" s="20">
        <v>2010.0</v>
      </c>
      <c r="C76" s="21" t="s">
        <v>41</v>
      </c>
      <c r="D76" s="22">
        <v>58395.0</v>
      </c>
      <c r="E76" s="22">
        <v>2181.0</v>
      </c>
      <c r="F76" s="23">
        <v>26.8</v>
      </c>
      <c r="G76" s="22">
        <v>14555.0</v>
      </c>
      <c r="H76" s="22">
        <v>1290.0</v>
      </c>
      <c r="I76" s="23">
        <v>11.3</v>
      </c>
      <c r="J76" s="22">
        <v>72950.0</v>
      </c>
      <c r="K76" s="22">
        <v>3471.0</v>
      </c>
      <c r="L76" s="23">
        <v>21.0</v>
      </c>
    </row>
    <row r="77">
      <c r="B77" s="24"/>
      <c r="C77" s="21" t="s">
        <v>42</v>
      </c>
      <c r="D77" s="22">
        <v>58058.0</v>
      </c>
      <c r="E77" s="22">
        <v>1891.0</v>
      </c>
      <c r="F77" s="23">
        <v>30.7</v>
      </c>
      <c r="G77" s="22">
        <v>14225.0</v>
      </c>
      <c r="H77" s="22">
        <v>1305.0</v>
      </c>
      <c r="I77" s="23">
        <v>10.9</v>
      </c>
      <c r="J77" s="22">
        <v>72283.0</v>
      </c>
      <c r="K77" s="22">
        <v>3196.0</v>
      </c>
      <c r="L77" s="23">
        <v>22.6</v>
      </c>
    </row>
    <row r="78">
      <c r="B78" s="24"/>
      <c r="C78" s="21" t="s">
        <v>43</v>
      </c>
      <c r="D78" s="22">
        <v>56431.0</v>
      </c>
      <c r="E78" s="22">
        <v>1423.0</v>
      </c>
      <c r="F78" s="23">
        <v>39.7</v>
      </c>
      <c r="G78" s="22">
        <v>13883.0</v>
      </c>
      <c r="H78" s="22">
        <v>1311.0</v>
      </c>
      <c r="I78" s="23">
        <v>10.6</v>
      </c>
      <c r="J78" s="22">
        <v>70314.0</v>
      </c>
      <c r="K78" s="22">
        <v>2734.0</v>
      </c>
      <c r="L78" s="23">
        <v>25.7</v>
      </c>
    </row>
    <row r="79">
      <c r="B79" s="24"/>
      <c r="C79" s="21" t="s">
        <v>44</v>
      </c>
      <c r="D79" s="22">
        <v>56393.0</v>
      </c>
      <c r="E79" s="22">
        <v>1810.0</v>
      </c>
      <c r="F79" s="23">
        <v>31.2</v>
      </c>
      <c r="G79" s="22">
        <v>12836.0</v>
      </c>
      <c r="H79" s="22">
        <v>1301.0</v>
      </c>
      <c r="I79" s="23">
        <v>9.9</v>
      </c>
      <c r="J79" s="22">
        <v>69229.0</v>
      </c>
      <c r="K79" s="22">
        <v>3111.0</v>
      </c>
      <c r="L79" s="23">
        <v>22.3</v>
      </c>
    </row>
    <row r="80">
      <c r="B80" s="24"/>
      <c r="C80" s="21" t="s">
        <v>45</v>
      </c>
      <c r="D80" s="22">
        <v>57156.0</v>
      </c>
      <c r="E80" s="22">
        <v>1783.0</v>
      </c>
      <c r="F80" s="23">
        <v>32.1</v>
      </c>
      <c r="G80" s="22">
        <v>13199.0</v>
      </c>
      <c r="H80" s="22">
        <v>1334.0</v>
      </c>
      <c r="I80" s="23">
        <v>9.9</v>
      </c>
      <c r="J80" s="22">
        <v>70355.0</v>
      </c>
      <c r="K80" s="22">
        <v>3117.0</v>
      </c>
      <c r="L80" s="23">
        <v>22.6</v>
      </c>
    </row>
    <row r="81">
      <c r="B81" s="24"/>
      <c r="C81" s="21" t="s">
        <v>47</v>
      </c>
      <c r="D81" s="22">
        <v>58758.0</v>
      </c>
      <c r="E81" s="22">
        <v>2334.0</v>
      </c>
      <c r="F81" s="23">
        <v>25.2</v>
      </c>
      <c r="G81" s="22">
        <v>13228.0</v>
      </c>
      <c r="H81" s="22">
        <v>1311.0</v>
      </c>
      <c r="I81" s="23">
        <v>10.1</v>
      </c>
      <c r="J81" s="22">
        <v>71986.0</v>
      </c>
      <c r="K81" s="22">
        <v>3645.0</v>
      </c>
      <c r="L81" s="23">
        <v>19.7</v>
      </c>
    </row>
    <row r="82">
      <c r="B82" s="24"/>
      <c r="C82" s="21" t="s">
        <v>48</v>
      </c>
      <c r="D82" s="22">
        <v>56870.0</v>
      </c>
      <c r="E82" s="22">
        <v>2241.0</v>
      </c>
      <c r="F82" s="23">
        <v>25.4</v>
      </c>
      <c r="G82" s="22">
        <v>14090.0</v>
      </c>
      <c r="H82" s="22">
        <v>1341.0</v>
      </c>
      <c r="I82" s="23">
        <v>10.5</v>
      </c>
      <c r="J82" s="22">
        <v>70960.0</v>
      </c>
      <c r="K82" s="22">
        <v>3582.0</v>
      </c>
      <c r="L82" s="23">
        <v>19.8</v>
      </c>
    </row>
    <row r="83">
      <c r="B83" s="24"/>
      <c r="C83" s="21" t="s">
        <v>50</v>
      </c>
      <c r="D83" s="22">
        <v>54811.0</v>
      </c>
      <c r="E83" s="22">
        <v>2998.0</v>
      </c>
      <c r="F83" s="23">
        <v>18.3</v>
      </c>
      <c r="G83" s="22">
        <v>13189.0</v>
      </c>
      <c r="H83" s="22">
        <v>1654.0</v>
      </c>
      <c r="I83" s="23">
        <v>8.0</v>
      </c>
      <c r="J83" s="22">
        <v>68000.0</v>
      </c>
      <c r="K83" s="22">
        <v>4652.0</v>
      </c>
      <c r="L83" s="23">
        <v>14.6</v>
      </c>
    </row>
    <row r="84">
      <c r="B84" s="24"/>
      <c r="C84" s="21" t="s">
        <v>52</v>
      </c>
      <c r="D84" s="22">
        <v>53495.0</v>
      </c>
      <c r="E84" s="22">
        <v>2949.0</v>
      </c>
      <c r="F84" s="23">
        <v>18.1</v>
      </c>
      <c r="G84" s="22">
        <v>13575.0</v>
      </c>
      <c r="H84" s="22">
        <v>1386.0</v>
      </c>
      <c r="I84" s="23">
        <v>9.8</v>
      </c>
      <c r="J84" s="22">
        <v>67070.0</v>
      </c>
      <c r="K84" s="22">
        <v>4335.0</v>
      </c>
      <c r="L84" s="23">
        <v>15.5</v>
      </c>
    </row>
    <row r="85">
      <c r="B85" s="24"/>
      <c r="C85" s="21" t="s">
        <v>54</v>
      </c>
      <c r="D85" s="22">
        <v>51923.0</v>
      </c>
      <c r="E85" s="22">
        <v>3216.0</v>
      </c>
      <c r="F85" s="23">
        <v>16.1</v>
      </c>
      <c r="G85" s="22">
        <v>13061.0</v>
      </c>
      <c r="H85" s="22">
        <v>1575.0</v>
      </c>
      <c r="I85" s="23">
        <v>8.3</v>
      </c>
      <c r="J85" s="22">
        <v>64984.0</v>
      </c>
      <c r="K85" s="22">
        <v>4791.0</v>
      </c>
      <c r="L85" s="23">
        <v>13.6</v>
      </c>
    </row>
    <row r="86">
      <c r="B86" s="24"/>
      <c r="C86" s="21" t="s">
        <v>55</v>
      </c>
      <c r="D86" s="22">
        <v>52578.0</v>
      </c>
      <c r="E86" s="22">
        <v>2484.0</v>
      </c>
      <c r="F86" s="23">
        <v>21.2</v>
      </c>
      <c r="G86" s="22">
        <v>13318.0</v>
      </c>
      <c r="H86" s="22">
        <v>1639.0</v>
      </c>
      <c r="I86" s="23">
        <v>8.1</v>
      </c>
      <c r="J86" s="22">
        <v>65896.0</v>
      </c>
      <c r="K86" s="22">
        <v>4123.0</v>
      </c>
      <c r="L86" s="23">
        <v>16.0</v>
      </c>
    </row>
    <row r="87">
      <c r="B87" s="24"/>
      <c r="C87" s="21" t="s">
        <v>56</v>
      </c>
      <c r="D87" s="22">
        <v>55464.0</v>
      </c>
      <c r="E87" s="22">
        <v>2431.0</v>
      </c>
      <c r="F87" s="23">
        <v>22.8</v>
      </c>
      <c r="G87" s="22">
        <v>14429.0</v>
      </c>
      <c r="H87" s="22">
        <v>1646.0</v>
      </c>
      <c r="I87" s="23">
        <v>8.8</v>
      </c>
      <c r="J87" s="22">
        <v>69893.0</v>
      </c>
      <c r="K87" s="22">
        <v>4077.0</v>
      </c>
      <c r="L87" s="23">
        <v>17.1</v>
      </c>
    </row>
    <row r="88">
      <c r="B88" s="20">
        <v>2011.0</v>
      </c>
      <c r="C88" s="21" t="s">
        <v>41</v>
      </c>
      <c r="D88" s="22">
        <v>52847.0</v>
      </c>
      <c r="E88" s="22">
        <v>2116.0</v>
      </c>
      <c r="F88" s="23">
        <v>25.0</v>
      </c>
      <c r="G88" s="22">
        <v>15180.0</v>
      </c>
      <c r="H88" s="22">
        <v>1216.0</v>
      </c>
      <c r="I88" s="28">
        <v>12.5</v>
      </c>
      <c r="J88" s="29">
        <v>68027.0</v>
      </c>
      <c r="K88" s="22">
        <v>3332.0</v>
      </c>
      <c r="L88" s="23">
        <v>20.4</v>
      </c>
    </row>
    <row r="89">
      <c r="B89" s="24"/>
      <c r="C89" s="21" t="s">
        <v>42</v>
      </c>
      <c r="D89" s="22">
        <v>52187.0</v>
      </c>
      <c r="E89" s="22">
        <v>2401.0</v>
      </c>
      <c r="F89" s="23">
        <v>21.7</v>
      </c>
      <c r="G89" s="22">
        <v>14774.0</v>
      </c>
      <c r="H89" s="22">
        <v>1401.0</v>
      </c>
      <c r="I89" s="28">
        <v>10.5</v>
      </c>
      <c r="J89" s="29">
        <v>66961.0</v>
      </c>
      <c r="K89" s="22">
        <v>3802.0</v>
      </c>
      <c r="L89" s="23">
        <v>17.6</v>
      </c>
    </row>
    <row r="90">
      <c r="B90" s="24"/>
      <c r="C90" s="21" t="s">
        <v>43</v>
      </c>
      <c r="D90" s="22">
        <v>51894.0</v>
      </c>
      <c r="E90" s="22">
        <v>2572.0</v>
      </c>
      <c r="F90" s="23">
        <v>20.2</v>
      </c>
      <c r="G90" s="22">
        <v>15422.0</v>
      </c>
      <c r="H90" s="22">
        <v>1854.0</v>
      </c>
      <c r="I90" s="28">
        <v>8.3</v>
      </c>
      <c r="J90" s="29">
        <v>67316.0</v>
      </c>
      <c r="K90" s="22">
        <v>4426.0</v>
      </c>
      <c r="L90" s="23">
        <v>15.2</v>
      </c>
    </row>
    <row r="91">
      <c r="B91" s="24"/>
      <c r="C91" s="21" t="s">
        <v>44</v>
      </c>
      <c r="D91" s="22">
        <v>52803.0</v>
      </c>
      <c r="E91" s="22">
        <v>2679.0</v>
      </c>
      <c r="F91" s="23">
        <v>19.7</v>
      </c>
      <c r="G91" s="22">
        <v>14789.0</v>
      </c>
      <c r="H91" s="22">
        <v>1838.0</v>
      </c>
      <c r="I91" s="28">
        <v>8.0</v>
      </c>
      <c r="J91" s="29">
        <v>67592.0</v>
      </c>
      <c r="K91" s="22">
        <v>4517.0</v>
      </c>
      <c r="L91" s="23">
        <v>15.0</v>
      </c>
    </row>
    <row r="92">
      <c r="B92" s="24"/>
      <c r="C92" s="21" t="s">
        <v>45</v>
      </c>
      <c r="D92" s="22">
        <v>53126.0</v>
      </c>
      <c r="E92" s="22">
        <v>3104.0</v>
      </c>
      <c r="F92" s="23">
        <v>17.1</v>
      </c>
      <c r="G92" s="22">
        <v>16375.0</v>
      </c>
      <c r="H92" s="22">
        <v>1911.0</v>
      </c>
      <c r="I92" s="28">
        <v>8.6</v>
      </c>
      <c r="J92" s="29">
        <v>69501.0</v>
      </c>
      <c r="K92" s="22">
        <v>5015.0</v>
      </c>
      <c r="L92" s="23">
        <v>13.9</v>
      </c>
    </row>
    <row r="93">
      <c r="B93" s="24"/>
      <c r="C93" s="21" t="s">
        <v>47</v>
      </c>
      <c r="D93" s="22">
        <v>54856.0</v>
      </c>
      <c r="E93" s="22">
        <v>2617.0</v>
      </c>
      <c r="F93" s="23">
        <v>21.0</v>
      </c>
      <c r="G93" s="22">
        <v>16422.0</v>
      </c>
      <c r="H93" s="22">
        <v>1958.0</v>
      </c>
      <c r="I93" s="28">
        <v>8.4</v>
      </c>
      <c r="J93" s="29">
        <v>71278.0</v>
      </c>
      <c r="K93" s="22">
        <v>4575.0</v>
      </c>
      <c r="L93" s="23">
        <v>15.6</v>
      </c>
    </row>
    <row r="94">
      <c r="B94" s="24"/>
      <c r="C94" s="21" t="s">
        <v>48</v>
      </c>
      <c r="D94" s="22">
        <v>56385.0</v>
      </c>
      <c r="E94" s="22">
        <v>2624.0</v>
      </c>
      <c r="F94" s="23">
        <v>21.5</v>
      </c>
      <c r="G94" s="22">
        <v>17973.0</v>
      </c>
      <c r="H94" s="22">
        <v>2124.0</v>
      </c>
      <c r="I94" s="28">
        <v>8.5</v>
      </c>
      <c r="J94" s="29">
        <v>74358.0</v>
      </c>
      <c r="K94" s="22">
        <v>4748.0</v>
      </c>
      <c r="L94" s="23">
        <v>15.7</v>
      </c>
    </row>
    <row r="95">
      <c r="B95" s="24"/>
      <c r="C95" s="21" t="s">
        <v>50</v>
      </c>
      <c r="D95" s="22">
        <v>57748.0</v>
      </c>
      <c r="E95" s="22">
        <v>2833.0</v>
      </c>
      <c r="F95" s="23">
        <v>20.4</v>
      </c>
      <c r="G95" s="22">
        <v>18175.0</v>
      </c>
      <c r="H95" s="22">
        <v>2361.0</v>
      </c>
      <c r="I95" s="28">
        <v>7.7</v>
      </c>
      <c r="J95" s="29">
        <v>75923.0</v>
      </c>
      <c r="K95" s="22">
        <v>5194.0</v>
      </c>
      <c r="L95" s="23">
        <v>14.6</v>
      </c>
    </row>
    <row r="96">
      <c r="B96" s="24"/>
      <c r="C96" s="21" t="s">
        <v>52</v>
      </c>
      <c r="D96" s="22">
        <v>58869.0</v>
      </c>
      <c r="E96" s="22">
        <v>2853.0</v>
      </c>
      <c r="F96" s="23">
        <v>20.6</v>
      </c>
      <c r="G96" s="22">
        <v>17948.0</v>
      </c>
      <c r="H96" s="22">
        <v>2614.0</v>
      </c>
      <c r="I96" s="28">
        <v>6.9</v>
      </c>
      <c r="J96" s="29">
        <v>76817.0</v>
      </c>
      <c r="K96" s="22">
        <v>5467.0</v>
      </c>
      <c r="L96" s="23">
        <v>14.1</v>
      </c>
    </row>
    <row r="97">
      <c r="B97" s="24"/>
      <c r="C97" s="21" t="s">
        <v>54</v>
      </c>
      <c r="D97" s="22">
        <v>61660.0</v>
      </c>
      <c r="E97" s="22">
        <v>3135.0</v>
      </c>
      <c r="F97" s="23">
        <v>19.7</v>
      </c>
      <c r="G97" s="22">
        <v>17123.0</v>
      </c>
      <c r="H97" s="22">
        <v>2614.0</v>
      </c>
      <c r="I97" s="28">
        <v>6.6</v>
      </c>
      <c r="J97" s="29">
        <v>78783.0</v>
      </c>
      <c r="K97" s="22">
        <v>5749.0</v>
      </c>
      <c r="L97" s="23">
        <v>13.7</v>
      </c>
    </row>
    <row r="98">
      <c r="B98" s="24"/>
      <c r="C98" s="21" t="s">
        <v>55</v>
      </c>
      <c r="D98" s="22">
        <v>60779.0</v>
      </c>
      <c r="E98" s="22">
        <v>3066.0</v>
      </c>
      <c r="F98" s="23">
        <v>19.8</v>
      </c>
      <c r="G98" s="22">
        <v>18917.0</v>
      </c>
      <c r="H98" s="22">
        <v>2301.0</v>
      </c>
      <c r="I98" s="28">
        <v>8.2</v>
      </c>
      <c r="J98" s="29">
        <v>79696.0</v>
      </c>
      <c r="K98" s="22">
        <v>5367.0</v>
      </c>
      <c r="L98" s="23">
        <v>14.8</v>
      </c>
    </row>
    <row r="99">
      <c r="B99" s="24"/>
      <c r="C99" s="21" t="s">
        <v>56</v>
      </c>
      <c r="D99" s="22">
        <v>59684.0</v>
      </c>
      <c r="E99" s="22">
        <v>2734.0</v>
      </c>
      <c r="F99" s="23">
        <v>21.8</v>
      </c>
      <c r="G99" s="22">
        <v>18312.0</v>
      </c>
      <c r="H99" s="22">
        <v>1939.0</v>
      </c>
      <c r="I99" s="28">
        <v>9.4</v>
      </c>
      <c r="J99" s="29">
        <v>77996.0</v>
      </c>
      <c r="K99" s="22">
        <v>4673.0</v>
      </c>
      <c r="L99" s="23">
        <v>16.7</v>
      </c>
    </row>
    <row r="100">
      <c r="B100" s="20">
        <v>2012.0</v>
      </c>
      <c r="C100" s="21" t="s">
        <v>41</v>
      </c>
      <c r="D100" s="22">
        <v>54440.0</v>
      </c>
      <c r="E100" s="22">
        <v>2527.0</v>
      </c>
      <c r="F100" s="23">
        <v>21.5</v>
      </c>
      <c r="G100" s="22">
        <v>21860.0</v>
      </c>
      <c r="H100" s="22">
        <v>1905.0</v>
      </c>
      <c r="I100" s="28">
        <v>11.5</v>
      </c>
      <c r="J100" s="29">
        <v>76300.0</v>
      </c>
      <c r="K100" s="22">
        <v>4432.0</v>
      </c>
      <c r="L100" s="23">
        <v>17.2</v>
      </c>
    </row>
    <row r="101">
      <c r="B101" s="24"/>
      <c r="C101" s="21" t="s">
        <v>42</v>
      </c>
      <c r="D101" s="22">
        <v>57772.0</v>
      </c>
      <c r="E101" s="22">
        <v>2567.0</v>
      </c>
      <c r="F101" s="23">
        <v>22.5</v>
      </c>
      <c r="G101" s="22">
        <v>21863.0</v>
      </c>
      <c r="H101" s="22">
        <v>1876.0</v>
      </c>
      <c r="I101" s="28">
        <v>11.7</v>
      </c>
      <c r="J101" s="29">
        <v>79635.0</v>
      </c>
      <c r="K101" s="22">
        <v>4443.0</v>
      </c>
      <c r="L101" s="23">
        <v>17.9</v>
      </c>
    </row>
    <row r="102">
      <c r="B102" s="24"/>
      <c r="C102" s="21" t="s">
        <v>43</v>
      </c>
      <c r="D102" s="22">
        <v>55906.0</v>
      </c>
      <c r="E102" s="22">
        <v>2716.0</v>
      </c>
      <c r="F102" s="23">
        <v>20.6</v>
      </c>
      <c r="G102" s="22">
        <v>19928.0</v>
      </c>
      <c r="H102" s="22">
        <v>2363.0</v>
      </c>
      <c r="I102" s="28">
        <v>8.4</v>
      </c>
      <c r="J102" s="29">
        <v>75834.0</v>
      </c>
      <c r="K102" s="22">
        <v>5079.0</v>
      </c>
      <c r="L102" s="23">
        <v>14.9</v>
      </c>
    </row>
    <row r="103">
      <c r="B103" s="24"/>
      <c r="C103" s="21" t="s">
        <v>44</v>
      </c>
      <c r="D103" s="22">
        <v>55499.0</v>
      </c>
      <c r="E103" s="22">
        <v>3223.0</v>
      </c>
      <c r="F103" s="23">
        <v>17.2</v>
      </c>
      <c r="G103" s="22">
        <v>20148.0</v>
      </c>
      <c r="H103" s="22">
        <v>2299.0</v>
      </c>
      <c r="I103" s="28">
        <v>8.8</v>
      </c>
      <c r="J103" s="29">
        <v>75647.0</v>
      </c>
      <c r="K103" s="22">
        <v>5522.0</v>
      </c>
      <c r="L103" s="23">
        <v>13.7</v>
      </c>
    </row>
    <row r="104">
      <c r="B104" s="24"/>
      <c r="C104" s="21" t="s">
        <v>45</v>
      </c>
      <c r="D104" s="22">
        <v>55995.0</v>
      </c>
      <c r="E104" s="22">
        <v>3612.0</v>
      </c>
      <c r="F104" s="23">
        <v>15.5</v>
      </c>
      <c r="G104" s="22">
        <v>18138.0</v>
      </c>
      <c r="H104" s="22">
        <v>2822.0</v>
      </c>
      <c r="I104" s="28">
        <v>6.4</v>
      </c>
      <c r="J104" s="29">
        <v>74133.0</v>
      </c>
      <c r="K104" s="22">
        <v>6434.0</v>
      </c>
      <c r="L104" s="23">
        <v>11.5</v>
      </c>
    </row>
    <row r="105">
      <c r="B105" s="24"/>
      <c r="C105" s="21" t="s">
        <v>47</v>
      </c>
      <c r="D105" s="22">
        <v>56923.0</v>
      </c>
      <c r="E105" s="22">
        <v>3752.0</v>
      </c>
      <c r="F105" s="23">
        <v>15.2</v>
      </c>
      <c r="G105" s="22">
        <v>16728.0</v>
      </c>
      <c r="H105" s="22">
        <v>2333.0</v>
      </c>
      <c r="I105" s="28">
        <v>7.2</v>
      </c>
      <c r="J105" s="29">
        <v>73651.0</v>
      </c>
      <c r="K105" s="22">
        <v>6085.0</v>
      </c>
      <c r="L105" s="23">
        <v>12.1</v>
      </c>
    </row>
    <row r="106">
      <c r="B106" s="24"/>
      <c r="C106" s="21" t="s">
        <v>48</v>
      </c>
      <c r="D106" s="22">
        <v>54885.0</v>
      </c>
      <c r="E106" s="22">
        <v>3904.0</v>
      </c>
      <c r="F106" s="23">
        <v>14.1</v>
      </c>
      <c r="G106" s="22">
        <v>17712.0</v>
      </c>
      <c r="H106" s="22">
        <v>2247.0</v>
      </c>
      <c r="I106" s="28">
        <v>7.9</v>
      </c>
      <c r="J106" s="29">
        <v>72597.0</v>
      </c>
      <c r="K106" s="22">
        <v>6151.0</v>
      </c>
      <c r="L106" s="23">
        <v>11.8</v>
      </c>
    </row>
    <row r="107">
      <c r="B107" s="24"/>
      <c r="C107" s="21" t="s">
        <v>50</v>
      </c>
      <c r="D107" s="22">
        <v>53584.0</v>
      </c>
      <c r="E107" s="22">
        <v>3927.0</v>
      </c>
      <c r="F107" s="23">
        <v>13.6</v>
      </c>
      <c r="G107" s="22">
        <v>18039.0</v>
      </c>
      <c r="H107" s="22">
        <v>2849.0</v>
      </c>
      <c r="I107" s="28">
        <v>6.3</v>
      </c>
      <c r="J107" s="29">
        <v>71623.0</v>
      </c>
      <c r="K107" s="22">
        <v>6776.0</v>
      </c>
      <c r="L107" s="23">
        <v>10.6</v>
      </c>
    </row>
    <row r="108">
      <c r="B108" s="24"/>
      <c r="C108" s="21" t="s">
        <v>52</v>
      </c>
      <c r="D108" s="22">
        <v>51655.0</v>
      </c>
      <c r="E108" s="22">
        <v>3259.0</v>
      </c>
      <c r="F108" s="23">
        <v>15.8</v>
      </c>
      <c r="G108" s="22">
        <v>18192.0</v>
      </c>
      <c r="H108" s="22">
        <v>2613.0</v>
      </c>
      <c r="I108" s="28">
        <v>7.0</v>
      </c>
      <c r="J108" s="29">
        <v>69847.0</v>
      </c>
      <c r="K108" s="22">
        <v>5872.0</v>
      </c>
      <c r="L108" s="23">
        <v>11.9</v>
      </c>
    </row>
    <row r="109">
      <c r="B109" s="24"/>
      <c r="C109" s="21" t="s">
        <v>54</v>
      </c>
      <c r="D109" s="22">
        <v>48731.0</v>
      </c>
      <c r="E109" s="22">
        <v>3365.0</v>
      </c>
      <c r="F109" s="23">
        <v>14.5</v>
      </c>
      <c r="G109" s="22">
        <v>18386.0</v>
      </c>
      <c r="H109" s="22">
        <v>2475.0</v>
      </c>
      <c r="I109" s="28">
        <v>7.4</v>
      </c>
      <c r="J109" s="29">
        <v>67117.0</v>
      </c>
      <c r="K109" s="22">
        <v>5840.0</v>
      </c>
      <c r="L109" s="23">
        <v>11.5</v>
      </c>
    </row>
    <row r="110">
      <c r="B110" s="24"/>
      <c r="C110" s="21" t="s">
        <v>55</v>
      </c>
      <c r="D110" s="22">
        <v>49371.0</v>
      </c>
      <c r="E110" s="22">
        <v>3123.0</v>
      </c>
      <c r="F110" s="23">
        <v>15.8</v>
      </c>
      <c r="G110" s="22">
        <v>18274.0</v>
      </c>
      <c r="H110" s="22">
        <v>2192.0</v>
      </c>
      <c r="I110" s="28">
        <v>8.3</v>
      </c>
      <c r="J110" s="29">
        <v>67645.0</v>
      </c>
      <c r="K110" s="22">
        <v>5315.0</v>
      </c>
      <c r="L110" s="23">
        <v>12.7</v>
      </c>
    </row>
    <row r="111">
      <c r="B111" s="24"/>
      <c r="C111" s="21" t="s">
        <v>56</v>
      </c>
      <c r="D111" s="22">
        <v>51084.0</v>
      </c>
      <c r="E111" s="22">
        <v>2834.0</v>
      </c>
      <c r="F111" s="23">
        <v>18.0</v>
      </c>
      <c r="G111" s="22">
        <v>18900.0</v>
      </c>
      <c r="H111" s="22">
        <v>2352.0</v>
      </c>
      <c r="I111" s="28">
        <v>8.0</v>
      </c>
      <c r="J111" s="29">
        <v>69984.0</v>
      </c>
      <c r="K111" s="22">
        <v>5186.0</v>
      </c>
      <c r="L111" s="23">
        <v>13.5</v>
      </c>
    </row>
    <row r="112">
      <c r="B112" s="20">
        <v>2013.0</v>
      </c>
      <c r="C112" s="21" t="s">
        <v>41</v>
      </c>
      <c r="D112" s="22">
        <v>50523.0</v>
      </c>
      <c r="E112" s="22">
        <v>2779.0</v>
      </c>
      <c r="F112" s="23">
        <v>18.2</v>
      </c>
      <c r="G112" s="22">
        <v>17258.0</v>
      </c>
      <c r="H112" s="22">
        <v>2142.0</v>
      </c>
      <c r="I112" s="28">
        <v>8.1</v>
      </c>
      <c r="J112" s="29">
        <v>67781.0</v>
      </c>
      <c r="K112" s="22">
        <v>4921.0</v>
      </c>
      <c r="L112" s="23">
        <v>13.8</v>
      </c>
    </row>
    <row r="113">
      <c r="B113" s="24"/>
      <c r="C113" s="21" t="s">
        <v>42</v>
      </c>
      <c r="D113" s="22">
        <v>52966.0</v>
      </c>
      <c r="E113" s="22">
        <v>3006.0</v>
      </c>
      <c r="F113" s="23">
        <v>17.6</v>
      </c>
      <c r="G113" s="22">
        <v>18870.0</v>
      </c>
      <c r="H113" s="22">
        <v>1963.0</v>
      </c>
      <c r="I113" s="28">
        <v>9.6</v>
      </c>
      <c r="J113" s="29">
        <v>71836.0</v>
      </c>
      <c r="K113" s="22">
        <v>4969.0</v>
      </c>
      <c r="L113" s="23">
        <v>14.5</v>
      </c>
    </row>
    <row r="114">
      <c r="B114" s="24"/>
      <c r="C114" s="21" t="s">
        <v>43</v>
      </c>
      <c r="D114" s="22">
        <v>53220.0</v>
      </c>
      <c r="E114" s="22">
        <v>3262.0</v>
      </c>
      <c r="F114" s="23">
        <v>16.3</v>
      </c>
      <c r="G114" s="22">
        <v>18615.0</v>
      </c>
      <c r="H114" s="22">
        <v>2112.0</v>
      </c>
      <c r="I114" s="28">
        <v>8.8</v>
      </c>
      <c r="J114" s="29">
        <v>71835.0</v>
      </c>
      <c r="K114" s="22">
        <v>5374.0</v>
      </c>
      <c r="L114" s="23">
        <v>13.4</v>
      </c>
    </row>
    <row r="115">
      <c r="B115" s="24"/>
      <c r="C115" s="21" t="s">
        <v>44</v>
      </c>
      <c r="D115" s="22">
        <v>57179.0</v>
      </c>
      <c r="E115" s="22">
        <v>3841.0</v>
      </c>
      <c r="F115" s="23">
        <v>14.9</v>
      </c>
      <c r="G115" s="22">
        <v>18484.0</v>
      </c>
      <c r="H115" s="22">
        <v>2226.0</v>
      </c>
      <c r="I115" s="28">
        <v>8.3</v>
      </c>
      <c r="J115" s="29">
        <v>75663.0</v>
      </c>
      <c r="K115" s="22">
        <v>6067.0</v>
      </c>
      <c r="L115" s="23">
        <v>12.5</v>
      </c>
    </row>
    <row r="116">
      <c r="B116" s="24"/>
      <c r="C116" s="21" t="s">
        <v>45</v>
      </c>
      <c r="D116" s="22">
        <v>58738.0</v>
      </c>
      <c r="E116" s="22">
        <v>3809.0</v>
      </c>
      <c r="F116" s="23">
        <v>15.4</v>
      </c>
      <c r="G116" s="22">
        <v>17691.0</v>
      </c>
      <c r="H116" s="22">
        <v>2487.0</v>
      </c>
      <c r="I116" s="28">
        <v>7.1</v>
      </c>
      <c r="J116" s="29">
        <v>76429.0</v>
      </c>
      <c r="K116" s="22">
        <v>6296.0</v>
      </c>
      <c r="L116" s="23">
        <v>12.1</v>
      </c>
    </row>
    <row r="117">
      <c r="B117" s="24"/>
      <c r="C117" s="21" t="s">
        <v>47</v>
      </c>
      <c r="D117" s="22">
        <v>58650.0</v>
      </c>
      <c r="E117" s="22">
        <v>3831.0</v>
      </c>
      <c r="F117" s="23">
        <v>15.3</v>
      </c>
      <c r="G117" s="22">
        <v>18785.0</v>
      </c>
      <c r="H117" s="22">
        <v>2281.0</v>
      </c>
      <c r="I117" s="28">
        <v>8.2</v>
      </c>
      <c r="J117" s="29">
        <v>77435.0</v>
      </c>
      <c r="K117" s="22">
        <v>6112.0</v>
      </c>
      <c r="L117" s="23">
        <v>12.7</v>
      </c>
    </row>
    <row r="118">
      <c r="B118" s="24"/>
      <c r="C118" s="21" t="s">
        <v>48</v>
      </c>
      <c r="D118" s="22">
        <v>57917.0</v>
      </c>
      <c r="E118" s="22">
        <v>4129.0</v>
      </c>
      <c r="F118" s="23">
        <v>14.0</v>
      </c>
      <c r="G118" s="22">
        <v>16544.0</v>
      </c>
      <c r="H118" s="22">
        <v>1848.0</v>
      </c>
      <c r="I118" s="28">
        <v>9.0</v>
      </c>
      <c r="J118" s="29">
        <v>74461.0</v>
      </c>
      <c r="K118" s="22">
        <v>5977.0</v>
      </c>
      <c r="L118" s="23">
        <v>12.5</v>
      </c>
    </row>
    <row r="119">
      <c r="B119" s="24"/>
      <c r="C119" s="21" t="s">
        <v>50</v>
      </c>
      <c r="D119" s="22">
        <v>58274.0</v>
      </c>
      <c r="E119" s="22">
        <v>4145.0</v>
      </c>
      <c r="F119" s="23">
        <v>14.1</v>
      </c>
      <c r="G119" s="22">
        <v>16749.0</v>
      </c>
      <c r="H119" s="22">
        <v>2260.0</v>
      </c>
      <c r="I119" s="28">
        <v>7.4</v>
      </c>
      <c r="J119" s="29">
        <v>75023.0</v>
      </c>
      <c r="K119" s="22">
        <v>6405.0</v>
      </c>
      <c r="L119" s="23">
        <v>11.7</v>
      </c>
    </row>
    <row r="120">
      <c r="B120" s="24"/>
      <c r="C120" s="21" t="s">
        <v>52</v>
      </c>
      <c r="D120" s="22">
        <v>58229.0</v>
      </c>
      <c r="E120" s="22">
        <v>3692.0</v>
      </c>
      <c r="F120" s="23">
        <v>15.8</v>
      </c>
      <c r="G120" s="22">
        <v>18579.0</v>
      </c>
      <c r="H120" s="22">
        <v>1782.0</v>
      </c>
      <c r="I120" s="28">
        <v>10.4</v>
      </c>
      <c r="J120" s="29">
        <v>76808.0</v>
      </c>
      <c r="K120" s="22">
        <v>5474.0</v>
      </c>
      <c r="L120" s="23">
        <v>14.0</v>
      </c>
    </row>
    <row r="121">
      <c r="B121" s="24"/>
      <c r="C121" s="21" t="s">
        <v>54</v>
      </c>
      <c r="D121" s="22">
        <v>58251.0</v>
      </c>
      <c r="E121" s="22">
        <v>4269.0</v>
      </c>
      <c r="F121" s="23">
        <v>13.6</v>
      </c>
      <c r="G121" s="22">
        <v>17031.0</v>
      </c>
      <c r="H121" s="22">
        <v>1700.0</v>
      </c>
      <c r="I121" s="28">
        <v>10.0</v>
      </c>
      <c r="J121" s="29">
        <v>75282.0</v>
      </c>
      <c r="K121" s="22">
        <v>5969.0</v>
      </c>
      <c r="L121" s="23">
        <v>12.6</v>
      </c>
    </row>
    <row r="122">
      <c r="B122" s="24"/>
      <c r="C122" s="21" t="s">
        <v>55</v>
      </c>
      <c r="D122" s="22">
        <v>56403.0</v>
      </c>
      <c r="E122" s="22">
        <v>4369.0</v>
      </c>
      <c r="F122" s="23">
        <v>12.9</v>
      </c>
      <c r="G122" s="22">
        <v>16207.0</v>
      </c>
      <c r="H122" s="22">
        <v>1770.0</v>
      </c>
      <c r="I122" s="28">
        <v>9.2</v>
      </c>
      <c r="J122" s="29">
        <v>72610.0</v>
      </c>
      <c r="K122" s="22">
        <v>6139.0</v>
      </c>
      <c r="L122" s="23">
        <v>11.8</v>
      </c>
    </row>
    <row r="123">
      <c r="B123" s="24"/>
      <c r="C123" s="21" t="s">
        <v>56</v>
      </c>
      <c r="D123" s="22">
        <v>54816.0</v>
      </c>
      <c r="E123" s="22">
        <v>3961.0</v>
      </c>
      <c r="F123" s="23">
        <v>13.8</v>
      </c>
      <c r="G123" s="22">
        <v>16297.0</v>
      </c>
      <c r="H123" s="22">
        <v>1343.0</v>
      </c>
      <c r="I123" s="28">
        <v>12.1</v>
      </c>
      <c r="J123" s="29">
        <v>71113.0</v>
      </c>
      <c r="K123" s="22">
        <v>5304.0</v>
      </c>
      <c r="L123" s="23">
        <v>13.4</v>
      </c>
    </row>
    <row r="124">
      <c r="B124" s="20">
        <v>2014.0</v>
      </c>
      <c r="C124" s="21" t="s">
        <v>41</v>
      </c>
      <c r="D124" s="22">
        <v>53937.0</v>
      </c>
      <c r="E124" s="22">
        <v>3759.0</v>
      </c>
      <c r="F124" s="23">
        <v>14.3</v>
      </c>
      <c r="G124" s="22">
        <v>16624.0</v>
      </c>
      <c r="H124" s="22">
        <v>1448.0</v>
      </c>
      <c r="I124" s="23">
        <v>11.5</v>
      </c>
      <c r="J124" s="22">
        <v>70561.0</v>
      </c>
      <c r="K124" s="22">
        <v>5207.0</v>
      </c>
      <c r="L124" s="23">
        <v>13.6</v>
      </c>
    </row>
    <row r="125">
      <c r="B125" s="24"/>
      <c r="C125" s="21" t="s">
        <v>42</v>
      </c>
      <c r="D125" s="22">
        <v>55662.0</v>
      </c>
      <c r="E125" s="22">
        <v>3622.0</v>
      </c>
      <c r="F125" s="23">
        <v>15.4</v>
      </c>
      <c r="G125" s="22">
        <v>16964.0</v>
      </c>
      <c r="H125" s="22">
        <v>1331.0</v>
      </c>
      <c r="I125" s="23">
        <v>12.7</v>
      </c>
      <c r="J125" s="22">
        <v>72626.0</v>
      </c>
      <c r="K125" s="22">
        <v>4953.0</v>
      </c>
      <c r="L125" s="23">
        <v>14.7</v>
      </c>
    </row>
    <row r="126">
      <c r="B126" s="24"/>
      <c r="C126" s="21" t="s">
        <v>43</v>
      </c>
      <c r="D126" s="22">
        <v>55255.0</v>
      </c>
      <c r="E126" s="22">
        <v>3659.0</v>
      </c>
      <c r="F126" s="23">
        <v>15.1</v>
      </c>
      <c r="G126" s="22">
        <v>16310.0</v>
      </c>
      <c r="H126" s="22">
        <v>1720.0</v>
      </c>
      <c r="I126" s="23">
        <v>9.5</v>
      </c>
      <c r="J126" s="22">
        <v>71565.0</v>
      </c>
      <c r="K126" s="22">
        <v>5379.0</v>
      </c>
      <c r="L126" s="23">
        <v>13.3</v>
      </c>
    </row>
    <row r="127">
      <c r="B127" s="24"/>
      <c r="C127" s="21" t="s">
        <v>44</v>
      </c>
      <c r="D127" s="22">
        <v>55205.0</v>
      </c>
      <c r="E127" s="22">
        <v>3781.0</v>
      </c>
      <c r="F127" s="23">
        <v>14.6</v>
      </c>
      <c r="G127" s="22">
        <v>16849.0</v>
      </c>
      <c r="H127" s="22">
        <v>1684.0</v>
      </c>
      <c r="I127" s="23">
        <v>10.0</v>
      </c>
      <c r="J127" s="22">
        <v>72054.0</v>
      </c>
      <c r="K127" s="22">
        <v>5465.0</v>
      </c>
      <c r="L127" s="23">
        <v>13.2</v>
      </c>
    </row>
    <row r="128">
      <c r="B128" s="24"/>
      <c r="C128" s="21" t="s">
        <v>45</v>
      </c>
      <c r="D128" s="22">
        <v>55274.0</v>
      </c>
      <c r="E128" s="22">
        <v>4043.0</v>
      </c>
      <c r="F128" s="23">
        <v>13.7</v>
      </c>
      <c r="G128" s="22">
        <v>16400.0</v>
      </c>
      <c r="H128" s="22">
        <v>1814.0</v>
      </c>
      <c r="I128" s="23">
        <v>9.0</v>
      </c>
      <c r="J128" s="22">
        <v>71674.0</v>
      </c>
      <c r="K128" s="22">
        <v>5857.0</v>
      </c>
      <c r="L128" s="23">
        <v>12.2</v>
      </c>
    </row>
    <row r="129">
      <c r="B129" s="24"/>
      <c r="C129" s="21" t="s">
        <v>47</v>
      </c>
      <c r="D129" s="22">
        <v>58993.0</v>
      </c>
      <c r="E129" s="22">
        <v>4059.0</v>
      </c>
      <c r="F129" s="23">
        <v>14.5</v>
      </c>
      <c r="G129" s="22">
        <v>15976.0</v>
      </c>
      <c r="H129" s="22">
        <v>1902.0</v>
      </c>
      <c r="I129" s="23">
        <v>8.4</v>
      </c>
      <c r="J129" s="22">
        <v>74969.0</v>
      </c>
      <c r="K129" s="22">
        <v>5961.0</v>
      </c>
      <c r="L129" s="23">
        <v>12.6</v>
      </c>
    </row>
    <row r="130">
      <c r="B130" s="24"/>
      <c r="C130" s="21" t="s">
        <v>48</v>
      </c>
      <c r="D130" s="22">
        <v>58476.0</v>
      </c>
      <c r="E130" s="22">
        <v>3730.0</v>
      </c>
      <c r="F130" s="23">
        <v>15.7</v>
      </c>
      <c r="G130" s="22">
        <v>15862.0</v>
      </c>
      <c r="H130" s="22">
        <v>1696.0</v>
      </c>
      <c r="I130" s="23">
        <v>9.4</v>
      </c>
      <c r="J130" s="22">
        <v>74338.0</v>
      </c>
      <c r="K130" s="22">
        <v>5426.0</v>
      </c>
      <c r="L130" s="23">
        <v>13.7</v>
      </c>
    </row>
    <row r="131">
      <c r="B131" s="24"/>
      <c r="C131" s="21" t="s">
        <v>50</v>
      </c>
      <c r="D131" s="22">
        <v>57358.0</v>
      </c>
      <c r="E131" s="22">
        <v>3851.0</v>
      </c>
      <c r="F131" s="23">
        <v>14.9</v>
      </c>
      <c r="G131" s="22">
        <v>16009.0</v>
      </c>
      <c r="H131" s="22">
        <v>1656.0</v>
      </c>
      <c r="I131" s="23">
        <v>9.7</v>
      </c>
      <c r="J131" s="22">
        <v>73367.0</v>
      </c>
      <c r="K131" s="22">
        <v>5507.0</v>
      </c>
      <c r="L131" s="23">
        <v>13.3</v>
      </c>
    </row>
    <row r="132">
      <c r="B132" s="24"/>
      <c r="C132" s="21" t="s">
        <v>52</v>
      </c>
      <c r="D132" s="22">
        <v>59549.0</v>
      </c>
      <c r="E132" s="22">
        <v>2925.0</v>
      </c>
      <c r="F132" s="23">
        <v>20.4</v>
      </c>
      <c r="G132" s="22">
        <v>15331.0</v>
      </c>
      <c r="H132" s="22">
        <v>1518.0</v>
      </c>
      <c r="I132" s="23">
        <v>10.1</v>
      </c>
      <c r="J132" s="22">
        <v>74880.0</v>
      </c>
      <c r="K132" s="22">
        <v>4443.0</v>
      </c>
      <c r="L132" s="23">
        <v>16.9</v>
      </c>
    </row>
    <row r="133">
      <c r="B133" s="24"/>
      <c r="C133" s="21" t="s">
        <v>54</v>
      </c>
      <c r="D133" s="22">
        <v>62189.0</v>
      </c>
      <c r="E133" s="22">
        <v>4093.0</v>
      </c>
      <c r="F133" s="23">
        <v>15.2</v>
      </c>
      <c r="G133" s="22">
        <v>15671.0</v>
      </c>
      <c r="H133" s="22">
        <v>1800.0</v>
      </c>
      <c r="I133" s="23">
        <v>8.7</v>
      </c>
      <c r="J133" s="22">
        <v>77860.0</v>
      </c>
      <c r="K133" s="22">
        <v>5893.0</v>
      </c>
      <c r="L133" s="23">
        <v>13.2</v>
      </c>
    </row>
    <row r="134">
      <c r="B134" s="24"/>
      <c r="C134" s="21" t="s">
        <v>55</v>
      </c>
      <c r="D134" s="22">
        <v>63507.0</v>
      </c>
      <c r="E134" s="22">
        <v>3601.0</v>
      </c>
      <c r="F134" s="23">
        <v>17.6</v>
      </c>
      <c r="G134" s="22">
        <v>14801.0</v>
      </c>
      <c r="H134" s="22">
        <v>1523.0</v>
      </c>
      <c r="I134" s="23">
        <v>9.7</v>
      </c>
      <c r="J134" s="22">
        <v>78308.0</v>
      </c>
      <c r="K134" s="22">
        <v>5124.0</v>
      </c>
      <c r="L134" s="23">
        <v>15.3</v>
      </c>
    </row>
    <row r="135">
      <c r="B135" s="24"/>
      <c r="C135" s="21" t="s">
        <v>56</v>
      </c>
      <c r="D135" s="22">
        <v>63376.0</v>
      </c>
      <c r="E135" s="22">
        <v>3444.0</v>
      </c>
      <c r="F135" s="23">
        <v>18.4</v>
      </c>
      <c r="G135" s="22">
        <v>14861.0</v>
      </c>
      <c r="H135" s="22">
        <v>1322.0</v>
      </c>
      <c r="I135" s="23">
        <v>11.2</v>
      </c>
      <c r="J135" s="22">
        <v>78237.0</v>
      </c>
      <c r="K135" s="22">
        <v>4766.0</v>
      </c>
      <c r="L135" s="23">
        <v>16.4</v>
      </c>
    </row>
    <row r="136">
      <c r="B136" s="20">
        <v>2015.0</v>
      </c>
      <c r="C136" s="21" t="s">
        <v>41</v>
      </c>
      <c r="D136" s="22">
        <v>68784.0</v>
      </c>
      <c r="E136" s="22">
        <v>3502.0</v>
      </c>
      <c r="F136" s="23">
        <v>19.6</v>
      </c>
      <c r="G136" s="22">
        <v>16103.0</v>
      </c>
      <c r="H136" s="22">
        <v>1294.0</v>
      </c>
      <c r="I136" s="23">
        <v>12.4</v>
      </c>
      <c r="J136" s="22">
        <v>84887.0</v>
      </c>
      <c r="K136" s="22">
        <v>4796.0</v>
      </c>
      <c r="L136" s="23">
        <v>17.7</v>
      </c>
    </row>
    <row r="137">
      <c r="B137" s="24"/>
      <c r="C137" s="21" t="s">
        <v>42</v>
      </c>
      <c r="D137" s="22">
        <v>68367.0</v>
      </c>
      <c r="E137" s="22">
        <v>4126.0</v>
      </c>
      <c r="F137" s="23">
        <v>16.6</v>
      </c>
      <c r="G137" s="22">
        <v>15817.0</v>
      </c>
      <c r="H137" s="22">
        <v>1364.0</v>
      </c>
      <c r="I137" s="23">
        <v>11.6</v>
      </c>
      <c r="J137" s="22">
        <v>84184.0</v>
      </c>
      <c r="K137" s="22">
        <v>5490.0</v>
      </c>
      <c r="L137" s="23">
        <v>15.3</v>
      </c>
    </row>
    <row r="138">
      <c r="B138" s="24"/>
      <c r="C138" s="21" t="s">
        <v>43</v>
      </c>
      <c r="D138" s="22">
        <v>66353.0</v>
      </c>
      <c r="E138" s="22">
        <v>4667.0</v>
      </c>
      <c r="F138" s="23">
        <v>14.2</v>
      </c>
      <c r="G138" s="22">
        <v>16682.0</v>
      </c>
      <c r="H138" s="22">
        <v>1667.0</v>
      </c>
      <c r="I138" s="23">
        <v>10.0</v>
      </c>
      <c r="J138" s="22">
        <v>83035.0</v>
      </c>
      <c r="K138" s="22">
        <v>6334.0</v>
      </c>
      <c r="L138" s="23">
        <v>13.1</v>
      </c>
    </row>
    <row r="139">
      <c r="B139" s="24"/>
      <c r="C139" s="21" t="s">
        <v>44</v>
      </c>
      <c r="D139" s="22">
        <v>65825.0</v>
      </c>
      <c r="E139" s="22">
        <v>4843.0</v>
      </c>
      <c r="F139" s="23">
        <v>13.6</v>
      </c>
      <c r="G139" s="22">
        <v>16692.0</v>
      </c>
      <c r="H139" s="22">
        <v>1769.0</v>
      </c>
      <c r="I139" s="23">
        <v>9.4</v>
      </c>
      <c r="J139" s="22">
        <v>82517.0</v>
      </c>
      <c r="K139" s="22">
        <v>6612.0</v>
      </c>
      <c r="L139" s="23">
        <v>12.5</v>
      </c>
    </row>
    <row r="140">
      <c r="B140" s="24"/>
      <c r="C140" s="21" t="s">
        <v>45</v>
      </c>
      <c r="D140" s="22">
        <v>65026.0</v>
      </c>
      <c r="E140" s="22">
        <v>4777.0</v>
      </c>
      <c r="F140" s="23">
        <v>13.6</v>
      </c>
      <c r="G140" s="22">
        <v>17515.0</v>
      </c>
      <c r="H140" s="22">
        <v>1826.0</v>
      </c>
      <c r="I140" s="23">
        <v>9.6</v>
      </c>
      <c r="J140" s="22">
        <v>82541.0</v>
      </c>
      <c r="K140" s="22">
        <v>6603.0</v>
      </c>
      <c r="L140" s="23">
        <v>12.5</v>
      </c>
    </row>
    <row r="141">
      <c r="B141" s="24"/>
      <c r="C141" s="21" t="s">
        <v>47</v>
      </c>
      <c r="D141" s="22">
        <v>69222.0</v>
      </c>
      <c r="E141" s="22">
        <v>5156.0</v>
      </c>
      <c r="F141" s="23">
        <v>13.4</v>
      </c>
      <c r="G141" s="22">
        <v>17756.0</v>
      </c>
      <c r="H141" s="22">
        <v>1793.0</v>
      </c>
      <c r="I141" s="23">
        <v>9.9</v>
      </c>
      <c r="J141" s="22">
        <v>86978.0</v>
      </c>
      <c r="K141" s="22">
        <v>6949.0</v>
      </c>
      <c r="L141" s="23">
        <v>12.5</v>
      </c>
    </row>
    <row r="142">
      <c r="B142" s="24"/>
      <c r="C142" s="21" t="s">
        <v>48</v>
      </c>
      <c r="D142" s="22">
        <v>75536.0</v>
      </c>
      <c r="E142" s="22">
        <v>5535.0</v>
      </c>
      <c r="F142" s="23">
        <v>13.6</v>
      </c>
      <c r="G142" s="22">
        <v>17652.0</v>
      </c>
      <c r="H142" s="22">
        <v>1835.0</v>
      </c>
      <c r="I142" s="23">
        <v>9.6</v>
      </c>
      <c r="J142" s="22">
        <v>93188.0</v>
      </c>
      <c r="K142" s="22">
        <v>7370.0</v>
      </c>
      <c r="L142" s="23">
        <v>12.6</v>
      </c>
    </row>
    <row r="143">
      <c r="B143" s="24"/>
      <c r="C143" s="21" t="s">
        <v>50</v>
      </c>
      <c r="D143" s="22">
        <v>75082.0</v>
      </c>
      <c r="E143" s="22">
        <v>6605.0</v>
      </c>
      <c r="F143" s="23">
        <v>11.4</v>
      </c>
      <c r="G143" s="22">
        <v>17602.0</v>
      </c>
      <c r="H143" s="22">
        <v>2098.0</v>
      </c>
      <c r="I143" s="23">
        <v>8.4</v>
      </c>
      <c r="J143" s="22">
        <v>92684.0</v>
      </c>
      <c r="K143" s="22">
        <v>8703.0</v>
      </c>
      <c r="L143" s="23">
        <v>10.6</v>
      </c>
    </row>
    <row r="144">
      <c r="B144" s="24"/>
      <c r="C144" s="21" t="s">
        <v>52</v>
      </c>
      <c r="D144" s="22">
        <v>73563.0</v>
      </c>
      <c r="E144" s="22">
        <v>5306.0</v>
      </c>
      <c r="F144" s="23">
        <v>13.9</v>
      </c>
      <c r="G144" s="22">
        <v>16651.0</v>
      </c>
      <c r="H144" s="22">
        <v>1530.0</v>
      </c>
      <c r="I144" s="23">
        <v>10.9</v>
      </c>
      <c r="J144" s="22">
        <v>90214.0</v>
      </c>
      <c r="K144" s="22">
        <v>6836.0</v>
      </c>
      <c r="L144" s="23">
        <v>13.2</v>
      </c>
    </row>
    <row r="145">
      <c r="B145" s="24"/>
      <c r="C145" s="21" t="s">
        <v>54</v>
      </c>
      <c r="D145" s="22">
        <v>77131.0</v>
      </c>
      <c r="E145" s="22">
        <v>5875.0</v>
      </c>
      <c r="F145" s="23">
        <v>13.1</v>
      </c>
      <c r="G145" s="22">
        <v>16202.0</v>
      </c>
      <c r="H145" s="22">
        <v>1577.0</v>
      </c>
      <c r="I145" s="23">
        <v>10.3</v>
      </c>
      <c r="J145" s="22">
        <v>93333.0</v>
      </c>
      <c r="K145" s="22">
        <v>7452.0</v>
      </c>
      <c r="L145" s="23">
        <v>12.5</v>
      </c>
    </row>
    <row r="146">
      <c r="B146" s="24"/>
      <c r="C146" s="21" t="s">
        <v>55</v>
      </c>
      <c r="D146" s="22">
        <v>76583.0</v>
      </c>
      <c r="E146" s="22">
        <v>5361.0</v>
      </c>
      <c r="F146" s="23">
        <v>14.3</v>
      </c>
      <c r="G146" s="22">
        <v>16068.0</v>
      </c>
      <c r="H146" s="22">
        <v>1680.0</v>
      </c>
      <c r="I146" s="23">
        <v>9.6</v>
      </c>
      <c r="J146" s="22">
        <v>92651.0</v>
      </c>
      <c r="K146" s="22">
        <v>7041.0</v>
      </c>
      <c r="L146" s="23">
        <v>13.2</v>
      </c>
    </row>
    <row r="147">
      <c r="B147" s="24"/>
      <c r="C147" s="21" t="s">
        <v>56</v>
      </c>
      <c r="D147" s="22">
        <v>75592.0</v>
      </c>
      <c r="E147" s="22">
        <v>6514.0</v>
      </c>
      <c r="F147" s="23">
        <v>11.6</v>
      </c>
      <c r="G147" s="22">
        <v>16247.0</v>
      </c>
      <c r="H147" s="22">
        <v>1677.0</v>
      </c>
      <c r="I147" s="23">
        <v>9.7</v>
      </c>
      <c r="J147" s="22">
        <v>91839.0</v>
      </c>
      <c r="K147" s="22">
        <v>8191.0</v>
      </c>
      <c r="L147" s="23">
        <v>11.2</v>
      </c>
    </row>
    <row r="148">
      <c r="B148" s="20">
        <v>2016.0</v>
      </c>
      <c r="C148" s="21" t="s">
        <v>41</v>
      </c>
      <c r="D148" s="22">
        <v>77729.0</v>
      </c>
      <c r="E148" s="22">
        <v>2603.0</v>
      </c>
      <c r="F148" s="23">
        <v>29.9</v>
      </c>
      <c r="G148" s="22">
        <v>17417.0</v>
      </c>
      <c r="H148" s="28">
        <v>865.0</v>
      </c>
      <c r="I148" s="23">
        <v>20.1</v>
      </c>
      <c r="J148" s="22">
        <v>95146.0</v>
      </c>
      <c r="K148" s="22">
        <v>3468.0</v>
      </c>
      <c r="L148" s="23">
        <v>27.4</v>
      </c>
    </row>
    <row r="149">
      <c r="B149" s="24"/>
      <c r="C149" s="21" t="s">
        <v>42</v>
      </c>
      <c r="D149" s="22">
        <v>77240.0</v>
      </c>
      <c r="E149" s="22">
        <v>2388.0</v>
      </c>
      <c r="F149" s="23">
        <v>32.3</v>
      </c>
      <c r="G149" s="22">
        <v>17006.0</v>
      </c>
      <c r="H149" s="28">
        <v>954.0</v>
      </c>
      <c r="I149" s="23">
        <v>17.8</v>
      </c>
      <c r="J149" s="22">
        <v>94246.0</v>
      </c>
      <c r="K149" s="22">
        <v>3342.0</v>
      </c>
      <c r="L149" s="23">
        <v>28.2</v>
      </c>
    </row>
    <row r="150">
      <c r="B150" s="24"/>
      <c r="C150" s="21" t="s">
        <v>43</v>
      </c>
      <c r="D150" s="22">
        <v>76133.0</v>
      </c>
      <c r="E150" s="22">
        <v>2900.0</v>
      </c>
      <c r="F150" s="23">
        <v>26.3</v>
      </c>
      <c r="G150" s="22">
        <v>17141.0</v>
      </c>
      <c r="H150" s="22">
        <v>1255.0</v>
      </c>
      <c r="I150" s="23">
        <v>13.7</v>
      </c>
      <c r="J150" s="22">
        <v>93274.0</v>
      </c>
      <c r="K150" s="22">
        <v>4155.0</v>
      </c>
      <c r="L150" s="23">
        <v>22.4</v>
      </c>
    </row>
    <row r="151">
      <c r="B151" s="24"/>
      <c r="C151" s="21" t="s">
        <v>44</v>
      </c>
      <c r="D151" s="22">
        <v>79746.0</v>
      </c>
      <c r="E151" s="22">
        <v>3015.0</v>
      </c>
      <c r="F151" s="23">
        <v>26.4</v>
      </c>
      <c r="G151" s="22">
        <v>18002.0</v>
      </c>
      <c r="H151" s="22">
        <v>1359.0</v>
      </c>
      <c r="I151" s="23">
        <v>13.2</v>
      </c>
      <c r="J151" s="22">
        <v>97748.0</v>
      </c>
      <c r="K151" s="22">
        <v>4374.0</v>
      </c>
      <c r="L151" s="23">
        <v>22.3</v>
      </c>
    </row>
    <row r="152">
      <c r="B152" s="24"/>
      <c r="C152" s="21" t="s">
        <v>45</v>
      </c>
      <c r="D152" s="22">
        <v>80771.0</v>
      </c>
      <c r="E152" s="22">
        <v>2978.0</v>
      </c>
      <c r="F152" s="23">
        <v>27.1</v>
      </c>
      <c r="G152" s="22">
        <v>17961.0</v>
      </c>
      <c r="H152" s="22">
        <v>1260.0</v>
      </c>
      <c r="I152" s="23">
        <v>14.3</v>
      </c>
      <c r="J152" s="22">
        <v>98732.0</v>
      </c>
      <c r="K152" s="22">
        <v>4238.0</v>
      </c>
      <c r="L152" s="23">
        <v>23.3</v>
      </c>
    </row>
    <row r="153">
      <c r="B153" s="24"/>
      <c r="C153" s="21" t="s">
        <v>47</v>
      </c>
      <c r="D153" s="22">
        <v>83687.0</v>
      </c>
      <c r="E153" s="22">
        <v>3173.0</v>
      </c>
      <c r="F153" s="23">
        <v>26.4</v>
      </c>
      <c r="G153" s="22">
        <v>17371.0</v>
      </c>
      <c r="H153" s="22">
        <v>1362.0</v>
      </c>
      <c r="I153" s="23">
        <v>12.8</v>
      </c>
      <c r="J153" s="22">
        <v>101058.0</v>
      </c>
      <c r="K153" s="22">
        <v>4535.0</v>
      </c>
      <c r="L153" s="23">
        <v>22.3</v>
      </c>
    </row>
    <row r="154">
      <c r="B154" s="24"/>
      <c r="C154" s="21" t="s">
        <v>48</v>
      </c>
      <c r="D154" s="22">
        <v>84619.0</v>
      </c>
      <c r="E154" s="22">
        <v>3142.0</v>
      </c>
      <c r="F154" s="23">
        <v>26.9</v>
      </c>
      <c r="G154" s="22">
        <v>17050.0</v>
      </c>
      <c r="H154" s="22">
        <v>1129.0</v>
      </c>
      <c r="I154" s="23">
        <v>15.1</v>
      </c>
      <c r="J154" s="22">
        <v>101669.0</v>
      </c>
      <c r="K154" s="22">
        <v>4271.0</v>
      </c>
      <c r="L154" s="23">
        <v>23.8</v>
      </c>
    </row>
    <row r="155">
      <c r="B155" s="24"/>
      <c r="C155" s="21" t="s">
        <v>50</v>
      </c>
      <c r="D155" s="22">
        <v>81712.0</v>
      </c>
      <c r="E155" s="22">
        <v>4002.0</v>
      </c>
      <c r="F155" s="23">
        <v>20.4</v>
      </c>
      <c r="G155" s="22">
        <v>16810.0</v>
      </c>
      <c r="H155" s="22">
        <v>1307.0</v>
      </c>
      <c r="I155" s="23">
        <v>12.9</v>
      </c>
      <c r="J155" s="22">
        <v>98522.0</v>
      </c>
      <c r="K155" s="22">
        <v>5309.0</v>
      </c>
      <c r="L155" s="23">
        <v>18.6</v>
      </c>
    </row>
    <row r="156">
      <c r="B156" s="24"/>
      <c r="C156" s="21" t="s">
        <v>52</v>
      </c>
      <c r="D156" s="22">
        <v>82113.0</v>
      </c>
      <c r="E156" s="22">
        <v>3446.0</v>
      </c>
      <c r="F156" s="23">
        <v>23.8</v>
      </c>
      <c r="G156" s="22">
        <v>17307.0</v>
      </c>
      <c r="H156" s="22">
        <v>1197.0</v>
      </c>
      <c r="I156" s="23">
        <v>14.5</v>
      </c>
      <c r="J156" s="22">
        <v>99420.0</v>
      </c>
      <c r="K156" s="22">
        <v>4643.0</v>
      </c>
      <c r="L156" s="23">
        <v>21.4</v>
      </c>
    </row>
    <row r="157">
      <c r="B157" s="24"/>
      <c r="C157" s="21" t="s">
        <v>54</v>
      </c>
      <c r="D157" s="22">
        <v>85144.0</v>
      </c>
      <c r="E157" s="22">
        <v>3506.0</v>
      </c>
      <c r="F157" s="23">
        <v>24.3</v>
      </c>
      <c r="G157" s="22">
        <v>16552.0</v>
      </c>
      <c r="H157" s="22">
        <v>1110.0</v>
      </c>
      <c r="I157" s="23">
        <v>14.9</v>
      </c>
      <c r="J157" s="22">
        <v>101696.0</v>
      </c>
      <c r="K157" s="22">
        <v>4616.0</v>
      </c>
      <c r="L157" s="23">
        <v>22.0</v>
      </c>
    </row>
    <row r="158">
      <c r="B158" s="24"/>
      <c r="C158" s="21" t="s">
        <v>55</v>
      </c>
      <c r="D158" s="22">
        <v>85929.0</v>
      </c>
      <c r="E158" s="22">
        <v>3794.0</v>
      </c>
      <c r="F158" s="23">
        <v>22.6</v>
      </c>
      <c r="G158" s="22">
        <v>16623.0</v>
      </c>
      <c r="H158" s="22">
        <v>1222.0</v>
      </c>
      <c r="I158" s="23">
        <v>13.6</v>
      </c>
      <c r="J158" s="22">
        <v>102552.0</v>
      </c>
      <c r="K158" s="22">
        <v>5016.0</v>
      </c>
      <c r="L158" s="23">
        <v>20.4</v>
      </c>
    </row>
    <row r="159">
      <c r="B159" s="24"/>
      <c r="C159" s="21" t="s">
        <v>56</v>
      </c>
      <c r="D159" s="22">
        <v>85143.0</v>
      </c>
      <c r="E159" s="22">
        <v>4392.0</v>
      </c>
      <c r="F159" s="23">
        <v>19.4</v>
      </c>
      <c r="G159" s="22">
        <v>16972.0</v>
      </c>
      <c r="H159" s="28">
        <v>950.0</v>
      </c>
      <c r="I159" s="23">
        <v>17.9</v>
      </c>
      <c r="J159" s="22">
        <v>102115.0</v>
      </c>
      <c r="K159" s="22">
        <v>5342.0</v>
      </c>
      <c r="L159" s="23">
        <v>19.1</v>
      </c>
    </row>
    <row r="160">
      <c r="B160" s="20">
        <v>2017.0</v>
      </c>
      <c r="C160" s="21" t="s">
        <v>41</v>
      </c>
      <c r="D160" s="22">
        <v>88335.0</v>
      </c>
      <c r="E160" s="22">
        <v>3290.0</v>
      </c>
      <c r="F160" s="23">
        <v>26.8</v>
      </c>
      <c r="G160" s="22">
        <v>18086.0</v>
      </c>
      <c r="H160" s="22">
        <v>1058.0</v>
      </c>
      <c r="I160" s="23">
        <v>17.1</v>
      </c>
      <c r="J160" s="22">
        <v>106421.0</v>
      </c>
      <c r="K160" s="22">
        <v>4348.0</v>
      </c>
      <c r="L160" s="23">
        <v>24.5</v>
      </c>
    </row>
    <row r="161">
      <c r="B161" s="24"/>
      <c r="C161" s="21" t="s">
        <v>42</v>
      </c>
      <c r="D161" s="22">
        <v>88050.0</v>
      </c>
      <c r="E161" s="22">
        <v>3365.0</v>
      </c>
      <c r="F161" s="23">
        <v>26.2</v>
      </c>
      <c r="G161" s="22">
        <v>18191.0</v>
      </c>
      <c r="H161" s="22">
        <v>1045.0</v>
      </c>
      <c r="I161" s="23">
        <v>17.4</v>
      </c>
      <c r="J161" s="22">
        <v>106241.0</v>
      </c>
      <c r="K161" s="22">
        <v>4410.0</v>
      </c>
      <c r="L161" s="23">
        <v>24.1</v>
      </c>
    </row>
    <row r="162">
      <c r="B162" s="24"/>
      <c r="C162" s="21" t="s">
        <v>43</v>
      </c>
      <c r="D162" s="22">
        <v>88048.0</v>
      </c>
      <c r="E162" s="22">
        <v>4483.0</v>
      </c>
      <c r="F162" s="23">
        <v>19.6</v>
      </c>
      <c r="G162" s="22">
        <v>18076.0</v>
      </c>
      <c r="H162" s="22">
        <v>1376.0</v>
      </c>
      <c r="I162" s="23">
        <v>13.1</v>
      </c>
      <c r="J162" s="22">
        <v>106124.0</v>
      </c>
      <c r="K162" s="22">
        <v>5859.0</v>
      </c>
      <c r="L162" s="23">
        <v>18.1</v>
      </c>
    </row>
    <row r="163">
      <c r="B163" s="24"/>
      <c r="C163" s="21" t="s">
        <v>44</v>
      </c>
      <c r="D163" s="22">
        <v>87078.0</v>
      </c>
      <c r="E163" s="22">
        <v>3650.0</v>
      </c>
      <c r="F163" s="23">
        <v>23.9</v>
      </c>
      <c r="G163" s="22">
        <v>18452.0</v>
      </c>
      <c r="H163" s="22">
        <v>1195.0</v>
      </c>
      <c r="I163" s="23">
        <v>15.4</v>
      </c>
      <c r="J163" s="22">
        <v>105530.0</v>
      </c>
      <c r="K163" s="22">
        <v>4845.0</v>
      </c>
      <c r="L163" s="23">
        <v>21.8</v>
      </c>
    </row>
    <row r="164">
      <c r="B164" s="24"/>
      <c r="C164" s="21" t="s">
        <v>45</v>
      </c>
      <c r="D164" s="22">
        <v>87205.0</v>
      </c>
      <c r="E164" s="22">
        <v>3971.0</v>
      </c>
      <c r="F164" s="23">
        <v>22.0</v>
      </c>
      <c r="G164" s="22">
        <v>17833.0</v>
      </c>
      <c r="H164" s="22">
        <v>1094.0</v>
      </c>
      <c r="I164" s="23">
        <v>16.3</v>
      </c>
      <c r="J164" s="22">
        <v>105038.0</v>
      </c>
      <c r="K164" s="22">
        <v>5065.0</v>
      </c>
      <c r="L164" s="23">
        <v>20.7</v>
      </c>
    </row>
    <row r="165">
      <c r="B165" s="24"/>
      <c r="C165" s="21" t="s">
        <v>47</v>
      </c>
      <c r="D165" s="22">
        <v>89532.0</v>
      </c>
      <c r="E165" s="22">
        <v>4263.0</v>
      </c>
      <c r="F165" s="23">
        <v>21.0</v>
      </c>
      <c r="G165" s="22">
        <v>16900.0</v>
      </c>
      <c r="H165" s="22">
        <v>1190.0</v>
      </c>
      <c r="I165" s="23">
        <v>14.2</v>
      </c>
      <c r="J165" s="22">
        <v>106432.0</v>
      </c>
      <c r="K165" s="22">
        <v>5453.0</v>
      </c>
      <c r="L165" s="23">
        <v>19.5</v>
      </c>
    </row>
    <row r="166">
      <c r="B166" s="24"/>
      <c r="C166" s="21" t="s">
        <v>48</v>
      </c>
      <c r="D166" s="22">
        <v>89096.0</v>
      </c>
      <c r="E166" s="22">
        <v>3951.0</v>
      </c>
      <c r="F166" s="23">
        <v>22.6</v>
      </c>
      <c r="G166" s="22">
        <v>16545.0</v>
      </c>
      <c r="H166" s="22">
        <v>1308.0</v>
      </c>
      <c r="I166" s="23">
        <v>12.6</v>
      </c>
      <c r="J166" s="22">
        <v>105641.0</v>
      </c>
      <c r="K166" s="22">
        <v>5259.0</v>
      </c>
      <c r="L166" s="23">
        <v>20.1</v>
      </c>
    </row>
    <row r="167">
      <c r="B167" s="24"/>
      <c r="C167" s="21" t="s">
        <v>50</v>
      </c>
      <c r="D167" s="22">
        <v>86184.0</v>
      </c>
      <c r="E167" s="22">
        <v>4012.0</v>
      </c>
      <c r="F167" s="23">
        <v>21.5</v>
      </c>
      <c r="G167" s="22">
        <v>14551.0</v>
      </c>
      <c r="H167" s="22">
        <v>1272.0</v>
      </c>
      <c r="I167" s="23">
        <v>11.4</v>
      </c>
      <c r="J167" s="22">
        <v>100735.0</v>
      </c>
      <c r="K167" s="22">
        <v>5284.0</v>
      </c>
      <c r="L167" s="23">
        <v>19.1</v>
      </c>
    </row>
    <row r="168">
      <c r="B168" s="24"/>
      <c r="C168" s="21" t="s">
        <v>52</v>
      </c>
      <c r="D168" s="22">
        <v>88498.0</v>
      </c>
      <c r="E168" s="22">
        <v>3825.0</v>
      </c>
      <c r="F168" s="23">
        <v>23.1</v>
      </c>
      <c r="G168" s="22">
        <v>14744.0</v>
      </c>
      <c r="H168" s="22">
        <v>1175.0</v>
      </c>
      <c r="I168" s="23">
        <v>12.5</v>
      </c>
      <c r="J168" s="22">
        <v>103242.0</v>
      </c>
      <c r="K168" s="22">
        <v>5000.0</v>
      </c>
      <c r="L168" s="23">
        <v>20.6</v>
      </c>
    </row>
    <row r="169">
      <c r="B169" s="24"/>
      <c r="C169" s="21" t="s">
        <v>54</v>
      </c>
      <c r="D169" s="22">
        <v>89419.0</v>
      </c>
      <c r="E169" s="22">
        <v>4446.0</v>
      </c>
      <c r="F169" s="23">
        <v>20.1</v>
      </c>
      <c r="G169" s="22">
        <v>14715.0</v>
      </c>
      <c r="H169" s="22">
        <v>1246.0</v>
      </c>
      <c r="I169" s="23">
        <v>11.8</v>
      </c>
      <c r="J169" s="22">
        <v>104134.0</v>
      </c>
      <c r="K169" s="22">
        <v>5692.0</v>
      </c>
      <c r="L169" s="23">
        <v>18.3</v>
      </c>
    </row>
    <row r="170">
      <c r="B170" s="24"/>
      <c r="C170" s="21" t="s">
        <v>55</v>
      </c>
      <c r="D170" s="22">
        <v>90374.0</v>
      </c>
      <c r="E170" s="22">
        <v>3976.0</v>
      </c>
      <c r="F170" s="23">
        <v>22.7</v>
      </c>
      <c r="G170" s="22">
        <v>14151.0</v>
      </c>
      <c r="H170" s="22">
        <v>1134.0</v>
      </c>
      <c r="I170" s="23">
        <v>12.5</v>
      </c>
      <c r="J170" s="22">
        <v>104525.0</v>
      </c>
      <c r="K170" s="22">
        <v>5110.0</v>
      </c>
      <c r="L170" s="23">
        <v>20.5</v>
      </c>
    </row>
    <row r="171">
      <c r="B171" s="24"/>
      <c r="C171" s="21" t="s">
        <v>56</v>
      </c>
      <c r="D171" s="22">
        <v>89071.0</v>
      </c>
      <c r="E171" s="22">
        <v>3438.0</v>
      </c>
      <c r="F171" s="23">
        <v>25.9</v>
      </c>
      <c r="G171" s="22">
        <v>14827.0</v>
      </c>
      <c r="H171" s="28">
        <v>943.0</v>
      </c>
      <c r="I171" s="23">
        <v>15.7</v>
      </c>
      <c r="J171" s="22">
        <v>103898.0</v>
      </c>
      <c r="K171" s="22">
        <v>4381.0</v>
      </c>
      <c r="L171" s="23">
        <v>23.7</v>
      </c>
    </row>
    <row r="172">
      <c r="B172" s="20">
        <v>2018.0</v>
      </c>
      <c r="C172" s="21" t="s">
        <v>41</v>
      </c>
      <c r="D172" s="22">
        <v>90472.0</v>
      </c>
      <c r="E172" s="22">
        <v>3318.0</v>
      </c>
      <c r="F172" s="23">
        <v>27.3</v>
      </c>
      <c r="G172" s="22">
        <v>14570.0</v>
      </c>
      <c r="H172" s="28">
        <v>849.0</v>
      </c>
      <c r="I172" s="23">
        <v>17.2</v>
      </c>
      <c r="J172" s="22">
        <v>105042.0</v>
      </c>
      <c r="K172" s="22">
        <v>4167.0</v>
      </c>
      <c r="L172" s="23">
        <v>25.2</v>
      </c>
    </row>
    <row r="173">
      <c r="B173" s="24"/>
      <c r="C173" s="21" t="s">
        <v>42</v>
      </c>
      <c r="D173" s="22">
        <v>90106.0</v>
      </c>
      <c r="E173" s="22">
        <v>3480.0</v>
      </c>
      <c r="F173" s="23">
        <v>25.9</v>
      </c>
      <c r="G173" s="22">
        <v>14410.0</v>
      </c>
      <c r="H173" s="28">
        <v>992.0</v>
      </c>
      <c r="I173" s="23">
        <v>14.5</v>
      </c>
      <c r="J173" s="22">
        <v>104516.0</v>
      </c>
      <c r="K173" s="22">
        <v>4472.0</v>
      </c>
      <c r="L173" s="23">
        <v>23.4</v>
      </c>
    </row>
    <row r="174">
      <c r="B174" s="24"/>
      <c r="C174" s="21" t="s">
        <v>43</v>
      </c>
      <c r="D174" s="22">
        <v>87611.0</v>
      </c>
      <c r="E174" s="22">
        <v>4391.0</v>
      </c>
      <c r="F174" s="23">
        <v>20.0</v>
      </c>
      <c r="G174" s="22">
        <v>15133.0</v>
      </c>
      <c r="H174" s="22">
        <v>1017.0</v>
      </c>
      <c r="I174" s="23">
        <v>14.9</v>
      </c>
      <c r="J174" s="22">
        <v>102744.0</v>
      </c>
      <c r="K174" s="22">
        <v>5408.0</v>
      </c>
      <c r="L174" s="23">
        <v>19.0</v>
      </c>
    </row>
    <row r="175">
      <c r="B175" s="24"/>
      <c r="C175" s="21" t="s">
        <v>44</v>
      </c>
      <c r="D175" s="22">
        <v>88572.0</v>
      </c>
      <c r="E175" s="22">
        <v>4187.0</v>
      </c>
      <c r="F175" s="23">
        <v>21.2</v>
      </c>
      <c r="G175" s="22">
        <v>14193.0</v>
      </c>
      <c r="H175" s="22">
        <v>1220.0</v>
      </c>
      <c r="I175" s="23">
        <v>11.6</v>
      </c>
      <c r="J175" s="22">
        <v>102765.0</v>
      </c>
      <c r="K175" s="22">
        <v>5407.0</v>
      </c>
      <c r="L175" s="23">
        <v>19.0</v>
      </c>
    </row>
    <row r="176">
      <c r="B176" s="24"/>
      <c r="C176" s="21" t="s">
        <v>45</v>
      </c>
      <c r="D176" s="22">
        <v>86851.0</v>
      </c>
      <c r="E176" s="22">
        <v>4586.0</v>
      </c>
      <c r="F176" s="23">
        <v>18.9</v>
      </c>
      <c r="G176" s="22">
        <v>13818.0</v>
      </c>
      <c r="H176" s="22">
        <v>1211.0</v>
      </c>
      <c r="I176" s="23">
        <v>11.4</v>
      </c>
      <c r="J176" s="22">
        <v>100669.0</v>
      </c>
      <c r="K176" s="22">
        <v>5797.0</v>
      </c>
      <c r="L176" s="23">
        <v>17.4</v>
      </c>
    </row>
    <row r="177">
      <c r="B177" s="24"/>
      <c r="C177" s="21" t="s">
        <v>47</v>
      </c>
      <c r="D177" s="22">
        <v>86098.0</v>
      </c>
      <c r="E177" s="22">
        <v>4363.0</v>
      </c>
      <c r="F177" s="23">
        <v>19.7</v>
      </c>
      <c r="G177" s="22">
        <v>13312.0</v>
      </c>
      <c r="H177" s="22">
        <v>1038.0</v>
      </c>
      <c r="I177" s="23">
        <v>12.8</v>
      </c>
      <c r="J177" s="22">
        <v>99410.0</v>
      </c>
      <c r="K177" s="22">
        <v>5401.0</v>
      </c>
      <c r="L177" s="23">
        <v>18.4</v>
      </c>
    </row>
    <row r="178">
      <c r="B178" s="24"/>
      <c r="C178" s="30" t="s">
        <v>48</v>
      </c>
      <c r="D178" s="22">
        <v>86407.0</v>
      </c>
      <c r="E178" s="22">
        <v>4608.0</v>
      </c>
      <c r="F178" s="23">
        <v>18.8</v>
      </c>
      <c r="G178" s="22">
        <v>14329.0</v>
      </c>
      <c r="H178" s="22">
        <v>1252.0</v>
      </c>
      <c r="I178" s="23">
        <v>11.4</v>
      </c>
      <c r="J178" s="22">
        <v>100736.0</v>
      </c>
      <c r="K178" s="22">
        <v>5860.0</v>
      </c>
      <c r="L178" s="23">
        <v>17.2</v>
      </c>
    </row>
    <row r="179">
      <c r="B179" s="24"/>
      <c r="C179" s="30" t="s">
        <v>50</v>
      </c>
      <c r="D179" s="22">
        <v>85666.0</v>
      </c>
      <c r="E179" s="22">
        <v>5033.0</v>
      </c>
      <c r="F179" s="23">
        <v>17.0</v>
      </c>
      <c r="G179" s="22">
        <v>14072.0</v>
      </c>
      <c r="H179" s="22">
        <v>1360.0</v>
      </c>
      <c r="I179" s="23">
        <v>10.3</v>
      </c>
      <c r="J179" s="22">
        <v>99738.0</v>
      </c>
      <c r="K179" s="22">
        <v>6393.0</v>
      </c>
      <c r="L179" s="23">
        <v>15.6</v>
      </c>
    </row>
    <row r="180">
      <c r="B180" s="24"/>
      <c r="C180" s="30" t="s">
        <v>52</v>
      </c>
      <c r="D180" s="22">
        <v>86107.0</v>
      </c>
      <c r="E180" s="22">
        <v>3839.0</v>
      </c>
      <c r="F180" s="23">
        <v>22.4</v>
      </c>
      <c r="G180" s="22">
        <v>14253.0</v>
      </c>
      <c r="H180" s="22">
        <v>1268.0</v>
      </c>
      <c r="I180" s="23">
        <v>11.2</v>
      </c>
      <c r="J180" s="22">
        <v>100360.0</v>
      </c>
      <c r="K180" s="22">
        <v>5107.0</v>
      </c>
      <c r="L180" s="23">
        <v>19.7</v>
      </c>
    </row>
    <row r="181">
      <c r="B181" s="24"/>
      <c r="C181" s="21" t="s">
        <v>54</v>
      </c>
      <c r="D181" s="22">
        <v>86815.0</v>
      </c>
      <c r="E181" s="22">
        <v>4792.0</v>
      </c>
      <c r="F181" s="23">
        <v>18.1</v>
      </c>
      <c r="G181" s="22">
        <v>13778.0</v>
      </c>
      <c r="H181" s="22">
        <v>1278.0</v>
      </c>
      <c r="I181" s="23">
        <v>10.8</v>
      </c>
      <c r="J181" s="22">
        <v>100593.0</v>
      </c>
      <c r="K181" s="22">
        <v>6070.0</v>
      </c>
      <c r="L181" s="23">
        <v>16.6</v>
      </c>
    </row>
    <row r="182">
      <c r="B182" s="24"/>
      <c r="C182" s="21" t="s">
        <v>55</v>
      </c>
      <c r="D182" s="22">
        <v>87197.0</v>
      </c>
      <c r="E182" s="22">
        <v>4143.0</v>
      </c>
      <c r="F182" s="23">
        <v>21.0</v>
      </c>
      <c r="G182" s="22">
        <v>13504.0</v>
      </c>
      <c r="H182" s="22">
        <v>1008.0</v>
      </c>
      <c r="I182" s="23">
        <v>13.4</v>
      </c>
      <c r="J182" s="22">
        <v>100701.0</v>
      </c>
      <c r="K182" s="22">
        <v>5151.0</v>
      </c>
      <c r="L182" s="23">
        <v>19.5</v>
      </c>
    </row>
    <row r="183">
      <c r="B183" s="24"/>
      <c r="C183" s="21" t="s">
        <v>56</v>
      </c>
      <c r="D183" s="22">
        <v>87987.0</v>
      </c>
      <c r="E183" s="22">
        <v>3767.0</v>
      </c>
      <c r="F183" s="23">
        <v>23.4</v>
      </c>
      <c r="G183" s="22">
        <v>13961.0</v>
      </c>
      <c r="H183" s="22">
        <v>1054.0</v>
      </c>
      <c r="I183" s="23">
        <v>13.2</v>
      </c>
      <c r="J183" s="22">
        <v>101948.0</v>
      </c>
      <c r="K183" s="22">
        <v>4821.0</v>
      </c>
      <c r="L183" s="23">
        <v>21.1</v>
      </c>
    </row>
    <row r="184">
      <c r="B184" s="20">
        <v>2019.0</v>
      </c>
      <c r="C184" s="21" t="s">
        <v>41</v>
      </c>
      <c r="D184" s="22">
        <v>90486.0</v>
      </c>
      <c r="E184" s="22">
        <v>4157.0</v>
      </c>
      <c r="F184" s="23">
        <v>21.8</v>
      </c>
      <c r="G184" s="22">
        <v>14054.0</v>
      </c>
      <c r="H184" s="28">
        <v>941.0</v>
      </c>
      <c r="I184" s="23">
        <v>14.9</v>
      </c>
      <c r="J184" s="22">
        <v>104540.0</v>
      </c>
      <c r="K184" s="22">
        <v>5098.0</v>
      </c>
      <c r="L184" s="23">
        <v>20.5</v>
      </c>
    </row>
    <row r="185">
      <c r="B185" s="24"/>
      <c r="C185" s="21" t="s">
        <v>42</v>
      </c>
      <c r="D185" s="22">
        <v>91909.0</v>
      </c>
      <c r="E185" s="22">
        <v>3780.0</v>
      </c>
      <c r="F185" s="23">
        <v>24.3</v>
      </c>
      <c r="G185" s="22">
        <v>13713.0</v>
      </c>
      <c r="H185" s="22">
        <v>1195.0</v>
      </c>
      <c r="I185" s="23">
        <v>11.5</v>
      </c>
      <c r="J185" s="22">
        <v>105622.0</v>
      </c>
      <c r="K185" s="22">
        <v>4975.0</v>
      </c>
      <c r="L185" s="23">
        <v>21.2</v>
      </c>
    </row>
    <row r="186">
      <c r="B186" s="24"/>
      <c r="C186" s="21" t="s">
        <v>43</v>
      </c>
      <c r="D186" s="22">
        <v>91003.0</v>
      </c>
      <c r="E186" s="22">
        <v>4706.0</v>
      </c>
      <c r="F186" s="23">
        <v>19.3</v>
      </c>
      <c r="G186" s="22">
        <v>13349.0</v>
      </c>
      <c r="H186" s="22">
        <v>1485.0</v>
      </c>
      <c r="I186" s="23">
        <v>9.0</v>
      </c>
      <c r="J186" s="22">
        <v>104352.0</v>
      </c>
      <c r="K186" s="22">
        <v>6191.0</v>
      </c>
      <c r="L186" s="23">
        <v>16.9</v>
      </c>
    </row>
    <row r="187">
      <c r="B187" s="24"/>
      <c r="C187" s="21" t="s">
        <v>44</v>
      </c>
      <c r="D187" s="22">
        <v>90577.0</v>
      </c>
      <c r="E187" s="22">
        <v>4413.0</v>
      </c>
      <c r="F187" s="23">
        <v>20.5</v>
      </c>
      <c r="G187" s="22">
        <v>13881.0</v>
      </c>
      <c r="H187" s="22">
        <v>1300.0</v>
      </c>
      <c r="I187" s="23">
        <v>10.7</v>
      </c>
      <c r="J187" s="22">
        <v>104458.0</v>
      </c>
      <c r="K187" s="22">
        <v>5713.0</v>
      </c>
      <c r="L187" s="23">
        <v>18.3</v>
      </c>
    </row>
    <row r="188">
      <c r="B188" s="24"/>
      <c r="C188" s="21" t="s">
        <v>45</v>
      </c>
      <c r="D188" s="22">
        <v>91644.0</v>
      </c>
      <c r="E188" s="22">
        <v>4208.0</v>
      </c>
      <c r="F188" s="23">
        <v>21.8</v>
      </c>
      <c r="G188" s="22">
        <v>13722.0</v>
      </c>
      <c r="H188" s="22">
        <v>1310.0</v>
      </c>
      <c r="I188" s="23">
        <v>10.5</v>
      </c>
      <c r="J188" s="22">
        <v>105366.0</v>
      </c>
      <c r="K188" s="22">
        <v>5518.0</v>
      </c>
      <c r="L188" s="23">
        <v>19.1</v>
      </c>
    </row>
    <row r="189">
      <c r="B189" s="24"/>
      <c r="C189" s="21" t="s">
        <v>47</v>
      </c>
      <c r="D189" s="22">
        <v>91200.0</v>
      </c>
      <c r="E189" s="22">
        <v>4797.0</v>
      </c>
      <c r="F189" s="23">
        <v>19.0</v>
      </c>
      <c r="G189" s="22">
        <v>14772.0</v>
      </c>
      <c r="H189" s="22">
        <v>1159.0</v>
      </c>
      <c r="I189" s="23">
        <v>12.7</v>
      </c>
      <c r="J189" s="22">
        <v>105972.0</v>
      </c>
      <c r="K189" s="22">
        <v>5956.0</v>
      </c>
      <c r="L189" s="23">
        <v>17.8</v>
      </c>
    </row>
    <row r="190">
      <c r="B190" s="24"/>
      <c r="C190" s="21" t="s">
        <v>48</v>
      </c>
      <c r="D190" s="22">
        <v>85915.0</v>
      </c>
      <c r="E190" s="22">
        <v>4395.0</v>
      </c>
      <c r="F190" s="23">
        <v>19.5</v>
      </c>
      <c r="G190" s="22">
        <v>15272.0</v>
      </c>
      <c r="H190" s="22">
        <v>1259.0</v>
      </c>
      <c r="I190" s="23">
        <v>12.1</v>
      </c>
      <c r="J190" s="22">
        <v>101187.0</v>
      </c>
      <c r="K190" s="22">
        <v>5654.0</v>
      </c>
      <c r="L190" s="23">
        <v>17.9</v>
      </c>
    </row>
    <row r="191">
      <c r="B191" s="24"/>
      <c r="C191" s="21" t="s">
        <v>50</v>
      </c>
      <c r="D191" s="22">
        <v>85822.0</v>
      </c>
      <c r="E191" s="22">
        <v>4438.0</v>
      </c>
      <c r="F191" s="23">
        <v>19.3</v>
      </c>
      <c r="G191" s="22">
        <v>15371.0</v>
      </c>
      <c r="H191" s="22">
        <v>1563.0</v>
      </c>
      <c r="I191" s="23">
        <v>9.8</v>
      </c>
      <c r="J191" s="22">
        <v>101193.0</v>
      </c>
      <c r="K191" s="22">
        <v>6001.0</v>
      </c>
      <c r="L191" s="23">
        <v>16.9</v>
      </c>
    </row>
    <row r="192">
      <c r="B192" s="24"/>
      <c r="C192" s="21" t="s">
        <v>52</v>
      </c>
      <c r="D192" s="22">
        <v>85706.0</v>
      </c>
      <c r="E192" s="22">
        <v>4021.0</v>
      </c>
      <c r="F192" s="23">
        <v>21.3</v>
      </c>
      <c r="G192" s="22">
        <v>15056.0</v>
      </c>
      <c r="H192" s="22">
        <v>1299.0</v>
      </c>
      <c r="I192" s="23">
        <v>11.6</v>
      </c>
      <c r="J192" s="22">
        <v>100762.0</v>
      </c>
      <c r="K192" s="22">
        <v>5320.0</v>
      </c>
      <c r="L192" s="23">
        <v>18.9</v>
      </c>
    </row>
    <row r="193">
      <c r="B193" s="24"/>
      <c r="C193" s="21" t="s">
        <v>54</v>
      </c>
      <c r="D193" s="22">
        <v>86211.0</v>
      </c>
      <c r="E193" s="22">
        <v>3809.0</v>
      </c>
      <c r="F193" s="23">
        <v>22.6</v>
      </c>
      <c r="G193" s="22">
        <v>14104.0</v>
      </c>
      <c r="H193" s="22">
        <v>1570.0</v>
      </c>
      <c r="I193" s="23">
        <v>9.0</v>
      </c>
      <c r="J193" s="22">
        <v>100315.0</v>
      </c>
      <c r="K193" s="22">
        <v>5379.0</v>
      </c>
      <c r="L193" s="23">
        <v>18.6</v>
      </c>
    </row>
    <row r="194">
      <c r="B194" s="24"/>
      <c r="C194" s="21" t="s">
        <v>55</v>
      </c>
      <c r="D194" s="22">
        <v>85853.0</v>
      </c>
      <c r="E194" s="22">
        <v>2750.0</v>
      </c>
      <c r="F194" s="23">
        <v>31.2</v>
      </c>
      <c r="G194" s="22">
        <v>13369.0</v>
      </c>
      <c r="H194" s="22">
        <v>1077.0</v>
      </c>
      <c r="I194" s="23">
        <v>12.4</v>
      </c>
      <c r="J194" s="22">
        <v>99222.0</v>
      </c>
      <c r="K194" s="22">
        <v>3827.0</v>
      </c>
      <c r="L194" s="23">
        <v>25.9</v>
      </c>
    </row>
    <row r="195">
      <c r="B195" s="24"/>
      <c r="C195" s="21" t="s">
        <v>56</v>
      </c>
      <c r="D195" s="22">
        <v>86291.0</v>
      </c>
      <c r="E195" s="22">
        <v>2573.0</v>
      </c>
      <c r="F195" s="23">
        <v>33.5</v>
      </c>
      <c r="G195" s="22">
        <v>13233.0</v>
      </c>
      <c r="H195" s="28">
        <v>773.0</v>
      </c>
      <c r="I195" s="23">
        <v>17.1</v>
      </c>
      <c r="J195" s="22">
        <v>99524.0</v>
      </c>
      <c r="K195" s="22">
        <v>3346.0</v>
      </c>
      <c r="L195" s="23">
        <v>29.7</v>
      </c>
    </row>
    <row r="196">
      <c r="B196" s="20">
        <v>2020.0</v>
      </c>
      <c r="C196" s="21" t="s">
        <v>41</v>
      </c>
      <c r="D196" s="22">
        <v>84871.0</v>
      </c>
      <c r="E196" s="22">
        <v>2441.0</v>
      </c>
      <c r="F196" s="23">
        <v>34.8</v>
      </c>
      <c r="G196" s="22">
        <v>12604.0</v>
      </c>
      <c r="H196" s="28">
        <v>648.0</v>
      </c>
      <c r="I196" s="23">
        <v>19.5</v>
      </c>
      <c r="J196" s="22">
        <v>97475.0</v>
      </c>
      <c r="K196" s="22">
        <v>3089.0</v>
      </c>
      <c r="L196" s="23">
        <v>31.6</v>
      </c>
    </row>
    <row r="197">
      <c r="B197" s="24"/>
      <c r="C197" s="21" t="s">
        <v>42</v>
      </c>
      <c r="D197" s="22">
        <v>84267.0</v>
      </c>
      <c r="E197" s="22">
        <v>2289.0</v>
      </c>
      <c r="F197" s="23">
        <v>36.8</v>
      </c>
      <c r="G197" s="22">
        <v>11950.0</v>
      </c>
      <c r="H197" s="22">
        <v>1174.0</v>
      </c>
      <c r="I197" s="23">
        <v>10.2</v>
      </c>
      <c r="J197" s="22">
        <v>96217.0</v>
      </c>
      <c r="K197" s="22">
        <v>3463.0</v>
      </c>
      <c r="L197" s="23">
        <v>27.8</v>
      </c>
    </row>
    <row r="198">
      <c r="B198" s="24"/>
      <c r="C198" s="21" t="s">
        <v>43</v>
      </c>
      <c r="D198" s="22">
        <v>85319.0</v>
      </c>
      <c r="E198" s="22">
        <v>1940.0</v>
      </c>
      <c r="F198" s="23">
        <v>44.0</v>
      </c>
      <c r="G198" s="22">
        <v>12656.0</v>
      </c>
      <c r="H198" s="22">
        <v>1178.0</v>
      </c>
      <c r="I198" s="23">
        <v>10.7</v>
      </c>
      <c r="J198" s="22">
        <v>97975.0</v>
      </c>
      <c r="K198" s="22">
        <v>3118.0</v>
      </c>
      <c r="L198" s="23">
        <v>31.4</v>
      </c>
    </row>
    <row r="199">
      <c r="B199" s="24"/>
      <c r="C199" s="21" t="s">
        <v>44</v>
      </c>
      <c r="D199" s="22">
        <v>86181.0</v>
      </c>
      <c r="E199" s="22">
        <v>1496.0</v>
      </c>
      <c r="F199" s="23">
        <v>57.6</v>
      </c>
      <c r="G199" s="22">
        <v>12137.0</v>
      </c>
      <c r="H199" s="28">
        <v>673.0</v>
      </c>
      <c r="I199" s="23">
        <v>18.0</v>
      </c>
      <c r="J199" s="22">
        <v>98318.0</v>
      </c>
      <c r="K199" s="22">
        <v>2169.0</v>
      </c>
      <c r="L199" s="23">
        <v>45.3</v>
      </c>
    </row>
    <row r="200">
      <c r="B200" s="24"/>
      <c r="C200" s="21" t="s">
        <v>45</v>
      </c>
      <c r="D200" s="22">
        <v>86003.0</v>
      </c>
      <c r="E200" s="22">
        <v>1414.0</v>
      </c>
      <c r="F200" s="23">
        <v>60.8</v>
      </c>
      <c r="G200" s="22">
        <v>12834.0</v>
      </c>
      <c r="H200" s="28">
        <v>772.0</v>
      </c>
      <c r="I200" s="23">
        <v>16.6</v>
      </c>
      <c r="J200" s="22">
        <v>98837.0</v>
      </c>
      <c r="K200" s="22">
        <v>2186.0</v>
      </c>
      <c r="L200" s="23">
        <v>45.2</v>
      </c>
    </row>
    <row r="201">
      <c r="B201" s="24"/>
      <c r="C201" s="21" t="s">
        <v>47</v>
      </c>
      <c r="D201" s="22">
        <v>89489.0</v>
      </c>
      <c r="E201" s="22">
        <v>2084.0</v>
      </c>
      <c r="F201" s="23">
        <v>42.9</v>
      </c>
      <c r="G201" s="22">
        <v>13043.0</v>
      </c>
      <c r="H201" s="28">
        <v>879.0</v>
      </c>
      <c r="I201" s="23">
        <v>14.8</v>
      </c>
      <c r="J201" s="22">
        <v>102532.0</v>
      </c>
      <c r="K201" s="22">
        <v>2963.0</v>
      </c>
      <c r="L201" s="23">
        <v>34.6</v>
      </c>
    </row>
    <row r="202">
      <c r="B202" s="24"/>
      <c r="C202" s="21" t="s">
        <v>48</v>
      </c>
      <c r="D202" s="22">
        <v>89879.0</v>
      </c>
      <c r="E202" s="22">
        <v>2763.0</v>
      </c>
      <c r="F202" s="23">
        <v>32.5</v>
      </c>
      <c r="G202" s="22">
        <v>12622.0</v>
      </c>
      <c r="H202" s="22">
        <v>1034.0</v>
      </c>
      <c r="I202" s="23">
        <v>12.2</v>
      </c>
      <c r="J202" s="22">
        <v>102501.0</v>
      </c>
      <c r="K202" s="22">
        <v>3797.0</v>
      </c>
      <c r="L202" s="23">
        <v>27.0</v>
      </c>
    </row>
    <row r="203">
      <c r="B203" s="24"/>
      <c r="C203" s="21" t="s">
        <v>50</v>
      </c>
      <c r="D203" s="22">
        <v>90365.0</v>
      </c>
      <c r="E203" s="22">
        <v>3407.0</v>
      </c>
      <c r="F203" s="23">
        <v>26.5</v>
      </c>
      <c r="G203" s="22">
        <v>12220.0</v>
      </c>
      <c r="H203" s="22">
        <v>1096.0</v>
      </c>
      <c r="I203" s="23">
        <v>11.1</v>
      </c>
      <c r="J203" s="22">
        <v>102585.0</v>
      </c>
      <c r="K203" s="22">
        <v>4503.0</v>
      </c>
      <c r="L203" s="23">
        <v>22.8</v>
      </c>
    </row>
    <row r="204">
      <c r="B204" s="24"/>
      <c r="C204" s="21" t="s">
        <v>52</v>
      </c>
      <c r="D204" s="22">
        <v>89535.0</v>
      </c>
      <c r="E204" s="22">
        <v>3643.0</v>
      </c>
      <c r="F204" s="23">
        <v>24.6</v>
      </c>
      <c r="G204" s="22">
        <v>11364.0</v>
      </c>
      <c r="H204" s="22">
        <v>1222.0</v>
      </c>
      <c r="I204" s="23">
        <v>9.3</v>
      </c>
      <c r="J204" s="22">
        <v>100899.0</v>
      </c>
      <c r="K204" s="22">
        <v>4865.0</v>
      </c>
      <c r="L204" s="23">
        <v>20.7</v>
      </c>
    </row>
    <row r="205">
      <c r="B205" s="24"/>
      <c r="C205" s="21" t="s">
        <v>54</v>
      </c>
      <c r="D205" s="22">
        <v>89049.0</v>
      </c>
      <c r="E205" s="22">
        <v>4542.0</v>
      </c>
      <c r="F205" s="23">
        <v>19.6</v>
      </c>
      <c r="G205" s="22">
        <v>11038.0</v>
      </c>
      <c r="H205" s="22">
        <v>1554.0</v>
      </c>
      <c r="I205" s="23">
        <v>7.1</v>
      </c>
      <c r="J205" s="22">
        <v>100087.0</v>
      </c>
      <c r="K205" s="22">
        <v>6096.0</v>
      </c>
      <c r="L205" s="23">
        <v>16.4</v>
      </c>
    </row>
    <row r="206">
      <c r="B206" s="24"/>
      <c r="C206" s="21" t="s">
        <v>55</v>
      </c>
      <c r="D206" s="22">
        <v>90042.0</v>
      </c>
      <c r="E206" s="22">
        <v>4277.0</v>
      </c>
      <c r="F206" s="23">
        <v>21.1</v>
      </c>
      <c r="G206" s="22">
        <v>10261.0</v>
      </c>
      <c r="H206" s="22">
        <v>1640.0</v>
      </c>
      <c r="I206" s="23">
        <v>6.3</v>
      </c>
      <c r="J206" s="22">
        <v>100303.0</v>
      </c>
      <c r="K206" s="22">
        <v>5917.0</v>
      </c>
      <c r="L206" s="23">
        <v>17.0</v>
      </c>
    </row>
    <row r="207">
      <c r="B207" s="24"/>
      <c r="C207" s="21" t="s">
        <v>56</v>
      </c>
      <c r="D207" s="22">
        <v>88791.0</v>
      </c>
      <c r="E207" s="22">
        <v>3549.0</v>
      </c>
      <c r="F207" s="23">
        <v>25.0</v>
      </c>
      <c r="G207" s="22">
        <v>10352.0</v>
      </c>
      <c r="H207" s="22">
        <v>1351.0</v>
      </c>
      <c r="I207" s="23">
        <v>7.7</v>
      </c>
      <c r="J207" s="22">
        <v>99143.0</v>
      </c>
      <c r="K207" s="22">
        <v>4900.0</v>
      </c>
      <c r="L207" s="23">
        <v>20.2</v>
      </c>
    </row>
    <row r="208">
      <c r="B208" s="20">
        <v>2021.0</v>
      </c>
      <c r="C208" s="21" t="s">
        <v>41</v>
      </c>
      <c r="D208" s="22">
        <v>89207.0</v>
      </c>
      <c r="E208" s="22">
        <v>3453.0</v>
      </c>
      <c r="F208" s="23">
        <v>25.8</v>
      </c>
      <c r="G208" s="22">
        <v>10331.0</v>
      </c>
      <c r="H208" s="22">
        <v>1258.0</v>
      </c>
      <c r="I208" s="23">
        <v>8.2</v>
      </c>
      <c r="J208" s="22">
        <v>99538.0</v>
      </c>
      <c r="K208" s="22">
        <v>4711.0</v>
      </c>
      <c r="L208" s="23">
        <v>21.1</v>
      </c>
    </row>
    <row r="209">
      <c r="B209" s="24"/>
      <c r="C209" s="21" t="s">
        <v>42</v>
      </c>
      <c r="D209" s="22">
        <v>89592.0</v>
      </c>
      <c r="E209" s="22">
        <v>3751.0</v>
      </c>
      <c r="F209" s="23">
        <v>23.9</v>
      </c>
      <c r="G209" s="22">
        <v>9756.0</v>
      </c>
      <c r="H209" s="22">
        <v>1229.0</v>
      </c>
      <c r="I209" s="23">
        <v>7.9</v>
      </c>
      <c r="J209" s="22">
        <v>99348.0</v>
      </c>
      <c r="K209" s="22">
        <v>4980.0</v>
      </c>
      <c r="L209" s="23">
        <v>19.9</v>
      </c>
    </row>
    <row r="210">
      <c r="B210" s="24"/>
      <c r="C210" s="21" t="s">
        <v>43</v>
      </c>
      <c r="D210" s="22">
        <v>88231.0</v>
      </c>
      <c r="E210" s="22">
        <v>4386.0</v>
      </c>
      <c r="F210" s="23">
        <v>20.1</v>
      </c>
      <c r="G210" s="22">
        <v>9078.0</v>
      </c>
      <c r="H210" s="22">
        <v>1285.0</v>
      </c>
      <c r="I210" s="23">
        <v>7.1</v>
      </c>
      <c r="J210" s="22">
        <v>97309.0</v>
      </c>
      <c r="K210" s="22">
        <v>5671.0</v>
      </c>
      <c r="L210" s="23">
        <v>17.2</v>
      </c>
    </row>
    <row r="211">
      <c r="B211" s="24"/>
      <c r="C211" s="21" t="s">
        <v>44</v>
      </c>
      <c r="D211" s="22">
        <v>89736.0</v>
      </c>
      <c r="E211" s="22">
        <v>4564.0</v>
      </c>
      <c r="F211" s="23">
        <v>19.7</v>
      </c>
      <c r="G211" s="22">
        <v>9384.0</v>
      </c>
      <c r="H211" s="22">
        <v>1013.0</v>
      </c>
      <c r="I211" s="23">
        <v>9.3</v>
      </c>
      <c r="J211" s="22">
        <v>99120.0</v>
      </c>
      <c r="K211" s="22">
        <v>5577.0</v>
      </c>
      <c r="L211" s="23">
        <v>17.8</v>
      </c>
    </row>
    <row r="212">
      <c r="B212" s="24"/>
      <c r="C212" s="21" t="s">
        <v>45</v>
      </c>
      <c r="D212" s="22">
        <v>88876.0</v>
      </c>
      <c r="E212" s="22">
        <v>3798.0</v>
      </c>
      <c r="F212" s="23">
        <v>23.4</v>
      </c>
      <c r="G212" s="22">
        <v>9098.0</v>
      </c>
      <c r="H212" s="22">
        <v>1183.0</v>
      </c>
      <c r="I212" s="23">
        <v>7.7</v>
      </c>
      <c r="J212" s="22">
        <v>97974.0</v>
      </c>
      <c r="K212" s="22">
        <v>4981.0</v>
      </c>
      <c r="L212" s="23">
        <v>19.7</v>
      </c>
    </row>
    <row r="213">
      <c r="B213" s="24"/>
      <c r="C213" s="21" t="s">
        <v>47</v>
      </c>
      <c r="D213" s="22">
        <v>89404.0</v>
      </c>
      <c r="E213" s="22">
        <v>4148.0</v>
      </c>
      <c r="F213" s="23">
        <v>21.6</v>
      </c>
      <c r="G213" s="22">
        <v>9165.0</v>
      </c>
      <c r="H213" s="22">
        <v>1246.0</v>
      </c>
      <c r="I213" s="23">
        <v>7.4</v>
      </c>
      <c r="J213" s="22">
        <v>98569.0</v>
      </c>
      <c r="K213" s="22">
        <v>5394.0</v>
      </c>
      <c r="L213" s="23">
        <v>18.3</v>
      </c>
    </row>
    <row r="214">
      <c r="B214" s="24"/>
      <c r="C214" s="21" t="s">
        <v>48</v>
      </c>
      <c r="D214" s="22">
        <v>89862.0</v>
      </c>
      <c r="E214" s="22">
        <v>3955.0</v>
      </c>
      <c r="F214" s="23">
        <v>22.7</v>
      </c>
      <c r="G214" s="22">
        <v>10140.0</v>
      </c>
      <c r="H214" s="22">
        <v>1231.0</v>
      </c>
      <c r="I214" s="23">
        <v>8.2</v>
      </c>
      <c r="J214" s="22">
        <v>100002.0</v>
      </c>
      <c r="K214" s="22">
        <v>5186.0</v>
      </c>
      <c r="L214" s="23">
        <v>19.3</v>
      </c>
    </row>
    <row r="215">
      <c r="B215" s="24"/>
      <c r="C215" s="21" t="s">
        <v>50</v>
      </c>
      <c r="D215" s="22">
        <v>89422.0</v>
      </c>
      <c r="E215" s="22">
        <v>5008.0</v>
      </c>
      <c r="F215" s="23">
        <v>17.9</v>
      </c>
      <c r="G215" s="22">
        <v>9891.0</v>
      </c>
      <c r="H215" s="22">
        <v>1301.0</v>
      </c>
      <c r="I215" s="23">
        <v>7.6</v>
      </c>
      <c r="J215" s="22">
        <v>99313.0</v>
      </c>
      <c r="K215" s="22">
        <v>6309.0</v>
      </c>
      <c r="L215" s="23">
        <v>15.7</v>
      </c>
    </row>
    <row r="216">
      <c r="B216" s="24"/>
      <c r="C216" s="21" t="s">
        <v>52</v>
      </c>
      <c r="D216" s="22">
        <v>90491.0</v>
      </c>
      <c r="E216" s="22">
        <v>4258.0</v>
      </c>
      <c r="F216" s="23">
        <v>21.3</v>
      </c>
      <c r="G216" s="22">
        <v>10504.0</v>
      </c>
      <c r="H216" s="22">
        <v>1114.0</v>
      </c>
      <c r="I216" s="23">
        <v>9.4</v>
      </c>
      <c r="J216" s="22">
        <v>100995.0</v>
      </c>
      <c r="K216" s="22">
        <v>5372.0</v>
      </c>
      <c r="L216" s="23">
        <v>18.8</v>
      </c>
    </row>
    <row r="217">
      <c r="B217" s="24"/>
      <c r="C217" s="21" t="s">
        <v>54</v>
      </c>
      <c r="D217" s="22">
        <v>93264.0</v>
      </c>
      <c r="E217" s="22">
        <v>3693.0</v>
      </c>
      <c r="F217" s="23">
        <v>25.3</v>
      </c>
      <c r="G217" s="22">
        <v>10053.0</v>
      </c>
      <c r="H217" s="22">
        <v>1096.0</v>
      </c>
      <c r="I217" s="23">
        <v>9.2</v>
      </c>
      <c r="J217" s="22">
        <v>103317.0</v>
      </c>
      <c r="K217" s="22">
        <v>4789.0</v>
      </c>
      <c r="L217" s="23">
        <v>21.6</v>
      </c>
    </row>
    <row r="218">
      <c r="B218" s="24"/>
      <c r="C218" s="21" t="s">
        <v>55</v>
      </c>
      <c r="D218" s="22">
        <v>93740.0</v>
      </c>
      <c r="E218" s="22">
        <v>3118.0</v>
      </c>
      <c r="F218" s="23">
        <v>30.1</v>
      </c>
      <c r="G218" s="22">
        <v>9576.0</v>
      </c>
      <c r="H218" s="28">
        <v>811.0</v>
      </c>
      <c r="I218" s="23">
        <v>11.8</v>
      </c>
      <c r="J218" s="22">
        <v>103316.0</v>
      </c>
      <c r="K218" s="22">
        <v>3929.0</v>
      </c>
      <c r="L218" s="23">
        <v>26.3</v>
      </c>
    </row>
    <row r="219">
      <c r="B219" s="24"/>
      <c r="C219" s="21" t="s">
        <v>56</v>
      </c>
      <c r="D219" s="22">
        <v>93006.0</v>
      </c>
      <c r="E219" s="22">
        <v>2268.0</v>
      </c>
      <c r="F219" s="23">
        <v>41.0</v>
      </c>
      <c r="G219" s="22">
        <v>9443.0</v>
      </c>
      <c r="H219" s="28">
        <v>710.0</v>
      </c>
      <c r="I219" s="23">
        <v>13.3</v>
      </c>
      <c r="J219" s="22">
        <v>102449.0</v>
      </c>
      <c r="K219" s="22">
        <v>2978.0</v>
      </c>
      <c r="L219" s="23">
        <v>34.4</v>
      </c>
    </row>
    <row r="220">
      <c r="B220" s="20">
        <v>2022.0</v>
      </c>
      <c r="C220" s="21" t="s">
        <v>41</v>
      </c>
      <c r="D220" s="22">
        <v>87577.0</v>
      </c>
      <c r="E220" s="22">
        <v>2254.0</v>
      </c>
      <c r="F220" s="23">
        <v>38.9</v>
      </c>
      <c r="G220" s="22">
        <v>9793.0</v>
      </c>
      <c r="H220" s="28">
        <v>649.0</v>
      </c>
      <c r="I220" s="23">
        <v>15.1</v>
      </c>
      <c r="J220" s="22">
        <v>97370.0</v>
      </c>
      <c r="K220" s="22">
        <v>2903.0</v>
      </c>
      <c r="L220" s="23">
        <v>33.5</v>
      </c>
    </row>
    <row r="221">
      <c r="B221" s="24"/>
      <c r="C221" s="21" t="s">
        <v>42</v>
      </c>
      <c r="D221" s="22">
        <v>89045.0</v>
      </c>
      <c r="E221" s="22">
        <v>2146.0</v>
      </c>
      <c r="F221" s="23">
        <v>41.5</v>
      </c>
      <c r="G221" s="22">
        <v>10152.0</v>
      </c>
      <c r="H221" s="28">
        <v>622.0</v>
      </c>
      <c r="I221" s="23">
        <v>16.3</v>
      </c>
      <c r="J221" s="22">
        <v>99197.0</v>
      </c>
      <c r="K221" s="22">
        <v>2768.0</v>
      </c>
      <c r="L221" s="23">
        <v>35.8</v>
      </c>
    </row>
    <row r="222">
      <c r="B222" s="24"/>
      <c r="C222" s="21" t="s">
        <v>43</v>
      </c>
      <c r="D222" s="22">
        <v>89373.0</v>
      </c>
      <c r="E222" s="22">
        <v>2716.0</v>
      </c>
      <c r="F222" s="23">
        <v>32.9</v>
      </c>
      <c r="G222" s="22">
        <v>10246.0</v>
      </c>
      <c r="H222" s="28">
        <v>804.0</v>
      </c>
      <c r="I222" s="23">
        <v>12.7</v>
      </c>
      <c r="J222" s="22">
        <v>99619.0</v>
      </c>
      <c r="K222" s="22">
        <v>3520.0</v>
      </c>
      <c r="L222" s="23">
        <v>28.3</v>
      </c>
    </row>
    <row r="223">
      <c r="B223" s="24"/>
      <c r="C223" s="21" t="s">
        <v>44</v>
      </c>
      <c r="D223" s="22">
        <v>92318.0</v>
      </c>
      <c r="E223" s="22">
        <v>2775.0</v>
      </c>
      <c r="F223" s="23">
        <v>33.3</v>
      </c>
      <c r="G223" s="22">
        <v>10524.0</v>
      </c>
      <c r="H223" s="28">
        <v>796.0</v>
      </c>
      <c r="I223" s="23">
        <v>13.2</v>
      </c>
      <c r="J223" s="22">
        <v>102842.0</v>
      </c>
      <c r="K223" s="22">
        <v>3571.0</v>
      </c>
      <c r="L223" s="23">
        <v>28.8</v>
      </c>
    </row>
    <row r="224">
      <c r="B224" s="24"/>
      <c r="C224" s="21" t="s">
        <v>45</v>
      </c>
      <c r="D224" s="22">
        <v>90312.0</v>
      </c>
      <c r="E224" s="22">
        <v>3339.0</v>
      </c>
      <c r="F224" s="23">
        <v>27.0</v>
      </c>
      <c r="G224" s="22">
        <v>10477.0</v>
      </c>
      <c r="H224" s="28">
        <v>708.0</v>
      </c>
      <c r="I224" s="23">
        <v>14.8</v>
      </c>
      <c r="J224" s="22">
        <v>100789.0</v>
      </c>
      <c r="K224" s="22">
        <v>4047.0</v>
      </c>
      <c r="L224" s="23">
        <v>24.9</v>
      </c>
    </row>
    <row r="225">
      <c r="B225" s="24"/>
      <c r="C225" s="21" t="s">
        <v>47</v>
      </c>
      <c r="D225" s="22">
        <v>89314.0</v>
      </c>
      <c r="E225" s="22">
        <v>2756.0</v>
      </c>
      <c r="F225" s="23">
        <v>32.4</v>
      </c>
      <c r="G225" s="22">
        <v>10186.0</v>
      </c>
      <c r="H225" s="28">
        <v>634.0</v>
      </c>
      <c r="I225" s="23">
        <v>16.1</v>
      </c>
      <c r="J225" s="22">
        <v>99500.0</v>
      </c>
      <c r="K225" s="22">
        <v>3390.0</v>
      </c>
      <c r="L225" s="23">
        <v>29.4</v>
      </c>
    </row>
    <row r="226">
      <c r="B226" s="24"/>
      <c r="C226" s="21" t="s">
        <v>48</v>
      </c>
      <c r="D226" s="22">
        <v>90681.0</v>
      </c>
      <c r="E226" s="22">
        <v>3026.0</v>
      </c>
      <c r="F226" s="23">
        <v>30.0</v>
      </c>
      <c r="G226" s="22">
        <v>10081.0</v>
      </c>
      <c r="H226" s="28">
        <v>545.0</v>
      </c>
      <c r="I226" s="23">
        <v>18.5</v>
      </c>
      <c r="J226" s="22">
        <v>100762.0</v>
      </c>
      <c r="K226" s="22">
        <v>3571.0</v>
      </c>
      <c r="L226" s="23">
        <v>28.2</v>
      </c>
    </row>
    <row r="227">
      <c r="B227" s="24"/>
      <c r="C227" s="21" t="s">
        <v>50</v>
      </c>
      <c r="D227" s="22">
        <v>91154.0</v>
      </c>
      <c r="E227" s="22">
        <v>2694.0</v>
      </c>
      <c r="F227" s="23">
        <v>33.8</v>
      </c>
      <c r="G227" s="22">
        <v>9907.0</v>
      </c>
      <c r="H227" s="28">
        <v>660.0</v>
      </c>
      <c r="I227" s="23">
        <v>15.0</v>
      </c>
      <c r="J227" s="22">
        <v>101061.0</v>
      </c>
      <c r="K227" s="22">
        <v>3354.0</v>
      </c>
      <c r="L227" s="23">
        <v>30.1</v>
      </c>
    </row>
    <row r="228">
      <c r="B228" s="24"/>
      <c r="C228" s="21" t="s">
        <v>52</v>
      </c>
      <c r="D228" s="22">
        <v>91528.0</v>
      </c>
      <c r="E228" s="22">
        <v>2467.0</v>
      </c>
      <c r="F228" s="23">
        <v>37.1</v>
      </c>
      <c r="G228" s="22">
        <v>9443.0</v>
      </c>
      <c r="H228" s="28">
        <v>580.0</v>
      </c>
      <c r="I228" s="23">
        <v>16.3</v>
      </c>
      <c r="J228" s="22">
        <v>100971.0</v>
      </c>
      <c r="K228" s="22">
        <v>3047.0</v>
      </c>
      <c r="L228" s="23">
        <v>33.1</v>
      </c>
    </row>
    <row r="229">
      <c r="B229" s="24"/>
      <c r="C229" s="21" t="s">
        <v>54</v>
      </c>
      <c r="D229" s="22">
        <v>93685.0</v>
      </c>
      <c r="E229" s="22">
        <v>2891.0</v>
      </c>
      <c r="F229" s="23">
        <v>32.4</v>
      </c>
      <c r="G229" s="22">
        <v>9670.0</v>
      </c>
      <c r="H229" s="28">
        <v>487.0</v>
      </c>
      <c r="I229" s="23">
        <v>19.9</v>
      </c>
      <c r="J229" s="22">
        <v>103355.0</v>
      </c>
      <c r="K229" s="22">
        <v>3378.0</v>
      </c>
      <c r="L229" s="23">
        <v>30.6</v>
      </c>
    </row>
    <row r="230">
      <c r="B230" s="24"/>
      <c r="C230" s="21" t="s">
        <v>55</v>
      </c>
      <c r="D230" s="22">
        <v>93832.0</v>
      </c>
      <c r="E230" s="22">
        <v>2953.0</v>
      </c>
      <c r="F230" s="23">
        <v>31.8</v>
      </c>
      <c r="G230" s="22">
        <v>10805.0</v>
      </c>
      <c r="H230" s="28">
        <v>740.0</v>
      </c>
      <c r="I230" s="23">
        <v>14.6</v>
      </c>
      <c r="J230" s="22">
        <v>104637.0</v>
      </c>
      <c r="K230" s="22">
        <v>3693.0</v>
      </c>
      <c r="L230" s="23">
        <v>28.3</v>
      </c>
    </row>
    <row r="231">
      <c r="B231" s="24"/>
      <c r="C231" s="21" t="s">
        <v>56</v>
      </c>
      <c r="D231" s="22">
        <v>94659.0</v>
      </c>
      <c r="E231" s="22">
        <v>2817.0</v>
      </c>
      <c r="F231" s="23">
        <v>33.6</v>
      </c>
      <c r="G231" s="22">
        <v>10124.0</v>
      </c>
      <c r="H231" s="28">
        <v>658.0</v>
      </c>
      <c r="I231" s="23">
        <v>15.4</v>
      </c>
      <c r="J231" s="22">
        <v>104783.0</v>
      </c>
      <c r="K231" s="22">
        <v>3475.0</v>
      </c>
      <c r="L231" s="23">
        <v>30.2</v>
      </c>
    </row>
    <row r="232">
      <c r="B232" s="20">
        <v>2023.0</v>
      </c>
      <c r="C232" s="21" t="s">
        <v>41</v>
      </c>
      <c r="D232" s="22">
        <v>95968.0</v>
      </c>
      <c r="E232" s="22">
        <v>2367.0</v>
      </c>
      <c r="F232" s="23">
        <v>40.5</v>
      </c>
      <c r="G232" s="22">
        <v>10202.0</v>
      </c>
      <c r="H232" s="28">
        <v>527.0</v>
      </c>
      <c r="I232" s="23">
        <v>19.4</v>
      </c>
      <c r="J232" s="22">
        <v>106170.0</v>
      </c>
      <c r="K232" s="22">
        <v>2894.0</v>
      </c>
      <c r="L232" s="23">
        <v>36.7</v>
      </c>
    </row>
    <row r="233">
      <c r="B233" s="24"/>
      <c r="C233" s="21" t="s">
        <v>42</v>
      </c>
      <c r="D233" s="22">
        <v>95427.0</v>
      </c>
      <c r="E233" s="22">
        <v>2600.0</v>
      </c>
      <c r="F233" s="23">
        <v>36.7</v>
      </c>
      <c r="G233" s="22">
        <v>9833.0</v>
      </c>
      <c r="H233" s="28">
        <v>551.0</v>
      </c>
      <c r="I233" s="23">
        <v>17.8</v>
      </c>
      <c r="J233" s="22">
        <v>105260.0</v>
      </c>
      <c r="K233" s="22">
        <v>3151.0</v>
      </c>
      <c r="L233" s="23">
        <v>33.4</v>
      </c>
    </row>
    <row r="234">
      <c r="B234" s="24"/>
      <c r="C234" s="21" t="s">
        <v>43</v>
      </c>
      <c r="D234" s="22">
        <v>94622.0</v>
      </c>
      <c r="E234" s="22">
        <v>3156.0</v>
      </c>
      <c r="F234" s="23">
        <v>30.0</v>
      </c>
      <c r="G234" s="22">
        <v>9597.0</v>
      </c>
      <c r="H234" s="28">
        <v>644.0</v>
      </c>
      <c r="I234" s="23">
        <v>14.9</v>
      </c>
      <c r="J234" s="22">
        <v>104219.0</v>
      </c>
      <c r="K234" s="22">
        <v>3800.0</v>
      </c>
      <c r="L234" s="23">
        <v>27.4</v>
      </c>
    </row>
    <row r="235">
      <c r="B235" s="24"/>
      <c r="C235" s="21" t="s">
        <v>44</v>
      </c>
      <c r="D235" s="22">
        <v>97149.0</v>
      </c>
      <c r="E235" s="22">
        <v>3273.0</v>
      </c>
      <c r="F235" s="23">
        <v>29.7</v>
      </c>
      <c r="G235" s="22">
        <v>9671.0</v>
      </c>
      <c r="H235" s="28">
        <v>685.0</v>
      </c>
      <c r="I235" s="23">
        <v>14.1</v>
      </c>
      <c r="J235" s="22">
        <v>106820.0</v>
      </c>
      <c r="K235" s="22">
        <v>3958.0</v>
      </c>
      <c r="L235" s="23">
        <v>27.0</v>
      </c>
    </row>
    <row r="236">
      <c r="B236" s="24"/>
      <c r="C236" s="21" t="s">
        <v>45</v>
      </c>
      <c r="D236" s="22">
        <v>97391.0</v>
      </c>
      <c r="E236" s="22">
        <v>3594.0</v>
      </c>
      <c r="F236" s="23">
        <v>27.1</v>
      </c>
      <c r="G236" s="22">
        <v>9750.0</v>
      </c>
      <c r="H236" s="28">
        <v>616.0</v>
      </c>
      <c r="I236" s="23">
        <v>15.8</v>
      </c>
      <c r="J236" s="22">
        <v>107141.0</v>
      </c>
      <c r="K236" s="22">
        <v>4210.0</v>
      </c>
      <c r="L236" s="23">
        <v>25.4</v>
      </c>
    </row>
    <row r="237">
      <c r="B237" s="24"/>
      <c r="C237" s="21" t="s">
        <v>47</v>
      </c>
      <c r="D237" s="22">
        <v>97460.0</v>
      </c>
      <c r="E237" s="22">
        <v>3793.0</v>
      </c>
      <c r="F237" s="23">
        <v>25.7</v>
      </c>
      <c r="G237" s="22">
        <v>9509.0</v>
      </c>
      <c r="H237" s="28">
        <v>626.0</v>
      </c>
      <c r="I237" s="23">
        <v>15.2</v>
      </c>
      <c r="J237" s="22">
        <v>106969.0</v>
      </c>
      <c r="K237" s="22">
        <v>4419.0</v>
      </c>
      <c r="L237" s="23">
        <v>24.2</v>
      </c>
    </row>
    <row r="238">
      <c r="B238" s="24"/>
      <c r="C238" s="30" t="s">
        <v>48</v>
      </c>
      <c r="D238" s="22">
        <v>97946.0</v>
      </c>
      <c r="E238" s="22">
        <v>3773.0</v>
      </c>
      <c r="F238" s="23">
        <v>26.0</v>
      </c>
      <c r="G238" s="22">
        <v>9034.0</v>
      </c>
      <c r="H238" s="28">
        <v>721.0</v>
      </c>
      <c r="I238" s="23">
        <v>12.5</v>
      </c>
      <c r="J238" s="22">
        <v>106980.0</v>
      </c>
      <c r="K238" s="22">
        <v>4494.0</v>
      </c>
      <c r="L238" s="23">
        <v>23.8</v>
      </c>
    </row>
    <row r="239">
      <c r="B239" s="24"/>
      <c r="C239" s="30" t="s">
        <v>50</v>
      </c>
      <c r="D239" s="22">
        <v>98384.0</v>
      </c>
      <c r="E239" s="22">
        <v>3853.0</v>
      </c>
      <c r="F239" s="23">
        <v>25.5</v>
      </c>
      <c r="G239" s="22">
        <v>8809.0</v>
      </c>
      <c r="H239" s="28">
        <v>684.0</v>
      </c>
      <c r="I239" s="23">
        <v>12.9</v>
      </c>
      <c r="J239" s="22">
        <v>107193.0</v>
      </c>
      <c r="K239" s="22">
        <v>4537.0</v>
      </c>
      <c r="L239" s="23">
        <v>23.6</v>
      </c>
    </row>
    <row r="240">
      <c r="B240" s="24"/>
      <c r="C240" s="30" t="s">
        <v>52</v>
      </c>
      <c r="D240" s="22">
        <v>96633.0</v>
      </c>
      <c r="E240" s="22">
        <v>3241.0</v>
      </c>
      <c r="F240" s="23">
        <v>29.8</v>
      </c>
      <c r="G240" s="22">
        <v>8629.0</v>
      </c>
      <c r="H240" s="28">
        <v>502.0</v>
      </c>
      <c r="I240" s="23">
        <v>17.2</v>
      </c>
      <c r="J240" s="22">
        <v>105262.0</v>
      </c>
      <c r="K240" s="22">
        <v>3743.0</v>
      </c>
      <c r="L240" s="23">
        <v>28.1</v>
      </c>
    </row>
    <row r="241">
      <c r="B241" s="24"/>
      <c r="C241" s="30" t="s">
        <v>54</v>
      </c>
      <c r="D241" s="22">
        <v>96325.0</v>
      </c>
      <c r="E241" s="22">
        <v>3032.0</v>
      </c>
      <c r="F241" s="23">
        <v>31.8</v>
      </c>
      <c r="G241" s="22">
        <v>8508.0</v>
      </c>
      <c r="H241" s="28">
        <v>606.0</v>
      </c>
      <c r="I241" s="23">
        <v>14.0</v>
      </c>
      <c r="J241" s="22">
        <v>104833.0</v>
      </c>
      <c r="K241" s="22">
        <v>3638.0</v>
      </c>
      <c r="L241" s="23">
        <v>28.8</v>
      </c>
    </row>
    <row r="242">
      <c r="B242" s="24"/>
      <c r="C242" s="30" t="s">
        <v>55</v>
      </c>
      <c r="D242" s="22">
        <v>96087.0</v>
      </c>
      <c r="E242" s="22">
        <v>2702.0</v>
      </c>
      <c r="F242" s="23">
        <v>35.6</v>
      </c>
      <c r="G242" s="22">
        <v>8562.0</v>
      </c>
      <c r="H242" s="28">
        <v>491.0</v>
      </c>
      <c r="I242" s="23">
        <v>17.4</v>
      </c>
      <c r="J242" s="22">
        <v>104649.0</v>
      </c>
      <c r="K242" s="22">
        <v>3193.0</v>
      </c>
      <c r="L242" s="23">
        <v>32.8</v>
      </c>
    </row>
    <row r="243">
      <c r="B243" s="24"/>
      <c r="C243" s="30" t="s">
        <v>56</v>
      </c>
      <c r="D243" s="22">
        <v>95036.0</v>
      </c>
      <c r="E243" s="22">
        <v>2464.0</v>
      </c>
      <c r="F243" s="23">
        <v>38.6</v>
      </c>
      <c r="G243" s="22">
        <v>8382.0</v>
      </c>
      <c r="H243" s="28">
        <v>428.0</v>
      </c>
      <c r="I243" s="23">
        <v>19.6</v>
      </c>
      <c r="J243" s="22">
        <v>103418.0</v>
      </c>
      <c r="K243" s="22">
        <v>2892.0</v>
      </c>
      <c r="L243" s="23">
        <v>35.8</v>
      </c>
    </row>
    <row r="244">
      <c r="B244" s="20">
        <v>2024.0</v>
      </c>
      <c r="C244" s="30" t="s">
        <v>41</v>
      </c>
      <c r="D244" s="22">
        <v>92952.0</v>
      </c>
      <c r="E244" s="22">
        <v>2273.0</v>
      </c>
      <c r="F244" s="23">
        <v>40.9</v>
      </c>
      <c r="G244" s="22">
        <v>8574.0</v>
      </c>
      <c r="H244" s="28">
        <v>465.0</v>
      </c>
      <c r="I244" s="23">
        <v>18.4</v>
      </c>
      <c r="J244" s="22">
        <v>101526.0</v>
      </c>
      <c r="K244" s="22">
        <v>2738.0</v>
      </c>
      <c r="L244" s="23">
        <v>37.1</v>
      </c>
    </row>
    <row r="245">
      <c r="B245" s="24"/>
      <c r="C245" s="30" t="s">
        <v>42</v>
      </c>
      <c r="D245" s="22">
        <v>92669.0</v>
      </c>
      <c r="E245" s="22">
        <v>2266.0</v>
      </c>
      <c r="F245" s="23">
        <v>40.9</v>
      </c>
      <c r="G245" s="22">
        <v>8454.0</v>
      </c>
      <c r="H245" s="28">
        <v>432.0</v>
      </c>
      <c r="I245" s="23">
        <v>19.6</v>
      </c>
      <c r="J245" s="22">
        <v>101123.0</v>
      </c>
      <c r="K245" s="22">
        <v>2698.0</v>
      </c>
      <c r="L245" s="23">
        <v>37.5</v>
      </c>
    </row>
    <row r="246">
      <c r="B246" s="24"/>
      <c r="C246" s="30" t="s">
        <v>43</v>
      </c>
      <c r="D246" s="22">
        <v>92207.0</v>
      </c>
      <c r="E246" s="22">
        <v>2636.0</v>
      </c>
      <c r="F246" s="23">
        <v>35.0</v>
      </c>
      <c r="G246" s="22">
        <v>8769.0</v>
      </c>
      <c r="H246" s="28">
        <v>508.0</v>
      </c>
      <c r="I246" s="23">
        <v>17.3</v>
      </c>
      <c r="J246" s="22">
        <v>100976.0</v>
      </c>
      <c r="K246" s="22">
        <v>3144.0</v>
      </c>
      <c r="L246" s="23">
        <v>32.1</v>
      </c>
    </row>
    <row r="247">
      <c r="B247" s="24"/>
      <c r="C247" s="30" t="s">
        <v>44</v>
      </c>
      <c r="D247" s="22">
        <v>95264.0</v>
      </c>
      <c r="E247" s="22">
        <v>3148.0</v>
      </c>
      <c r="F247" s="23">
        <v>30.3</v>
      </c>
      <c r="G247" s="22">
        <v>8951.0</v>
      </c>
      <c r="H247" s="28">
        <v>556.0</v>
      </c>
      <c r="I247" s="23">
        <v>16.1</v>
      </c>
      <c r="J247" s="22">
        <v>104215.0</v>
      </c>
      <c r="K247" s="22">
        <v>3704.0</v>
      </c>
      <c r="L247" s="23">
        <v>28.1</v>
      </c>
    </row>
    <row r="248">
      <c r="B248" s="24"/>
      <c r="C248" s="30" t="s">
        <v>45</v>
      </c>
      <c r="D248" s="22">
        <v>95427.0</v>
      </c>
      <c r="E248" s="22">
        <v>2974.0</v>
      </c>
      <c r="F248" s="23">
        <v>32.1</v>
      </c>
      <c r="G248" s="22">
        <v>8887.0</v>
      </c>
      <c r="H248" s="28">
        <v>524.0</v>
      </c>
      <c r="I248" s="23">
        <v>17.0</v>
      </c>
      <c r="J248" s="22">
        <v>104314.0</v>
      </c>
      <c r="K248" s="22">
        <v>3498.0</v>
      </c>
      <c r="L248" s="23">
        <v>29.8</v>
      </c>
    </row>
    <row r="249">
      <c r="B249" s="24"/>
      <c r="C249" s="30" t="s">
        <v>47</v>
      </c>
      <c r="D249" s="22">
        <v>96109.0</v>
      </c>
      <c r="E249" s="22">
        <v>3092.0</v>
      </c>
      <c r="F249" s="23">
        <v>31.1</v>
      </c>
      <c r="G249" s="22">
        <v>8905.0</v>
      </c>
      <c r="H249" s="28">
        <v>526.0</v>
      </c>
      <c r="I249" s="23">
        <v>16.9</v>
      </c>
      <c r="J249" s="22">
        <v>105014.0</v>
      </c>
      <c r="K249" s="22">
        <v>3618.0</v>
      </c>
      <c r="L249" s="23">
        <v>29.0</v>
      </c>
    </row>
    <row r="250">
      <c r="B250" s="24"/>
      <c r="C250" s="30" t="s">
        <v>48</v>
      </c>
      <c r="D250" s="22">
        <v>95460.0</v>
      </c>
      <c r="E250" s="22">
        <v>3776.0</v>
      </c>
      <c r="F250" s="23">
        <v>25.3</v>
      </c>
      <c r="G250" s="22">
        <v>8686.0</v>
      </c>
      <c r="H250" s="28">
        <v>521.0</v>
      </c>
      <c r="I250" s="23">
        <v>16.7</v>
      </c>
      <c r="J250" s="22">
        <v>104146.0</v>
      </c>
      <c r="K250" s="22">
        <v>4297.0</v>
      </c>
      <c r="L250" s="23">
        <v>24.2</v>
      </c>
    </row>
    <row r="251">
      <c r="B251" s="24"/>
      <c r="C251" s="30" t="s">
        <v>50</v>
      </c>
      <c r="D251" s="22">
        <v>96603.0</v>
      </c>
      <c r="E251" s="22">
        <v>2635.0</v>
      </c>
      <c r="F251" s="23">
        <v>36.7</v>
      </c>
      <c r="G251" s="22">
        <v>8874.0</v>
      </c>
      <c r="H251" s="28">
        <v>518.0</v>
      </c>
      <c r="I251" s="23">
        <v>17.1</v>
      </c>
      <c r="J251" s="22">
        <v>105477.0</v>
      </c>
      <c r="K251" s="22">
        <v>3153.0</v>
      </c>
      <c r="L251" s="23">
        <v>33.5</v>
      </c>
    </row>
    <row r="252">
      <c r="B252" s="24"/>
      <c r="C252" s="30" t="s">
        <v>52</v>
      </c>
      <c r="D252" s="22">
        <v>96083.0</v>
      </c>
      <c r="E252" s="22">
        <v>2518.0</v>
      </c>
      <c r="F252" s="23">
        <v>38.2</v>
      </c>
      <c r="G252" s="22">
        <v>8926.0</v>
      </c>
      <c r="H252" s="28">
        <v>490.0</v>
      </c>
      <c r="I252" s="23">
        <v>18.2</v>
      </c>
      <c r="J252" s="22">
        <v>105009.0</v>
      </c>
      <c r="K252" s="22">
        <v>3008.0</v>
      </c>
      <c r="L252" s="23">
        <v>34.9</v>
      </c>
    </row>
    <row r="253">
      <c r="B253" s="24"/>
      <c r="C253" s="30" t="s">
        <v>54</v>
      </c>
      <c r="D253" s="22">
        <v>96427.0</v>
      </c>
      <c r="E253" s="22">
        <v>3478.0</v>
      </c>
      <c r="F253" s="23">
        <v>27.7</v>
      </c>
      <c r="G253" s="22">
        <v>9502.0</v>
      </c>
      <c r="H253" s="28">
        <v>569.0</v>
      </c>
      <c r="I253" s="23">
        <v>16.7</v>
      </c>
      <c r="J253" s="22">
        <v>105929.0</v>
      </c>
      <c r="K253" s="22">
        <v>4047.0</v>
      </c>
      <c r="L253" s="23">
        <v>26.2</v>
      </c>
    </row>
    <row r="254">
      <c r="B254" s="24"/>
      <c r="C254" s="30" t="s">
        <v>55</v>
      </c>
      <c r="D254" s="22">
        <v>95978.0</v>
      </c>
      <c r="E254" s="22">
        <v>2988.0</v>
      </c>
      <c r="F254" s="23">
        <v>32.1</v>
      </c>
      <c r="G254" s="22">
        <v>9930.0</v>
      </c>
      <c r="H254" s="28">
        <v>495.0</v>
      </c>
      <c r="I254" s="23">
        <v>20.1</v>
      </c>
      <c r="J254" s="22">
        <v>105908.0</v>
      </c>
      <c r="K254" s="22">
        <v>3483.0</v>
      </c>
      <c r="L254" s="23">
        <v>30.4</v>
      </c>
    </row>
    <row r="255">
      <c r="B255" s="24"/>
      <c r="C255" s="30" t="s">
        <v>56</v>
      </c>
      <c r="D255" s="22">
        <v>95268.0</v>
      </c>
      <c r="E255" s="22">
        <v>2802.0</v>
      </c>
      <c r="F255" s="23">
        <v>34.0</v>
      </c>
      <c r="G255" s="22">
        <v>10853.0</v>
      </c>
      <c r="H255" s="28">
        <v>525.0</v>
      </c>
      <c r="I255" s="23">
        <v>20.7</v>
      </c>
      <c r="J255" s="22">
        <v>106121.0</v>
      </c>
      <c r="K255" s="22">
        <v>3327.0</v>
      </c>
      <c r="L255" s="23">
        <v>31.9</v>
      </c>
    </row>
    <row r="256">
      <c r="B256" s="20">
        <v>2025.0</v>
      </c>
      <c r="C256" s="30" t="s">
        <v>41</v>
      </c>
      <c r="D256" s="22">
        <v>94907.0</v>
      </c>
      <c r="E256" s="22">
        <v>2496.0</v>
      </c>
      <c r="F256" s="23">
        <v>38.0</v>
      </c>
      <c r="G256" s="22">
        <v>10660.0</v>
      </c>
      <c r="H256" s="28">
        <v>545.0</v>
      </c>
      <c r="I256" s="23">
        <v>19.6</v>
      </c>
      <c r="J256" s="22">
        <v>105567.0</v>
      </c>
      <c r="K256" s="22">
        <v>3041.0</v>
      </c>
      <c r="L256" s="23">
        <v>34.7</v>
      </c>
    </row>
    <row r="257">
      <c r="B257" s="24"/>
      <c r="C257" s="30" t="s">
        <v>42</v>
      </c>
      <c r="D257" s="22">
        <v>95257.0</v>
      </c>
      <c r="E257" s="22">
        <v>2183.0</v>
      </c>
      <c r="F257" s="23">
        <v>43.6</v>
      </c>
      <c r="G257" s="22">
        <v>11123.0</v>
      </c>
      <c r="H257" s="28">
        <v>421.0</v>
      </c>
      <c r="I257" s="23">
        <v>26.4</v>
      </c>
      <c r="J257" s="22">
        <v>106380.0</v>
      </c>
      <c r="K257" s="22">
        <v>2604.0</v>
      </c>
      <c r="L257" s="23">
        <v>40.9</v>
      </c>
    </row>
    <row r="258">
      <c r="B258" s="24"/>
      <c r="C258" s="30" t="s">
        <v>43</v>
      </c>
      <c r="D258" s="22">
        <v>95922.0</v>
      </c>
      <c r="E258" s="22">
        <v>2743.0</v>
      </c>
      <c r="F258" s="23">
        <v>35.0</v>
      </c>
      <c r="G258" s="22">
        <v>11265.0</v>
      </c>
      <c r="H258" s="28">
        <v>518.0</v>
      </c>
      <c r="I258" s="23">
        <v>21.7</v>
      </c>
      <c r="J258" s="22">
        <v>107187.0</v>
      </c>
      <c r="K258" s="22">
        <v>3261.0</v>
      </c>
      <c r="L258" s="23">
        <v>32.9</v>
      </c>
    </row>
    <row r="259">
      <c r="B259" s="24"/>
      <c r="C259" s="21" t="s">
        <v>44</v>
      </c>
      <c r="D259" s="22">
        <v>95679.0</v>
      </c>
      <c r="E259" s="22">
        <v>2959.0</v>
      </c>
      <c r="F259" s="28">
        <v>32.3</v>
      </c>
      <c r="G259" s="22">
        <v>11868.0</v>
      </c>
      <c r="H259" s="28">
        <v>480.0</v>
      </c>
      <c r="I259" s="28">
        <v>24.7</v>
      </c>
      <c r="J259" s="22">
        <v>107547.0</v>
      </c>
      <c r="K259" s="22">
        <v>3439.0</v>
      </c>
      <c r="L259" s="23">
        <v>31.3</v>
      </c>
    </row>
    <row r="260">
      <c r="B260" s="24"/>
      <c r="C260" s="21" t="s">
        <v>45</v>
      </c>
      <c r="D260" s="22">
        <v>96684.0</v>
      </c>
      <c r="E260" s="22">
        <v>3033.0</v>
      </c>
      <c r="F260" s="28">
        <v>31.9</v>
      </c>
      <c r="G260" s="22">
        <v>11860.0</v>
      </c>
      <c r="H260" s="28">
        <v>516.0</v>
      </c>
      <c r="I260" s="28">
        <v>23.0</v>
      </c>
      <c r="J260" s="22">
        <v>108544.0</v>
      </c>
      <c r="K260" s="22">
        <v>3549.0</v>
      </c>
      <c r="L260" s="23">
        <v>30.6</v>
      </c>
    </row>
    <row r="261">
      <c r="B261" s="24"/>
      <c r="C261" s="21" t="s">
        <v>47</v>
      </c>
      <c r="D261" s="22">
        <v>96720.0</v>
      </c>
      <c r="E261" s="22">
        <v>3382.0</v>
      </c>
      <c r="F261" s="28">
        <v>28.6</v>
      </c>
      <c r="G261" s="22">
        <v>11908.0</v>
      </c>
      <c r="H261" s="28">
        <v>562.0</v>
      </c>
      <c r="I261" s="28">
        <v>21.2</v>
      </c>
      <c r="J261" s="22">
        <v>108628.0</v>
      </c>
      <c r="K261" s="22">
        <v>3944.0</v>
      </c>
      <c r="L261" s="23">
        <v>27.5</v>
      </c>
    </row>
    <row r="262">
      <c r="C262" s="31" t="s">
        <v>57</v>
      </c>
      <c r="D262" s="32" t="s">
        <v>58</v>
      </c>
      <c r="E262" s="33"/>
      <c r="F262" s="33"/>
      <c r="G262" s="33"/>
    </row>
  </sheetData>
  <mergeCells count="8">
    <mergeCell ref="B2:C3"/>
    <mergeCell ref="D2:F2"/>
    <mergeCell ref="G2:I2"/>
    <mergeCell ref="J2:L2"/>
    <mergeCell ref="N8:V9"/>
    <mergeCell ref="N10:V10"/>
    <mergeCell ref="N11:S11"/>
    <mergeCell ref="N12:W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20.75"/>
  </cols>
  <sheetData>
    <row r="2">
      <c r="A2" s="34" t="s">
        <v>59</v>
      </c>
    </row>
    <row r="3">
      <c r="A3" s="1" t="s">
        <v>60</v>
      </c>
      <c r="B3" s="1" t="s">
        <v>0</v>
      </c>
      <c r="C3" s="2">
        <v>2002.0</v>
      </c>
      <c r="D3" s="2">
        <v>2003.0</v>
      </c>
      <c r="E3" s="2">
        <v>2004.0</v>
      </c>
      <c r="F3" s="2">
        <v>2005.0</v>
      </c>
      <c r="G3" s="2">
        <v>2006.0</v>
      </c>
      <c r="H3" s="2">
        <v>2007.0</v>
      </c>
      <c r="I3" s="2">
        <v>2008.0</v>
      </c>
      <c r="J3" s="2">
        <v>2009.0</v>
      </c>
      <c r="K3" s="2">
        <v>2010.0</v>
      </c>
      <c r="L3" s="2">
        <v>2011.0</v>
      </c>
      <c r="M3" s="2">
        <v>2012.0</v>
      </c>
      <c r="N3" s="2">
        <v>2013.0</v>
      </c>
      <c r="O3" s="2">
        <v>2014.0</v>
      </c>
      <c r="P3" s="2">
        <v>2015.0</v>
      </c>
      <c r="Q3" s="2">
        <v>2016.0</v>
      </c>
      <c r="R3" s="2">
        <v>2017.0</v>
      </c>
      <c r="S3" s="2">
        <v>2018.0</v>
      </c>
      <c r="T3" s="2">
        <v>2019.0</v>
      </c>
      <c r="U3" s="2">
        <v>2020.0</v>
      </c>
      <c r="V3" s="2">
        <v>2021.0</v>
      </c>
      <c r="W3" s="2">
        <v>2022.0</v>
      </c>
      <c r="X3" s="2">
        <v>2023.0</v>
      </c>
      <c r="Y3" s="2">
        <v>2024.0</v>
      </c>
    </row>
    <row r="4">
      <c r="A4" s="35"/>
      <c r="B4" s="3" t="s">
        <v>61</v>
      </c>
      <c r="C4" s="36">
        <v>13963.74</v>
      </c>
      <c r="D4" s="36">
        <v>15325.32</v>
      </c>
      <c r="E4" s="36">
        <v>16617.02</v>
      </c>
      <c r="F4" s="36">
        <v>18525.83</v>
      </c>
      <c r="G4" s="36">
        <v>19888.48</v>
      </c>
      <c r="H4" s="36">
        <v>21555.32</v>
      </c>
      <c r="I4" s="36">
        <v>24178.88</v>
      </c>
      <c r="J4" s="36">
        <v>22772.09</v>
      </c>
      <c r="K4" s="36">
        <v>23222.17</v>
      </c>
      <c r="L4" s="36">
        <v>25594.85</v>
      </c>
      <c r="M4" s="36">
        <v>28128.62</v>
      </c>
      <c r="N4" s="36">
        <v>29200.35</v>
      </c>
      <c r="O4" s="36">
        <v>28398.77</v>
      </c>
      <c r="P4" s="36">
        <v>29397.74</v>
      </c>
      <c r="Q4" s="36">
        <v>28739.03</v>
      </c>
      <c r="R4" s="36">
        <v>27006.44</v>
      </c>
      <c r="S4" s="36">
        <v>28201.33</v>
      </c>
      <c r="T4" s="36">
        <v>29664.86</v>
      </c>
      <c r="U4" s="36">
        <v>26663.74</v>
      </c>
      <c r="V4" s="36">
        <v>29438.1</v>
      </c>
      <c r="W4" s="36">
        <v>30850.77</v>
      </c>
      <c r="X4" s="36">
        <v>30743.33</v>
      </c>
      <c r="Y4" s="36">
        <v>30637.68</v>
      </c>
    </row>
    <row r="7">
      <c r="A7" s="37" t="s">
        <v>62</v>
      </c>
    </row>
    <row r="8">
      <c r="A8" s="1" t="s">
        <v>60</v>
      </c>
      <c r="B8" s="38" t="s">
        <v>0</v>
      </c>
      <c r="C8" s="39">
        <v>2008.0</v>
      </c>
      <c r="D8" s="39">
        <v>2009.0</v>
      </c>
      <c r="E8" s="39">
        <v>2010.0</v>
      </c>
      <c r="F8" s="39">
        <v>2011.0</v>
      </c>
      <c r="G8" s="39">
        <v>2012.0</v>
      </c>
      <c r="H8" s="39">
        <v>2013.0</v>
      </c>
      <c r="I8" s="39">
        <v>2014.0</v>
      </c>
      <c r="J8" s="39">
        <v>2015.0</v>
      </c>
      <c r="K8" s="39">
        <v>2016.0</v>
      </c>
      <c r="L8" s="39">
        <v>2017.0</v>
      </c>
      <c r="M8" s="39">
        <v>2018.0</v>
      </c>
      <c r="N8" s="39">
        <v>2019.0</v>
      </c>
      <c r="O8" s="39">
        <v>2020.0</v>
      </c>
      <c r="P8" s="39">
        <v>2021.0</v>
      </c>
      <c r="Q8" s="39">
        <v>2022.0</v>
      </c>
      <c r="R8" s="39">
        <v>2023.0</v>
      </c>
      <c r="S8" s="39">
        <v>2024.0</v>
      </c>
    </row>
    <row r="9">
      <c r="A9" s="3"/>
      <c r="B9" s="3" t="s">
        <v>63</v>
      </c>
      <c r="C9" s="40">
        <v>150911.0</v>
      </c>
      <c r="D9" s="40">
        <v>140619.0</v>
      </c>
      <c r="E9" s="40">
        <v>96036.0</v>
      </c>
      <c r="F9" s="40">
        <v>151071.0</v>
      </c>
      <c r="G9" s="40">
        <v>117310.0</v>
      </c>
      <c r="H9" s="40">
        <v>118796.0</v>
      </c>
      <c r="I9" s="40">
        <v>150453.0</v>
      </c>
      <c r="J9" s="40">
        <v>179402.0</v>
      </c>
      <c r="K9" s="40">
        <v>122967.0</v>
      </c>
      <c r="L9" s="40">
        <v>133914.0</v>
      </c>
      <c r="M9" s="40">
        <v>150491.0</v>
      </c>
      <c r="N9" s="40">
        <v>159182.0</v>
      </c>
      <c r="O9" s="40">
        <v>123779.0</v>
      </c>
      <c r="P9" s="40">
        <v>146370.0</v>
      </c>
      <c r="Q9" s="40">
        <v>117950.0</v>
      </c>
      <c r="R9" s="40">
        <v>90589.0</v>
      </c>
      <c r="S9" s="40">
        <v>86013.0</v>
      </c>
    </row>
    <row r="11">
      <c r="A11" s="41" t="s">
        <v>64</v>
      </c>
    </row>
    <row r="12">
      <c r="A12" s="42"/>
    </row>
    <row r="14">
      <c r="A14" s="43" t="s">
        <v>65</v>
      </c>
      <c r="B14" s="44">
        <v>2013.0</v>
      </c>
      <c r="C14" s="44">
        <v>2014.0</v>
      </c>
      <c r="D14" s="44">
        <v>2015.0</v>
      </c>
      <c r="E14" s="44">
        <v>2016.0</v>
      </c>
      <c r="F14" s="44">
        <v>2017.0</v>
      </c>
      <c r="G14" s="44">
        <v>2018.0</v>
      </c>
      <c r="H14" s="44">
        <v>2019.0</v>
      </c>
      <c r="I14" s="44">
        <v>2020.0</v>
      </c>
      <c r="J14" s="44">
        <v>2021.0</v>
      </c>
      <c r="K14" s="44" t="s">
        <v>66</v>
      </c>
      <c r="L14" s="44" t="s">
        <v>67</v>
      </c>
    </row>
    <row r="15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>
      <c r="A16" s="48" t="s">
        <v>68</v>
      </c>
      <c r="B16" s="49">
        <v>857.599</v>
      </c>
      <c r="C16" s="49">
        <v>907.83</v>
      </c>
      <c r="D16" s="49">
        <v>969.042</v>
      </c>
      <c r="E16" s="49" t="s">
        <v>69</v>
      </c>
      <c r="F16" s="49" t="s">
        <v>70</v>
      </c>
      <c r="G16" s="49" t="s">
        <v>71</v>
      </c>
      <c r="H16" s="49" t="s">
        <v>72</v>
      </c>
      <c r="I16" s="49" t="s">
        <v>73</v>
      </c>
      <c r="J16" s="49" t="s">
        <v>74</v>
      </c>
      <c r="K16" s="49" t="s">
        <v>75</v>
      </c>
      <c r="L16" s="49" t="s">
        <v>76</v>
      </c>
    </row>
    <row r="17">
      <c r="A17" s="48" t="s">
        <v>77</v>
      </c>
      <c r="B17" s="50">
        <v>45721.0</v>
      </c>
      <c r="C17" s="50">
        <v>45721.0</v>
      </c>
      <c r="D17" s="50">
        <v>45721.0</v>
      </c>
      <c r="E17" s="50">
        <v>45782.0</v>
      </c>
      <c r="F17" s="50">
        <v>45752.0</v>
      </c>
      <c r="G17" s="50">
        <v>45752.0</v>
      </c>
      <c r="H17" s="50">
        <v>45782.0</v>
      </c>
      <c r="I17" s="50">
        <v>45693.0</v>
      </c>
      <c r="J17" s="50">
        <v>45752.0</v>
      </c>
      <c r="K17" s="50">
        <v>45721.0</v>
      </c>
      <c r="L17" s="50">
        <v>45721.0</v>
      </c>
    </row>
    <row r="18">
      <c r="A18" s="51" t="s">
        <v>78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</row>
    <row r="19">
      <c r="A19" s="48" t="s">
        <v>79</v>
      </c>
      <c r="B19" s="53">
        <v>536.18</v>
      </c>
      <c r="C19" s="53">
        <v>570.93</v>
      </c>
      <c r="D19" s="53">
        <v>618.419</v>
      </c>
      <c r="E19" s="53">
        <v>694.439</v>
      </c>
      <c r="F19" s="53">
        <v>780.893</v>
      </c>
      <c r="G19" s="53">
        <v>847.362</v>
      </c>
      <c r="H19" s="53">
        <v>887.976</v>
      </c>
      <c r="I19" s="53">
        <v>755.777</v>
      </c>
      <c r="J19" s="53">
        <v>905.447</v>
      </c>
      <c r="K19" s="53" t="s">
        <v>80</v>
      </c>
      <c r="L19" s="53" t="s">
        <v>81</v>
      </c>
    </row>
    <row r="20">
      <c r="A20" s="48" t="s">
        <v>82</v>
      </c>
      <c r="B20" s="54">
        <v>62.954</v>
      </c>
      <c r="C20" s="54">
        <v>64.532</v>
      </c>
      <c r="D20" s="54">
        <v>68.488</v>
      </c>
      <c r="E20" s="54">
        <v>76.889</v>
      </c>
      <c r="F20" s="54">
        <v>70.468</v>
      </c>
      <c r="G20" s="54">
        <v>72.973</v>
      </c>
      <c r="H20" s="54">
        <v>75.832</v>
      </c>
      <c r="I20" s="54">
        <v>83.122</v>
      </c>
      <c r="J20" s="54">
        <v>94.403</v>
      </c>
      <c r="K20" s="54">
        <v>100.164</v>
      </c>
      <c r="L20" s="54">
        <v>112.348</v>
      </c>
    </row>
    <row r="21">
      <c r="A21" s="48" t="s">
        <v>83</v>
      </c>
      <c r="B21" s="53">
        <v>253.301</v>
      </c>
      <c r="C21" s="53">
        <v>265.858</v>
      </c>
      <c r="D21" s="53">
        <v>276.422</v>
      </c>
      <c r="E21" s="53">
        <v>287.636</v>
      </c>
      <c r="F21" s="53">
        <v>297.628</v>
      </c>
      <c r="G21" s="53">
        <v>308.635</v>
      </c>
      <c r="H21" s="53">
        <v>324.338</v>
      </c>
      <c r="I21" s="53">
        <v>337.411</v>
      </c>
      <c r="J21" s="53">
        <v>353.461</v>
      </c>
      <c r="K21" s="53">
        <v>373.848</v>
      </c>
      <c r="L21" s="53">
        <v>390.737</v>
      </c>
    </row>
    <row r="22">
      <c r="A22" s="48" t="s">
        <v>84</v>
      </c>
      <c r="B22" s="54">
        <v>5.163</v>
      </c>
      <c r="C22" s="54">
        <v>6.51</v>
      </c>
      <c r="D22" s="54">
        <v>5.714</v>
      </c>
      <c r="E22" s="54">
        <v>6.109</v>
      </c>
      <c r="F22" s="54">
        <v>7.25</v>
      </c>
      <c r="G22" s="54">
        <v>6.783</v>
      </c>
      <c r="H22" s="54">
        <v>4.369</v>
      </c>
      <c r="I22" s="54">
        <v>4.214</v>
      </c>
      <c r="J22" s="54">
        <v>4.698</v>
      </c>
      <c r="K22" s="54">
        <v>4.748</v>
      </c>
      <c r="L22" s="54">
        <v>3.832</v>
      </c>
    </row>
    <row r="23">
      <c r="A23" s="48" t="s">
        <v>85</v>
      </c>
      <c r="B23" s="55" t="s">
        <v>86</v>
      </c>
      <c r="C23" s="55" t="s">
        <v>87</v>
      </c>
      <c r="D23" s="55" t="s">
        <v>88</v>
      </c>
      <c r="E23" s="55" t="s">
        <v>89</v>
      </c>
      <c r="F23" s="55" t="s">
        <v>90</v>
      </c>
      <c r="G23" s="55" t="s">
        <v>91</v>
      </c>
      <c r="H23" s="55" t="s">
        <v>92</v>
      </c>
      <c r="I23" s="55" t="s">
        <v>93</v>
      </c>
      <c r="J23" s="55" t="s">
        <v>94</v>
      </c>
      <c r="K23" s="55" t="s">
        <v>95</v>
      </c>
      <c r="L23" s="55" t="s">
        <v>96</v>
      </c>
    </row>
    <row r="25">
      <c r="A25" s="56" t="s">
        <v>97</v>
      </c>
    </row>
    <row r="27">
      <c r="A27" s="57" t="s">
        <v>98</v>
      </c>
    </row>
    <row r="28">
      <c r="A28" s="57" t="s">
        <v>99</v>
      </c>
    </row>
    <row r="29">
      <c r="A29" s="57" t="s">
        <v>100</v>
      </c>
    </row>
    <row r="30">
      <c r="A30" s="6" t="s">
        <v>101</v>
      </c>
    </row>
  </sheetData>
  <mergeCells count="1">
    <mergeCell ref="A14:A15"/>
  </mergeCells>
  <hyperlinks>
    <hyperlink r:id="rId1" ref="A2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9.25"/>
    <col customWidth="1" min="3" max="3" width="23.75"/>
    <col customWidth="1" min="4" max="4" width="27.13"/>
  </cols>
  <sheetData>
    <row r="1">
      <c r="A1" s="58" t="s">
        <v>102</v>
      </c>
      <c r="C1" s="59"/>
      <c r="D1" s="59"/>
    </row>
    <row r="2">
      <c r="A2" s="60"/>
      <c r="B2" s="59"/>
      <c r="C2" s="59"/>
      <c r="D2" s="59"/>
      <c r="G2" s="61" t="s">
        <v>103</v>
      </c>
    </row>
    <row r="3">
      <c r="A3" s="62" t="s">
        <v>104</v>
      </c>
      <c r="B3" s="59"/>
      <c r="C3" s="59"/>
      <c r="D3" s="59"/>
    </row>
    <row r="4">
      <c r="A4" s="63" t="s">
        <v>105</v>
      </c>
    </row>
    <row r="5">
      <c r="A5" s="60"/>
      <c r="B5" s="59"/>
      <c r="C5" s="59"/>
      <c r="D5" s="59"/>
    </row>
    <row r="6">
      <c r="A6" s="60"/>
      <c r="B6" s="59"/>
      <c r="C6" s="59"/>
      <c r="D6" s="59"/>
    </row>
    <row r="7">
      <c r="A7" s="64" t="s">
        <v>106</v>
      </c>
      <c r="B7" s="65" t="s">
        <v>107</v>
      </c>
      <c r="C7" s="65" t="s">
        <v>108</v>
      </c>
      <c r="D7" s="65" t="s">
        <v>109</v>
      </c>
    </row>
    <row r="8">
      <c r="A8" s="66" t="s">
        <v>110</v>
      </c>
      <c r="B8" s="67" t="s">
        <v>111</v>
      </c>
      <c r="C8" s="67" t="s">
        <v>111</v>
      </c>
      <c r="D8" s="67" t="s">
        <v>111</v>
      </c>
    </row>
    <row r="9">
      <c r="A9" s="66" t="s">
        <v>112</v>
      </c>
      <c r="B9" s="67" t="s">
        <v>113</v>
      </c>
      <c r="C9" s="67" t="s">
        <v>113</v>
      </c>
      <c r="D9" s="67" t="s">
        <v>113</v>
      </c>
    </row>
    <row r="10">
      <c r="A10" s="66" t="s">
        <v>114</v>
      </c>
      <c r="B10" s="67" t="s">
        <v>115</v>
      </c>
      <c r="C10" s="67" t="s">
        <v>115</v>
      </c>
      <c r="D10" s="67" t="s">
        <v>115</v>
      </c>
    </row>
    <row r="11">
      <c r="A11" s="66" t="s">
        <v>116</v>
      </c>
      <c r="B11" s="67" t="s">
        <v>117</v>
      </c>
      <c r="C11" s="67" t="s">
        <v>117</v>
      </c>
      <c r="D11" s="67" t="s">
        <v>117</v>
      </c>
    </row>
    <row r="12">
      <c r="A12" s="66" t="s">
        <v>118</v>
      </c>
      <c r="B12" s="67" t="s">
        <v>119</v>
      </c>
      <c r="C12" s="67" t="s">
        <v>119</v>
      </c>
      <c r="D12" s="67" t="s">
        <v>119</v>
      </c>
    </row>
    <row r="13">
      <c r="A13" s="66" t="s">
        <v>120</v>
      </c>
      <c r="B13" s="68"/>
      <c r="C13" s="68"/>
      <c r="D13" s="68"/>
    </row>
    <row r="14">
      <c r="A14" s="66" t="s">
        <v>121</v>
      </c>
      <c r="B14" s="67" t="s">
        <v>122</v>
      </c>
      <c r="C14" s="67" t="s">
        <v>122</v>
      </c>
      <c r="D14" s="67" t="s">
        <v>122</v>
      </c>
    </row>
    <row r="15">
      <c r="A15" s="69" t="s">
        <v>123</v>
      </c>
      <c r="B15" s="70" t="s">
        <v>124</v>
      </c>
      <c r="C15" s="70" t="s">
        <v>125</v>
      </c>
      <c r="D15" s="70" t="s">
        <v>126</v>
      </c>
    </row>
    <row r="16">
      <c r="A16" s="71">
        <v>36526.0</v>
      </c>
      <c r="B16" s="72">
        <v>0.28</v>
      </c>
      <c r="C16" s="72">
        <v>-2.17</v>
      </c>
      <c r="D16" s="72">
        <v>28.1</v>
      </c>
    </row>
    <row r="17">
      <c r="A17" s="71">
        <v>36557.0</v>
      </c>
      <c r="B17" s="72">
        <v>4.37</v>
      </c>
      <c r="C17" s="72">
        <v>2.21</v>
      </c>
      <c r="D17" s="72">
        <v>32.29</v>
      </c>
    </row>
    <row r="18">
      <c r="A18" s="71">
        <v>36586.0</v>
      </c>
      <c r="B18" s="72">
        <v>1.4</v>
      </c>
      <c r="C18" s="72">
        <v>-1.43</v>
      </c>
      <c r="D18" s="72">
        <v>26.9</v>
      </c>
    </row>
    <row r="19">
      <c r="A19" s="71">
        <v>36617.0</v>
      </c>
      <c r="B19" s="72">
        <v>3.35</v>
      </c>
      <c r="C19" s="72">
        <v>0.57</v>
      </c>
      <c r="D19" s="72">
        <v>27.4</v>
      </c>
    </row>
    <row r="20">
      <c r="A20" s="71">
        <v>36647.0</v>
      </c>
      <c r="B20" s="72">
        <v>5.71</v>
      </c>
      <c r="C20" s="72">
        <v>2.93</v>
      </c>
      <c r="D20" s="72">
        <v>27.99</v>
      </c>
    </row>
    <row r="21">
      <c r="A21" s="71">
        <v>36678.0</v>
      </c>
      <c r="B21" s="72">
        <v>1.04</v>
      </c>
      <c r="C21" s="72">
        <v>-1.75</v>
      </c>
      <c r="D21" s="72">
        <v>22.41</v>
      </c>
    </row>
    <row r="22">
      <c r="A22" s="71">
        <v>36708.0</v>
      </c>
      <c r="B22" s="72">
        <v>1.36</v>
      </c>
      <c r="C22" s="72">
        <v>-1.17</v>
      </c>
      <c r="D22" s="72">
        <v>19.66</v>
      </c>
    </row>
    <row r="23">
      <c r="A23" s="71">
        <v>36739.0</v>
      </c>
      <c r="B23" s="72">
        <v>3.87</v>
      </c>
      <c r="C23" s="72">
        <v>0.97</v>
      </c>
      <c r="D23" s="72">
        <v>22.02</v>
      </c>
    </row>
    <row r="24">
      <c r="A24" s="73" t="s">
        <v>127</v>
      </c>
      <c r="B24" s="72">
        <v>-1.2</v>
      </c>
      <c r="C24" s="72">
        <v>-3.58</v>
      </c>
      <c r="D24" s="72">
        <v>12.6</v>
      </c>
    </row>
    <row r="25">
      <c r="A25" s="71">
        <v>36800.0</v>
      </c>
      <c r="B25" s="72">
        <v>-0.25</v>
      </c>
      <c r="C25" s="72">
        <v>-2.99</v>
      </c>
      <c r="D25" s="72">
        <v>11.5</v>
      </c>
    </row>
    <row r="26">
      <c r="A26" s="71">
        <v>36831.0</v>
      </c>
      <c r="B26" s="72">
        <v>-3.68</v>
      </c>
      <c r="C26" s="72">
        <v>-6.76</v>
      </c>
      <c r="D26" s="72">
        <v>5.73</v>
      </c>
    </row>
    <row r="27">
      <c r="A27" s="71">
        <v>36861.0</v>
      </c>
      <c r="B27" s="72">
        <v>-7.08</v>
      </c>
      <c r="C27" s="72">
        <v>-8.83</v>
      </c>
      <c r="D27" s="72">
        <v>-2.02</v>
      </c>
    </row>
    <row r="28">
      <c r="A28" s="71">
        <v>36892.0</v>
      </c>
      <c r="B28" s="72">
        <v>-7.52</v>
      </c>
      <c r="C28" s="72">
        <v>-9.36</v>
      </c>
      <c r="D28" s="72">
        <v>-3.7</v>
      </c>
    </row>
    <row r="29">
      <c r="A29" s="71">
        <v>36923.0</v>
      </c>
      <c r="B29" s="72">
        <v>-11.28</v>
      </c>
      <c r="C29" s="72">
        <v>-12.45</v>
      </c>
      <c r="D29" s="72">
        <v>-10.07</v>
      </c>
    </row>
    <row r="30">
      <c r="A30" s="71">
        <v>36951.0</v>
      </c>
      <c r="B30" s="72">
        <v>-8.64</v>
      </c>
      <c r="C30" s="72">
        <v>-8.66</v>
      </c>
      <c r="D30" s="72">
        <v>-11.58</v>
      </c>
    </row>
    <row r="31">
      <c r="A31" s="71">
        <v>36982.0</v>
      </c>
      <c r="B31" s="72">
        <v>-12.2</v>
      </c>
      <c r="C31" s="72">
        <v>-12.28</v>
      </c>
      <c r="D31" s="72">
        <v>-14.24</v>
      </c>
    </row>
    <row r="32">
      <c r="A32" s="71">
        <v>37012.0</v>
      </c>
      <c r="B32" s="72">
        <v>-11.24</v>
      </c>
      <c r="C32" s="72">
        <v>-10.99</v>
      </c>
      <c r="D32" s="72">
        <v>-14.4</v>
      </c>
    </row>
    <row r="33">
      <c r="A33" s="71">
        <v>37043.0</v>
      </c>
      <c r="B33" s="72">
        <v>-9.8</v>
      </c>
      <c r="C33" s="72">
        <v>-10.19</v>
      </c>
      <c r="D33" s="72">
        <v>-12.26</v>
      </c>
    </row>
    <row r="34">
      <c r="A34" s="71">
        <v>37073.0</v>
      </c>
      <c r="B34" s="72">
        <v>-4.98</v>
      </c>
      <c r="C34" s="72">
        <v>-6.07</v>
      </c>
      <c r="D34" s="72">
        <v>-4.53</v>
      </c>
    </row>
    <row r="35">
      <c r="A35" s="71">
        <v>37104.0</v>
      </c>
      <c r="B35" s="72">
        <v>-5.62</v>
      </c>
      <c r="C35" s="72">
        <v>-6.91</v>
      </c>
      <c r="D35" s="72">
        <v>-3.84</v>
      </c>
    </row>
    <row r="36">
      <c r="A36" s="73" t="s">
        <v>128</v>
      </c>
      <c r="B36" s="72">
        <v>-5.57</v>
      </c>
      <c r="C36" s="72">
        <v>-7.59</v>
      </c>
      <c r="D36" s="72">
        <v>0.25</v>
      </c>
    </row>
    <row r="37">
      <c r="A37" s="71">
        <v>37165.0</v>
      </c>
      <c r="B37" s="72">
        <v>-7.4</v>
      </c>
      <c r="C37" s="72">
        <v>-9.38</v>
      </c>
      <c r="D37" s="72">
        <v>1.73</v>
      </c>
    </row>
    <row r="38">
      <c r="A38" s="71">
        <v>37196.0</v>
      </c>
      <c r="B38" s="72">
        <v>-5.45</v>
      </c>
      <c r="C38" s="72">
        <v>-7.62</v>
      </c>
      <c r="D38" s="72">
        <v>6.96</v>
      </c>
    </row>
    <row r="39">
      <c r="A39" s="71">
        <v>37226.0</v>
      </c>
      <c r="B39" s="72">
        <v>-2.98</v>
      </c>
      <c r="C39" s="72">
        <v>-6.07</v>
      </c>
      <c r="D39" s="72">
        <v>16.82</v>
      </c>
    </row>
    <row r="40">
      <c r="A40" s="71">
        <v>37257.0</v>
      </c>
      <c r="B40" s="72">
        <v>-5.54</v>
      </c>
      <c r="C40" s="72">
        <v>-9.15</v>
      </c>
      <c r="D40" s="72">
        <v>17.59</v>
      </c>
    </row>
    <row r="41">
      <c r="A41" s="71">
        <v>37288.0</v>
      </c>
      <c r="B41" s="72">
        <v>-3.16</v>
      </c>
      <c r="C41" s="72">
        <v>-6.94</v>
      </c>
      <c r="D41" s="72">
        <v>26.57</v>
      </c>
    </row>
    <row r="42">
      <c r="A42" s="71">
        <v>37316.0</v>
      </c>
      <c r="B42" s="72">
        <v>-8.59</v>
      </c>
      <c r="C42" s="72">
        <v>-14.28</v>
      </c>
      <c r="D42" s="72">
        <v>25.01</v>
      </c>
    </row>
    <row r="43">
      <c r="A43" s="71">
        <v>37347.0</v>
      </c>
      <c r="B43" s="72">
        <v>8.0</v>
      </c>
      <c r="C43" s="72">
        <v>0.71</v>
      </c>
      <c r="D43" s="72">
        <v>53.05</v>
      </c>
    </row>
    <row r="44">
      <c r="A44" s="71">
        <v>37377.0</v>
      </c>
      <c r="B44" s="72">
        <v>1.67</v>
      </c>
      <c r="C44" s="72">
        <v>-5.37</v>
      </c>
      <c r="D44" s="72">
        <v>44.84</v>
      </c>
    </row>
    <row r="45">
      <c r="A45" s="71">
        <v>37408.0</v>
      </c>
      <c r="B45" s="72">
        <v>-1.76</v>
      </c>
      <c r="C45" s="72">
        <v>-7.9</v>
      </c>
      <c r="D45" s="72">
        <v>40.15</v>
      </c>
    </row>
    <row r="46">
      <c r="A46" s="71">
        <v>37438.0</v>
      </c>
      <c r="B46" s="72">
        <v>-4.78</v>
      </c>
      <c r="C46" s="72">
        <v>-10.53</v>
      </c>
      <c r="D46" s="72">
        <v>34.24</v>
      </c>
    </row>
    <row r="47">
      <c r="A47" s="71">
        <v>37469.0</v>
      </c>
      <c r="B47" s="72">
        <v>-5.41</v>
      </c>
      <c r="C47" s="72">
        <v>-10.65</v>
      </c>
      <c r="D47" s="72">
        <v>31.98</v>
      </c>
    </row>
    <row r="48">
      <c r="A48" s="73" t="s">
        <v>129</v>
      </c>
      <c r="B48" s="72">
        <v>-3.18</v>
      </c>
      <c r="C48" s="72">
        <v>-8.56</v>
      </c>
      <c r="D48" s="72">
        <v>32.29</v>
      </c>
    </row>
    <row r="49">
      <c r="A49" s="71">
        <v>37530.0</v>
      </c>
      <c r="B49" s="72">
        <v>1.78</v>
      </c>
      <c r="C49" s="72">
        <v>-4.2</v>
      </c>
      <c r="D49" s="72">
        <v>34.56</v>
      </c>
    </row>
    <row r="50">
      <c r="A50" s="71">
        <v>37561.0</v>
      </c>
      <c r="B50" s="72">
        <v>0.13</v>
      </c>
      <c r="C50" s="72">
        <v>-5.56</v>
      </c>
      <c r="D50" s="72">
        <v>25.32</v>
      </c>
    </row>
    <row r="51">
      <c r="A51" s="71">
        <v>37591.0</v>
      </c>
      <c r="B51" s="72">
        <v>-1.09</v>
      </c>
      <c r="C51" s="72">
        <v>-5.48</v>
      </c>
      <c r="D51" s="72">
        <v>18.19</v>
      </c>
    </row>
    <row r="52">
      <c r="A52" s="71">
        <v>37622.0</v>
      </c>
      <c r="B52" s="72">
        <v>4.84</v>
      </c>
      <c r="C52" s="72">
        <v>1.92</v>
      </c>
      <c r="D52" s="72">
        <v>20.44</v>
      </c>
    </row>
    <row r="53">
      <c r="A53" s="71">
        <v>37653.0</v>
      </c>
      <c r="B53" s="72">
        <v>9.76</v>
      </c>
      <c r="C53" s="72">
        <v>7.19</v>
      </c>
      <c r="D53" s="72">
        <v>21.17</v>
      </c>
    </row>
    <row r="54">
      <c r="A54" s="71">
        <v>37681.0</v>
      </c>
      <c r="B54" s="72">
        <v>13.55</v>
      </c>
      <c r="C54" s="72">
        <v>11.26</v>
      </c>
      <c r="D54" s="72">
        <v>20.49</v>
      </c>
    </row>
    <row r="55">
      <c r="A55" s="71">
        <v>37712.0</v>
      </c>
      <c r="B55" s="72">
        <v>4.49</v>
      </c>
      <c r="C55" s="72">
        <v>3.75</v>
      </c>
      <c r="D55" s="72">
        <v>6.63</v>
      </c>
    </row>
    <row r="56">
      <c r="A56" s="71">
        <v>37742.0</v>
      </c>
      <c r="B56" s="72">
        <v>2.34</v>
      </c>
      <c r="C56" s="72">
        <v>3.38</v>
      </c>
      <c r="D56" s="72">
        <v>-0.57</v>
      </c>
    </row>
    <row r="57">
      <c r="A57" s="71">
        <v>37773.0</v>
      </c>
      <c r="B57" s="72">
        <v>4.55</v>
      </c>
      <c r="C57" s="72">
        <v>5.47</v>
      </c>
      <c r="D57" s="72">
        <v>0.47</v>
      </c>
    </row>
    <row r="58">
      <c r="A58" s="71">
        <v>37803.0</v>
      </c>
      <c r="B58" s="72">
        <v>2.79</v>
      </c>
      <c r="C58" s="72">
        <v>5.27</v>
      </c>
      <c r="D58" s="72">
        <v>-4.62</v>
      </c>
    </row>
    <row r="59">
      <c r="A59" s="71">
        <v>37834.0</v>
      </c>
      <c r="B59" s="72">
        <v>-1.79</v>
      </c>
      <c r="C59" s="72">
        <v>0.2</v>
      </c>
      <c r="D59" s="72">
        <v>-8.28</v>
      </c>
    </row>
    <row r="60">
      <c r="A60" s="73" t="s">
        <v>130</v>
      </c>
      <c r="B60" s="72">
        <v>-4.06</v>
      </c>
      <c r="C60" s="72">
        <v>-2.32</v>
      </c>
      <c r="D60" s="72">
        <v>-10.27</v>
      </c>
    </row>
    <row r="61">
      <c r="A61" s="71">
        <v>37895.0</v>
      </c>
      <c r="B61" s="72">
        <v>1.39</v>
      </c>
      <c r="C61" s="72">
        <v>2.9</v>
      </c>
      <c r="D61" s="72">
        <v>-5.37</v>
      </c>
    </row>
    <row r="62">
      <c r="A62" s="71">
        <v>37926.0</v>
      </c>
      <c r="B62" s="72">
        <v>-2.8</v>
      </c>
      <c r="C62" s="72">
        <v>-2.23</v>
      </c>
      <c r="D62" s="72">
        <v>-5.97</v>
      </c>
    </row>
    <row r="63">
      <c r="A63" s="71">
        <v>37956.0</v>
      </c>
      <c r="B63" s="72">
        <v>2.35</v>
      </c>
      <c r="C63" s="72">
        <v>1.32</v>
      </c>
      <c r="D63" s="72">
        <v>1.76</v>
      </c>
    </row>
    <row r="64">
      <c r="A64" s="71">
        <v>37987.0</v>
      </c>
      <c r="B64" s="72">
        <v>9.39</v>
      </c>
      <c r="C64" s="72">
        <v>14.63</v>
      </c>
      <c r="D64" s="72">
        <v>-6.51</v>
      </c>
    </row>
    <row r="65">
      <c r="A65" s="71">
        <v>38018.0</v>
      </c>
      <c r="B65" s="72">
        <v>0.77</v>
      </c>
      <c r="C65" s="72">
        <v>0.75</v>
      </c>
      <c r="D65" s="72">
        <v>0.09</v>
      </c>
    </row>
    <row r="66">
      <c r="A66" s="71">
        <v>38047.0</v>
      </c>
      <c r="B66" s="72">
        <v>11.0</v>
      </c>
      <c r="C66" s="72">
        <v>15.11</v>
      </c>
      <c r="D66" s="72">
        <v>-4.46</v>
      </c>
    </row>
    <row r="67">
      <c r="A67" s="71">
        <v>38078.0</v>
      </c>
      <c r="B67" s="72">
        <v>8.92</v>
      </c>
      <c r="C67" s="72">
        <v>11.62</v>
      </c>
      <c r="D67" s="72">
        <v>-2.86</v>
      </c>
    </row>
    <row r="68">
      <c r="A68" s="71">
        <v>38108.0</v>
      </c>
      <c r="B68" s="72">
        <v>8.67</v>
      </c>
      <c r="C68" s="72">
        <v>10.86</v>
      </c>
      <c r="D68" s="72">
        <v>1.72</v>
      </c>
    </row>
    <row r="69">
      <c r="A69" s="71">
        <v>38139.0</v>
      </c>
      <c r="B69" s="72">
        <v>8.89</v>
      </c>
      <c r="C69" s="72">
        <v>10.28</v>
      </c>
      <c r="D69" s="72">
        <v>1.38</v>
      </c>
    </row>
    <row r="70">
      <c r="A70" s="71">
        <v>38169.0</v>
      </c>
      <c r="B70" s="72">
        <v>4.87</v>
      </c>
      <c r="C70" s="72">
        <v>3.95</v>
      </c>
      <c r="D70" s="72">
        <v>5.47</v>
      </c>
    </row>
    <row r="71">
      <c r="A71" s="71">
        <v>38200.0</v>
      </c>
      <c r="B71" s="72">
        <v>2.05</v>
      </c>
      <c r="C71" s="72">
        <v>-2.34</v>
      </c>
      <c r="D71" s="72">
        <v>16.79</v>
      </c>
    </row>
    <row r="72">
      <c r="A72" s="73" t="s">
        <v>131</v>
      </c>
      <c r="B72" s="72">
        <v>6.39</v>
      </c>
      <c r="C72" s="72">
        <v>2.96</v>
      </c>
      <c r="D72" s="72">
        <v>13.89</v>
      </c>
    </row>
    <row r="73">
      <c r="A73" s="71">
        <v>38261.0</v>
      </c>
      <c r="B73" s="72">
        <v>5.56</v>
      </c>
      <c r="C73" s="72">
        <v>2.75</v>
      </c>
      <c r="D73" s="72">
        <v>15.9</v>
      </c>
    </row>
    <row r="74">
      <c r="A74" s="71">
        <v>38292.0</v>
      </c>
      <c r="B74" s="72">
        <v>11.32</v>
      </c>
      <c r="C74" s="72">
        <v>10.79</v>
      </c>
      <c r="D74" s="72">
        <v>9.51</v>
      </c>
    </row>
    <row r="75">
      <c r="A75" s="71">
        <v>38322.0</v>
      </c>
      <c r="B75" s="72">
        <v>7.2</v>
      </c>
      <c r="C75" s="72">
        <v>5.73</v>
      </c>
      <c r="D75" s="72">
        <v>9.97</v>
      </c>
    </row>
    <row r="76">
      <c r="A76" s="71">
        <v>38353.0</v>
      </c>
      <c r="B76" s="72">
        <v>2.64</v>
      </c>
      <c r="C76" s="72">
        <v>-2.39</v>
      </c>
      <c r="D76" s="72">
        <v>24.33</v>
      </c>
    </row>
    <row r="77">
      <c r="A77" s="71">
        <v>38384.0</v>
      </c>
      <c r="B77" s="72">
        <v>2.5</v>
      </c>
      <c r="C77" s="72">
        <v>0.25</v>
      </c>
      <c r="D77" s="72">
        <v>12.33</v>
      </c>
    </row>
    <row r="78">
      <c r="A78" s="71">
        <v>38412.0</v>
      </c>
      <c r="B78" s="72">
        <v>-0.33</v>
      </c>
      <c r="C78" s="72">
        <v>-2.2</v>
      </c>
      <c r="D78" s="72">
        <v>9.93</v>
      </c>
    </row>
    <row r="79">
      <c r="A79" s="71">
        <v>38443.0</v>
      </c>
      <c r="B79" s="72">
        <v>4.84</v>
      </c>
      <c r="C79" s="72">
        <v>1.69</v>
      </c>
      <c r="D79" s="72">
        <v>15.89</v>
      </c>
    </row>
    <row r="80">
      <c r="A80" s="71">
        <v>38473.0</v>
      </c>
      <c r="B80" s="72">
        <v>4.06</v>
      </c>
      <c r="C80" s="72">
        <v>0.72</v>
      </c>
      <c r="D80" s="72">
        <v>16.35</v>
      </c>
    </row>
    <row r="81">
      <c r="A81" s="71">
        <v>38504.0</v>
      </c>
      <c r="B81" s="72">
        <v>1.92</v>
      </c>
      <c r="C81" s="72">
        <v>0.59</v>
      </c>
      <c r="D81" s="72">
        <v>9.94</v>
      </c>
    </row>
    <row r="82">
      <c r="A82" s="71">
        <v>38534.0</v>
      </c>
      <c r="B82" s="72">
        <v>2.3</v>
      </c>
      <c r="C82" s="72">
        <v>1.6</v>
      </c>
      <c r="D82" s="72">
        <v>10.02</v>
      </c>
    </row>
    <row r="83">
      <c r="A83" s="71">
        <v>38565.0</v>
      </c>
      <c r="B83" s="72">
        <v>3.6</v>
      </c>
      <c r="C83" s="72">
        <v>3.96</v>
      </c>
      <c r="D83" s="72">
        <v>3.74</v>
      </c>
    </row>
    <row r="84">
      <c r="A84" s="73" t="s">
        <v>132</v>
      </c>
      <c r="B84" s="72">
        <v>2.2</v>
      </c>
      <c r="C84" s="72">
        <v>1.98</v>
      </c>
      <c r="D84" s="72">
        <v>8.24</v>
      </c>
    </row>
    <row r="85">
      <c r="A85" s="71">
        <v>38626.0</v>
      </c>
      <c r="B85" s="72">
        <v>3.74</v>
      </c>
      <c r="C85" s="72">
        <v>3.72</v>
      </c>
      <c r="D85" s="72">
        <v>6.59</v>
      </c>
    </row>
    <row r="86">
      <c r="A86" s="71">
        <v>38657.0</v>
      </c>
      <c r="B86" s="72">
        <v>6.84</v>
      </c>
      <c r="C86" s="72">
        <v>9.13</v>
      </c>
      <c r="D86" s="72">
        <v>3.81</v>
      </c>
    </row>
    <row r="87">
      <c r="A87" s="71">
        <v>38687.0</v>
      </c>
      <c r="B87" s="72">
        <v>8.69</v>
      </c>
      <c r="C87" s="72">
        <v>9.93</v>
      </c>
      <c r="D87" s="72">
        <v>9.58</v>
      </c>
    </row>
    <row r="88">
      <c r="A88" s="71">
        <v>38718.0</v>
      </c>
      <c r="B88" s="72">
        <v>2.75</v>
      </c>
      <c r="C88" s="72">
        <v>0.97</v>
      </c>
      <c r="D88" s="72">
        <v>8.46</v>
      </c>
    </row>
    <row r="89">
      <c r="A89" s="71">
        <v>38749.0</v>
      </c>
      <c r="B89" s="72">
        <v>5.16</v>
      </c>
      <c r="C89" s="72">
        <v>2.7</v>
      </c>
      <c r="D89" s="72">
        <v>15.44</v>
      </c>
    </row>
    <row r="90">
      <c r="A90" s="71">
        <v>38777.0</v>
      </c>
      <c r="B90" s="72">
        <v>9.92</v>
      </c>
      <c r="C90" s="72">
        <v>11.47</v>
      </c>
      <c r="D90" s="72">
        <v>5.05</v>
      </c>
    </row>
    <row r="91">
      <c r="A91" s="71">
        <v>38808.0</v>
      </c>
      <c r="B91" s="72">
        <v>5.56</v>
      </c>
      <c r="C91" s="72">
        <v>7.39</v>
      </c>
      <c r="D91" s="72">
        <v>3.76</v>
      </c>
    </row>
    <row r="92">
      <c r="A92" s="71">
        <v>38838.0</v>
      </c>
      <c r="B92" s="72">
        <v>9.41</v>
      </c>
      <c r="C92" s="72">
        <v>12.13</v>
      </c>
      <c r="D92" s="72">
        <v>-0.32</v>
      </c>
    </row>
    <row r="93">
      <c r="A93" s="71">
        <v>38869.0</v>
      </c>
      <c r="B93" s="72">
        <v>7.97</v>
      </c>
      <c r="C93" s="72">
        <v>7.02</v>
      </c>
      <c r="D93" s="72">
        <v>13.72</v>
      </c>
    </row>
    <row r="94">
      <c r="A94" s="71">
        <v>38899.0</v>
      </c>
      <c r="B94" s="72">
        <v>10.9</v>
      </c>
      <c r="C94" s="72">
        <v>13.13</v>
      </c>
      <c r="D94" s="72">
        <v>3.34</v>
      </c>
    </row>
    <row r="95">
      <c r="A95" s="71">
        <v>38930.0</v>
      </c>
      <c r="B95" s="72">
        <v>12.5</v>
      </c>
      <c r="C95" s="72">
        <v>17.78</v>
      </c>
      <c r="D95" s="72">
        <v>-1.81</v>
      </c>
    </row>
    <row r="96">
      <c r="A96" s="73" t="s">
        <v>133</v>
      </c>
      <c r="B96" s="72">
        <v>11.54</v>
      </c>
      <c r="C96" s="72">
        <v>17.48</v>
      </c>
      <c r="D96" s="72">
        <v>-3.88</v>
      </c>
    </row>
    <row r="97">
      <c r="A97" s="71">
        <v>38991.0</v>
      </c>
      <c r="B97" s="72">
        <v>12.59</v>
      </c>
      <c r="C97" s="72">
        <v>17.39</v>
      </c>
      <c r="D97" s="72">
        <v>0.25</v>
      </c>
    </row>
    <row r="98">
      <c r="A98" s="71">
        <v>39022.0</v>
      </c>
      <c r="B98" s="72">
        <v>8.52</v>
      </c>
      <c r="C98" s="72">
        <v>12.05</v>
      </c>
      <c r="D98" s="72">
        <v>0.14</v>
      </c>
    </row>
    <row r="99">
      <c r="A99" s="71">
        <v>39052.0</v>
      </c>
      <c r="B99" s="72">
        <v>7.28</v>
      </c>
      <c r="C99" s="72">
        <v>11.23</v>
      </c>
      <c r="D99" s="72">
        <v>-3.38</v>
      </c>
    </row>
    <row r="100">
      <c r="A100" s="71">
        <v>39083.0</v>
      </c>
      <c r="B100" s="72">
        <v>4.93</v>
      </c>
      <c r="C100" s="72">
        <v>5.79</v>
      </c>
      <c r="D100" s="72">
        <v>2.72</v>
      </c>
    </row>
    <row r="101">
      <c r="A101" s="71">
        <v>39114.0</v>
      </c>
      <c r="B101" s="72">
        <v>7.72</v>
      </c>
      <c r="C101" s="72">
        <v>9.29</v>
      </c>
      <c r="D101" s="72">
        <v>2.3</v>
      </c>
    </row>
    <row r="102">
      <c r="A102" s="71">
        <v>39142.0</v>
      </c>
      <c r="B102" s="72">
        <v>4.04</v>
      </c>
      <c r="C102" s="72">
        <v>3.67</v>
      </c>
      <c r="D102" s="72">
        <v>3.07</v>
      </c>
    </row>
    <row r="103">
      <c r="A103" s="71">
        <v>39173.0</v>
      </c>
      <c r="B103" s="72">
        <v>3.85</v>
      </c>
      <c r="C103" s="72">
        <v>2.51</v>
      </c>
      <c r="D103" s="72">
        <v>8.35</v>
      </c>
    </row>
    <row r="104">
      <c r="A104" s="71">
        <v>39203.0</v>
      </c>
      <c r="B104" s="72">
        <v>3.25</v>
      </c>
      <c r="C104" s="72">
        <v>1.83</v>
      </c>
      <c r="D104" s="72">
        <v>6.25</v>
      </c>
    </row>
    <row r="105">
      <c r="A105" s="71">
        <v>39234.0</v>
      </c>
      <c r="B105" s="72">
        <v>1.38</v>
      </c>
      <c r="C105" s="72">
        <v>-0.5</v>
      </c>
      <c r="D105" s="72">
        <v>8.04</v>
      </c>
    </row>
    <row r="106">
      <c r="A106" s="71">
        <v>39264.0</v>
      </c>
      <c r="B106" s="72">
        <v>3.26</v>
      </c>
      <c r="C106" s="72">
        <v>2.35</v>
      </c>
      <c r="D106" s="72">
        <v>7.61</v>
      </c>
    </row>
    <row r="107">
      <c r="A107" s="71">
        <v>39295.0</v>
      </c>
      <c r="B107" s="72">
        <v>2.21</v>
      </c>
      <c r="C107" s="72">
        <v>-0.09</v>
      </c>
      <c r="D107" s="72">
        <v>14.45</v>
      </c>
    </row>
    <row r="108">
      <c r="A108" s="73" t="s">
        <v>134</v>
      </c>
      <c r="B108" s="72">
        <v>2.62</v>
      </c>
      <c r="C108" s="72">
        <v>-0.06</v>
      </c>
      <c r="D108" s="72">
        <v>18.44</v>
      </c>
    </row>
    <row r="109">
      <c r="A109" s="71">
        <v>39356.0</v>
      </c>
      <c r="B109" s="72">
        <v>6.72</v>
      </c>
      <c r="C109" s="72">
        <v>4.33</v>
      </c>
      <c r="D109" s="72">
        <v>19.93</v>
      </c>
    </row>
    <row r="110">
      <c r="A110" s="71">
        <v>39387.0</v>
      </c>
      <c r="B110" s="72">
        <v>7.29</v>
      </c>
      <c r="C110" s="72">
        <v>5.16</v>
      </c>
      <c r="D110" s="72">
        <v>20.63</v>
      </c>
    </row>
    <row r="111">
      <c r="A111" s="71">
        <v>39417.0</v>
      </c>
      <c r="B111" s="72">
        <v>8.97</v>
      </c>
      <c r="C111" s="72">
        <v>7.8</v>
      </c>
      <c r="D111" s="72">
        <v>20.07</v>
      </c>
    </row>
    <row r="112">
      <c r="A112" s="71">
        <v>39448.0</v>
      </c>
      <c r="B112" s="72">
        <v>8.01</v>
      </c>
      <c r="C112" s="72">
        <v>7.1</v>
      </c>
      <c r="D112" s="72">
        <v>21.55</v>
      </c>
    </row>
    <row r="113">
      <c r="A113" s="71">
        <v>39479.0</v>
      </c>
      <c r="B113" s="72">
        <v>7.3</v>
      </c>
      <c r="C113" s="72">
        <v>6.91</v>
      </c>
      <c r="D113" s="72">
        <v>20.14</v>
      </c>
    </row>
    <row r="114">
      <c r="A114" s="71">
        <v>39508.0</v>
      </c>
      <c r="B114" s="72">
        <v>0.07</v>
      </c>
      <c r="C114" s="72">
        <v>-2.18</v>
      </c>
      <c r="D114" s="72">
        <v>20.18</v>
      </c>
    </row>
    <row r="115">
      <c r="A115" s="71">
        <v>39539.0</v>
      </c>
      <c r="B115" s="72">
        <v>9.37</v>
      </c>
      <c r="C115" s="72">
        <v>7.96</v>
      </c>
      <c r="D115" s="72">
        <v>27.29</v>
      </c>
    </row>
    <row r="116">
      <c r="A116" s="71">
        <v>39569.0</v>
      </c>
      <c r="B116" s="72">
        <v>8.06</v>
      </c>
      <c r="C116" s="72">
        <v>9.23</v>
      </c>
      <c r="D116" s="72">
        <v>20.58</v>
      </c>
    </row>
    <row r="117">
      <c r="A117" s="71">
        <v>39600.0</v>
      </c>
      <c r="B117" s="72">
        <v>10.53</v>
      </c>
      <c r="C117" s="72">
        <v>9.44</v>
      </c>
      <c r="D117" s="72">
        <v>28.3</v>
      </c>
    </row>
    <row r="118">
      <c r="A118" s="71">
        <v>39630.0</v>
      </c>
      <c r="B118" s="72">
        <v>8.5</v>
      </c>
      <c r="C118" s="72">
        <v>6.63</v>
      </c>
      <c r="D118" s="72">
        <v>28.65</v>
      </c>
    </row>
    <row r="119">
      <c r="A119" s="71">
        <v>39661.0</v>
      </c>
      <c r="B119" s="72">
        <v>0.41</v>
      </c>
      <c r="C119" s="72">
        <v>-2.38</v>
      </c>
      <c r="D119" s="72">
        <v>22.22</v>
      </c>
    </row>
    <row r="120">
      <c r="A120" s="73" t="s">
        <v>135</v>
      </c>
      <c r="B120" s="72">
        <v>-0.59</v>
      </c>
      <c r="C120" s="72">
        <v>-3.43</v>
      </c>
      <c r="D120" s="72">
        <v>18.43</v>
      </c>
    </row>
    <row r="121">
      <c r="A121" s="71">
        <v>39722.0</v>
      </c>
      <c r="B121" s="72">
        <v>1.78</v>
      </c>
      <c r="C121" s="72">
        <v>-0.28</v>
      </c>
      <c r="D121" s="72">
        <v>15.23</v>
      </c>
    </row>
    <row r="122">
      <c r="A122" s="71">
        <v>39753.0</v>
      </c>
      <c r="B122" s="72">
        <v>-2.33</v>
      </c>
      <c r="C122" s="72">
        <v>-4.77</v>
      </c>
      <c r="D122" s="72">
        <v>10.43</v>
      </c>
    </row>
    <row r="123">
      <c r="A123" s="71">
        <v>39783.0</v>
      </c>
      <c r="B123" s="72">
        <v>-2.66</v>
      </c>
      <c r="C123" s="72">
        <v>-6.49</v>
      </c>
      <c r="D123" s="72">
        <v>12.73</v>
      </c>
    </row>
    <row r="124">
      <c r="A124" s="71">
        <v>39814.0</v>
      </c>
      <c r="B124" s="72">
        <v>-5.25</v>
      </c>
      <c r="C124" s="72">
        <v>-9.12</v>
      </c>
      <c r="D124" s="72">
        <v>9.1</v>
      </c>
    </row>
    <row r="125">
      <c r="A125" s="71">
        <v>39845.0</v>
      </c>
      <c r="B125" s="72">
        <v>-7.28</v>
      </c>
      <c r="C125" s="72">
        <v>-15.5</v>
      </c>
      <c r="D125" s="72">
        <v>23.11</v>
      </c>
    </row>
    <row r="126">
      <c r="A126" s="71">
        <v>39873.0</v>
      </c>
      <c r="B126" s="72">
        <v>-5.54</v>
      </c>
      <c r="C126" s="72">
        <v>-14.76</v>
      </c>
      <c r="D126" s="72">
        <v>23.14</v>
      </c>
    </row>
    <row r="127">
      <c r="A127" s="71">
        <v>39904.0</v>
      </c>
      <c r="B127" s="72">
        <v>-9.48</v>
      </c>
      <c r="C127" s="72">
        <v>-17.31</v>
      </c>
      <c r="D127" s="72">
        <v>14.71</v>
      </c>
    </row>
    <row r="128">
      <c r="A128" s="71">
        <v>39934.0</v>
      </c>
      <c r="B128" s="72">
        <v>-7.5</v>
      </c>
      <c r="C128" s="72">
        <v>-15.74</v>
      </c>
      <c r="D128" s="72">
        <v>16.8</v>
      </c>
    </row>
    <row r="129">
      <c r="A129" s="71">
        <v>39965.0</v>
      </c>
      <c r="B129" s="72">
        <v>-4.58</v>
      </c>
      <c r="C129" s="72">
        <v>-10.74</v>
      </c>
      <c r="D129" s="72">
        <v>8.97</v>
      </c>
    </row>
    <row r="130">
      <c r="A130" s="71">
        <v>39995.0</v>
      </c>
      <c r="B130" s="72">
        <v>-7.43</v>
      </c>
      <c r="C130" s="72">
        <v>-13.47</v>
      </c>
      <c r="D130" s="72">
        <v>6.45</v>
      </c>
    </row>
    <row r="131">
      <c r="A131" s="71">
        <v>40026.0</v>
      </c>
      <c r="B131" s="72">
        <v>-5.82</v>
      </c>
      <c r="C131" s="72">
        <v>-10.27</v>
      </c>
      <c r="D131" s="72">
        <v>2.7</v>
      </c>
    </row>
    <row r="132">
      <c r="A132" s="73" t="s">
        <v>136</v>
      </c>
      <c r="B132" s="72">
        <v>-5.87</v>
      </c>
      <c r="C132" s="72">
        <v>-8.99</v>
      </c>
      <c r="D132" s="72">
        <v>-0.66</v>
      </c>
    </row>
    <row r="133">
      <c r="A133" s="71">
        <v>40087.0</v>
      </c>
      <c r="B133" s="72">
        <v>-5.69</v>
      </c>
      <c r="C133" s="72">
        <v>-9.16</v>
      </c>
      <c r="D133" s="72">
        <v>2.44</v>
      </c>
    </row>
    <row r="134">
      <c r="A134" s="71">
        <v>40118.0</v>
      </c>
      <c r="B134" s="72">
        <v>-2.88</v>
      </c>
      <c r="C134" s="72">
        <v>-4.7</v>
      </c>
      <c r="D134" s="72">
        <v>-1.49</v>
      </c>
    </row>
    <row r="135">
      <c r="A135" s="71">
        <v>40148.0</v>
      </c>
      <c r="B135" s="72">
        <v>-5.41</v>
      </c>
      <c r="C135" s="72">
        <v>-3.46</v>
      </c>
      <c r="D135" s="72">
        <v>-15.4</v>
      </c>
    </row>
    <row r="136">
      <c r="A136" s="71">
        <v>40179.0</v>
      </c>
      <c r="B136" s="72">
        <v>-1.6</v>
      </c>
      <c r="C136" s="72">
        <v>0.61</v>
      </c>
      <c r="D136" s="72">
        <v>-10.02</v>
      </c>
    </row>
    <row r="137">
      <c r="A137" s="71">
        <v>40210.0</v>
      </c>
      <c r="B137" s="72">
        <v>-2.9</v>
      </c>
      <c r="C137" s="72">
        <v>0.04</v>
      </c>
      <c r="D137" s="72">
        <v>-12.59</v>
      </c>
    </row>
    <row r="138">
      <c r="A138" s="71">
        <v>40238.0</v>
      </c>
      <c r="B138" s="72">
        <v>1.0</v>
      </c>
      <c r="C138" s="72">
        <v>2.39</v>
      </c>
      <c r="D138" s="72">
        <v>-3.89</v>
      </c>
    </row>
    <row r="139">
      <c r="A139" s="71">
        <v>40269.0</v>
      </c>
      <c r="B139" s="72">
        <v>0.26</v>
      </c>
      <c r="C139" s="72">
        <v>-0.26</v>
      </c>
      <c r="D139" s="72">
        <v>-0.03</v>
      </c>
    </row>
    <row r="140">
      <c r="A140" s="71">
        <v>40299.0</v>
      </c>
      <c r="B140" s="72">
        <v>-0.37</v>
      </c>
      <c r="C140" s="72">
        <v>-2.37</v>
      </c>
      <c r="D140" s="72">
        <v>4.8</v>
      </c>
    </row>
    <row r="141">
      <c r="A141" s="71">
        <v>40330.0</v>
      </c>
      <c r="B141" s="72">
        <v>-3.67</v>
      </c>
      <c r="C141" s="72">
        <v>-3.44</v>
      </c>
      <c r="D141" s="72">
        <v>-4.23</v>
      </c>
    </row>
    <row r="142">
      <c r="A142" s="71">
        <v>40360.0</v>
      </c>
      <c r="B142" s="72">
        <v>-1.84</v>
      </c>
      <c r="C142" s="72">
        <v>-2.33</v>
      </c>
      <c r="D142" s="72">
        <v>0.16</v>
      </c>
    </row>
    <row r="143">
      <c r="A143" s="71">
        <v>40391.0</v>
      </c>
      <c r="B143" s="72">
        <v>2.2</v>
      </c>
      <c r="C143" s="72">
        <v>0.52</v>
      </c>
      <c r="D143" s="72">
        <v>7.41</v>
      </c>
    </row>
    <row r="144">
      <c r="A144" s="73" t="s">
        <v>137</v>
      </c>
      <c r="B144" s="72">
        <v>4.03</v>
      </c>
      <c r="C144" s="72">
        <v>0.41</v>
      </c>
      <c r="D144" s="72">
        <v>14.71</v>
      </c>
    </row>
    <row r="145">
      <c r="A145" s="71">
        <v>40452.0</v>
      </c>
      <c r="B145" s="72">
        <v>4.53</v>
      </c>
      <c r="C145" s="72">
        <v>2.43</v>
      </c>
      <c r="D145" s="72">
        <v>11.01</v>
      </c>
    </row>
    <row r="146">
      <c r="A146" s="71">
        <v>40483.0</v>
      </c>
      <c r="B146" s="72">
        <v>3.04</v>
      </c>
      <c r="C146" s="72">
        <v>-1.95</v>
      </c>
      <c r="D146" s="72">
        <v>17.66</v>
      </c>
    </row>
    <row r="147">
      <c r="A147" s="71">
        <v>40513.0</v>
      </c>
      <c r="B147" s="72">
        <v>3.98</v>
      </c>
      <c r="C147" s="72">
        <v>-0.72</v>
      </c>
      <c r="D147" s="72">
        <v>20.78</v>
      </c>
    </row>
    <row r="148">
      <c r="A148" s="71">
        <v>40544.0</v>
      </c>
      <c r="B148" s="72">
        <v>1.54</v>
      </c>
      <c r="C148" s="72">
        <v>0.14</v>
      </c>
      <c r="D148" s="72">
        <v>5.02</v>
      </c>
    </row>
    <row r="149">
      <c r="A149" s="71">
        <v>40575.0</v>
      </c>
      <c r="B149" s="72">
        <v>3.17</v>
      </c>
      <c r="C149" s="72">
        <v>2.64</v>
      </c>
      <c r="D149" s="72">
        <v>3.17</v>
      </c>
    </row>
    <row r="150">
      <c r="A150" s="71">
        <v>40603.0</v>
      </c>
      <c r="B150" s="72">
        <v>0.56</v>
      </c>
      <c r="C150" s="72">
        <v>-0.51</v>
      </c>
      <c r="D150" s="72">
        <v>2.35</v>
      </c>
    </row>
    <row r="151">
      <c r="A151" s="71">
        <v>40634.0</v>
      </c>
      <c r="B151" s="72">
        <v>3.25</v>
      </c>
      <c r="C151" s="72">
        <v>5.76</v>
      </c>
      <c r="D151" s="72">
        <v>-2.87</v>
      </c>
    </row>
    <row r="152">
      <c r="A152" s="71">
        <v>40664.0</v>
      </c>
      <c r="B152" s="72">
        <v>5.36</v>
      </c>
      <c r="C152" s="72">
        <v>7.47</v>
      </c>
      <c r="D152" s="72">
        <v>-0.83</v>
      </c>
    </row>
    <row r="153">
      <c r="A153" s="71">
        <v>40695.0</v>
      </c>
      <c r="B153" s="72">
        <v>5.32</v>
      </c>
      <c r="C153" s="72">
        <v>4.52</v>
      </c>
      <c r="D153" s="72">
        <v>6.32</v>
      </c>
    </row>
    <row r="154">
      <c r="A154" s="71">
        <v>40725.0</v>
      </c>
      <c r="B154" s="72">
        <v>3.28</v>
      </c>
      <c r="C154" s="72">
        <v>3.2</v>
      </c>
      <c r="D154" s="72">
        <v>2.81</v>
      </c>
    </row>
    <row r="155">
      <c r="A155" s="71">
        <v>40756.0</v>
      </c>
      <c r="B155" s="72">
        <v>4.58</v>
      </c>
      <c r="C155" s="72">
        <v>4.8</v>
      </c>
      <c r="D155" s="72">
        <v>4.14</v>
      </c>
    </row>
    <row r="156">
      <c r="A156" s="73" t="s">
        <v>138</v>
      </c>
      <c r="B156" s="72">
        <v>6.38</v>
      </c>
      <c r="C156" s="72">
        <v>8.2</v>
      </c>
      <c r="D156" s="72">
        <v>2.53</v>
      </c>
    </row>
    <row r="157">
      <c r="A157" s="71">
        <v>40817.0</v>
      </c>
      <c r="B157" s="72">
        <v>4.9</v>
      </c>
      <c r="C157" s="72">
        <v>6.02</v>
      </c>
      <c r="D157" s="72">
        <v>2.02</v>
      </c>
    </row>
    <row r="158">
      <c r="A158" s="71">
        <v>40848.0</v>
      </c>
      <c r="B158" s="72">
        <v>6.82</v>
      </c>
      <c r="C158" s="72">
        <v>8.33</v>
      </c>
      <c r="D158" s="72">
        <v>2.84</v>
      </c>
    </row>
    <row r="159">
      <c r="A159" s="71">
        <v>40878.0</v>
      </c>
      <c r="B159" s="72">
        <v>3.16</v>
      </c>
      <c r="C159" s="72">
        <v>0.74</v>
      </c>
      <c r="D159" s="72">
        <v>7.69</v>
      </c>
    </row>
    <row r="160">
      <c r="A160" s="71">
        <v>40909.0</v>
      </c>
      <c r="B160" s="72">
        <v>1.95</v>
      </c>
      <c r="C160" s="72">
        <v>0.26</v>
      </c>
      <c r="D160" s="72">
        <v>5.36</v>
      </c>
    </row>
    <row r="161">
      <c r="A161" s="71">
        <v>40940.0</v>
      </c>
      <c r="B161" s="72">
        <v>4.51</v>
      </c>
      <c r="C161" s="72">
        <v>5.29</v>
      </c>
      <c r="D161" s="72">
        <v>2.48</v>
      </c>
    </row>
    <row r="162">
      <c r="A162" s="71">
        <v>40969.0</v>
      </c>
      <c r="B162" s="72">
        <v>3.45</v>
      </c>
      <c r="C162" s="72">
        <v>5.33</v>
      </c>
      <c r="D162" s="72">
        <v>-0.34</v>
      </c>
    </row>
    <row r="163">
      <c r="A163" s="71">
        <v>41000.0</v>
      </c>
      <c r="B163" s="72">
        <v>3.7</v>
      </c>
      <c r="C163" s="72">
        <v>5.06</v>
      </c>
      <c r="D163" s="72">
        <v>0.68</v>
      </c>
    </row>
    <row r="164">
      <c r="A164" s="71">
        <v>41030.0</v>
      </c>
      <c r="B164" s="72">
        <v>5.42</v>
      </c>
      <c r="C164" s="72">
        <v>5.77</v>
      </c>
      <c r="D164" s="72">
        <v>3.35</v>
      </c>
    </row>
    <row r="165">
      <c r="A165" s="71">
        <v>41061.0</v>
      </c>
      <c r="B165" s="72">
        <v>3.28</v>
      </c>
      <c r="C165" s="72">
        <v>3.96</v>
      </c>
      <c r="D165" s="72">
        <v>1.3</v>
      </c>
    </row>
    <row r="166">
      <c r="A166" s="71">
        <v>41091.0</v>
      </c>
      <c r="B166" s="72">
        <v>4.32</v>
      </c>
      <c r="C166" s="72">
        <v>4.35</v>
      </c>
      <c r="D166" s="72">
        <v>2.78</v>
      </c>
    </row>
    <row r="167">
      <c r="A167" s="71">
        <v>41122.0</v>
      </c>
      <c r="B167" s="72">
        <v>2.39</v>
      </c>
      <c r="C167" s="72">
        <v>1.69</v>
      </c>
      <c r="D167" s="72">
        <v>2.62</v>
      </c>
    </row>
    <row r="168">
      <c r="A168" s="73" t="s">
        <v>139</v>
      </c>
      <c r="B168" s="72">
        <v>0.99</v>
      </c>
      <c r="C168" s="72">
        <v>-0.33</v>
      </c>
      <c r="D168" s="72">
        <v>2.17</v>
      </c>
    </row>
    <row r="169">
      <c r="A169" s="71">
        <v>41183.0</v>
      </c>
      <c r="B169" s="72">
        <v>0.1</v>
      </c>
      <c r="C169" s="72">
        <v>-0.68</v>
      </c>
      <c r="D169" s="72">
        <v>-0.36</v>
      </c>
    </row>
    <row r="170">
      <c r="A170" s="71">
        <v>41214.0</v>
      </c>
      <c r="B170" s="72">
        <v>1.92</v>
      </c>
      <c r="C170" s="72">
        <v>3.8</v>
      </c>
      <c r="D170" s="72">
        <v>-2.54</v>
      </c>
    </row>
    <row r="171">
      <c r="A171" s="71">
        <v>41244.0</v>
      </c>
      <c r="B171" s="72">
        <v>-1.59</v>
      </c>
      <c r="C171" s="72">
        <v>-0.66</v>
      </c>
      <c r="D171" s="72">
        <v>-3.73</v>
      </c>
    </row>
    <row r="172">
      <c r="A172" s="71">
        <v>41275.0</v>
      </c>
      <c r="B172" s="72">
        <v>-3.69</v>
      </c>
      <c r="C172" s="72">
        <v>-5.47</v>
      </c>
      <c r="D172" s="72">
        <v>0.15</v>
      </c>
    </row>
    <row r="173">
      <c r="A173" s="71">
        <v>41306.0</v>
      </c>
      <c r="B173" s="72">
        <v>-2.24</v>
      </c>
      <c r="C173" s="72">
        <v>-1.99</v>
      </c>
      <c r="D173" s="72">
        <v>-2.78</v>
      </c>
    </row>
    <row r="174">
      <c r="A174" s="71">
        <v>41334.0</v>
      </c>
      <c r="B174" s="72">
        <v>-3.44</v>
      </c>
      <c r="C174" s="72">
        <v>-1.53</v>
      </c>
      <c r="D174" s="72">
        <v>-8.95</v>
      </c>
    </row>
    <row r="175">
      <c r="A175" s="71">
        <v>41365.0</v>
      </c>
      <c r="B175" s="72">
        <v>-1.32</v>
      </c>
      <c r="C175" s="72">
        <v>-2.39</v>
      </c>
      <c r="D175" s="72">
        <v>0.66</v>
      </c>
    </row>
    <row r="176">
      <c r="A176" s="71">
        <v>41395.0</v>
      </c>
      <c r="B176" s="72">
        <v>-4.79</v>
      </c>
      <c r="C176" s="72">
        <v>-5.13</v>
      </c>
      <c r="D176" s="72">
        <v>-4.4</v>
      </c>
    </row>
    <row r="177">
      <c r="A177" s="71">
        <v>41426.0</v>
      </c>
      <c r="B177" s="72">
        <v>-5.82</v>
      </c>
      <c r="C177" s="72">
        <v>-5.54</v>
      </c>
      <c r="D177" s="72">
        <v>-8.24</v>
      </c>
    </row>
    <row r="178">
      <c r="A178" s="71">
        <v>41456.0</v>
      </c>
      <c r="B178" s="72">
        <v>-6.48</v>
      </c>
      <c r="C178" s="72">
        <v>-7.9</v>
      </c>
      <c r="D178" s="72">
        <v>-3.76</v>
      </c>
    </row>
    <row r="179">
      <c r="A179" s="71">
        <v>41487.0</v>
      </c>
      <c r="B179" s="72">
        <v>-6.24</v>
      </c>
      <c r="C179" s="72">
        <v>-5.37</v>
      </c>
      <c r="D179" s="72">
        <v>-9.24</v>
      </c>
    </row>
    <row r="180">
      <c r="A180" s="73" t="s">
        <v>140</v>
      </c>
      <c r="B180" s="72">
        <v>-8.17</v>
      </c>
      <c r="C180" s="72">
        <v>-7.94</v>
      </c>
      <c r="D180" s="72">
        <v>-9.95</v>
      </c>
    </row>
    <row r="181">
      <c r="A181" s="71">
        <v>41548.0</v>
      </c>
      <c r="B181" s="72">
        <v>-7.67</v>
      </c>
      <c r="C181" s="72">
        <v>-7.72</v>
      </c>
      <c r="D181" s="72">
        <v>-8.95</v>
      </c>
    </row>
    <row r="182">
      <c r="A182" s="71">
        <v>41579.0</v>
      </c>
      <c r="B182" s="72">
        <v>-4.85</v>
      </c>
      <c r="C182" s="72">
        <v>-6.67</v>
      </c>
      <c r="D182" s="72">
        <v>-0.83</v>
      </c>
    </row>
    <row r="183">
      <c r="A183" s="71">
        <v>41609.0</v>
      </c>
      <c r="B183" s="72">
        <v>-1.95</v>
      </c>
      <c r="C183" s="72">
        <v>-3.53</v>
      </c>
      <c r="D183" s="72">
        <v>1.23</v>
      </c>
    </row>
    <row r="184">
      <c r="A184" s="71">
        <v>41640.0</v>
      </c>
      <c r="B184" s="72">
        <v>-1.89</v>
      </c>
      <c r="C184" s="72">
        <v>-2.62</v>
      </c>
      <c r="D184" s="72">
        <v>-4.09</v>
      </c>
    </row>
    <row r="185">
      <c r="A185" s="71">
        <v>41671.0</v>
      </c>
      <c r="B185" s="72">
        <v>-1.96</v>
      </c>
      <c r="C185" s="72">
        <v>-3.5</v>
      </c>
      <c r="D185" s="72">
        <v>-1.77</v>
      </c>
    </row>
    <row r="186">
      <c r="A186" s="71">
        <v>41699.0</v>
      </c>
      <c r="B186" s="72">
        <v>-0.41</v>
      </c>
      <c r="C186" s="72">
        <v>-0.63</v>
      </c>
      <c r="D186" s="72">
        <v>-4.43</v>
      </c>
    </row>
    <row r="187">
      <c r="A187" s="71">
        <v>41730.0</v>
      </c>
      <c r="B187" s="72">
        <v>-3.79</v>
      </c>
      <c r="C187" s="72">
        <v>-4.64</v>
      </c>
      <c r="D187" s="72">
        <v>-4.49</v>
      </c>
    </row>
    <row r="188">
      <c r="A188" s="71">
        <v>41760.0</v>
      </c>
      <c r="B188" s="72">
        <v>-0.05</v>
      </c>
      <c r="C188" s="72">
        <v>0.93</v>
      </c>
      <c r="D188" s="72">
        <v>-5.52</v>
      </c>
    </row>
    <row r="189">
      <c r="A189" s="71">
        <v>41791.0</v>
      </c>
      <c r="B189" s="72">
        <v>2.3</v>
      </c>
      <c r="C189" s="72">
        <v>2.32</v>
      </c>
      <c r="D189" s="72">
        <v>-0.75</v>
      </c>
    </row>
    <row r="190">
      <c r="A190" s="71">
        <v>41821.0</v>
      </c>
      <c r="B190" s="72">
        <v>3.62</v>
      </c>
      <c r="C190" s="72">
        <v>4.77</v>
      </c>
      <c r="D190" s="72">
        <v>-1.8</v>
      </c>
    </row>
    <row r="191">
      <c r="A191" s="71">
        <v>41852.0</v>
      </c>
      <c r="B191" s="72">
        <v>3.9</v>
      </c>
      <c r="C191" s="72">
        <v>4.96</v>
      </c>
      <c r="D191" s="72">
        <v>-0.59</v>
      </c>
    </row>
    <row r="192">
      <c r="A192" s="73" t="s">
        <v>141</v>
      </c>
      <c r="B192" s="72">
        <v>4.66</v>
      </c>
      <c r="C192" s="72">
        <v>4.46</v>
      </c>
      <c r="D192" s="72">
        <v>2.1</v>
      </c>
    </row>
    <row r="193">
      <c r="A193" s="71">
        <v>41913.0</v>
      </c>
      <c r="B193" s="72">
        <v>5.44</v>
      </c>
      <c r="C193" s="72">
        <v>7.61</v>
      </c>
      <c r="D193" s="72">
        <v>-2.52</v>
      </c>
    </row>
    <row r="194">
      <c r="A194" s="71">
        <v>41944.0</v>
      </c>
      <c r="B194" s="72">
        <v>4.47</v>
      </c>
      <c r="C194" s="72">
        <v>5.83</v>
      </c>
      <c r="D194" s="72">
        <v>-1.91</v>
      </c>
    </row>
    <row r="195">
      <c r="A195" s="71">
        <v>41974.0</v>
      </c>
      <c r="B195" s="72">
        <v>6.71</v>
      </c>
      <c r="C195" s="72">
        <v>9.51</v>
      </c>
      <c r="D195" s="72">
        <v>-1.41</v>
      </c>
    </row>
    <row r="196">
      <c r="A196" s="71">
        <v>42005.0</v>
      </c>
      <c r="B196" s="72">
        <v>6.67</v>
      </c>
      <c r="C196" s="72">
        <v>9.24</v>
      </c>
      <c r="D196" s="72">
        <v>0.29</v>
      </c>
    </row>
    <row r="197">
      <c r="A197" s="71">
        <v>42036.0</v>
      </c>
      <c r="B197" s="72">
        <v>1.43</v>
      </c>
      <c r="C197" s="72">
        <v>0.9</v>
      </c>
      <c r="D197" s="72">
        <v>2.35</v>
      </c>
    </row>
    <row r="198">
      <c r="A198" s="71">
        <v>42064.0</v>
      </c>
      <c r="B198" s="72">
        <v>6.46</v>
      </c>
      <c r="C198" s="72">
        <v>7.58</v>
      </c>
      <c r="D198" s="72">
        <v>2.62</v>
      </c>
    </row>
    <row r="199">
      <c r="A199" s="71">
        <v>42095.0</v>
      </c>
      <c r="B199" s="72">
        <v>5.4</v>
      </c>
      <c r="C199" s="72">
        <v>9.19</v>
      </c>
      <c r="D199" s="72">
        <v>-4.42</v>
      </c>
    </row>
    <row r="200">
      <c r="A200" s="71">
        <v>42125.0</v>
      </c>
      <c r="B200" s="72">
        <v>1.14</v>
      </c>
      <c r="C200" s="72">
        <v>1.16</v>
      </c>
      <c r="D200" s="72">
        <v>0.36</v>
      </c>
    </row>
    <row r="201">
      <c r="A201" s="71">
        <v>42156.0</v>
      </c>
      <c r="B201" s="72">
        <v>2.35</v>
      </c>
      <c r="C201" s="72">
        <v>1.7</v>
      </c>
      <c r="D201" s="72">
        <v>2.43</v>
      </c>
    </row>
    <row r="202">
      <c r="A202" s="71">
        <v>42186.0</v>
      </c>
      <c r="B202" s="72">
        <v>4.4</v>
      </c>
      <c r="C202" s="72">
        <v>4.79</v>
      </c>
      <c r="D202" s="72">
        <v>2.5</v>
      </c>
    </row>
    <row r="203">
      <c r="A203" s="71">
        <v>42217.0</v>
      </c>
      <c r="B203" s="72">
        <v>2.4</v>
      </c>
      <c r="C203" s="72">
        <v>2.5</v>
      </c>
      <c r="D203" s="72">
        <v>0.2</v>
      </c>
    </row>
    <row r="204">
      <c r="A204" s="73" t="s">
        <v>142</v>
      </c>
      <c r="B204" s="72">
        <v>3.3</v>
      </c>
      <c r="C204" s="72">
        <v>4.56</v>
      </c>
      <c r="D204" s="72">
        <v>-0.04</v>
      </c>
    </row>
    <row r="205">
      <c r="A205" s="71">
        <v>42278.0</v>
      </c>
      <c r="B205" s="72">
        <v>1.04</v>
      </c>
      <c r="C205" s="72">
        <v>1.25</v>
      </c>
      <c r="D205" s="72">
        <v>-0.2</v>
      </c>
    </row>
    <row r="206">
      <c r="A206" s="71">
        <v>42309.0</v>
      </c>
      <c r="B206" s="72">
        <v>-1.39</v>
      </c>
      <c r="C206" s="72">
        <v>-0.07</v>
      </c>
      <c r="D206" s="72">
        <v>-4.71</v>
      </c>
    </row>
    <row r="207">
      <c r="A207" s="71">
        <v>42339.0</v>
      </c>
      <c r="B207" s="72">
        <v>-1.79</v>
      </c>
      <c r="C207" s="72">
        <v>-1.58</v>
      </c>
      <c r="D207" s="72">
        <v>-1.28</v>
      </c>
    </row>
    <row r="208">
      <c r="A208" s="71">
        <v>42370.0</v>
      </c>
      <c r="B208" s="72">
        <v>2.43</v>
      </c>
      <c r="C208" s="72">
        <v>4.13</v>
      </c>
      <c r="D208" s="72">
        <v>0.13</v>
      </c>
    </row>
    <row r="209">
      <c r="A209" s="71">
        <v>42401.0</v>
      </c>
      <c r="B209" s="72">
        <v>3.25</v>
      </c>
      <c r="C209" s="72">
        <v>3.92</v>
      </c>
      <c r="D209" s="72">
        <v>1.48</v>
      </c>
    </row>
    <row r="210">
      <c r="A210" s="71">
        <v>42430.0</v>
      </c>
      <c r="B210" s="72">
        <v>-1.7</v>
      </c>
      <c r="C210" s="72">
        <v>-2.43</v>
      </c>
      <c r="D210" s="72">
        <v>2.14</v>
      </c>
    </row>
    <row r="211">
      <c r="A211" s="71">
        <v>42461.0</v>
      </c>
      <c r="B211" s="72">
        <v>3.49</v>
      </c>
      <c r="C211" s="72">
        <v>6.3</v>
      </c>
      <c r="D211" s="72">
        <v>-1.74</v>
      </c>
    </row>
    <row r="212">
      <c r="A212" s="71">
        <v>42491.0</v>
      </c>
      <c r="B212" s="72">
        <v>2.57</v>
      </c>
      <c r="C212" s="72">
        <v>4.74</v>
      </c>
      <c r="D212" s="72">
        <v>-8.18</v>
      </c>
    </row>
    <row r="213">
      <c r="A213" s="71">
        <v>42522.0</v>
      </c>
      <c r="B213" s="72">
        <v>3.04</v>
      </c>
      <c r="C213" s="72">
        <v>6.75</v>
      </c>
      <c r="D213" s="72">
        <v>-13.54</v>
      </c>
    </row>
    <row r="214">
      <c r="A214" s="71">
        <v>42552.0</v>
      </c>
      <c r="B214" s="72">
        <v>-0.99</v>
      </c>
      <c r="C214" s="72">
        <v>1.14</v>
      </c>
      <c r="D214" s="72">
        <v>-17.81</v>
      </c>
    </row>
    <row r="215">
      <c r="A215" s="71">
        <v>42583.0</v>
      </c>
      <c r="B215" s="72">
        <v>-0.19</v>
      </c>
      <c r="C215" s="72">
        <v>2.68</v>
      </c>
      <c r="D215" s="72">
        <v>-16.8</v>
      </c>
    </row>
    <row r="216">
      <c r="A216" s="73" t="s">
        <v>143</v>
      </c>
      <c r="B216" s="72">
        <v>1.08</v>
      </c>
      <c r="C216" s="72">
        <v>3.43</v>
      </c>
      <c r="D216" s="72">
        <v>-14.51</v>
      </c>
    </row>
    <row r="217">
      <c r="A217" s="71">
        <v>42644.0</v>
      </c>
      <c r="B217" s="72">
        <v>3.1</v>
      </c>
      <c r="C217" s="72">
        <v>7.21</v>
      </c>
      <c r="D217" s="72">
        <v>-14.79</v>
      </c>
    </row>
    <row r="218">
      <c r="A218" s="71">
        <v>42675.0</v>
      </c>
      <c r="B218" s="72">
        <v>4.12</v>
      </c>
      <c r="C218" s="72">
        <v>8.35</v>
      </c>
      <c r="D218" s="72">
        <v>-12.93</v>
      </c>
    </row>
    <row r="219">
      <c r="A219" s="71">
        <v>42705.0</v>
      </c>
      <c r="B219" s="72">
        <v>1.82</v>
      </c>
      <c r="C219" s="72">
        <v>4.27</v>
      </c>
      <c r="D219" s="72">
        <v>-12.35</v>
      </c>
    </row>
    <row r="220">
      <c r="A220" s="71">
        <v>42736.0</v>
      </c>
      <c r="B220" s="72">
        <v>-0.6</v>
      </c>
      <c r="C220" s="72">
        <v>-0.3</v>
      </c>
      <c r="D220" s="72">
        <v>-11.74</v>
      </c>
    </row>
    <row r="221">
      <c r="A221" s="71">
        <v>42767.0</v>
      </c>
      <c r="B221" s="72">
        <v>1.48</v>
      </c>
      <c r="C221" s="72">
        <v>1.81</v>
      </c>
      <c r="D221" s="72">
        <v>-15.02</v>
      </c>
    </row>
    <row r="222">
      <c r="A222" s="71">
        <v>42795.0</v>
      </c>
      <c r="B222" s="72">
        <v>3.58</v>
      </c>
      <c r="C222" s="72">
        <v>4.65</v>
      </c>
      <c r="D222" s="72">
        <v>-7.1</v>
      </c>
    </row>
    <row r="223">
      <c r="A223" s="71">
        <v>42826.0</v>
      </c>
      <c r="B223" s="72">
        <v>-5.26</v>
      </c>
      <c r="C223" s="72">
        <v>-6.48</v>
      </c>
      <c r="D223" s="72">
        <v>-11.87</v>
      </c>
    </row>
    <row r="224">
      <c r="A224" s="71">
        <v>42856.0</v>
      </c>
      <c r="B224" s="72">
        <v>0.53</v>
      </c>
      <c r="C224" s="72">
        <v>2.16</v>
      </c>
      <c r="D224" s="72">
        <v>-9.61</v>
      </c>
    </row>
    <row r="225">
      <c r="A225" s="71">
        <v>42887.0</v>
      </c>
      <c r="B225" s="72">
        <v>-0.05</v>
      </c>
      <c r="C225" s="72">
        <v>1.77</v>
      </c>
      <c r="D225" s="72">
        <v>-6.26</v>
      </c>
    </row>
    <row r="226">
      <c r="A226" s="71">
        <v>42917.0</v>
      </c>
      <c r="B226" s="72">
        <v>-3.43</v>
      </c>
      <c r="C226" s="72">
        <v>-3.88</v>
      </c>
      <c r="D226" s="72">
        <v>-3.82</v>
      </c>
    </row>
    <row r="227">
      <c r="A227" s="71">
        <v>42948.0</v>
      </c>
      <c r="B227" s="72">
        <v>-1.63</v>
      </c>
      <c r="C227" s="72">
        <v>-2.5</v>
      </c>
      <c r="D227" s="72">
        <v>-2.37</v>
      </c>
    </row>
    <row r="228">
      <c r="A228" s="74"/>
      <c r="B228" s="75"/>
      <c r="C228" s="75"/>
      <c r="D228" s="75"/>
    </row>
    <row r="229">
      <c r="A229" s="74"/>
      <c r="B229" s="75"/>
      <c r="C229" s="75"/>
      <c r="D229" s="75"/>
    </row>
    <row r="230">
      <c r="A230" s="74"/>
      <c r="B230" s="75"/>
      <c r="C230" s="75"/>
      <c r="D230" s="75"/>
    </row>
    <row r="231">
      <c r="A231" s="74"/>
      <c r="B231" s="75"/>
      <c r="C231" s="75"/>
      <c r="D231" s="75"/>
    </row>
    <row r="232">
      <c r="A232" s="74"/>
      <c r="B232" s="75"/>
      <c r="C232" s="75"/>
      <c r="D232" s="75"/>
    </row>
    <row r="233">
      <c r="A233" s="74"/>
      <c r="B233" s="75"/>
      <c r="C233" s="75"/>
      <c r="D233" s="75"/>
    </row>
    <row r="234">
      <c r="A234" s="74"/>
      <c r="B234" s="75"/>
      <c r="C234" s="75"/>
      <c r="D234" s="75"/>
    </row>
    <row r="235">
      <c r="A235" s="74"/>
      <c r="B235" s="75"/>
      <c r="C235" s="75"/>
      <c r="D235" s="75"/>
    </row>
    <row r="236">
      <c r="A236" s="74"/>
      <c r="B236" s="75"/>
      <c r="C236" s="75"/>
      <c r="D236" s="75"/>
    </row>
    <row r="237">
      <c r="A237" s="74"/>
      <c r="B237" s="75"/>
      <c r="C237" s="75"/>
      <c r="D237" s="75"/>
    </row>
    <row r="238">
      <c r="A238" s="74"/>
      <c r="B238" s="75"/>
      <c r="C238" s="75"/>
      <c r="D238" s="75"/>
    </row>
    <row r="239">
      <c r="A239" s="74"/>
      <c r="B239" s="75"/>
      <c r="C239" s="75"/>
      <c r="D239" s="75"/>
    </row>
    <row r="240">
      <c r="A240" s="74"/>
      <c r="B240" s="75"/>
      <c r="C240" s="75"/>
      <c r="D240" s="75"/>
    </row>
    <row r="241">
      <c r="A241" s="74"/>
      <c r="B241" s="75"/>
      <c r="C241" s="75"/>
      <c r="D241" s="75"/>
    </row>
    <row r="242">
      <c r="A242" s="74"/>
      <c r="B242" s="75"/>
      <c r="C242" s="75"/>
      <c r="D242" s="75"/>
    </row>
    <row r="243">
      <c r="A243" s="74"/>
      <c r="B243" s="75"/>
      <c r="C243" s="75"/>
      <c r="D243" s="75"/>
    </row>
    <row r="244">
      <c r="A244" s="74"/>
      <c r="B244" s="75"/>
      <c r="C244" s="75"/>
      <c r="D244" s="75"/>
    </row>
    <row r="245">
      <c r="A245" s="74"/>
      <c r="B245" s="75"/>
      <c r="C245" s="75"/>
      <c r="D245" s="75"/>
    </row>
    <row r="246">
      <c r="A246" s="74"/>
      <c r="B246" s="75"/>
      <c r="C246" s="75"/>
      <c r="D246" s="75"/>
    </row>
    <row r="247">
      <c r="A247" s="74"/>
      <c r="B247" s="75"/>
      <c r="C247" s="75"/>
      <c r="D247" s="75"/>
    </row>
    <row r="248">
      <c r="A248" s="74"/>
      <c r="B248" s="75"/>
      <c r="C248" s="75"/>
      <c r="D248" s="75"/>
    </row>
    <row r="249">
      <c r="A249" s="74"/>
      <c r="B249" s="75"/>
      <c r="C249" s="75"/>
      <c r="D249" s="75"/>
    </row>
    <row r="250">
      <c r="A250" s="74"/>
      <c r="B250" s="75"/>
      <c r="C250" s="75"/>
      <c r="D250" s="75"/>
    </row>
    <row r="251">
      <c r="A251" s="74"/>
      <c r="B251" s="75"/>
      <c r="C251" s="75"/>
      <c r="D251" s="75"/>
    </row>
    <row r="252">
      <c r="A252" s="74"/>
      <c r="B252" s="75"/>
      <c r="C252" s="75"/>
      <c r="D252" s="75"/>
    </row>
    <row r="253">
      <c r="A253" s="74"/>
      <c r="B253" s="75"/>
      <c r="C253" s="75"/>
      <c r="D253" s="75"/>
    </row>
    <row r="254">
      <c r="A254" s="74"/>
      <c r="B254" s="75"/>
      <c r="C254" s="75"/>
      <c r="D254" s="75"/>
    </row>
    <row r="255">
      <c r="A255" s="74"/>
      <c r="B255" s="75"/>
      <c r="C255" s="75"/>
      <c r="D255" s="75"/>
    </row>
    <row r="256">
      <c r="A256" s="74"/>
      <c r="B256" s="75"/>
      <c r="C256" s="75"/>
      <c r="D256" s="75"/>
    </row>
    <row r="257">
      <c r="A257" s="74"/>
      <c r="B257" s="75"/>
      <c r="C257" s="75"/>
      <c r="D257" s="75"/>
    </row>
    <row r="258">
      <c r="A258" s="74"/>
      <c r="B258" s="75"/>
      <c r="C258" s="75"/>
      <c r="D258" s="75"/>
    </row>
    <row r="259">
      <c r="A259" s="74"/>
      <c r="B259" s="75"/>
      <c r="C259" s="75"/>
      <c r="D259" s="75"/>
    </row>
    <row r="260">
      <c r="A260" s="74"/>
      <c r="B260" s="75"/>
      <c r="C260" s="75"/>
      <c r="D260" s="75"/>
    </row>
    <row r="261">
      <c r="A261" s="74"/>
      <c r="B261" s="75"/>
      <c r="C261" s="75"/>
      <c r="D261" s="75"/>
    </row>
    <row r="262">
      <c r="A262" s="74"/>
      <c r="B262" s="75"/>
      <c r="C262" s="75"/>
      <c r="D262" s="75"/>
    </row>
    <row r="263">
      <c r="A263" s="74"/>
      <c r="B263" s="75"/>
      <c r="C263" s="75"/>
      <c r="D263" s="75"/>
    </row>
    <row r="264">
      <c r="A264" s="74"/>
      <c r="B264" s="75"/>
      <c r="C264" s="75"/>
      <c r="D264" s="75"/>
    </row>
    <row r="265">
      <c r="A265" s="74"/>
      <c r="B265" s="75"/>
      <c r="C265" s="75"/>
      <c r="D265" s="75"/>
    </row>
    <row r="266">
      <c r="A266" s="74"/>
      <c r="B266" s="75"/>
      <c r="C266" s="75"/>
      <c r="D266" s="75"/>
    </row>
    <row r="267">
      <c r="A267" s="74"/>
      <c r="B267" s="75"/>
      <c r="C267" s="75"/>
      <c r="D267" s="75"/>
    </row>
    <row r="268">
      <c r="A268" s="74"/>
      <c r="B268" s="75"/>
      <c r="C268" s="75"/>
      <c r="D268" s="75"/>
    </row>
    <row r="269">
      <c r="A269" s="74"/>
      <c r="B269" s="75"/>
      <c r="C269" s="75"/>
      <c r="D269" s="75"/>
    </row>
    <row r="270">
      <c r="A270" s="74"/>
      <c r="B270" s="75"/>
      <c r="C270" s="75"/>
      <c r="D270" s="75"/>
    </row>
    <row r="271">
      <c r="A271" s="74"/>
      <c r="B271" s="75"/>
      <c r="C271" s="75"/>
      <c r="D271" s="75"/>
    </row>
    <row r="272">
      <c r="A272" s="74"/>
      <c r="B272" s="75"/>
      <c r="C272" s="75"/>
      <c r="D272" s="75"/>
    </row>
    <row r="273">
      <c r="A273" s="74"/>
      <c r="B273" s="75"/>
      <c r="C273" s="75"/>
      <c r="D273" s="75"/>
    </row>
    <row r="274">
      <c r="A274" s="74"/>
      <c r="B274" s="75"/>
      <c r="C274" s="75"/>
      <c r="D274" s="75"/>
    </row>
    <row r="275">
      <c r="A275" s="74"/>
      <c r="B275" s="75"/>
      <c r="C275" s="75"/>
      <c r="D275" s="75"/>
    </row>
    <row r="276">
      <c r="A276" s="74"/>
      <c r="B276" s="75"/>
      <c r="C276" s="75"/>
      <c r="D276" s="75"/>
    </row>
    <row r="277">
      <c r="A277" s="74"/>
      <c r="B277" s="75"/>
      <c r="C277" s="75"/>
      <c r="D277" s="75"/>
    </row>
    <row r="278">
      <c r="A278" s="74"/>
      <c r="B278" s="75"/>
      <c r="C278" s="75"/>
      <c r="D278" s="75"/>
    </row>
    <row r="279">
      <c r="A279" s="74"/>
      <c r="B279" s="75"/>
      <c r="C279" s="75"/>
      <c r="D279" s="75"/>
    </row>
    <row r="280">
      <c r="A280" s="74"/>
      <c r="B280" s="75"/>
      <c r="C280" s="75"/>
      <c r="D280" s="75"/>
    </row>
    <row r="281">
      <c r="A281" s="74"/>
      <c r="B281" s="75"/>
      <c r="C281" s="75"/>
      <c r="D281" s="75"/>
    </row>
    <row r="282">
      <c r="A282" s="74"/>
      <c r="B282" s="75"/>
      <c r="C282" s="75"/>
      <c r="D282" s="75"/>
    </row>
    <row r="283">
      <c r="A283" s="74"/>
      <c r="B283" s="75"/>
      <c r="C283" s="75"/>
      <c r="D283" s="75"/>
    </row>
    <row r="284">
      <c r="A284" s="74"/>
      <c r="B284" s="75"/>
      <c r="C284" s="75"/>
      <c r="D284" s="75"/>
    </row>
    <row r="285">
      <c r="A285" s="74"/>
      <c r="B285" s="75"/>
      <c r="C285" s="75"/>
      <c r="D285" s="75"/>
    </row>
    <row r="286">
      <c r="A286" s="74"/>
      <c r="B286" s="75"/>
      <c r="C286" s="75"/>
      <c r="D286" s="75"/>
    </row>
    <row r="287">
      <c r="A287" s="74"/>
      <c r="B287" s="75"/>
      <c r="C287" s="75"/>
      <c r="D287" s="75"/>
    </row>
    <row r="288">
      <c r="A288" s="74"/>
      <c r="B288" s="75"/>
      <c r="C288" s="75"/>
      <c r="D288" s="75"/>
    </row>
    <row r="289">
      <c r="A289" s="74"/>
      <c r="B289" s="75"/>
      <c r="C289" s="75"/>
      <c r="D289" s="75"/>
    </row>
    <row r="290">
      <c r="A290" s="74"/>
      <c r="B290" s="75"/>
      <c r="C290" s="75"/>
      <c r="D290" s="75"/>
    </row>
    <row r="291">
      <c r="A291" s="74"/>
      <c r="B291" s="75"/>
      <c r="C291" s="75"/>
      <c r="D291" s="75"/>
    </row>
    <row r="292">
      <c r="A292" s="74"/>
      <c r="B292" s="75"/>
      <c r="C292" s="75"/>
      <c r="D292" s="75"/>
    </row>
    <row r="293">
      <c r="A293" s="74"/>
      <c r="B293" s="75"/>
      <c r="C293" s="75"/>
      <c r="D293" s="75"/>
    </row>
    <row r="294">
      <c r="A294" s="74"/>
      <c r="B294" s="75"/>
      <c r="C294" s="75"/>
      <c r="D294" s="75"/>
    </row>
    <row r="295">
      <c r="A295" s="74"/>
      <c r="B295" s="75"/>
      <c r="C295" s="75"/>
      <c r="D295" s="75"/>
    </row>
    <row r="296">
      <c r="A296" s="74"/>
      <c r="B296" s="75"/>
      <c r="C296" s="75"/>
      <c r="D296" s="75"/>
    </row>
    <row r="297">
      <c r="A297" s="74"/>
      <c r="B297" s="75"/>
      <c r="C297" s="75"/>
      <c r="D297" s="75"/>
    </row>
    <row r="298">
      <c r="A298" s="74"/>
      <c r="B298" s="75"/>
      <c r="C298" s="75"/>
      <c r="D298" s="75"/>
    </row>
    <row r="299">
      <c r="A299" s="74"/>
      <c r="B299" s="75"/>
      <c r="C299" s="75"/>
      <c r="D299" s="75"/>
    </row>
    <row r="300">
      <c r="A300" s="74"/>
      <c r="B300" s="75"/>
      <c r="C300" s="75"/>
      <c r="D300" s="75"/>
    </row>
    <row r="301">
      <c r="A301" s="74"/>
      <c r="B301" s="75"/>
      <c r="C301" s="75"/>
      <c r="D301" s="75"/>
    </row>
    <row r="302">
      <c r="A302" s="74"/>
      <c r="B302" s="75"/>
      <c r="C302" s="75"/>
      <c r="D302" s="75"/>
    </row>
    <row r="303">
      <c r="A303" s="74"/>
      <c r="B303" s="75"/>
      <c r="C303" s="75"/>
      <c r="D303" s="75"/>
    </row>
    <row r="304">
      <c r="A304" s="74"/>
      <c r="B304" s="75"/>
      <c r="C304" s="75"/>
      <c r="D304" s="75"/>
    </row>
    <row r="305">
      <c r="A305" s="74"/>
      <c r="B305" s="75"/>
      <c r="C305" s="75"/>
      <c r="D305" s="75"/>
    </row>
    <row r="306">
      <c r="A306" s="74"/>
      <c r="B306" s="75"/>
      <c r="C306" s="75"/>
      <c r="D306" s="75"/>
    </row>
    <row r="307">
      <c r="A307" s="74"/>
      <c r="B307" s="75"/>
      <c r="C307" s="75"/>
      <c r="D307" s="75"/>
    </row>
    <row r="308">
      <c r="A308" s="74"/>
      <c r="B308" s="75"/>
      <c r="C308" s="75"/>
      <c r="D308" s="75"/>
    </row>
    <row r="309">
      <c r="A309" s="74"/>
      <c r="B309" s="75"/>
      <c r="C309" s="75"/>
      <c r="D309" s="75"/>
    </row>
    <row r="310">
      <c r="A310" s="74"/>
      <c r="B310" s="75"/>
      <c r="C310" s="75"/>
      <c r="D310" s="75"/>
    </row>
    <row r="311">
      <c r="A311" s="74"/>
      <c r="B311" s="75"/>
      <c r="C311" s="75"/>
      <c r="D311" s="75"/>
    </row>
    <row r="312">
      <c r="A312" s="74"/>
      <c r="B312" s="75"/>
      <c r="C312" s="75"/>
      <c r="D312" s="75"/>
    </row>
    <row r="313">
      <c r="A313" s="74"/>
      <c r="B313" s="75"/>
      <c r="C313" s="75"/>
      <c r="D313" s="75"/>
    </row>
    <row r="314">
      <c r="A314" s="74"/>
      <c r="B314" s="75"/>
      <c r="C314" s="75"/>
      <c r="D314" s="75"/>
    </row>
    <row r="315">
      <c r="A315" s="74"/>
      <c r="B315" s="75"/>
      <c r="C315" s="75"/>
      <c r="D315" s="75"/>
    </row>
    <row r="316">
      <c r="A316" s="74"/>
      <c r="B316" s="75"/>
      <c r="C316" s="75"/>
      <c r="D316" s="75"/>
    </row>
    <row r="317">
      <c r="A317" s="74"/>
      <c r="B317" s="75"/>
      <c r="C317" s="75"/>
      <c r="D317" s="75"/>
    </row>
    <row r="318">
      <c r="A318" s="74"/>
      <c r="B318" s="75"/>
      <c r="C318" s="75"/>
      <c r="D318" s="75"/>
    </row>
    <row r="319">
      <c r="A319" s="74"/>
      <c r="B319" s="75"/>
      <c r="C319" s="75"/>
      <c r="D319" s="75"/>
    </row>
    <row r="320">
      <c r="A320" s="74"/>
      <c r="B320" s="75"/>
      <c r="C320" s="75"/>
      <c r="D320" s="75"/>
    </row>
    <row r="321">
      <c r="A321" s="74"/>
      <c r="B321" s="75"/>
      <c r="C321" s="75"/>
      <c r="D321" s="75"/>
    </row>
    <row r="322">
      <c r="A322" s="74"/>
      <c r="B322" s="75"/>
      <c r="C322" s="75"/>
      <c r="D322" s="75"/>
    </row>
    <row r="323">
      <c r="A323" s="74"/>
      <c r="B323" s="75"/>
      <c r="C323" s="75"/>
      <c r="D323" s="75"/>
    </row>
    <row r="324">
      <c r="A324" s="74"/>
      <c r="B324" s="75"/>
      <c r="C324" s="75"/>
      <c r="D324" s="75"/>
    </row>
    <row r="325">
      <c r="A325" s="74"/>
      <c r="B325" s="75"/>
      <c r="C325" s="75"/>
      <c r="D325" s="75"/>
    </row>
    <row r="326">
      <c r="A326" s="74"/>
      <c r="B326" s="75"/>
      <c r="C326" s="75"/>
      <c r="D326" s="75"/>
    </row>
    <row r="327">
      <c r="A327" s="74"/>
      <c r="B327" s="75"/>
      <c r="C327" s="75"/>
      <c r="D327" s="75"/>
    </row>
    <row r="328">
      <c r="A328" s="74"/>
      <c r="B328" s="75"/>
      <c r="C328" s="75"/>
      <c r="D328" s="75"/>
    </row>
    <row r="329">
      <c r="A329" s="74"/>
      <c r="B329" s="75"/>
      <c r="C329" s="75"/>
      <c r="D329" s="75"/>
    </row>
    <row r="330">
      <c r="A330" s="74"/>
      <c r="B330" s="75"/>
      <c r="C330" s="75"/>
      <c r="D330" s="75"/>
    </row>
    <row r="331">
      <c r="A331" s="74"/>
      <c r="B331" s="75"/>
      <c r="C331" s="75"/>
      <c r="D331" s="75"/>
    </row>
    <row r="332">
      <c r="A332" s="74"/>
      <c r="B332" s="75"/>
      <c r="C332" s="75"/>
      <c r="D332" s="75"/>
    </row>
    <row r="333">
      <c r="A333" s="74"/>
      <c r="B333" s="75"/>
      <c r="C333" s="75"/>
      <c r="D333" s="75"/>
    </row>
    <row r="334">
      <c r="A334" s="74"/>
      <c r="B334" s="75"/>
      <c r="C334" s="75"/>
      <c r="D334" s="75"/>
    </row>
    <row r="335">
      <c r="A335" s="74"/>
      <c r="B335" s="75"/>
      <c r="C335" s="75"/>
      <c r="D335" s="75"/>
    </row>
    <row r="336">
      <c r="A336" s="74"/>
      <c r="B336" s="75"/>
      <c r="C336" s="75"/>
      <c r="D336" s="75"/>
    </row>
    <row r="337">
      <c r="A337" s="74"/>
      <c r="B337" s="75"/>
      <c r="C337" s="75"/>
      <c r="D337" s="75"/>
    </row>
    <row r="338">
      <c r="A338" s="74"/>
      <c r="B338" s="75"/>
      <c r="C338" s="75"/>
      <c r="D338" s="75"/>
    </row>
    <row r="339">
      <c r="A339" s="74"/>
      <c r="B339" s="75"/>
      <c r="C339" s="75"/>
      <c r="D339" s="75"/>
    </row>
    <row r="340">
      <c r="A340" s="74"/>
      <c r="B340" s="75"/>
      <c r="C340" s="75"/>
      <c r="D340" s="75"/>
    </row>
    <row r="341">
      <c r="A341" s="74"/>
      <c r="B341" s="75"/>
      <c r="C341" s="75"/>
      <c r="D341" s="75"/>
    </row>
    <row r="342">
      <c r="A342" s="74"/>
      <c r="B342" s="75"/>
      <c r="C342" s="75"/>
      <c r="D342" s="75"/>
    </row>
    <row r="343">
      <c r="A343" s="74"/>
      <c r="B343" s="75"/>
      <c r="C343" s="75"/>
      <c r="D343" s="75"/>
    </row>
    <row r="344">
      <c r="A344" s="74"/>
      <c r="B344" s="75"/>
      <c r="C344" s="75"/>
      <c r="D344" s="75"/>
    </row>
    <row r="345">
      <c r="A345" s="74"/>
      <c r="B345" s="75"/>
      <c r="C345" s="75"/>
      <c r="D345" s="75"/>
    </row>
    <row r="346">
      <c r="A346" s="74"/>
      <c r="B346" s="75"/>
      <c r="C346" s="75"/>
      <c r="D346" s="75"/>
    </row>
    <row r="347">
      <c r="A347" s="74"/>
      <c r="B347" s="75"/>
      <c r="C347" s="75"/>
      <c r="D347" s="75"/>
    </row>
    <row r="348">
      <c r="A348" s="74"/>
      <c r="B348" s="75"/>
      <c r="C348" s="75"/>
      <c r="D348" s="75"/>
    </row>
    <row r="349">
      <c r="A349" s="74"/>
      <c r="B349" s="75"/>
      <c r="C349" s="75"/>
      <c r="D349" s="75"/>
    </row>
    <row r="350">
      <c r="A350" s="74"/>
      <c r="B350" s="75"/>
      <c r="C350" s="75"/>
      <c r="D350" s="75"/>
    </row>
    <row r="351">
      <c r="A351" s="74"/>
      <c r="B351" s="75"/>
      <c r="C351" s="75"/>
      <c r="D351" s="75"/>
    </row>
    <row r="352">
      <c r="A352" s="74"/>
      <c r="B352" s="75"/>
      <c r="C352" s="75"/>
      <c r="D352" s="75"/>
    </row>
    <row r="353">
      <c r="A353" s="74"/>
      <c r="B353" s="75"/>
      <c r="C353" s="75"/>
      <c r="D353" s="75"/>
    </row>
    <row r="354">
      <c r="A354" s="74"/>
      <c r="B354" s="75"/>
      <c r="C354" s="75"/>
      <c r="D354" s="75"/>
    </row>
    <row r="355">
      <c r="A355" s="74"/>
      <c r="B355" s="75"/>
      <c r="C355" s="75"/>
      <c r="D355" s="75"/>
    </row>
    <row r="356">
      <c r="A356" s="74"/>
      <c r="B356" s="75"/>
      <c r="C356" s="75"/>
      <c r="D356" s="75"/>
    </row>
    <row r="357">
      <c r="A357" s="74"/>
      <c r="B357" s="75"/>
      <c r="C357" s="75"/>
      <c r="D357" s="75"/>
    </row>
    <row r="358">
      <c r="A358" s="74"/>
      <c r="B358" s="75"/>
      <c r="C358" s="75"/>
      <c r="D358" s="75"/>
    </row>
    <row r="359">
      <c r="A359" s="74"/>
      <c r="B359" s="75"/>
      <c r="C359" s="75"/>
      <c r="D359" s="75"/>
    </row>
    <row r="360">
      <c r="A360" s="74"/>
      <c r="B360" s="75"/>
      <c r="C360" s="75"/>
      <c r="D360" s="75"/>
    </row>
    <row r="361">
      <c r="A361" s="74"/>
      <c r="B361" s="75"/>
      <c r="C361" s="75"/>
      <c r="D361" s="75"/>
    </row>
    <row r="362">
      <c r="A362" s="74"/>
      <c r="B362" s="75"/>
      <c r="C362" s="75"/>
      <c r="D362" s="75"/>
    </row>
    <row r="363">
      <c r="A363" s="74"/>
      <c r="B363" s="75"/>
      <c r="C363" s="75"/>
      <c r="D363" s="75"/>
    </row>
    <row r="364">
      <c r="A364" s="74"/>
      <c r="B364" s="75"/>
      <c r="C364" s="75"/>
      <c r="D364" s="75"/>
    </row>
    <row r="365">
      <c r="A365" s="74"/>
      <c r="B365" s="75"/>
      <c r="C365" s="75"/>
      <c r="D365" s="75"/>
    </row>
    <row r="366">
      <c r="A366" s="74"/>
      <c r="B366" s="75"/>
      <c r="C366" s="75"/>
      <c r="D366" s="75"/>
    </row>
    <row r="367">
      <c r="A367" s="74"/>
      <c r="B367" s="75"/>
      <c r="C367" s="75"/>
      <c r="D367" s="75"/>
    </row>
    <row r="368">
      <c r="A368" s="74"/>
      <c r="B368" s="75"/>
      <c r="C368" s="75"/>
      <c r="D368" s="75"/>
    </row>
    <row r="369">
      <c r="A369" s="74"/>
      <c r="B369" s="75"/>
      <c r="C369" s="75"/>
      <c r="D369" s="75"/>
    </row>
    <row r="370">
      <c r="A370" s="74"/>
      <c r="B370" s="75"/>
      <c r="C370" s="75"/>
      <c r="D370" s="75"/>
    </row>
    <row r="371">
      <c r="A371" s="74"/>
      <c r="B371" s="75"/>
      <c r="C371" s="75"/>
      <c r="D371" s="75"/>
    </row>
    <row r="372">
      <c r="A372" s="74"/>
      <c r="B372" s="75"/>
      <c r="C372" s="75"/>
      <c r="D372" s="75"/>
    </row>
    <row r="373">
      <c r="A373" s="74"/>
      <c r="B373" s="75"/>
      <c r="C373" s="75"/>
      <c r="D373" s="75"/>
    </row>
    <row r="374">
      <c r="A374" s="74"/>
      <c r="B374" s="75"/>
      <c r="C374" s="75"/>
      <c r="D374" s="75"/>
    </row>
    <row r="375">
      <c r="A375" s="74"/>
      <c r="B375" s="75"/>
      <c r="C375" s="75"/>
      <c r="D375" s="75"/>
    </row>
    <row r="376">
      <c r="A376" s="74"/>
      <c r="B376" s="75"/>
      <c r="C376" s="75"/>
      <c r="D376" s="75"/>
    </row>
    <row r="377">
      <c r="A377" s="74"/>
      <c r="B377" s="75"/>
      <c r="C377" s="75"/>
      <c r="D377" s="75"/>
    </row>
    <row r="378">
      <c r="A378" s="74"/>
      <c r="B378" s="75"/>
      <c r="C378" s="75"/>
      <c r="D378" s="75"/>
    </row>
    <row r="379">
      <c r="A379" s="74"/>
      <c r="B379" s="75"/>
      <c r="C379" s="75"/>
      <c r="D379" s="75"/>
    </row>
    <row r="380">
      <c r="A380" s="74"/>
      <c r="B380" s="75"/>
      <c r="C380" s="75"/>
      <c r="D380" s="75"/>
    </row>
    <row r="381">
      <c r="A381" s="74"/>
      <c r="B381" s="75"/>
      <c r="C381" s="75"/>
      <c r="D381" s="75"/>
    </row>
    <row r="382">
      <c r="A382" s="74"/>
      <c r="B382" s="75"/>
      <c r="C382" s="75"/>
      <c r="D382" s="75"/>
    </row>
    <row r="383">
      <c r="A383" s="74"/>
      <c r="B383" s="75"/>
      <c r="C383" s="75"/>
      <c r="D383" s="75"/>
    </row>
    <row r="384">
      <c r="A384" s="74"/>
      <c r="B384" s="75"/>
      <c r="C384" s="75"/>
      <c r="D384" s="75"/>
    </row>
    <row r="385">
      <c r="A385" s="74"/>
      <c r="B385" s="75"/>
      <c r="C385" s="75"/>
      <c r="D385" s="75"/>
    </row>
    <row r="386">
      <c r="A386" s="74"/>
      <c r="B386" s="75"/>
      <c r="C386" s="75"/>
      <c r="D386" s="75"/>
    </row>
    <row r="387">
      <c r="A387" s="74"/>
      <c r="B387" s="75"/>
      <c r="C387" s="75"/>
      <c r="D387" s="75"/>
    </row>
    <row r="388">
      <c r="A388" s="74"/>
      <c r="B388" s="75"/>
      <c r="C388" s="75"/>
      <c r="D388" s="75"/>
    </row>
    <row r="389">
      <c r="A389" s="74"/>
      <c r="B389" s="75"/>
      <c r="C389" s="75"/>
      <c r="D389" s="75"/>
    </row>
    <row r="390">
      <c r="A390" s="74"/>
      <c r="B390" s="75"/>
      <c r="C390" s="75"/>
      <c r="D390" s="75"/>
    </row>
    <row r="391">
      <c r="A391" s="74"/>
      <c r="B391" s="75"/>
      <c r="C391" s="75"/>
      <c r="D391" s="75"/>
    </row>
    <row r="392">
      <c r="A392" s="74"/>
      <c r="B392" s="75"/>
      <c r="C392" s="75"/>
      <c r="D392" s="75"/>
    </row>
    <row r="393">
      <c r="A393" s="74"/>
      <c r="B393" s="75"/>
      <c r="C393" s="75"/>
      <c r="D393" s="75"/>
    </row>
    <row r="394">
      <c r="A394" s="74"/>
      <c r="B394" s="75"/>
      <c r="C394" s="75"/>
      <c r="D394" s="75"/>
    </row>
    <row r="395">
      <c r="A395" s="74"/>
      <c r="B395" s="75"/>
      <c r="C395" s="75"/>
      <c r="D395" s="75"/>
    </row>
    <row r="396">
      <c r="A396" s="74"/>
      <c r="B396" s="75"/>
      <c r="C396" s="75"/>
      <c r="D396" s="75"/>
    </row>
    <row r="397">
      <c r="A397" s="74"/>
      <c r="B397" s="75"/>
      <c r="C397" s="75"/>
      <c r="D397" s="75"/>
    </row>
    <row r="398">
      <c r="A398" s="74"/>
      <c r="B398" s="75"/>
      <c r="C398" s="75"/>
      <c r="D398" s="75"/>
    </row>
    <row r="399">
      <c r="A399" s="74"/>
      <c r="B399" s="75"/>
      <c r="C399" s="75"/>
      <c r="D399" s="75"/>
    </row>
    <row r="400">
      <c r="A400" s="74"/>
      <c r="B400" s="75"/>
      <c r="C400" s="75"/>
      <c r="D400" s="75"/>
    </row>
    <row r="401">
      <c r="A401" s="74"/>
      <c r="B401" s="75"/>
      <c r="C401" s="75"/>
      <c r="D401" s="75"/>
    </row>
    <row r="402">
      <c r="A402" s="74"/>
      <c r="B402" s="75"/>
      <c r="C402" s="75"/>
      <c r="D402" s="75"/>
    </row>
    <row r="403">
      <c r="A403" s="74"/>
      <c r="B403" s="75"/>
      <c r="C403" s="75"/>
      <c r="D403" s="75"/>
    </row>
    <row r="404">
      <c r="A404" s="74"/>
      <c r="B404" s="75"/>
      <c r="C404" s="75"/>
      <c r="D404" s="75"/>
    </row>
    <row r="405">
      <c r="A405" s="74"/>
      <c r="B405" s="75"/>
      <c r="C405" s="75"/>
      <c r="D405" s="75"/>
    </row>
    <row r="406">
      <c r="A406" s="74"/>
      <c r="B406" s="75"/>
      <c r="C406" s="75"/>
      <c r="D406" s="75"/>
    </row>
    <row r="407">
      <c r="A407" s="74"/>
      <c r="B407" s="75"/>
      <c r="C407" s="75"/>
      <c r="D407" s="75"/>
    </row>
    <row r="408">
      <c r="A408" s="74"/>
      <c r="B408" s="75"/>
      <c r="C408" s="75"/>
      <c r="D408" s="75"/>
    </row>
    <row r="409">
      <c r="A409" s="74"/>
      <c r="B409" s="75"/>
      <c r="C409" s="75"/>
      <c r="D409" s="75"/>
    </row>
    <row r="410">
      <c r="A410" s="74"/>
      <c r="B410" s="75"/>
      <c r="C410" s="75"/>
      <c r="D410" s="75"/>
    </row>
    <row r="411">
      <c r="A411" s="74"/>
      <c r="B411" s="75"/>
      <c r="C411" s="75"/>
      <c r="D411" s="75"/>
    </row>
    <row r="412">
      <c r="A412" s="74"/>
      <c r="B412" s="75"/>
      <c r="C412" s="75"/>
      <c r="D412" s="75"/>
    </row>
    <row r="413">
      <c r="A413" s="74"/>
      <c r="B413" s="75"/>
      <c r="C413" s="75"/>
      <c r="D413" s="75"/>
    </row>
    <row r="414">
      <c r="A414" s="74"/>
      <c r="B414" s="75"/>
      <c r="C414" s="75"/>
      <c r="D414" s="75"/>
    </row>
    <row r="415">
      <c r="A415" s="74"/>
      <c r="B415" s="75"/>
      <c r="C415" s="75"/>
      <c r="D415" s="75"/>
    </row>
    <row r="416">
      <c r="A416" s="74"/>
      <c r="B416" s="75"/>
      <c r="C416" s="75"/>
      <c r="D416" s="75"/>
    </row>
    <row r="417">
      <c r="A417" s="74"/>
      <c r="B417" s="75"/>
      <c r="C417" s="75"/>
      <c r="D417" s="75"/>
    </row>
    <row r="418">
      <c r="A418" s="74"/>
      <c r="B418" s="75"/>
      <c r="C418" s="75"/>
      <c r="D418" s="75"/>
    </row>
    <row r="419">
      <c r="A419" s="74"/>
      <c r="B419" s="75"/>
      <c r="C419" s="75"/>
      <c r="D419" s="75"/>
    </row>
    <row r="420">
      <c r="A420" s="74"/>
      <c r="B420" s="75"/>
      <c r="C420" s="75"/>
      <c r="D420" s="75"/>
    </row>
    <row r="421">
      <c r="A421" s="74"/>
      <c r="B421" s="75"/>
      <c r="C421" s="75"/>
      <c r="D421" s="75"/>
    </row>
    <row r="422">
      <c r="A422" s="74"/>
      <c r="B422" s="75"/>
      <c r="C422" s="75"/>
      <c r="D422" s="75"/>
    </row>
    <row r="423">
      <c r="A423" s="74"/>
      <c r="B423" s="75"/>
      <c r="C423" s="75"/>
      <c r="D423" s="75"/>
    </row>
    <row r="424">
      <c r="A424" s="74"/>
      <c r="B424" s="75"/>
      <c r="C424" s="75"/>
      <c r="D424" s="75"/>
    </row>
    <row r="425">
      <c r="A425" s="74"/>
      <c r="B425" s="75"/>
      <c r="C425" s="75"/>
      <c r="D425" s="75"/>
    </row>
    <row r="426">
      <c r="A426" s="74"/>
      <c r="B426" s="75"/>
      <c r="C426" s="75"/>
      <c r="D426" s="75"/>
    </row>
    <row r="427">
      <c r="A427" s="74"/>
      <c r="B427" s="75"/>
      <c r="C427" s="75"/>
      <c r="D427" s="75"/>
    </row>
    <row r="428">
      <c r="A428" s="74"/>
      <c r="B428" s="75"/>
      <c r="C428" s="75"/>
      <c r="D428" s="75"/>
    </row>
    <row r="429">
      <c r="A429" s="74"/>
      <c r="B429" s="75"/>
      <c r="C429" s="75"/>
      <c r="D429" s="75"/>
    </row>
    <row r="430">
      <c r="A430" s="74"/>
      <c r="B430" s="75"/>
      <c r="C430" s="75"/>
      <c r="D430" s="75"/>
    </row>
    <row r="431">
      <c r="A431" s="74"/>
      <c r="B431" s="75"/>
      <c r="C431" s="75"/>
      <c r="D431" s="75"/>
    </row>
    <row r="432">
      <c r="A432" s="74"/>
      <c r="B432" s="75"/>
      <c r="C432" s="75"/>
      <c r="D432" s="75"/>
    </row>
    <row r="433">
      <c r="A433" s="74"/>
      <c r="B433" s="75"/>
      <c r="C433" s="75"/>
      <c r="D433" s="75"/>
    </row>
    <row r="434">
      <c r="A434" s="74"/>
      <c r="B434" s="75"/>
      <c r="C434" s="75"/>
      <c r="D434" s="75"/>
    </row>
    <row r="435">
      <c r="A435" s="74"/>
      <c r="B435" s="75"/>
      <c r="C435" s="75"/>
      <c r="D435" s="75"/>
    </row>
    <row r="436">
      <c r="A436" s="74"/>
      <c r="B436" s="75"/>
      <c r="C436" s="75"/>
      <c r="D436" s="75"/>
    </row>
    <row r="437">
      <c r="A437" s="74"/>
      <c r="B437" s="75"/>
      <c r="C437" s="75"/>
      <c r="D437" s="75"/>
    </row>
    <row r="438">
      <c r="A438" s="74"/>
      <c r="B438" s="75"/>
      <c r="C438" s="75"/>
      <c r="D438" s="75"/>
    </row>
    <row r="439">
      <c r="A439" s="74"/>
      <c r="B439" s="75"/>
      <c r="C439" s="75"/>
      <c r="D439" s="75"/>
    </row>
    <row r="440">
      <c r="A440" s="74"/>
      <c r="B440" s="75"/>
      <c r="C440" s="75"/>
      <c r="D440" s="75"/>
    </row>
    <row r="441">
      <c r="A441" s="74"/>
      <c r="B441" s="75"/>
      <c r="C441" s="75"/>
      <c r="D441" s="75"/>
    </row>
    <row r="442">
      <c r="A442" s="74"/>
      <c r="B442" s="75"/>
      <c r="C442" s="75"/>
      <c r="D442" s="75"/>
    </row>
    <row r="443">
      <c r="A443" s="74"/>
      <c r="B443" s="75"/>
      <c r="C443" s="75"/>
      <c r="D443" s="75"/>
    </row>
    <row r="444">
      <c r="A444" s="74"/>
      <c r="B444" s="75"/>
      <c r="C444" s="75"/>
      <c r="D444" s="75"/>
    </row>
    <row r="445">
      <c r="A445" s="74"/>
      <c r="B445" s="75"/>
      <c r="C445" s="75"/>
      <c r="D445" s="75"/>
    </row>
    <row r="446">
      <c r="A446" s="74"/>
      <c r="B446" s="75"/>
      <c r="C446" s="75"/>
      <c r="D446" s="75"/>
    </row>
    <row r="447">
      <c r="A447" s="74"/>
      <c r="B447" s="75"/>
      <c r="C447" s="75"/>
      <c r="D447" s="75"/>
    </row>
    <row r="448">
      <c r="A448" s="74"/>
      <c r="B448" s="75"/>
      <c r="C448" s="75"/>
      <c r="D448" s="75"/>
    </row>
    <row r="449">
      <c r="A449" s="74"/>
      <c r="B449" s="75"/>
      <c r="C449" s="75"/>
      <c r="D449" s="75"/>
    </row>
    <row r="450">
      <c r="A450" s="74"/>
      <c r="B450" s="75"/>
      <c r="C450" s="75"/>
      <c r="D450" s="75"/>
    </row>
    <row r="451">
      <c r="A451" s="74"/>
      <c r="B451" s="75"/>
      <c r="C451" s="75"/>
      <c r="D451" s="75"/>
    </row>
    <row r="452">
      <c r="A452" s="74"/>
      <c r="B452" s="75"/>
      <c r="C452" s="75"/>
      <c r="D452" s="75"/>
    </row>
    <row r="453">
      <c r="A453" s="74"/>
      <c r="B453" s="75"/>
      <c r="C453" s="75"/>
      <c r="D453" s="75"/>
    </row>
    <row r="454">
      <c r="A454" s="74"/>
      <c r="B454" s="75"/>
      <c r="C454" s="75"/>
      <c r="D454" s="75"/>
    </row>
    <row r="455">
      <c r="A455" s="74"/>
      <c r="B455" s="75"/>
      <c r="C455" s="75"/>
      <c r="D455" s="75"/>
    </row>
    <row r="456">
      <c r="A456" s="74"/>
      <c r="B456" s="75"/>
      <c r="C456" s="75"/>
      <c r="D456" s="75"/>
    </row>
    <row r="457">
      <c r="A457" s="74"/>
      <c r="B457" s="75"/>
      <c r="C457" s="75"/>
      <c r="D457" s="75"/>
    </row>
    <row r="458">
      <c r="A458" s="74"/>
      <c r="B458" s="75"/>
      <c r="C458" s="75"/>
      <c r="D458" s="75"/>
    </row>
    <row r="459">
      <c r="A459" s="74"/>
      <c r="B459" s="75"/>
      <c r="C459" s="75"/>
      <c r="D459" s="75"/>
    </row>
    <row r="460">
      <c r="A460" s="74"/>
      <c r="B460" s="75"/>
      <c r="C460" s="75"/>
      <c r="D460" s="75"/>
    </row>
    <row r="461">
      <c r="A461" s="74"/>
      <c r="B461" s="75"/>
      <c r="C461" s="75"/>
      <c r="D461" s="75"/>
    </row>
    <row r="462">
      <c r="A462" s="74"/>
      <c r="B462" s="75"/>
      <c r="C462" s="75"/>
      <c r="D462" s="75"/>
    </row>
    <row r="463">
      <c r="A463" s="74"/>
      <c r="B463" s="75"/>
      <c r="C463" s="75"/>
      <c r="D463" s="75"/>
    </row>
    <row r="464">
      <c r="A464" s="74"/>
      <c r="B464" s="75"/>
      <c r="C464" s="75"/>
      <c r="D464" s="75"/>
    </row>
    <row r="465">
      <c r="A465" s="74"/>
      <c r="B465" s="75"/>
      <c r="C465" s="75"/>
      <c r="D465" s="75"/>
    </row>
    <row r="466">
      <c r="A466" s="74"/>
      <c r="B466" s="75"/>
      <c r="C466" s="75"/>
      <c r="D466" s="75"/>
    </row>
    <row r="467">
      <c r="A467" s="74"/>
      <c r="B467" s="75"/>
      <c r="C467" s="75"/>
      <c r="D467" s="75"/>
    </row>
    <row r="468">
      <c r="A468" s="74"/>
      <c r="B468" s="75"/>
      <c r="C468" s="75"/>
      <c r="D468" s="75"/>
    </row>
    <row r="469">
      <c r="A469" s="74"/>
      <c r="B469" s="75"/>
      <c r="C469" s="75"/>
      <c r="D469" s="75"/>
    </row>
    <row r="470">
      <c r="A470" s="74"/>
      <c r="B470" s="75"/>
      <c r="C470" s="75"/>
      <c r="D470" s="75"/>
    </row>
    <row r="471">
      <c r="A471" s="74"/>
      <c r="B471" s="75"/>
      <c r="C471" s="75"/>
      <c r="D471" s="75"/>
    </row>
    <row r="472">
      <c r="A472" s="74"/>
      <c r="B472" s="75"/>
      <c r="C472" s="75"/>
      <c r="D472" s="75"/>
    </row>
    <row r="473">
      <c r="A473" s="74"/>
      <c r="B473" s="75"/>
      <c r="C473" s="75"/>
      <c r="D473" s="75"/>
    </row>
    <row r="474">
      <c r="A474" s="74"/>
      <c r="B474" s="75"/>
      <c r="C474" s="75"/>
      <c r="D474" s="75"/>
    </row>
    <row r="475">
      <c r="A475" s="74"/>
      <c r="B475" s="75"/>
      <c r="C475" s="75"/>
      <c r="D475" s="75"/>
    </row>
    <row r="476">
      <c r="A476" s="74"/>
      <c r="B476" s="75"/>
      <c r="C476" s="75"/>
      <c r="D476" s="75"/>
    </row>
    <row r="477">
      <c r="A477" s="74"/>
      <c r="B477" s="75"/>
      <c r="C477" s="75"/>
      <c r="D477" s="75"/>
    </row>
    <row r="478">
      <c r="A478" s="74"/>
      <c r="B478" s="75"/>
      <c r="C478" s="75"/>
      <c r="D478" s="75"/>
    </row>
    <row r="479">
      <c r="A479" s="74"/>
      <c r="B479" s="75"/>
      <c r="C479" s="75"/>
      <c r="D479" s="75"/>
    </row>
    <row r="480">
      <c r="A480" s="74"/>
      <c r="B480" s="75"/>
      <c r="C480" s="75"/>
      <c r="D480" s="75"/>
    </row>
    <row r="481">
      <c r="A481" s="74"/>
      <c r="B481" s="75"/>
      <c r="C481" s="75"/>
      <c r="D481" s="75"/>
    </row>
    <row r="482">
      <c r="A482" s="74"/>
      <c r="B482" s="75"/>
      <c r="C482" s="75"/>
      <c r="D482" s="75"/>
    </row>
    <row r="483">
      <c r="A483" s="74"/>
      <c r="B483" s="75"/>
      <c r="C483" s="75"/>
      <c r="D483" s="75"/>
    </row>
    <row r="484">
      <c r="A484" s="74"/>
      <c r="B484" s="75"/>
      <c r="C484" s="75"/>
      <c r="D484" s="75"/>
    </row>
    <row r="485">
      <c r="A485" s="74"/>
      <c r="B485" s="75"/>
      <c r="C485" s="75"/>
      <c r="D485" s="75"/>
    </row>
    <row r="486">
      <c r="A486" s="74"/>
      <c r="B486" s="75"/>
      <c r="C486" s="75"/>
      <c r="D486" s="75"/>
    </row>
    <row r="487">
      <c r="A487" s="74"/>
      <c r="B487" s="75"/>
      <c r="C487" s="75"/>
      <c r="D487" s="75"/>
    </row>
    <row r="488">
      <c r="A488" s="74"/>
      <c r="B488" s="75"/>
      <c r="C488" s="75"/>
      <c r="D488" s="75"/>
    </row>
    <row r="489">
      <c r="A489" s="74"/>
      <c r="B489" s="75"/>
      <c r="C489" s="75"/>
      <c r="D489" s="75"/>
    </row>
    <row r="490">
      <c r="A490" s="74"/>
      <c r="B490" s="75"/>
      <c r="C490" s="75"/>
      <c r="D490" s="75"/>
    </row>
    <row r="491">
      <c r="A491" s="74"/>
      <c r="B491" s="75"/>
      <c r="C491" s="75"/>
      <c r="D491" s="75"/>
    </row>
    <row r="492">
      <c r="A492" s="74"/>
      <c r="B492" s="75"/>
      <c r="C492" s="75"/>
      <c r="D492" s="75"/>
    </row>
    <row r="493">
      <c r="A493" s="74"/>
      <c r="B493" s="75"/>
      <c r="C493" s="75"/>
      <c r="D493" s="75"/>
    </row>
    <row r="494">
      <c r="A494" s="74"/>
      <c r="B494" s="75"/>
      <c r="C494" s="75"/>
      <c r="D494" s="75"/>
    </row>
    <row r="495">
      <c r="A495" s="74"/>
      <c r="B495" s="75"/>
      <c r="C495" s="75"/>
      <c r="D495" s="75"/>
    </row>
    <row r="496">
      <c r="A496" s="74"/>
      <c r="B496" s="75"/>
      <c r="C496" s="75"/>
      <c r="D496" s="75"/>
    </row>
    <row r="497">
      <c r="A497" s="74"/>
      <c r="B497" s="75"/>
      <c r="C497" s="75"/>
      <c r="D497" s="75"/>
    </row>
    <row r="498">
      <c r="A498" s="74"/>
      <c r="B498" s="75"/>
      <c r="C498" s="75"/>
      <c r="D498" s="75"/>
    </row>
    <row r="499">
      <c r="A499" s="74"/>
      <c r="B499" s="75"/>
      <c r="C499" s="75"/>
      <c r="D499" s="75"/>
    </row>
    <row r="500">
      <c r="A500" s="74"/>
      <c r="B500" s="75"/>
      <c r="C500" s="75"/>
      <c r="D500" s="75"/>
    </row>
    <row r="501">
      <c r="A501" s="74"/>
      <c r="B501" s="75"/>
      <c r="C501" s="75"/>
      <c r="D501" s="75"/>
    </row>
    <row r="502">
      <c r="A502" s="74"/>
      <c r="B502" s="75"/>
      <c r="C502" s="75"/>
      <c r="D502" s="75"/>
    </row>
    <row r="503">
      <c r="A503" s="74"/>
      <c r="B503" s="75"/>
      <c r="C503" s="75"/>
      <c r="D503" s="75"/>
    </row>
    <row r="504">
      <c r="A504" s="74"/>
      <c r="B504" s="75"/>
      <c r="C504" s="75"/>
      <c r="D504" s="75"/>
    </row>
    <row r="505">
      <c r="A505" s="74"/>
      <c r="B505" s="75"/>
      <c r="C505" s="75"/>
      <c r="D505" s="75"/>
    </row>
    <row r="506">
      <c r="A506" s="74"/>
      <c r="B506" s="75"/>
      <c r="C506" s="75"/>
      <c r="D506" s="75"/>
    </row>
    <row r="507">
      <c r="A507" s="74"/>
      <c r="B507" s="75"/>
      <c r="C507" s="75"/>
      <c r="D507" s="75"/>
    </row>
    <row r="508">
      <c r="A508" s="74"/>
      <c r="B508" s="75"/>
      <c r="C508" s="75"/>
      <c r="D508" s="75"/>
    </row>
    <row r="509">
      <c r="A509" s="74"/>
      <c r="B509" s="75"/>
      <c r="C509" s="75"/>
      <c r="D509" s="75"/>
    </row>
    <row r="510">
      <c r="A510" s="74"/>
      <c r="B510" s="75"/>
      <c r="C510" s="75"/>
      <c r="D510" s="75"/>
    </row>
    <row r="511">
      <c r="A511" s="74"/>
      <c r="B511" s="75"/>
      <c r="C511" s="75"/>
      <c r="D511" s="75"/>
    </row>
    <row r="512">
      <c r="A512" s="74"/>
      <c r="B512" s="75"/>
      <c r="C512" s="75"/>
      <c r="D512" s="75"/>
    </row>
    <row r="513">
      <c r="A513" s="74"/>
      <c r="B513" s="75"/>
      <c r="C513" s="75"/>
      <c r="D513" s="75"/>
    </row>
    <row r="514">
      <c r="A514" s="74"/>
      <c r="B514" s="75"/>
      <c r="C514" s="75"/>
      <c r="D514" s="75"/>
    </row>
    <row r="515">
      <c r="A515" s="74"/>
      <c r="B515" s="75"/>
      <c r="C515" s="75"/>
      <c r="D515" s="75"/>
    </row>
    <row r="516">
      <c r="A516" s="74"/>
      <c r="B516" s="75"/>
      <c r="C516" s="75"/>
      <c r="D516" s="75"/>
    </row>
    <row r="517">
      <c r="A517" s="74"/>
      <c r="B517" s="75"/>
      <c r="C517" s="75"/>
      <c r="D517" s="75"/>
    </row>
    <row r="518">
      <c r="A518" s="74"/>
      <c r="B518" s="75"/>
      <c r="C518" s="75"/>
      <c r="D518" s="75"/>
    </row>
    <row r="519">
      <c r="A519" s="74"/>
      <c r="B519" s="75"/>
      <c r="C519" s="75"/>
      <c r="D519" s="75"/>
    </row>
    <row r="520">
      <c r="A520" s="74"/>
      <c r="B520" s="75"/>
      <c r="C520" s="75"/>
      <c r="D520" s="75"/>
    </row>
    <row r="521">
      <c r="A521" s="74"/>
      <c r="B521" s="75"/>
      <c r="C521" s="75"/>
      <c r="D521" s="75"/>
    </row>
    <row r="522">
      <c r="A522" s="74"/>
      <c r="B522" s="75"/>
      <c r="C522" s="75"/>
      <c r="D522" s="75"/>
    </row>
    <row r="523">
      <c r="A523" s="74"/>
      <c r="B523" s="75"/>
      <c r="C523" s="75"/>
      <c r="D523" s="75"/>
    </row>
    <row r="524">
      <c r="A524" s="74"/>
      <c r="B524" s="75"/>
      <c r="C524" s="75"/>
      <c r="D524" s="75"/>
    </row>
    <row r="525">
      <c r="A525" s="74"/>
      <c r="B525" s="75"/>
      <c r="C525" s="75"/>
      <c r="D525" s="75"/>
    </row>
    <row r="526">
      <c r="A526" s="74"/>
      <c r="B526" s="75"/>
      <c r="C526" s="75"/>
      <c r="D526" s="75"/>
    </row>
    <row r="527">
      <c r="A527" s="74"/>
      <c r="B527" s="75"/>
      <c r="C527" s="75"/>
      <c r="D527" s="75"/>
    </row>
    <row r="528">
      <c r="A528" s="74"/>
      <c r="B528" s="75"/>
      <c r="C528" s="75"/>
      <c r="D528" s="75"/>
    </row>
    <row r="529">
      <c r="A529" s="74"/>
      <c r="B529" s="75"/>
      <c r="C529" s="75"/>
      <c r="D529" s="75"/>
    </row>
    <row r="530">
      <c r="A530" s="74"/>
      <c r="B530" s="75"/>
      <c r="C530" s="75"/>
      <c r="D530" s="75"/>
    </row>
    <row r="531">
      <c r="A531" s="74"/>
      <c r="B531" s="75"/>
      <c r="C531" s="75"/>
      <c r="D531" s="75"/>
    </row>
    <row r="532">
      <c r="A532" s="74"/>
      <c r="B532" s="75"/>
      <c r="C532" s="75"/>
      <c r="D532" s="75"/>
    </row>
    <row r="533">
      <c r="A533" s="74"/>
      <c r="B533" s="75"/>
      <c r="C533" s="75"/>
      <c r="D533" s="75"/>
    </row>
    <row r="534">
      <c r="A534" s="74"/>
      <c r="B534" s="75"/>
      <c r="C534" s="75"/>
      <c r="D534" s="75"/>
    </row>
    <row r="535">
      <c r="A535" s="74"/>
      <c r="B535" s="75"/>
      <c r="C535" s="75"/>
      <c r="D535" s="75"/>
    </row>
    <row r="536">
      <c r="A536" s="74"/>
      <c r="B536" s="75"/>
      <c r="C536" s="75"/>
      <c r="D536" s="75"/>
    </row>
    <row r="537">
      <c r="A537" s="74"/>
      <c r="B537" s="75"/>
      <c r="C537" s="75"/>
      <c r="D537" s="75"/>
    </row>
    <row r="538">
      <c r="A538" s="74"/>
      <c r="B538" s="75"/>
      <c r="C538" s="75"/>
      <c r="D538" s="75"/>
    </row>
    <row r="539">
      <c r="A539" s="74"/>
      <c r="B539" s="75"/>
      <c r="C539" s="75"/>
      <c r="D539" s="75"/>
    </row>
    <row r="540">
      <c r="A540" s="74"/>
      <c r="B540" s="75"/>
      <c r="C540" s="75"/>
      <c r="D540" s="75"/>
    </row>
    <row r="541">
      <c r="A541" s="74"/>
      <c r="B541" s="75"/>
      <c r="C541" s="75"/>
      <c r="D541" s="75"/>
    </row>
    <row r="542">
      <c r="A542" s="74"/>
      <c r="B542" s="75"/>
      <c r="C542" s="75"/>
      <c r="D542" s="75"/>
    </row>
    <row r="543">
      <c r="A543" s="74"/>
      <c r="B543" s="75"/>
      <c r="C543" s="75"/>
      <c r="D543" s="75"/>
    </row>
    <row r="544">
      <c r="A544" s="74"/>
      <c r="B544" s="75"/>
      <c r="C544" s="75"/>
      <c r="D544" s="75"/>
    </row>
    <row r="545">
      <c r="A545" s="74"/>
      <c r="B545" s="75"/>
      <c r="C545" s="75"/>
      <c r="D545" s="75"/>
    </row>
    <row r="546">
      <c r="A546" s="74"/>
      <c r="B546" s="75"/>
      <c r="C546" s="75"/>
      <c r="D546" s="75"/>
    </row>
    <row r="547">
      <c r="A547" s="74"/>
      <c r="B547" s="75"/>
      <c r="C547" s="75"/>
      <c r="D547" s="75"/>
    </row>
    <row r="548">
      <c r="A548" s="74"/>
      <c r="B548" s="75"/>
      <c r="C548" s="75"/>
      <c r="D548" s="75"/>
    </row>
    <row r="549">
      <c r="A549" s="74"/>
      <c r="B549" s="75"/>
      <c r="C549" s="75"/>
      <c r="D549" s="75"/>
    </row>
    <row r="550">
      <c r="A550" s="74"/>
      <c r="B550" s="75"/>
      <c r="C550" s="75"/>
      <c r="D550" s="75"/>
    </row>
    <row r="551">
      <c r="A551" s="74"/>
      <c r="B551" s="75"/>
      <c r="C551" s="75"/>
      <c r="D551" s="75"/>
    </row>
    <row r="552">
      <c r="A552" s="74"/>
      <c r="B552" s="75"/>
      <c r="C552" s="75"/>
      <c r="D552" s="75"/>
    </row>
    <row r="553">
      <c r="A553" s="74"/>
      <c r="B553" s="75"/>
      <c r="C553" s="75"/>
      <c r="D553" s="75"/>
    </row>
    <row r="554">
      <c r="A554" s="74"/>
      <c r="B554" s="75"/>
      <c r="C554" s="75"/>
      <c r="D554" s="75"/>
    </row>
    <row r="555">
      <c r="A555" s="74"/>
      <c r="B555" s="75"/>
      <c r="C555" s="75"/>
      <c r="D555" s="75"/>
    </row>
    <row r="556">
      <c r="A556" s="74"/>
      <c r="B556" s="75"/>
      <c r="C556" s="75"/>
      <c r="D556" s="75"/>
    </row>
    <row r="557">
      <c r="A557" s="74"/>
      <c r="B557" s="75"/>
      <c r="C557" s="75"/>
      <c r="D557" s="75"/>
    </row>
    <row r="558">
      <c r="A558" s="74"/>
      <c r="B558" s="75"/>
      <c r="C558" s="75"/>
      <c r="D558" s="75"/>
    </row>
    <row r="559">
      <c r="A559" s="74"/>
      <c r="B559" s="75"/>
      <c r="C559" s="75"/>
      <c r="D559" s="75"/>
    </row>
    <row r="560">
      <c r="A560" s="74"/>
      <c r="B560" s="75"/>
      <c r="C560" s="75"/>
      <c r="D560" s="75"/>
    </row>
    <row r="561">
      <c r="A561" s="74"/>
      <c r="B561" s="75"/>
      <c r="C561" s="75"/>
      <c r="D561" s="75"/>
    </row>
    <row r="562">
      <c r="A562" s="74"/>
      <c r="B562" s="75"/>
      <c r="C562" s="75"/>
      <c r="D562" s="75"/>
    </row>
    <row r="563">
      <c r="A563" s="74"/>
      <c r="B563" s="75"/>
      <c r="C563" s="75"/>
      <c r="D563" s="75"/>
    </row>
    <row r="564">
      <c r="A564" s="74"/>
      <c r="B564" s="75"/>
      <c r="C564" s="75"/>
      <c r="D564" s="75"/>
    </row>
    <row r="565">
      <c r="A565" s="74"/>
      <c r="B565" s="75"/>
      <c r="C565" s="75"/>
      <c r="D565" s="75"/>
    </row>
    <row r="566">
      <c r="A566" s="74"/>
      <c r="B566" s="75"/>
      <c r="C566" s="75"/>
      <c r="D566" s="75"/>
    </row>
    <row r="567">
      <c r="A567" s="74"/>
      <c r="B567" s="75"/>
      <c r="C567" s="75"/>
      <c r="D567" s="75"/>
    </row>
    <row r="568">
      <c r="A568" s="74"/>
      <c r="B568" s="75"/>
      <c r="C568" s="75"/>
      <c r="D568" s="75"/>
    </row>
    <row r="569">
      <c r="A569" s="74"/>
      <c r="B569" s="75"/>
      <c r="C569" s="75"/>
      <c r="D569" s="75"/>
    </row>
    <row r="570">
      <c r="A570" s="74"/>
      <c r="B570" s="75"/>
      <c r="C570" s="75"/>
      <c r="D570" s="75"/>
    </row>
    <row r="571">
      <c r="A571" s="74"/>
      <c r="B571" s="75"/>
      <c r="C571" s="75"/>
      <c r="D571" s="75"/>
    </row>
    <row r="572">
      <c r="A572" s="74"/>
      <c r="B572" s="75"/>
      <c r="C572" s="75"/>
      <c r="D572" s="75"/>
    </row>
    <row r="573">
      <c r="A573" s="74"/>
      <c r="B573" s="75"/>
      <c r="C573" s="75"/>
      <c r="D573" s="75"/>
    </row>
    <row r="574">
      <c r="A574" s="74"/>
      <c r="B574" s="75"/>
      <c r="C574" s="75"/>
      <c r="D574" s="75"/>
    </row>
    <row r="575">
      <c r="A575" s="74"/>
      <c r="B575" s="75"/>
      <c r="C575" s="75"/>
      <c r="D575" s="75"/>
    </row>
    <row r="576">
      <c r="A576" s="74"/>
      <c r="B576" s="75"/>
      <c r="C576" s="75"/>
      <c r="D576" s="75"/>
    </row>
    <row r="577">
      <c r="A577" s="74"/>
      <c r="B577" s="75"/>
      <c r="C577" s="75"/>
      <c r="D577" s="75"/>
    </row>
    <row r="578">
      <c r="A578" s="74"/>
      <c r="B578" s="75"/>
      <c r="C578" s="75"/>
      <c r="D578" s="75"/>
    </row>
    <row r="579">
      <c r="A579" s="74"/>
      <c r="B579" s="75"/>
      <c r="C579" s="75"/>
      <c r="D579" s="75"/>
    </row>
    <row r="580">
      <c r="A580" s="74"/>
      <c r="B580" s="75"/>
      <c r="C580" s="75"/>
      <c r="D580" s="75"/>
    </row>
    <row r="581">
      <c r="A581" s="74"/>
      <c r="B581" s="75"/>
      <c r="C581" s="75"/>
      <c r="D581" s="75"/>
    </row>
    <row r="582">
      <c r="A582" s="74"/>
      <c r="B582" s="75"/>
      <c r="C582" s="75"/>
      <c r="D582" s="75"/>
    </row>
    <row r="583">
      <c r="A583" s="74"/>
      <c r="B583" s="75"/>
      <c r="C583" s="75"/>
      <c r="D583" s="75"/>
    </row>
    <row r="584">
      <c r="A584" s="74"/>
      <c r="B584" s="75"/>
      <c r="C584" s="75"/>
      <c r="D584" s="75"/>
    </row>
    <row r="585">
      <c r="A585" s="74"/>
      <c r="B585" s="75"/>
      <c r="C585" s="75"/>
      <c r="D585" s="75"/>
    </row>
    <row r="586">
      <c r="A586" s="74"/>
      <c r="B586" s="75"/>
      <c r="C586" s="75"/>
      <c r="D586" s="75"/>
    </row>
    <row r="587">
      <c r="A587" s="74"/>
      <c r="B587" s="75"/>
      <c r="C587" s="75"/>
      <c r="D587" s="75"/>
    </row>
    <row r="588">
      <c r="A588" s="74"/>
      <c r="B588" s="75"/>
      <c r="C588" s="75"/>
      <c r="D588" s="75"/>
    </row>
    <row r="589">
      <c r="A589" s="74"/>
      <c r="B589" s="75"/>
      <c r="C589" s="75"/>
      <c r="D589" s="75"/>
    </row>
    <row r="590">
      <c r="A590" s="74"/>
      <c r="B590" s="75"/>
      <c r="C590" s="75"/>
      <c r="D590" s="75"/>
    </row>
    <row r="591">
      <c r="A591" s="74"/>
      <c r="B591" s="75"/>
      <c r="C591" s="75"/>
      <c r="D591" s="75"/>
    </row>
    <row r="592">
      <c r="A592" s="74"/>
      <c r="B592" s="75"/>
      <c r="C592" s="75"/>
      <c r="D592" s="75"/>
    </row>
    <row r="593">
      <c r="A593" s="74"/>
      <c r="B593" s="75"/>
      <c r="C593" s="75"/>
      <c r="D593" s="75"/>
    </row>
    <row r="594">
      <c r="A594" s="74"/>
      <c r="B594" s="75"/>
      <c r="C594" s="75"/>
      <c r="D594" s="75"/>
    </row>
    <row r="595">
      <c r="A595" s="74"/>
      <c r="B595" s="75"/>
      <c r="C595" s="75"/>
      <c r="D595" s="75"/>
    </row>
    <row r="596">
      <c r="A596" s="74"/>
      <c r="B596" s="75"/>
      <c r="C596" s="75"/>
      <c r="D596" s="75"/>
    </row>
    <row r="597">
      <c r="A597" s="74"/>
      <c r="B597" s="75"/>
      <c r="C597" s="75"/>
      <c r="D597" s="75"/>
    </row>
    <row r="598">
      <c r="A598" s="74"/>
      <c r="B598" s="75"/>
      <c r="C598" s="75"/>
      <c r="D598" s="75"/>
    </row>
    <row r="599">
      <c r="A599" s="74"/>
      <c r="B599" s="75"/>
      <c r="C599" s="75"/>
      <c r="D599" s="75"/>
    </row>
    <row r="600">
      <c r="A600" s="74"/>
      <c r="B600" s="75"/>
      <c r="C600" s="75"/>
      <c r="D600" s="75"/>
    </row>
    <row r="601">
      <c r="A601" s="74"/>
      <c r="B601" s="75"/>
      <c r="C601" s="75"/>
      <c r="D601" s="75"/>
    </row>
    <row r="602">
      <c r="A602" s="74"/>
      <c r="B602" s="75"/>
      <c r="C602" s="75"/>
      <c r="D602" s="75"/>
    </row>
    <row r="603">
      <c r="A603" s="74"/>
      <c r="B603" s="75"/>
      <c r="C603" s="75"/>
      <c r="D603" s="75"/>
    </row>
    <row r="604">
      <c r="A604" s="74"/>
      <c r="B604" s="75"/>
      <c r="C604" s="75"/>
      <c r="D604" s="75"/>
    </row>
    <row r="605">
      <c r="A605" s="74"/>
      <c r="B605" s="75"/>
      <c r="C605" s="75"/>
      <c r="D605" s="75"/>
    </row>
    <row r="606">
      <c r="A606" s="74"/>
      <c r="B606" s="75"/>
      <c r="C606" s="75"/>
      <c r="D606" s="75"/>
    </row>
    <row r="607">
      <c r="A607" s="74"/>
      <c r="B607" s="75"/>
      <c r="C607" s="75"/>
      <c r="D607" s="75"/>
    </row>
    <row r="608">
      <c r="A608" s="74"/>
      <c r="B608" s="75"/>
      <c r="C608" s="75"/>
      <c r="D608" s="75"/>
    </row>
    <row r="609">
      <c r="A609" s="74"/>
      <c r="B609" s="75"/>
      <c r="C609" s="75"/>
      <c r="D609" s="75"/>
    </row>
    <row r="610">
      <c r="A610" s="74"/>
      <c r="B610" s="75"/>
      <c r="C610" s="75"/>
      <c r="D610" s="75"/>
    </row>
    <row r="611">
      <c r="A611" s="74"/>
      <c r="B611" s="75"/>
      <c r="C611" s="75"/>
      <c r="D611" s="75"/>
    </row>
    <row r="612">
      <c r="A612" s="74"/>
      <c r="B612" s="75"/>
      <c r="C612" s="75"/>
      <c r="D612" s="75"/>
    </row>
    <row r="613">
      <c r="A613" s="74"/>
      <c r="B613" s="75"/>
      <c r="C613" s="75"/>
      <c r="D613" s="75"/>
    </row>
    <row r="614">
      <c r="A614" s="74"/>
      <c r="B614" s="75"/>
      <c r="C614" s="75"/>
      <c r="D614" s="75"/>
    </row>
    <row r="615">
      <c r="A615" s="74"/>
      <c r="B615" s="75"/>
      <c r="C615" s="75"/>
      <c r="D615" s="75"/>
    </row>
    <row r="616">
      <c r="A616" s="74"/>
      <c r="B616" s="75"/>
      <c r="C616" s="75"/>
      <c r="D616" s="75"/>
    </row>
    <row r="617">
      <c r="A617" s="74"/>
      <c r="B617" s="75"/>
      <c r="C617" s="75"/>
      <c r="D617" s="75"/>
    </row>
    <row r="618">
      <c r="A618" s="74"/>
      <c r="B618" s="75"/>
      <c r="C618" s="75"/>
      <c r="D618" s="75"/>
    </row>
    <row r="619">
      <c r="A619" s="74"/>
      <c r="B619" s="75"/>
      <c r="C619" s="75"/>
      <c r="D619" s="75"/>
    </row>
    <row r="620">
      <c r="A620" s="74"/>
      <c r="B620" s="75"/>
      <c r="C620" s="75"/>
      <c r="D620" s="75"/>
    </row>
    <row r="621">
      <c r="A621" s="74"/>
      <c r="B621" s="75"/>
      <c r="C621" s="75"/>
      <c r="D621" s="75"/>
    </row>
    <row r="622">
      <c r="A622" s="74"/>
      <c r="B622" s="75"/>
      <c r="C622" s="75"/>
      <c r="D622" s="75"/>
    </row>
    <row r="623">
      <c r="A623" s="74"/>
      <c r="B623" s="75"/>
      <c r="C623" s="75"/>
      <c r="D623" s="75"/>
    </row>
    <row r="624">
      <c r="A624" s="74"/>
      <c r="B624" s="75"/>
      <c r="C624" s="75"/>
      <c r="D624" s="75"/>
    </row>
    <row r="625">
      <c r="A625" s="74"/>
      <c r="B625" s="75"/>
      <c r="C625" s="75"/>
      <c r="D625" s="75"/>
    </row>
    <row r="626">
      <c r="A626" s="74"/>
      <c r="B626" s="75"/>
      <c r="C626" s="75"/>
      <c r="D626" s="75"/>
    </row>
    <row r="627">
      <c r="A627" s="74"/>
      <c r="B627" s="75"/>
      <c r="C627" s="75"/>
      <c r="D627" s="75"/>
    </row>
    <row r="628">
      <c r="A628" s="74"/>
      <c r="B628" s="75"/>
      <c r="C628" s="75"/>
      <c r="D628" s="75"/>
    </row>
    <row r="629">
      <c r="A629" s="74"/>
      <c r="B629" s="75"/>
      <c r="C629" s="75"/>
      <c r="D629" s="75"/>
    </row>
    <row r="630">
      <c r="A630" s="74"/>
      <c r="B630" s="75"/>
      <c r="C630" s="75"/>
      <c r="D630" s="75"/>
    </row>
    <row r="631">
      <c r="A631" s="74"/>
      <c r="B631" s="75"/>
      <c r="C631" s="75"/>
      <c r="D631" s="75"/>
    </row>
    <row r="632">
      <c r="A632" s="74"/>
      <c r="B632" s="75"/>
      <c r="C632" s="75"/>
      <c r="D632" s="75"/>
    </row>
    <row r="633">
      <c r="A633" s="74"/>
      <c r="B633" s="75"/>
      <c r="C633" s="75"/>
      <c r="D633" s="75"/>
    </row>
    <row r="634">
      <c r="A634" s="74"/>
      <c r="B634" s="75"/>
      <c r="C634" s="75"/>
      <c r="D634" s="75"/>
    </row>
    <row r="635">
      <c r="A635" s="74"/>
      <c r="B635" s="75"/>
      <c r="C635" s="75"/>
      <c r="D635" s="75"/>
    </row>
    <row r="636">
      <c r="A636" s="74"/>
      <c r="B636" s="75"/>
      <c r="C636" s="75"/>
      <c r="D636" s="75"/>
    </row>
    <row r="637">
      <c r="A637" s="74"/>
      <c r="B637" s="75"/>
      <c r="C637" s="75"/>
      <c r="D637" s="75"/>
    </row>
    <row r="638">
      <c r="A638" s="74"/>
      <c r="B638" s="75"/>
      <c r="C638" s="75"/>
      <c r="D638" s="75"/>
    </row>
    <row r="639">
      <c r="A639" s="74"/>
      <c r="B639" s="75"/>
      <c r="C639" s="75"/>
      <c r="D639" s="75"/>
    </row>
    <row r="640">
      <c r="A640" s="74"/>
      <c r="B640" s="75"/>
      <c r="C640" s="75"/>
      <c r="D640" s="75"/>
    </row>
    <row r="641">
      <c r="A641" s="74"/>
      <c r="B641" s="75"/>
      <c r="C641" s="75"/>
      <c r="D641" s="75"/>
    </row>
    <row r="642">
      <c r="A642" s="74"/>
      <c r="B642" s="75"/>
      <c r="C642" s="75"/>
      <c r="D642" s="75"/>
    </row>
    <row r="643">
      <c r="A643" s="74"/>
      <c r="B643" s="75"/>
      <c r="C643" s="75"/>
      <c r="D643" s="75"/>
    </row>
    <row r="644">
      <c r="A644" s="74"/>
      <c r="B644" s="75"/>
      <c r="C644" s="75"/>
      <c r="D644" s="75"/>
    </row>
    <row r="645">
      <c r="A645" s="74"/>
      <c r="B645" s="75"/>
      <c r="C645" s="75"/>
      <c r="D645" s="75"/>
    </row>
    <row r="646">
      <c r="A646" s="74"/>
      <c r="B646" s="75"/>
      <c r="C646" s="75"/>
      <c r="D646" s="75"/>
    </row>
    <row r="647">
      <c r="A647" s="74"/>
      <c r="B647" s="75"/>
      <c r="C647" s="75"/>
      <c r="D647" s="75"/>
    </row>
    <row r="648">
      <c r="A648" s="74"/>
      <c r="B648" s="75"/>
      <c r="C648" s="75"/>
      <c r="D648" s="75"/>
    </row>
    <row r="649">
      <c r="A649" s="74"/>
      <c r="B649" s="75"/>
      <c r="C649" s="75"/>
      <c r="D649" s="75"/>
    </row>
    <row r="650">
      <c r="A650" s="74"/>
      <c r="B650" s="75"/>
      <c r="C650" s="75"/>
      <c r="D650" s="75"/>
    </row>
    <row r="651">
      <c r="A651" s="74"/>
      <c r="B651" s="75"/>
      <c r="C651" s="75"/>
      <c r="D651" s="75"/>
    </row>
    <row r="652">
      <c r="A652" s="74"/>
      <c r="B652" s="75"/>
      <c r="C652" s="75"/>
      <c r="D652" s="75"/>
    </row>
    <row r="653">
      <c r="A653" s="74"/>
      <c r="B653" s="75"/>
      <c r="C653" s="75"/>
      <c r="D653" s="75"/>
    </row>
    <row r="654">
      <c r="A654" s="74"/>
      <c r="B654" s="75"/>
      <c r="C654" s="75"/>
      <c r="D654" s="75"/>
    </row>
    <row r="655">
      <c r="A655" s="74"/>
      <c r="B655" s="75"/>
      <c r="C655" s="75"/>
      <c r="D655" s="75"/>
    </row>
    <row r="656">
      <c r="A656" s="74"/>
      <c r="B656" s="75"/>
      <c r="C656" s="75"/>
      <c r="D656" s="75"/>
    </row>
    <row r="657">
      <c r="A657" s="74"/>
      <c r="B657" s="75"/>
      <c r="C657" s="75"/>
      <c r="D657" s="75"/>
    </row>
    <row r="658">
      <c r="A658" s="74"/>
      <c r="B658" s="75"/>
      <c r="C658" s="75"/>
      <c r="D658" s="75"/>
    </row>
    <row r="659">
      <c r="A659" s="74"/>
      <c r="B659" s="75"/>
      <c r="C659" s="75"/>
      <c r="D659" s="75"/>
    </row>
    <row r="660">
      <c r="A660" s="74"/>
      <c r="B660" s="75"/>
      <c r="C660" s="75"/>
      <c r="D660" s="75"/>
    </row>
    <row r="661">
      <c r="A661" s="74"/>
      <c r="B661" s="75"/>
      <c r="C661" s="75"/>
      <c r="D661" s="75"/>
    </row>
    <row r="662">
      <c r="A662" s="74"/>
      <c r="B662" s="75"/>
      <c r="C662" s="75"/>
      <c r="D662" s="75"/>
    </row>
    <row r="663">
      <c r="A663" s="74"/>
      <c r="B663" s="75"/>
      <c r="C663" s="75"/>
      <c r="D663" s="75"/>
    </row>
    <row r="664">
      <c r="A664" s="74"/>
      <c r="B664" s="75"/>
      <c r="C664" s="75"/>
      <c r="D664" s="75"/>
    </row>
    <row r="665">
      <c r="A665" s="74"/>
      <c r="B665" s="75"/>
      <c r="C665" s="75"/>
      <c r="D665" s="75"/>
    </row>
    <row r="666">
      <c r="A666" s="74"/>
      <c r="B666" s="75"/>
      <c r="C666" s="75"/>
      <c r="D666" s="75"/>
    </row>
    <row r="667">
      <c r="A667" s="74"/>
      <c r="B667" s="75"/>
      <c r="C667" s="75"/>
      <c r="D667" s="75"/>
    </row>
    <row r="668">
      <c r="A668" s="74"/>
      <c r="B668" s="75"/>
      <c r="C668" s="75"/>
      <c r="D668" s="75"/>
    </row>
    <row r="669">
      <c r="A669" s="74"/>
      <c r="B669" s="75"/>
      <c r="C669" s="75"/>
      <c r="D669" s="75"/>
    </row>
    <row r="670">
      <c r="A670" s="74"/>
      <c r="B670" s="75"/>
      <c r="C670" s="75"/>
      <c r="D670" s="75"/>
    </row>
    <row r="671">
      <c r="A671" s="74"/>
      <c r="B671" s="75"/>
      <c r="C671" s="75"/>
      <c r="D671" s="75"/>
    </row>
    <row r="672">
      <c r="A672" s="74"/>
      <c r="B672" s="75"/>
      <c r="C672" s="75"/>
      <c r="D672" s="75"/>
    </row>
    <row r="673">
      <c r="A673" s="74"/>
      <c r="B673" s="75"/>
      <c r="C673" s="75"/>
      <c r="D673" s="75"/>
    </row>
    <row r="674">
      <c r="A674" s="74"/>
      <c r="B674" s="75"/>
      <c r="C674" s="75"/>
      <c r="D674" s="75"/>
    </row>
    <row r="675">
      <c r="A675" s="74"/>
      <c r="B675" s="75"/>
      <c r="C675" s="75"/>
      <c r="D675" s="75"/>
    </row>
    <row r="676">
      <c r="A676" s="74"/>
      <c r="B676" s="75"/>
      <c r="C676" s="75"/>
      <c r="D676" s="75"/>
    </row>
    <row r="677">
      <c r="A677" s="74"/>
      <c r="B677" s="75"/>
      <c r="C677" s="75"/>
      <c r="D677" s="75"/>
    </row>
    <row r="678">
      <c r="A678" s="74"/>
      <c r="B678" s="75"/>
      <c r="C678" s="75"/>
      <c r="D678" s="75"/>
    </row>
    <row r="679">
      <c r="A679" s="74"/>
      <c r="B679" s="75"/>
      <c r="C679" s="75"/>
      <c r="D679" s="75"/>
    </row>
    <row r="680">
      <c r="A680" s="74"/>
      <c r="B680" s="75"/>
      <c r="C680" s="75"/>
      <c r="D680" s="75"/>
    </row>
    <row r="681">
      <c r="A681" s="74"/>
      <c r="B681" s="75"/>
      <c r="C681" s="75"/>
      <c r="D681" s="75"/>
    </row>
    <row r="682">
      <c r="A682" s="74"/>
      <c r="B682" s="75"/>
      <c r="C682" s="75"/>
      <c r="D682" s="75"/>
    </row>
    <row r="683">
      <c r="A683" s="74"/>
      <c r="B683" s="75"/>
      <c r="C683" s="75"/>
      <c r="D683" s="75"/>
    </row>
    <row r="684">
      <c r="A684" s="74"/>
      <c r="B684" s="75"/>
      <c r="C684" s="75"/>
      <c r="D684" s="75"/>
    </row>
    <row r="685">
      <c r="A685" s="74"/>
      <c r="B685" s="75"/>
      <c r="C685" s="75"/>
      <c r="D685" s="75"/>
    </row>
    <row r="686">
      <c r="A686" s="74"/>
      <c r="B686" s="75"/>
      <c r="C686" s="75"/>
      <c r="D686" s="75"/>
    </row>
    <row r="687">
      <c r="A687" s="74"/>
      <c r="B687" s="75"/>
      <c r="C687" s="75"/>
      <c r="D687" s="75"/>
    </row>
    <row r="688">
      <c r="A688" s="74"/>
      <c r="B688" s="75"/>
      <c r="C688" s="75"/>
      <c r="D688" s="75"/>
    </row>
    <row r="689">
      <c r="A689" s="74"/>
      <c r="B689" s="75"/>
      <c r="C689" s="75"/>
      <c r="D689" s="75"/>
    </row>
    <row r="690">
      <c r="A690" s="74"/>
      <c r="B690" s="75"/>
      <c r="C690" s="75"/>
      <c r="D690" s="75"/>
    </row>
    <row r="691">
      <c r="A691" s="74"/>
      <c r="B691" s="75"/>
      <c r="C691" s="75"/>
      <c r="D691" s="75"/>
    </row>
    <row r="692">
      <c r="A692" s="74"/>
      <c r="B692" s="75"/>
      <c r="C692" s="75"/>
      <c r="D692" s="75"/>
    </row>
    <row r="693">
      <c r="A693" s="74"/>
      <c r="B693" s="75"/>
      <c r="C693" s="75"/>
      <c r="D693" s="75"/>
    </row>
    <row r="694">
      <c r="A694" s="74"/>
      <c r="B694" s="75"/>
      <c r="C694" s="75"/>
      <c r="D694" s="75"/>
    </row>
    <row r="695">
      <c r="A695" s="74"/>
      <c r="B695" s="75"/>
      <c r="C695" s="75"/>
      <c r="D695" s="75"/>
    </row>
    <row r="696">
      <c r="A696" s="74"/>
      <c r="B696" s="75"/>
      <c r="C696" s="75"/>
      <c r="D696" s="75"/>
    </row>
    <row r="697">
      <c r="A697" s="74"/>
      <c r="B697" s="75"/>
      <c r="C697" s="75"/>
      <c r="D697" s="75"/>
    </row>
    <row r="698">
      <c r="A698" s="74"/>
      <c r="B698" s="75"/>
      <c r="C698" s="75"/>
      <c r="D698" s="75"/>
    </row>
    <row r="699">
      <c r="A699" s="74"/>
      <c r="B699" s="75"/>
      <c r="C699" s="75"/>
      <c r="D699" s="75"/>
    </row>
    <row r="700">
      <c r="A700" s="74"/>
      <c r="B700" s="75"/>
      <c r="C700" s="75"/>
      <c r="D700" s="75"/>
    </row>
    <row r="701">
      <c r="A701" s="74"/>
      <c r="B701" s="75"/>
      <c r="C701" s="75"/>
      <c r="D701" s="75"/>
    </row>
    <row r="702">
      <c r="A702" s="74"/>
      <c r="B702" s="75"/>
      <c r="C702" s="75"/>
      <c r="D702" s="75"/>
    </row>
    <row r="703">
      <c r="A703" s="74"/>
      <c r="B703" s="75"/>
      <c r="C703" s="75"/>
      <c r="D703" s="75"/>
    </row>
    <row r="704">
      <c r="A704" s="74"/>
      <c r="B704" s="75"/>
      <c r="C704" s="75"/>
      <c r="D704" s="75"/>
    </row>
    <row r="705">
      <c r="A705" s="74"/>
      <c r="B705" s="75"/>
      <c r="C705" s="75"/>
      <c r="D705" s="75"/>
    </row>
    <row r="706">
      <c r="A706" s="74"/>
      <c r="B706" s="75"/>
      <c r="C706" s="75"/>
      <c r="D706" s="75"/>
    </row>
    <row r="707">
      <c r="A707" s="74"/>
      <c r="B707" s="75"/>
      <c r="C707" s="75"/>
      <c r="D707" s="75"/>
    </row>
    <row r="708">
      <c r="A708" s="74"/>
      <c r="B708" s="75"/>
      <c r="C708" s="75"/>
      <c r="D708" s="75"/>
    </row>
    <row r="709">
      <c r="A709" s="74"/>
      <c r="B709" s="75"/>
      <c r="C709" s="75"/>
      <c r="D709" s="75"/>
    </row>
    <row r="710">
      <c r="A710" s="74"/>
      <c r="B710" s="75"/>
      <c r="C710" s="75"/>
      <c r="D710" s="75"/>
    </row>
    <row r="711">
      <c r="A711" s="74"/>
      <c r="B711" s="75"/>
      <c r="C711" s="75"/>
      <c r="D711" s="75"/>
    </row>
    <row r="712">
      <c r="A712" s="74"/>
      <c r="B712" s="75"/>
      <c r="C712" s="75"/>
      <c r="D712" s="75"/>
    </row>
    <row r="713">
      <c r="A713" s="74"/>
      <c r="B713" s="75"/>
      <c r="C713" s="75"/>
      <c r="D713" s="75"/>
    </row>
    <row r="714">
      <c r="A714" s="74"/>
      <c r="B714" s="75"/>
      <c r="C714" s="75"/>
      <c r="D714" s="75"/>
    </row>
    <row r="715">
      <c r="A715" s="74"/>
      <c r="B715" s="75"/>
      <c r="C715" s="75"/>
      <c r="D715" s="75"/>
    </row>
    <row r="716">
      <c r="A716" s="74"/>
      <c r="B716" s="75"/>
      <c r="C716" s="75"/>
      <c r="D716" s="75"/>
    </row>
    <row r="717">
      <c r="A717" s="74"/>
      <c r="B717" s="75"/>
      <c r="C717" s="75"/>
      <c r="D717" s="75"/>
    </row>
    <row r="718">
      <c r="A718" s="74"/>
      <c r="B718" s="75"/>
      <c r="C718" s="75"/>
      <c r="D718" s="75"/>
    </row>
    <row r="719">
      <c r="A719" s="74"/>
      <c r="B719" s="75"/>
      <c r="C719" s="75"/>
      <c r="D719" s="75"/>
    </row>
    <row r="720">
      <c r="A720" s="74"/>
      <c r="B720" s="75"/>
      <c r="C720" s="75"/>
      <c r="D720" s="75"/>
    </row>
    <row r="721">
      <c r="A721" s="74"/>
      <c r="B721" s="75"/>
      <c r="C721" s="75"/>
      <c r="D721" s="75"/>
    </row>
    <row r="722">
      <c r="A722" s="74"/>
      <c r="B722" s="75"/>
      <c r="C722" s="75"/>
      <c r="D722" s="75"/>
    </row>
    <row r="723">
      <c r="A723" s="74"/>
      <c r="B723" s="75"/>
      <c r="C723" s="75"/>
      <c r="D723" s="75"/>
    </row>
    <row r="724">
      <c r="A724" s="74"/>
      <c r="B724" s="75"/>
      <c r="C724" s="75"/>
      <c r="D724" s="75"/>
    </row>
    <row r="725">
      <c r="A725" s="74"/>
      <c r="B725" s="75"/>
      <c r="C725" s="75"/>
      <c r="D725" s="75"/>
    </row>
    <row r="726">
      <c r="A726" s="74"/>
      <c r="B726" s="75"/>
      <c r="C726" s="75"/>
      <c r="D726" s="75"/>
    </row>
    <row r="727">
      <c r="A727" s="74"/>
      <c r="B727" s="75"/>
      <c r="C727" s="75"/>
      <c r="D727" s="75"/>
    </row>
    <row r="728">
      <c r="A728" s="74"/>
      <c r="B728" s="75"/>
      <c r="C728" s="75"/>
      <c r="D728" s="75"/>
    </row>
    <row r="729">
      <c r="A729" s="74"/>
      <c r="B729" s="75"/>
      <c r="C729" s="75"/>
      <c r="D729" s="75"/>
    </row>
    <row r="730">
      <c r="A730" s="74"/>
      <c r="B730" s="75"/>
      <c r="C730" s="75"/>
      <c r="D730" s="75"/>
    </row>
    <row r="731">
      <c r="A731" s="74"/>
      <c r="B731" s="75"/>
      <c r="C731" s="75"/>
      <c r="D731" s="75"/>
    </row>
    <row r="732">
      <c r="A732" s="74"/>
      <c r="B732" s="75"/>
      <c r="C732" s="75"/>
      <c r="D732" s="75"/>
    </row>
    <row r="733">
      <c r="A733" s="74"/>
      <c r="B733" s="75"/>
      <c r="C733" s="75"/>
      <c r="D733" s="75"/>
    </row>
    <row r="734">
      <c r="A734" s="74"/>
      <c r="B734" s="75"/>
      <c r="C734" s="75"/>
      <c r="D734" s="75"/>
    </row>
    <row r="735">
      <c r="A735" s="74"/>
      <c r="B735" s="75"/>
      <c r="C735" s="75"/>
      <c r="D735" s="75"/>
    </row>
    <row r="736">
      <c r="A736" s="74"/>
      <c r="B736" s="75"/>
      <c r="C736" s="75"/>
      <c r="D736" s="75"/>
    </row>
    <row r="737">
      <c r="A737" s="74"/>
      <c r="B737" s="75"/>
      <c r="C737" s="75"/>
      <c r="D737" s="75"/>
    </row>
    <row r="738">
      <c r="A738" s="74"/>
      <c r="B738" s="75"/>
      <c r="C738" s="75"/>
      <c r="D738" s="75"/>
    </row>
    <row r="739">
      <c r="A739" s="74"/>
      <c r="B739" s="75"/>
      <c r="C739" s="75"/>
      <c r="D739" s="75"/>
    </row>
    <row r="740">
      <c r="A740" s="74"/>
      <c r="B740" s="75"/>
      <c r="C740" s="75"/>
      <c r="D740" s="75"/>
    </row>
    <row r="741">
      <c r="A741" s="74"/>
      <c r="B741" s="75"/>
      <c r="C741" s="75"/>
      <c r="D741" s="75"/>
    </row>
    <row r="742">
      <c r="A742" s="74"/>
      <c r="B742" s="75"/>
      <c r="C742" s="75"/>
      <c r="D742" s="75"/>
    </row>
    <row r="743">
      <c r="A743" s="74"/>
      <c r="B743" s="75"/>
      <c r="C743" s="75"/>
      <c r="D743" s="75"/>
    </row>
    <row r="744">
      <c r="A744" s="74"/>
      <c r="B744" s="75"/>
      <c r="C744" s="75"/>
      <c r="D744" s="75"/>
    </row>
    <row r="745">
      <c r="A745" s="74"/>
      <c r="B745" s="75"/>
      <c r="C745" s="75"/>
      <c r="D745" s="75"/>
    </row>
    <row r="746">
      <c r="A746" s="74"/>
      <c r="B746" s="75"/>
      <c r="C746" s="75"/>
      <c r="D746" s="75"/>
    </row>
    <row r="747">
      <c r="A747" s="74"/>
      <c r="B747" s="75"/>
      <c r="C747" s="75"/>
      <c r="D747" s="75"/>
    </row>
    <row r="748">
      <c r="A748" s="74"/>
      <c r="B748" s="75"/>
      <c r="C748" s="75"/>
      <c r="D748" s="75"/>
    </row>
    <row r="749">
      <c r="A749" s="74"/>
      <c r="B749" s="75"/>
      <c r="C749" s="75"/>
      <c r="D749" s="75"/>
    </row>
    <row r="750">
      <c r="A750" s="74"/>
      <c r="B750" s="75"/>
      <c r="C750" s="75"/>
      <c r="D750" s="75"/>
    </row>
    <row r="751">
      <c r="A751" s="74"/>
      <c r="B751" s="75"/>
      <c r="C751" s="75"/>
      <c r="D751" s="75"/>
    </row>
    <row r="752">
      <c r="A752" s="74"/>
      <c r="B752" s="75"/>
      <c r="C752" s="75"/>
      <c r="D752" s="75"/>
    </row>
    <row r="753">
      <c r="A753" s="74"/>
      <c r="B753" s="75"/>
      <c r="C753" s="75"/>
      <c r="D753" s="75"/>
    </row>
    <row r="754">
      <c r="A754" s="74"/>
      <c r="B754" s="75"/>
      <c r="C754" s="75"/>
      <c r="D754" s="75"/>
    </row>
    <row r="755">
      <c r="A755" s="74"/>
      <c r="B755" s="75"/>
      <c r="C755" s="75"/>
      <c r="D755" s="75"/>
    </row>
    <row r="756">
      <c r="A756" s="74"/>
      <c r="B756" s="75"/>
      <c r="C756" s="75"/>
      <c r="D756" s="75"/>
    </row>
    <row r="757">
      <c r="A757" s="74"/>
      <c r="B757" s="75"/>
      <c r="C757" s="75"/>
      <c r="D757" s="75"/>
    </row>
    <row r="758">
      <c r="A758" s="74"/>
      <c r="B758" s="75"/>
      <c r="C758" s="75"/>
      <c r="D758" s="75"/>
    </row>
    <row r="759">
      <c r="A759" s="74"/>
      <c r="B759" s="75"/>
      <c r="C759" s="75"/>
      <c r="D759" s="75"/>
    </row>
    <row r="760">
      <c r="A760" s="74"/>
      <c r="B760" s="75"/>
      <c r="C760" s="75"/>
      <c r="D760" s="75"/>
    </row>
    <row r="761">
      <c r="A761" s="74"/>
      <c r="B761" s="75"/>
      <c r="C761" s="75"/>
      <c r="D761" s="75"/>
    </row>
    <row r="762">
      <c r="A762" s="74"/>
      <c r="B762" s="75"/>
      <c r="C762" s="75"/>
      <c r="D762" s="75"/>
    </row>
    <row r="763">
      <c r="A763" s="74"/>
      <c r="B763" s="75"/>
      <c r="C763" s="75"/>
      <c r="D763" s="75"/>
    </row>
    <row r="764">
      <c r="A764" s="74"/>
      <c r="B764" s="75"/>
      <c r="C764" s="75"/>
      <c r="D764" s="75"/>
    </row>
    <row r="765">
      <c r="A765" s="74"/>
      <c r="B765" s="75"/>
      <c r="C765" s="75"/>
      <c r="D765" s="75"/>
    </row>
    <row r="766">
      <c r="A766" s="74"/>
      <c r="B766" s="75"/>
      <c r="C766" s="75"/>
      <c r="D766" s="75"/>
    </row>
    <row r="767">
      <c r="A767" s="74"/>
      <c r="B767" s="75"/>
      <c r="C767" s="75"/>
      <c r="D767" s="75"/>
    </row>
    <row r="768">
      <c r="A768" s="74"/>
      <c r="B768" s="75"/>
      <c r="C768" s="75"/>
      <c r="D768" s="75"/>
    </row>
    <row r="769">
      <c r="A769" s="74"/>
      <c r="B769" s="75"/>
      <c r="C769" s="75"/>
      <c r="D769" s="75"/>
    </row>
    <row r="770">
      <c r="A770" s="74"/>
      <c r="B770" s="75"/>
      <c r="C770" s="75"/>
      <c r="D770" s="75"/>
    </row>
    <row r="771">
      <c r="A771" s="74"/>
      <c r="B771" s="75"/>
      <c r="C771" s="75"/>
      <c r="D771" s="75"/>
    </row>
    <row r="772">
      <c r="A772" s="74"/>
      <c r="B772" s="75"/>
      <c r="C772" s="75"/>
      <c r="D772" s="75"/>
    </row>
    <row r="773">
      <c r="A773" s="74"/>
      <c r="B773" s="75"/>
      <c r="C773" s="75"/>
      <c r="D773" s="75"/>
    </row>
    <row r="774">
      <c r="A774" s="74"/>
      <c r="B774" s="75"/>
      <c r="C774" s="75"/>
      <c r="D774" s="75"/>
    </row>
    <row r="775">
      <c r="A775" s="74"/>
      <c r="B775" s="75"/>
      <c r="C775" s="75"/>
      <c r="D775" s="75"/>
    </row>
    <row r="776">
      <c r="A776" s="74"/>
      <c r="B776" s="75"/>
      <c r="C776" s="75"/>
      <c r="D776" s="75"/>
    </row>
    <row r="777">
      <c r="A777" s="74"/>
      <c r="B777" s="75"/>
      <c r="C777" s="75"/>
      <c r="D777" s="75"/>
    </row>
    <row r="778">
      <c r="A778" s="74"/>
      <c r="B778" s="75"/>
      <c r="C778" s="75"/>
      <c r="D778" s="75"/>
    </row>
    <row r="779">
      <c r="A779" s="74"/>
      <c r="B779" s="75"/>
      <c r="C779" s="75"/>
      <c r="D779" s="75"/>
    </row>
    <row r="780">
      <c r="A780" s="74"/>
      <c r="B780" s="75"/>
      <c r="C780" s="75"/>
      <c r="D780" s="75"/>
    </row>
    <row r="781">
      <c r="A781" s="74"/>
      <c r="B781" s="75"/>
      <c r="C781" s="75"/>
      <c r="D781" s="75"/>
    </row>
    <row r="782">
      <c r="A782" s="74"/>
      <c r="B782" s="75"/>
      <c r="C782" s="75"/>
      <c r="D782" s="75"/>
    </row>
    <row r="783">
      <c r="A783" s="74"/>
      <c r="B783" s="75"/>
      <c r="C783" s="75"/>
      <c r="D783" s="75"/>
    </row>
    <row r="784">
      <c r="A784" s="74"/>
      <c r="B784" s="75"/>
      <c r="C784" s="75"/>
      <c r="D784" s="75"/>
    </row>
    <row r="785">
      <c r="A785" s="74"/>
      <c r="B785" s="75"/>
      <c r="C785" s="75"/>
      <c r="D785" s="75"/>
    </row>
    <row r="786">
      <c r="A786" s="74"/>
      <c r="B786" s="75"/>
      <c r="C786" s="75"/>
      <c r="D786" s="75"/>
    </row>
    <row r="787">
      <c r="A787" s="74"/>
      <c r="B787" s="75"/>
      <c r="C787" s="75"/>
      <c r="D787" s="75"/>
    </row>
    <row r="788">
      <c r="A788" s="74"/>
      <c r="B788" s="75"/>
      <c r="C788" s="75"/>
      <c r="D788" s="75"/>
    </row>
    <row r="789">
      <c r="A789" s="74"/>
      <c r="B789" s="75"/>
      <c r="C789" s="75"/>
      <c r="D789" s="75"/>
    </row>
    <row r="790">
      <c r="A790" s="74"/>
      <c r="B790" s="75"/>
      <c r="C790" s="75"/>
      <c r="D790" s="75"/>
    </row>
    <row r="791">
      <c r="A791" s="74"/>
      <c r="B791" s="75"/>
      <c r="C791" s="75"/>
      <c r="D791" s="75"/>
    </row>
    <row r="792">
      <c r="A792" s="74"/>
      <c r="B792" s="75"/>
      <c r="C792" s="75"/>
      <c r="D792" s="75"/>
    </row>
    <row r="793">
      <c r="A793" s="74"/>
      <c r="B793" s="75"/>
      <c r="C793" s="75"/>
      <c r="D793" s="75"/>
    </row>
    <row r="794">
      <c r="A794" s="74"/>
      <c r="B794" s="75"/>
      <c r="C794" s="75"/>
      <c r="D794" s="75"/>
    </row>
    <row r="795">
      <c r="A795" s="74"/>
      <c r="B795" s="75"/>
      <c r="C795" s="75"/>
      <c r="D795" s="75"/>
    </row>
    <row r="796">
      <c r="A796" s="74"/>
      <c r="B796" s="75"/>
      <c r="C796" s="75"/>
      <c r="D796" s="75"/>
    </row>
    <row r="797">
      <c r="A797" s="74"/>
      <c r="B797" s="75"/>
      <c r="C797" s="75"/>
      <c r="D797" s="75"/>
    </row>
    <row r="798">
      <c r="A798" s="74"/>
      <c r="B798" s="75"/>
      <c r="C798" s="75"/>
      <c r="D798" s="75"/>
    </row>
    <row r="799">
      <c r="A799" s="74"/>
      <c r="B799" s="75"/>
      <c r="C799" s="75"/>
      <c r="D799" s="75"/>
    </row>
    <row r="800">
      <c r="A800" s="74"/>
      <c r="B800" s="75"/>
      <c r="C800" s="75"/>
      <c r="D800" s="75"/>
    </row>
    <row r="801">
      <c r="A801" s="74"/>
      <c r="B801" s="75"/>
      <c r="C801" s="75"/>
      <c r="D801" s="75"/>
    </row>
    <row r="802">
      <c r="A802" s="74"/>
      <c r="B802" s="75"/>
      <c r="C802" s="75"/>
      <c r="D802" s="75"/>
    </row>
    <row r="803">
      <c r="A803" s="74"/>
      <c r="B803" s="75"/>
      <c r="C803" s="75"/>
      <c r="D803" s="75"/>
    </row>
    <row r="804">
      <c r="A804" s="74"/>
      <c r="B804" s="75"/>
      <c r="C804" s="75"/>
      <c r="D804" s="75"/>
    </row>
    <row r="805">
      <c r="A805" s="74"/>
      <c r="B805" s="75"/>
      <c r="C805" s="75"/>
      <c r="D805" s="75"/>
    </row>
    <row r="806">
      <c r="A806" s="74"/>
      <c r="B806" s="75"/>
      <c r="C806" s="75"/>
      <c r="D806" s="75"/>
    </row>
    <row r="807">
      <c r="A807" s="74"/>
      <c r="B807" s="75"/>
      <c r="C807" s="75"/>
      <c r="D807" s="75"/>
    </row>
    <row r="808">
      <c r="A808" s="74"/>
      <c r="B808" s="75"/>
      <c r="C808" s="75"/>
      <c r="D808" s="75"/>
    </row>
    <row r="809">
      <c r="A809" s="74"/>
      <c r="B809" s="75"/>
      <c r="C809" s="75"/>
      <c r="D809" s="75"/>
    </row>
    <row r="810">
      <c r="A810" s="74"/>
      <c r="B810" s="75"/>
      <c r="C810" s="75"/>
      <c r="D810" s="75"/>
    </row>
    <row r="811">
      <c r="A811" s="74"/>
      <c r="B811" s="75"/>
      <c r="C811" s="75"/>
      <c r="D811" s="75"/>
    </row>
    <row r="812">
      <c r="A812" s="74"/>
      <c r="B812" s="75"/>
      <c r="C812" s="75"/>
      <c r="D812" s="75"/>
    </row>
    <row r="813">
      <c r="A813" s="74"/>
      <c r="B813" s="75"/>
      <c r="C813" s="75"/>
      <c r="D813" s="75"/>
    </row>
    <row r="814">
      <c r="A814" s="74"/>
      <c r="B814" s="75"/>
      <c r="C814" s="75"/>
      <c r="D814" s="75"/>
    </row>
    <row r="815">
      <c r="A815" s="74"/>
      <c r="B815" s="75"/>
      <c r="C815" s="75"/>
      <c r="D815" s="75"/>
    </row>
    <row r="816">
      <c r="A816" s="74"/>
      <c r="B816" s="75"/>
      <c r="C816" s="75"/>
      <c r="D816" s="75"/>
    </row>
    <row r="817">
      <c r="A817" s="74"/>
      <c r="B817" s="75"/>
      <c r="C817" s="75"/>
      <c r="D817" s="75"/>
    </row>
    <row r="818">
      <c r="A818" s="74"/>
      <c r="B818" s="75"/>
      <c r="C818" s="75"/>
      <c r="D818" s="75"/>
    </row>
    <row r="819">
      <c r="A819" s="74"/>
      <c r="B819" s="75"/>
      <c r="C819" s="75"/>
      <c r="D819" s="75"/>
    </row>
    <row r="820">
      <c r="A820" s="74"/>
      <c r="B820" s="75"/>
      <c r="C820" s="75"/>
      <c r="D820" s="75"/>
    </row>
    <row r="821">
      <c r="A821" s="74"/>
      <c r="B821" s="75"/>
      <c r="C821" s="75"/>
      <c r="D821" s="75"/>
    </row>
    <row r="822">
      <c r="A822" s="74"/>
      <c r="B822" s="75"/>
      <c r="C822" s="75"/>
      <c r="D822" s="75"/>
    </row>
    <row r="823">
      <c r="A823" s="74"/>
      <c r="B823" s="75"/>
      <c r="C823" s="75"/>
      <c r="D823" s="75"/>
    </row>
    <row r="824">
      <c r="A824" s="74"/>
      <c r="B824" s="75"/>
      <c r="C824" s="75"/>
      <c r="D824" s="75"/>
    </row>
    <row r="825">
      <c r="A825" s="74"/>
      <c r="B825" s="75"/>
      <c r="C825" s="75"/>
      <c r="D825" s="75"/>
    </row>
    <row r="826">
      <c r="A826" s="74"/>
      <c r="B826" s="75"/>
      <c r="C826" s="75"/>
      <c r="D826" s="75"/>
    </row>
    <row r="827">
      <c r="A827" s="74"/>
      <c r="B827" s="75"/>
      <c r="C827" s="75"/>
      <c r="D827" s="75"/>
    </row>
    <row r="828">
      <c r="A828" s="74"/>
      <c r="B828" s="75"/>
      <c r="C828" s="75"/>
      <c r="D828" s="75"/>
    </row>
    <row r="829">
      <c r="A829" s="74"/>
      <c r="B829" s="75"/>
      <c r="C829" s="75"/>
      <c r="D829" s="75"/>
    </row>
    <row r="830">
      <c r="A830" s="74"/>
      <c r="B830" s="75"/>
      <c r="C830" s="75"/>
      <c r="D830" s="75"/>
    </row>
    <row r="831">
      <c r="A831" s="74"/>
      <c r="B831" s="75"/>
      <c r="C831" s="75"/>
      <c r="D831" s="75"/>
    </row>
    <row r="832">
      <c r="A832" s="74"/>
      <c r="B832" s="75"/>
      <c r="C832" s="75"/>
      <c r="D832" s="75"/>
    </row>
    <row r="833">
      <c r="A833" s="74"/>
      <c r="B833" s="75"/>
      <c r="C833" s="75"/>
      <c r="D833" s="75"/>
    </row>
    <row r="834">
      <c r="A834" s="74"/>
      <c r="B834" s="75"/>
      <c r="C834" s="75"/>
      <c r="D834" s="75"/>
    </row>
    <row r="835">
      <c r="A835" s="74"/>
      <c r="B835" s="75"/>
      <c r="C835" s="75"/>
      <c r="D835" s="75"/>
    </row>
    <row r="836">
      <c r="A836" s="74"/>
      <c r="B836" s="75"/>
      <c r="C836" s="75"/>
      <c r="D836" s="75"/>
    </row>
    <row r="837">
      <c r="A837" s="74"/>
      <c r="B837" s="75"/>
      <c r="C837" s="75"/>
      <c r="D837" s="75"/>
    </row>
    <row r="838">
      <c r="A838" s="74"/>
      <c r="B838" s="75"/>
      <c r="C838" s="75"/>
      <c r="D838" s="75"/>
    </row>
    <row r="839">
      <c r="A839" s="74"/>
      <c r="B839" s="75"/>
      <c r="C839" s="75"/>
      <c r="D839" s="75"/>
    </row>
    <row r="840">
      <c r="A840" s="74"/>
      <c r="B840" s="75"/>
      <c r="C840" s="75"/>
      <c r="D840" s="75"/>
    </row>
    <row r="841">
      <c r="A841" s="74"/>
      <c r="B841" s="75"/>
      <c r="C841" s="75"/>
      <c r="D841" s="75"/>
    </row>
    <row r="842">
      <c r="A842" s="74"/>
      <c r="B842" s="75"/>
      <c r="C842" s="75"/>
      <c r="D842" s="75"/>
    </row>
    <row r="843">
      <c r="A843" s="74"/>
      <c r="B843" s="75"/>
      <c r="C843" s="75"/>
      <c r="D843" s="75"/>
    </row>
    <row r="844">
      <c r="A844" s="74"/>
      <c r="B844" s="75"/>
      <c r="C844" s="75"/>
      <c r="D844" s="75"/>
    </row>
    <row r="845">
      <c r="A845" s="74"/>
      <c r="B845" s="75"/>
      <c r="C845" s="75"/>
      <c r="D845" s="75"/>
    </row>
    <row r="846">
      <c r="A846" s="74"/>
      <c r="B846" s="75"/>
      <c r="C846" s="75"/>
      <c r="D846" s="75"/>
    </row>
    <row r="847">
      <c r="A847" s="74"/>
      <c r="B847" s="75"/>
      <c r="C847" s="75"/>
      <c r="D847" s="75"/>
    </row>
    <row r="848">
      <c r="A848" s="74"/>
      <c r="B848" s="75"/>
      <c r="C848" s="75"/>
      <c r="D848" s="75"/>
    </row>
    <row r="849">
      <c r="A849" s="74"/>
      <c r="B849" s="75"/>
      <c r="C849" s="75"/>
      <c r="D849" s="75"/>
    </row>
    <row r="850">
      <c r="A850" s="74"/>
      <c r="B850" s="75"/>
      <c r="C850" s="75"/>
      <c r="D850" s="75"/>
    </row>
    <row r="851">
      <c r="A851" s="74"/>
      <c r="B851" s="75"/>
      <c r="C851" s="75"/>
      <c r="D851" s="75"/>
    </row>
    <row r="852">
      <c r="A852" s="74"/>
      <c r="B852" s="75"/>
      <c r="C852" s="75"/>
      <c r="D852" s="75"/>
    </row>
    <row r="853">
      <c r="A853" s="74"/>
      <c r="B853" s="75"/>
      <c r="C853" s="75"/>
      <c r="D853" s="75"/>
    </row>
    <row r="854">
      <c r="A854" s="74"/>
      <c r="B854" s="75"/>
      <c r="C854" s="75"/>
      <c r="D854" s="75"/>
    </row>
    <row r="855">
      <c r="A855" s="74"/>
      <c r="B855" s="75"/>
      <c r="C855" s="75"/>
      <c r="D855" s="75"/>
    </row>
    <row r="856">
      <c r="A856" s="74"/>
      <c r="B856" s="75"/>
      <c r="C856" s="75"/>
      <c r="D856" s="75"/>
    </row>
    <row r="857">
      <c r="A857" s="74"/>
      <c r="B857" s="75"/>
      <c r="C857" s="75"/>
      <c r="D857" s="75"/>
    </row>
    <row r="858">
      <c r="A858" s="74"/>
      <c r="B858" s="75"/>
      <c r="C858" s="75"/>
      <c r="D858" s="75"/>
    </row>
    <row r="859">
      <c r="A859" s="74"/>
      <c r="B859" s="75"/>
      <c r="C859" s="75"/>
      <c r="D859" s="75"/>
    </row>
    <row r="860">
      <c r="A860" s="74"/>
      <c r="B860" s="75"/>
      <c r="C860" s="75"/>
      <c r="D860" s="75"/>
    </row>
    <row r="861">
      <c r="A861" s="74"/>
      <c r="B861" s="75"/>
      <c r="C861" s="75"/>
      <c r="D861" s="75"/>
    </row>
    <row r="862">
      <c r="A862" s="74"/>
      <c r="B862" s="75"/>
      <c r="C862" s="75"/>
      <c r="D862" s="75"/>
    </row>
    <row r="863">
      <c r="A863" s="74"/>
      <c r="B863" s="75"/>
      <c r="C863" s="75"/>
      <c r="D863" s="75"/>
    </row>
    <row r="864">
      <c r="A864" s="74"/>
      <c r="B864" s="75"/>
      <c r="C864" s="75"/>
      <c r="D864" s="75"/>
    </row>
    <row r="865">
      <c r="A865" s="74"/>
      <c r="B865" s="75"/>
      <c r="C865" s="75"/>
      <c r="D865" s="75"/>
    </row>
    <row r="866">
      <c r="A866" s="74"/>
      <c r="B866" s="75"/>
      <c r="C866" s="75"/>
      <c r="D866" s="75"/>
    </row>
    <row r="867">
      <c r="A867" s="74"/>
      <c r="B867" s="75"/>
      <c r="C867" s="75"/>
      <c r="D867" s="75"/>
    </row>
    <row r="868">
      <c r="A868" s="74"/>
      <c r="B868" s="75"/>
      <c r="C868" s="75"/>
      <c r="D868" s="75"/>
    </row>
    <row r="869">
      <c r="A869" s="74"/>
      <c r="B869" s="75"/>
      <c r="C869" s="75"/>
      <c r="D869" s="75"/>
    </row>
    <row r="870">
      <c r="A870" s="74"/>
      <c r="B870" s="75"/>
      <c r="C870" s="75"/>
      <c r="D870" s="75"/>
    </row>
    <row r="871">
      <c r="A871" s="74"/>
      <c r="B871" s="75"/>
      <c r="C871" s="75"/>
      <c r="D871" s="75"/>
    </row>
    <row r="872">
      <c r="A872" s="74"/>
      <c r="B872" s="75"/>
      <c r="C872" s="75"/>
      <c r="D872" s="75"/>
    </row>
    <row r="873">
      <c r="A873" s="74"/>
      <c r="B873" s="75"/>
      <c r="C873" s="75"/>
      <c r="D873" s="75"/>
    </row>
    <row r="874">
      <c r="A874" s="74"/>
      <c r="B874" s="75"/>
      <c r="C874" s="75"/>
      <c r="D874" s="75"/>
    </row>
    <row r="875">
      <c r="A875" s="74"/>
      <c r="B875" s="75"/>
      <c r="C875" s="75"/>
      <c r="D875" s="75"/>
    </row>
    <row r="876">
      <c r="A876" s="74"/>
      <c r="B876" s="75"/>
      <c r="C876" s="75"/>
      <c r="D876" s="75"/>
    </row>
    <row r="877">
      <c r="A877" s="74"/>
      <c r="B877" s="75"/>
      <c r="C877" s="75"/>
      <c r="D877" s="75"/>
    </row>
    <row r="878">
      <c r="A878" s="74"/>
      <c r="B878" s="75"/>
      <c r="C878" s="75"/>
      <c r="D878" s="75"/>
    </row>
    <row r="879">
      <c r="A879" s="74"/>
      <c r="B879" s="75"/>
      <c r="C879" s="75"/>
      <c r="D879" s="75"/>
    </row>
    <row r="880">
      <c r="A880" s="74"/>
      <c r="B880" s="75"/>
      <c r="C880" s="75"/>
      <c r="D880" s="75"/>
    </row>
    <row r="881">
      <c r="A881" s="74"/>
      <c r="B881" s="75"/>
      <c r="C881" s="75"/>
      <c r="D881" s="75"/>
    </row>
    <row r="882">
      <c r="A882" s="74"/>
      <c r="B882" s="75"/>
      <c r="C882" s="75"/>
      <c r="D882" s="75"/>
    </row>
    <row r="883">
      <c r="A883" s="74"/>
      <c r="B883" s="75"/>
      <c r="C883" s="75"/>
      <c r="D883" s="75"/>
    </row>
    <row r="884">
      <c r="A884" s="74"/>
      <c r="B884" s="75"/>
      <c r="C884" s="75"/>
      <c r="D884" s="75"/>
    </row>
    <row r="885">
      <c r="A885" s="74"/>
      <c r="B885" s="75"/>
      <c r="C885" s="75"/>
      <c r="D885" s="75"/>
    </row>
    <row r="886">
      <c r="A886" s="74"/>
      <c r="B886" s="75"/>
      <c r="C886" s="75"/>
      <c r="D886" s="75"/>
    </row>
    <row r="887">
      <c r="A887" s="74"/>
      <c r="B887" s="75"/>
      <c r="C887" s="75"/>
      <c r="D887" s="75"/>
    </row>
    <row r="888">
      <c r="A888" s="74"/>
      <c r="B888" s="75"/>
      <c r="C888" s="75"/>
      <c r="D888" s="75"/>
    </row>
    <row r="889">
      <c r="A889" s="74"/>
      <c r="B889" s="75"/>
      <c r="C889" s="75"/>
      <c r="D889" s="75"/>
    </row>
    <row r="890">
      <c r="A890" s="74"/>
      <c r="B890" s="75"/>
      <c r="C890" s="75"/>
      <c r="D890" s="75"/>
    </row>
    <row r="891">
      <c r="A891" s="74"/>
      <c r="B891" s="75"/>
      <c r="C891" s="75"/>
      <c r="D891" s="75"/>
    </row>
    <row r="892">
      <c r="A892" s="74"/>
      <c r="B892" s="75"/>
      <c r="C892" s="75"/>
      <c r="D892" s="75"/>
    </row>
    <row r="893">
      <c r="A893" s="74"/>
      <c r="B893" s="75"/>
      <c r="C893" s="75"/>
      <c r="D893" s="75"/>
    </row>
    <row r="894">
      <c r="A894" s="74"/>
      <c r="B894" s="75"/>
      <c r="C894" s="75"/>
      <c r="D894" s="75"/>
    </row>
    <row r="895">
      <c r="A895" s="74"/>
      <c r="B895" s="75"/>
      <c r="C895" s="75"/>
      <c r="D895" s="75"/>
    </row>
    <row r="896">
      <c r="A896" s="74"/>
      <c r="B896" s="75"/>
      <c r="C896" s="75"/>
      <c r="D896" s="75"/>
    </row>
    <row r="897">
      <c r="A897" s="74"/>
      <c r="B897" s="75"/>
      <c r="C897" s="75"/>
      <c r="D897" s="75"/>
    </row>
    <row r="898">
      <c r="A898" s="74"/>
      <c r="B898" s="75"/>
      <c r="C898" s="75"/>
      <c r="D898" s="75"/>
    </row>
    <row r="899">
      <c r="A899" s="74"/>
      <c r="B899" s="75"/>
      <c r="C899" s="75"/>
      <c r="D899" s="75"/>
    </row>
    <row r="900">
      <c r="A900" s="74"/>
      <c r="B900" s="75"/>
      <c r="C900" s="75"/>
      <c r="D900" s="75"/>
    </row>
    <row r="901">
      <c r="A901" s="74"/>
      <c r="B901" s="75"/>
      <c r="C901" s="75"/>
      <c r="D901" s="75"/>
    </row>
    <row r="902">
      <c r="A902" s="74"/>
      <c r="B902" s="75"/>
      <c r="C902" s="75"/>
      <c r="D902" s="75"/>
    </row>
    <row r="903">
      <c r="A903" s="74"/>
      <c r="B903" s="75"/>
      <c r="C903" s="75"/>
      <c r="D903" s="75"/>
    </row>
    <row r="904">
      <c r="A904" s="74"/>
      <c r="B904" s="75"/>
      <c r="C904" s="75"/>
      <c r="D904" s="75"/>
    </row>
    <row r="905">
      <c r="A905" s="74"/>
      <c r="B905" s="75"/>
      <c r="C905" s="75"/>
      <c r="D905" s="75"/>
    </row>
    <row r="906">
      <c r="A906" s="74"/>
      <c r="B906" s="75"/>
      <c r="C906" s="75"/>
      <c r="D906" s="75"/>
    </row>
    <row r="907">
      <c r="A907" s="74"/>
      <c r="B907" s="75"/>
      <c r="C907" s="75"/>
      <c r="D907" s="75"/>
    </row>
    <row r="908">
      <c r="A908" s="74"/>
      <c r="B908" s="75"/>
      <c r="C908" s="75"/>
      <c r="D908" s="75"/>
    </row>
    <row r="909">
      <c r="A909" s="74"/>
      <c r="B909" s="75"/>
      <c r="C909" s="75"/>
      <c r="D909" s="75"/>
    </row>
    <row r="910">
      <c r="A910" s="74"/>
      <c r="B910" s="75"/>
      <c r="C910" s="75"/>
      <c r="D910" s="75"/>
    </row>
    <row r="911">
      <c r="A911" s="74"/>
      <c r="B911" s="75"/>
      <c r="C911" s="75"/>
      <c r="D911" s="75"/>
    </row>
    <row r="912">
      <c r="A912" s="74"/>
      <c r="B912" s="75"/>
      <c r="C912" s="75"/>
      <c r="D912" s="75"/>
    </row>
    <row r="913">
      <c r="A913" s="74"/>
      <c r="B913" s="75"/>
      <c r="C913" s="75"/>
      <c r="D913" s="75"/>
    </row>
    <row r="914">
      <c r="A914" s="74"/>
      <c r="B914" s="75"/>
      <c r="C914" s="75"/>
      <c r="D914" s="75"/>
    </row>
    <row r="915">
      <c r="A915" s="74"/>
      <c r="B915" s="75"/>
      <c r="C915" s="75"/>
      <c r="D915" s="75"/>
    </row>
    <row r="916">
      <c r="A916" s="74"/>
      <c r="B916" s="75"/>
      <c r="C916" s="75"/>
      <c r="D916" s="75"/>
    </row>
    <row r="917">
      <c r="A917" s="74"/>
      <c r="B917" s="75"/>
      <c r="C917" s="75"/>
      <c r="D917" s="75"/>
    </row>
    <row r="918">
      <c r="A918" s="74"/>
      <c r="B918" s="75"/>
      <c r="C918" s="75"/>
      <c r="D918" s="75"/>
    </row>
    <row r="919">
      <c r="A919" s="74"/>
      <c r="B919" s="75"/>
      <c r="C919" s="75"/>
      <c r="D919" s="75"/>
    </row>
    <row r="920">
      <c r="A920" s="74"/>
      <c r="B920" s="75"/>
      <c r="C920" s="75"/>
      <c r="D920" s="75"/>
    </row>
    <row r="921">
      <c r="A921" s="74"/>
      <c r="B921" s="75"/>
      <c r="C921" s="75"/>
      <c r="D921" s="75"/>
    </row>
    <row r="922">
      <c r="A922" s="74"/>
      <c r="B922" s="75"/>
      <c r="C922" s="75"/>
      <c r="D922" s="75"/>
    </row>
    <row r="923">
      <c r="A923" s="74"/>
      <c r="B923" s="75"/>
      <c r="C923" s="75"/>
      <c r="D923" s="75"/>
    </row>
    <row r="924">
      <c r="A924" s="74"/>
      <c r="B924" s="75"/>
      <c r="C924" s="75"/>
      <c r="D924" s="75"/>
    </row>
    <row r="925">
      <c r="A925" s="74"/>
      <c r="B925" s="75"/>
      <c r="C925" s="75"/>
      <c r="D925" s="75"/>
    </row>
    <row r="926">
      <c r="A926" s="74"/>
      <c r="B926" s="75"/>
      <c r="C926" s="75"/>
      <c r="D926" s="75"/>
    </row>
    <row r="927">
      <c r="A927" s="74"/>
      <c r="B927" s="75"/>
      <c r="C927" s="75"/>
      <c r="D927" s="75"/>
    </row>
    <row r="928">
      <c r="A928" s="74"/>
      <c r="B928" s="75"/>
      <c r="C928" s="75"/>
      <c r="D928" s="75"/>
    </row>
    <row r="929">
      <c r="A929" s="74"/>
      <c r="B929" s="75"/>
      <c r="C929" s="75"/>
      <c r="D929" s="75"/>
    </row>
    <row r="930">
      <c r="A930" s="74"/>
      <c r="B930" s="75"/>
      <c r="C930" s="75"/>
      <c r="D930" s="75"/>
    </row>
    <row r="931">
      <c r="A931" s="74"/>
      <c r="B931" s="75"/>
      <c r="C931" s="75"/>
      <c r="D931" s="75"/>
    </row>
    <row r="932">
      <c r="A932" s="74"/>
      <c r="B932" s="75"/>
      <c r="C932" s="75"/>
      <c r="D932" s="75"/>
    </row>
    <row r="933">
      <c r="A933" s="74"/>
      <c r="B933" s="75"/>
      <c r="C933" s="75"/>
      <c r="D933" s="75"/>
    </row>
    <row r="934">
      <c r="A934" s="74"/>
      <c r="B934" s="75"/>
      <c r="C934" s="75"/>
      <c r="D934" s="75"/>
    </row>
    <row r="935">
      <c r="A935" s="74"/>
      <c r="B935" s="75"/>
      <c r="C935" s="75"/>
      <c r="D935" s="75"/>
    </row>
    <row r="936">
      <c r="A936" s="74"/>
      <c r="B936" s="75"/>
      <c r="C936" s="75"/>
      <c r="D936" s="75"/>
    </row>
    <row r="937">
      <c r="A937" s="74"/>
      <c r="B937" s="75"/>
      <c r="C937" s="75"/>
      <c r="D937" s="75"/>
    </row>
    <row r="938">
      <c r="A938" s="74"/>
      <c r="B938" s="75"/>
      <c r="C938" s="75"/>
      <c r="D938" s="75"/>
    </row>
    <row r="939">
      <c r="A939" s="74"/>
      <c r="B939" s="75"/>
      <c r="C939" s="75"/>
      <c r="D939" s="75"/>
    </row>
    <row r="940">
      <c r="A940" s="74"/>
      <c r="B940" s="75"/>
      <c r="C940" s="75"/>
      <c r="D940" s="75"/>
    </row>
    <row r="941">
      <c r="A941" s="74"/>
      <c r="B941" s="75"/>
      <c r="C941" s="75"/>
      <c r="D941" s="75"/>
    </row>
    <row r="942">
      <c r="A942" s="74"/>
      <c r="B942" s="75"/>
      <c r="C942" s="75"/>
      <c r="D942" s="75"/>
    </row>
    <row r="943">
      <c r="A943" s="74"/>
      <c r="B943" s="75"/>
      <c r="C943" s="75"/>
      <c r="D943" s="75"/>
    </row>
    <row r="944">
      <c r="A944" s="74"/>
      <c r="B944" s="75"/>
      <c r="C944" s="75"/>
      <c r="D944" s="75"/>
    </row>
    <row r="945">
      <c r="A945" s="74"/>
      <c r="B945" s="75"/>
      <c r="C945" s="75"/>
      <c r="D945" s="75"/>
    </row>
    <row r="946">
      <c r="A946" s="74"/>
      <c r="B946" s="75"/>
      <c r="C946" s="75"/>
      <c r="D946" s="75"/>
    </row>
    <row r="947">
      <c r="A947" s="74"/>
      <c r="B947" s="75"/>
      <c r="C947" s="75"/>
      <c r="D947" s="75"/>
    </row>
    <row r="948">
      <c r="A948" s="74"/>
      <c r="B948" s="75"/>
      <c r="C948" s="75"/>
      <c r="D948" s="75"/>
    </row>
    <row r="949">
      <c r="A949" s="74"/>
      <c r="B949" s="75"/>
      <c r="C949" s="75"/>
      <c r="D949" s="75"/>
    </row>
    <row r="950">
      <c r="A950" s="74"/>
      <c r="B950" s="75"/>
      <c r="C950" s="75"/>
      <c r="D950" s="75"/>
    </row>
    <row r="951">
      <c r="A951" s="74"/>
      <c r="B951" s="75"/>
      <c r="C951" s="75"/>
      <c r="D951" s="75"/>
    </row>
    <row r="952">
      <c r="A952" s="74"/>
      <c r="B952" s="75"/>
      <c r="C952" s="75"/>
      <c r="D952" s="75"/>
    </row>
    <row r="953">
      <c r="A953" s="74"/>
      <c r="B953" s="75"/>
      <c r="C953" s="75"/>
      <c r="D953" s="75"/>
    </row>
    <row r="954">
      <c r="A954" s="74"/>
      <c r="B954" s="75"/>
      <c r="C954" s="75"/>
      <c r="D954" s="75"/>
    </row>
    <row r="955">
      <c r="A955" s="74"/>
      <c r="B955" s="75"/>
      <c r="C955" s="75"/>
      <c r="D955" s="75"/>
    </row>
    <row r="956">
      <c r="A956" s="74"/>
      <c r="B956" s="75"/>
      <c r="C956" s="75"/>
      <c r="D956" s="75"/>
    </row>
    <row r="957">
      <c r="A957" s="74"/>
      <c r="B957" s="75"/>
      <c r="C957" s="75"/>
      <c r="D957" s="75"/>
    </row>
    <row r="958">
      <c r="A958" s="74"/>
      <c r="B958" s="75"/>
      <c r="C958" s="75"/>
      <c r="D958" s="75"/>
    </row>
    <row r="959">
      <c r="A959" s="74"/>
      <c r="B959" s="75"/>
      <c r="C959" s="75"/>
      <c r="D959" s="75"/>
    </row>
    <row r="960">
      <c r="A960" s="74"/>
      <c r="B960" s="75"/>
      <c r="C960" s="75"/>
      <c r="D960" s="75"/>
    </row>
    <row r="961">
      <c r="A961" s="74"/>
      <c r="B961" s="75"/>
      <c r="C961" s="75"/>
      <c r="D961" s="75"/>
    </row>
    <row r="962">
      <c r="A962" s="74"/>
      <c r="B962" s="75"/>
      <c r="C962" s="75"/>
      <c r="D962" s="75"/>
    </row>
    <row r="963">
      <c r="A963" s="74"/>
      <c r="B963" s="75"/>
      <c r="C963" s="75"/>
      <c r="D963" s="75"/>
    </row>
    <row r="964">
      <c r="A964" s="74"/>
      <c r="B964" s="75"/>
      <c r="C964" s="75"/>
      <c r="D964" s="75"/>
    </row>
    <row r="965">
      <c r="A965" s="74"/>
      <c r="B965" s="75"/>
      <c r="C965" s="75"/>
      <c r="D965" s="75"/>
    </row>
    <row r="966">
      <c r="A966" s="74"/>
      <c r="B966" s="75"/>
      <c r="C966" s="75"/>
      <c r="D966" s="75"/>
    </row>
    <row r="967">
      <c r="A967" s="74"/>
      <c r="B967" s="75"/>
      <c r="C967" s="75"/>
      <c r="D967" s="75"/>
    </row>
    <row r="968">
      <c r="A968" s="74"/>
      <c r="B968" s="75"/>
      <c r="C968" s="75"/>
      <c r="D968" s="75"/>
    </row>
    <row r="969">
      <c r="A969" s="74"/>
      <c r="B969" s="75"/>
      <c r="C969" s="75"/>
      <c r="D969" s="75"/>
    </row>
    <row r="970">
      <c r="A970" s="74"/>
      <c r="B970" s="75"/>
      <c r="C970" s="75"/>
      <c r="D970" s="75"/>
    </row>
    <row r="971">
      <c r="A971" s="74"/>
      <c r="B971" s="75"/>
      <c r="C971" s="75"/>
      <c r="D971" s="75"/>
    </row>
    <row r="972">
      <c r="A972" s="74"/>
      <c r="B972" s="75"/>
      <c r="C972" s="75"/>
      <c r="D972" s="75"/>
    </row>
    <row r="973">
      <c r="A973" s="74"/>
      <c r="B973" s="75"/>
      <c r="C973" s="75"/>
      <c r="D973" s="75"/>
    </row>
    <row r="974">
      <c r="A974" s="74"/>
      <c r="B974" s="75"/>
      <c r="C974" s="75"/>
      <c r="D974" s="75"/>
    </row>
    <row r="975">
      <c r="A975" s="74"/>
      <c r="B975" s="75"/>
      <c r="C975" s="75"/>
      <c r="D975" s="75"/>
    </row>
    <row r="976">
      <c r="A976" s="74"/>
      <c r="B976" s="75"/>
      <c r="C976" s="75"/>
      <c r="D976" s="75"/>
    </row>
    <row r="977">
      <c r="A977" s="74"/>
      <c r="B977" s="75"/>
      <c r="C977" s="75"/>
      <c r="D977" s="75"/>
    </row>
    <row r="978">
      <c r="A978" s="74"/>
      <c r="B978" s="75"/>
      <c r="C978" s="75"/>
      <c r="D978" s="75"/>
    </row>
    <row r="979">
      <c r="A979" s="74"/>
      <c r="B979" s="75"/>
      <c r="C979" s="75"/>
      <c r="D979" s="75"/>
    </row>
    <row r="980">
      <c r="A980" s="74"/>
      <c r="B980" s="75"/>
      <c r="C980" s="75"/>
      <c r="D980" s="75"/>
    </row>
    <row r="981">
      <c r="A981" s="74"/>
      <c r="B981" s="75"/>
      <c r="C981" s="75"/>
      <c r="D981" s="75"/>
    </row>
    <row r="982">
      <c r="A982" s="74"/>
      <c r="B982" s="75"/>
      <c r="C982" s="75"/>
      <c r="D982" s="75"/>
    </row>
    <row r="983">
      <c r="A983" s="74"/>
      <c r="B983" s="75"/>
      <c r="C983" s="75"/>
      <c r="D983" s="75"/>
    </row>
    <row r="984">
      <c r="A984" s="74"/>
      <c r="B984" s="75"/>
      <c r="C984" s="75"/>
      <c r="D984" s="75"/>
    </row>
    <row r="985">
      <c r="A985" s="74"/>
      <c r="B985" s="75"/>
      <c r="C985" s="75"/>
      <c r="D985" s="75"/>
    </row>
    <row r="986">
      <c r="A986" s="74"/>
      <c r="B986" s="75"/>
      <c r="C986" s="75"/>
      <c r="D986" s="75"/>
    </row>
    <row r="987">
      <c r="A987" s="74"/>
      <c r="B987" s="75"/>
      <c r="C987" s="75"/>
      <c r="D987" s="75"/>
    </row>
    <row r="988">
      <c r="A988" s="74"/>
      <c r="B988" s="75"/>
      <c r="C988" s="75"/>
      <c r="D988" s="75"/>
    </row>
    <row r="989">
      <c r="A989" s="74"/>
      <c r="B989" s="75"/>
      <c r="C989" s="75"/>
      <c r="D989" s="75"/>
    </row>
    <row r="990">
      <c r="A990" s="74"/>
      <c r="B990" s="75"/>
      <c r="C990" s="75"/>
      <c r="D990" s="75"/>
    </row>
    <row r="991">
      <c r="A991" s="74"/>
      <c r="B991" s="75"/>
      <c r="C991" s="75"/>
      <c r="D991" s="75"/>
    </row>
    <row r="992">
      <c r="A992" s="74"/>
      <c r="B992" s="75"/>
      <c r="C992" s="75"/>
      <c r="D992" s="75"/>
    </row>
    <row r="993">
      <c r="A993" s="74"/>
      <c r="B993" s="75"/>
      <c r="C993" s="75"/>
      <c r="D993" s="75"/>
    </row>
    <row r="994">
      <c r="A994" s="74"/>
      <c r="B994" s="75"/>
      <c r="C994" s="75"/>
      <c r="D994" s="75"/>
    </row>
    <row r="995">
      <c r="A995" s="74"/>
      <c r="B995" s="75"/>
      <c r="C995" s="75"/>
      <c r="D995" s="75"/>
    </row>
    <row r="996">
      <c r="A996" s="74"/>
      <c r="B996" s="75"/>
      <c r="C996" s="75"/>
      <c r="D996" s="75"/>
    </row>
    <row r="997">
      <c r="A997" s="74"/>
      <c r="B997" s="75"/>
      <c r="C997" s="75"/>
      <c r="D997" s="75"/>
    </row>
  </sheetData>
  <mergeCells count="3">
    <mergeCell ref="A1:B1"/>
    <mergeCell ref="G2:L22"/>
    <mergeCell ref="A4:D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4.13"/>
    <col customWidth="1" min="4" max="4" width="20.63"/>
  </cols>
  <sheetData>
    <row r="2">
      <c r="A2" s="76" t="s">
        <v>144</v>
      </c>
    </row>
    <row r="3">
      <c r="A3" s="77" t="s">
        <v>145</v>
      </c>
      <c r="B3" s="78" t="s">
        <v>146</v>
      </c>
      <c r="C3" s="77" t="s">
        <v>147</v>
      </c>
      <c r="D3" s="78" t="s">
        <v>148</v>
      </c>
    </row>
    <row r="4">
      <c r="A4" s="79">
        <v>2014.0</v>
      </c>
      <c r="B4" s="80"/>
      <c r="C4" s="81"/>
      <c r="D4" s="82">
        <v>38171.0</v>
      </c>
    </row>
    <row r="5">
      <c r="A5" s="79">
        <v>2015.0</v>
      </c>
      <c r="B5" s="80"/>
      <c r="C5" s="81"/>
      <c r="D5" s="82">
        <v>38171.0</v>
      </c>
    </row>
    <row r="6">
      <c r="A6" s="79">
        <v>2016.0</v>
      </c>
      <c r="B6" s="80"/>
      <c r="C6" s="80"/>
      <c r="D6" s="82">
        <v>37552.0</v>
      </c>
    </row>
    <row r="7">
      <c r="A7" s="79">
        <v>2017.0</v>
      </c>
      <c r="B7" s="80"/>
      <c r="C7" s="80"/>
      <c r="D7" s="82">
        <v>38362.0</v>
      </c>
    </row>
    <row r="8">
      <c r="A8" s="79">
        <v>2018.0</v>
      </c>
      <c r="B8" s="83">
        <v>8445174.0</v>
      </c>
      <c r="C8" s="83">
        <v>9.1</v>
      </c>
      <c r="D8" s="82">
        <v>38959.0</v>
      </c>
    </row>
    <row r="9">
      <c r="A9" s="79">
        <v>2019.0</v>
      </c>
      <c r="B9" s="83">
        <v>8871520.0</v>
      </c>
      <c r="C9" s="83">
        <v>9.3</v>
      </c>
      <c r="D9" s="82">
        <v>38184.0</v>
      </c>
    </row>
    <row r="10">
      <c r="A10" s="79">
        <v>2020.0</v>
      </c>
      <c r="B10" s="83">
        <v>8487716.0</v>
      </c>
      <c r="C10" s="83">
        <v>9.7</v>
      </c>
      <c r="D10" s="82">
        <v>38899.0</v>
      </c>
    </row>
    <row r="11">
      <c r="A11" s="79">
        <v>2021.0</v>
      </c>
      <c r="B11" s="83">
        <v>1.0788356E7</v>
      </c>
      <c r="C11" s="83">
        <v>9.7</v>
      </c>
      <c r="D11" s="82">
        <v>38495.0</v>
      </c>
    </row>
    <row r="12">
      <c r="A12" s="79">
        <v>2022.0</v>
      </c>
      <c r="B12" s="83">
        <v>1.2929688E7</v>
      </c>
      <c r="C12" s="83">
        <v>10.0</v>
      </c>
      <c r="D12" s="82">
        <v>38167.0</v>
      </c>
    </row>
    <row r="13">
      <c r="A13" s="79">
        <v>2023.0</v>
      </c>
      <c r="B13" s="83">
        <v>1.3878518E7</v>
      </c>
      <c r="C13" s="83">
        <v>10.2</v>
      </c>
      <c r="D13" s="82">
        <v>37430.0</v>
      </c>
    </row>
    <row r="14">
      <c r="A14" s="79">
        <v>2024.0</v>
      </c>
      <c r="B14" s="83">
        <v>1.6894843E7</v>
      </c>
      <c r="C14" s="83">
        <v>10.5</v>
      </c>
      <c r="D14" s="82">
        <v>37397.0</v>
      </c>
    </row>
  </sheetData>
  <mergeCells count="1">
    <mergeCell ref="A2:D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6" max="6" width="50.88"/>
  </cols>
  <sheetData>
    <row r="1">
      <c r="B1" s="84" t="s">
        <v>149</v>
      </c>
      <c r="E1" s="85" t="s">
        <v>145</v>
      </c>
      <c r="F1" s="85" t="s">
        <v>150</v>
      </c>
      <c r="G1" s="85" t="s">
        <v>151</v>
      </c>
    </row>
    <row r="2">
      <c r="A2" s="86" t="s">
        <v>123</v>
      </c>
      <c r="B2" s="86" t="s">
        <v>152</v>
      </c>
      <c r="C2" s="86" t="s">
        <v>153</v>
      </c>
      <c r="E2" s="87">
        <v>2011.0</v>
      </c>
      <c r="F2" s="56" t="s">
        <v>154</v>
      </c>
      <c r="G2" s="6" t="s">
        <v>155</v>
      </c>
    </row>
    <row r="3">
      <c r="A3" s="88">
        <v>2023.0</v>
      </c>
      <c r="B3" s="88">
        <v>0.00896</v>
      </c>
      <c r="C3" s="88">
        <v>1.17</v>
      </c>
      <c r="E3" s="87">
        <v>2015.0</v>
      </c>
      <c r="F3" s="56" t="s">
        <v>156</v>
      </c>
      <c r="G3" s="6" t="s">
        <v>157</v>
      </c>
    </row>
    <row r="4">
      <c r="A4" s="88">
        <v>2022.0</v>
      </c>
      <c r="B4" s="88">
        <v>0.00967</v>
      </c>
      <c r="C4" s="88">
        <v>1.26</v>
      </c>
      <c r="E4" s="6">
        <v>2016.0</v>
      </c>
      <c r="F4" s="56" t="s">
        <v>158</v>
      </c>
      <c r="G4" s="6" t="s">
        <v>159</v>
      </c>
    </row>
    <row r="5">
      <c r="A5" s="88">
        <v>2021.0</v>
      </c>
      <c r="B5" s="88">
        <v>0.00907</v>
      </c>
      <c r="C5" s="88">
        <v>1.18</v>
      </c>
      <c r="E5" s="6">
        <v>2017.0</v>
      </c>
      <c r="F5" s="56" t="s">
        <v>160</v>
      </c>
      <c r="G5" s="6" t="s">
        <v>161</v>
      </c>
    </row>
    <row r="6">
      <c r="A6" s="88">
        <v>2020.0</v>
      </c>
      <c r="B6" s="88">
        <v>0.0101</v>
      </c>
      <c r="C6" s="88">
        <v>1.31</v>
      </c>
      <c r="E6" s="6">
        <v>2022.0</v>
      </c>
      <c r="F6" s="56" t="s">
        <v>162</v>
      </c>
      <c r="G6" s="6" t="s">
        <v>163</v>
      </c>
    </row>
    <row r="7">
      <c r="A7" s="88">
        <v>2019.0</v>
      </c>
      <c r="B7" s="88">
        <v>0.01094</v>
      </c>
      <c r="C7" s="88">
        <v>1.43</v>
      </c>
      <c r="E7" s="6" t="s">
        <v>164</v>
      </c>
      <c r="F7" s="56" t="s">
        <v>165</v>
      </c>
      <c r="G7" s="6" t="s">
        <v>166</v>
      </c>
    </row>
    <row r="8">
      <c r="A8" s="88">
        <v>2018.0</v>
      </c>
      <c r="B8" s="88">
        <v>0.0117</v>
      </c>
      <c r="C8" s="88">
        <v>1.54</v>
      </c>
      <c r="E8" s="6" t="s">
        <v>167</v>
      </c>
      <c r="F8" s="56" t="s">
        <v>168</v>
      </c>
      <c r="G8" s="6" t="s">
        <v>169</v>
      </c>
    </row>
    <row r="9">
      <c r="A9" s="88">
        <v>2017.0</v>
      </c>
      <c r="B9" s="88">
        <v>0.01176</v>
      </c>
      <c r="C9" s="88">
        <v>1.56</v>
      </c>
    </row>
    <row r="10">
      <c r="A10" s="88">
        <v>2016.0</v>
      </c>
      <c r="B10" s="88">
        <v>0.01269</v>
      </c>
      <c r="C10" s="88">
        <v>1.69</v>
      </c>
    </row>
    <row r="11">
      <c r="A11" s="88">
        <v>2015.0</v>
      </c>
      <c r="B11" s="88">
        <v>0.01315</v>
      </c>
      <c r="C11" s="88">
        <v>1.74</v>
      </c>
    </row>
    <row r="12">
      <c r="A12" s="88">
        <v>2014.0</v>
      </c>
      <c r="B12" s="88">
        <v>0.01347</v>
      </c>
      <c r="C12" s="88">
        <v>1.77</v>
      </c>
    </row>
    <row r="13">
      <c r="A13" s="88">
        <v>2013.0</v>
      </c>
      <c r="B13" s="88">
        <v>0.01362</v>
      </c>
      <c r="C13" s="88">
        <v>1.79</v>
      </c>
    </row>
    <row r="14">
      <c r="A14" s="88">
        <v>2012.0</v>
      </c>
      <c r="B14" s="88">
        <v>0.01378</v>
      </c>
      <c r="C14" s="88">
        <v>1.8</v>
      </c>
      <c r="E14" s="89"/>
    </row>
    <row r="15">
      <c r="A15" s="88">
        <v>2011.0</v>
      </c>
      <c r="B15" s="88">
        <v>0.01402</v>
      </c>
      <c r="C15" s="88">
        <v>1.82</v>
      </c>
      <c r="E15" s="89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</hyperlinks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</cols>
  <sheetData>
    <row r="1">
      <c r="A1" s="6" t="s">
        <v>170</v>
      </c>
    </row>
    <row r="2">
      <c r="A2" s="90" t="s">
        <v>171</v>
      </c>
      <c r="D2" s="91"/>
      <c r="E2" s="92" t="s">
        <v>172</v>
      </c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</row>
    <row r="3">
      <c r="A3" s="93" t="s">
        <v>173</v>
      </c>
      <c r="B3" s="93" t="s">
        <v>174</v>
      </c>
      <c r="C3" s="94" t="s">
        <v>175</v>
      </c>
      <c r="D3" s="15"/>
      <c r="E3" s="13"/>
      <c r="F3" s="95" t="s">
        <v>176</v>
      </c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7"/>
      <c r="AN3" s="93" t="s">
        <v>177</v>
      </c>
    </row>
    <row r="4">
      <c r="A4" s="98"/>
      <c r="B4" s="98"/>
      <c r="C4" s="99"/>
      <c r="D4" s="100"/>
      <c r="E4" s="101"/>
      <c r="F4" s="95" t="s">
        <v>178</v>
      </c>
      <c r="G4" s="97"/>
      <c r="H4" s="102">
        <v>45905.0</v>
      </c>
      <c r="I4" s="97"/>
      <c r="J4" s="103">
        <v>45944.0</v>
      </c>
      <c r="K4" s="97"/>
      <c r="L4" s="95" t="s">
        <v>179</v>
      </c>
      <c r="M4" s="97"/>
      <c r="N4" s="95" t="s">
        <v>180</v>
      </c>
      <c r="O4" s="97"/>
      <c r="P4" s="95" t="s">
        <v>181</v>
      </c>
      <c r="Q4" s="97"/>
      <c r="R4" s="95" t="s">
        <v>182</v>
      </c>
      <c r="S4" s="97"/>
      <c r="T4" s="95" t="s">
        <v>183</v>
      </c>
      <c r="U4" s="97"/>
      <c r="V4" s="95" t="s">
        <v>184</v>
      </c>
      <c r="W4" s="97"/>
      <c r="X4" s="95" t="s">
        <v>185</v>
      </c>
      <c r="Y4" s="97"/>
      <c r="Z4" s="95" t="s">
        <v>186</v>
      </c>
      <c r="AA4" s="97"/>
      <c r="AB4" s="95" t="s">
        <v>187</v>
      </c>
      <c r="AC4" s="97"/>
      <c r="AD4" s="95" t="s">
        <v>188</v>
      </c>
      <c r="AE4" s="97"/>
      <c r="AF4" s="95" t="s">
        <v>189</v>
      </c>
      <c r="AG4" s="97"/>
      <c r="AH4" s="95" t="s">
        <v>190</v>
      </c>
      <c r="AI4" s="97"/>
      <c r="AJ4" s="95" t="s">
        <v>191</v>
      </c>
      <c r="AK4" s="97"/>
      <c r="AL4" s="95" t="s">
        <v>192</v>
      </c>
      <c r="AM4" s="97"/>
      <c r="AN4" s="98"/>
    </row>
    <row r="5">
      <c r="A5" s="104"/>
      <c r="B5" s="104"/>
      <c r="C5" s="105" t="s">
        <v>193</v>
      </c>
      <c r="D5" s="105" t="s">
        <v>194</v>
      </c>
      <c r="E5" s="105" t="s">
        <v>195</v>
      </c>
      <c r="F5" s="105" t="s">
        <v>194</v>
      </c>
      <c r="G5" s="105" t="s">
        <v>195</v>
      </c>
      <c r="H5" s="105" t="s">
        <v>194</v>
      </c>
      <c r="I5" s="105" t="s">
        <v>195</v>
      </c>
      <c r="J5" s="105" t="s">
        <v>194</v>
      </c>
      <c r="K5" s="105" t="s">
        <v>195</v>
      </c>
      <c r="L5" s="105" t="s">
        <v>194</v>
      </c>
      <c r="M5" s="105" t="s">
        <v>195</v>
      </c>
      <c r="N5" s="105" t="s">
        <v>194</v>
      </c>
      <c r="O5" s="105" t="s">
        <v>195</v>
      </c>
      <c r="P5" s="105" t="s">
        <v>194</v>
      </c>
      <c r="Q5" s="105" t="s">
        <v>195</v>
      </c>
      <c r="R5" s="105" t="s">
        <v>194</v>
      </c>
      <c r="S5" s="105" t="s">
        <v>195</v>
      </c>
      <c r="T5" s="105" t="s">
        <v>194</v>
      </c>
      <c r="U5" s="105" t="s">
        <v>195</v>
      </c>
      <c r="V5" s="105" t="s">
        <v>194</v>
      </c>
      <c r="W5" s="105" t="s">
        <v>195</v>
      </c>
      <c r="X5" s="105" t="s">
        <v>194</v>
      </c>
      <c r="Y5" s="105" t="s">
        <v>195</v>
      </c>
      <c r="Z5" s="105" t="s">
        <v>194</v>
      </c>
      <c r="AA5" s="105" t="s">
        <v>195</v>
      </c>
      <c r="AB5" s="105" t="s">
        <v>194</v>
      </c>
      <c r="AC5" s="105" t="s">
        <v>195</v>
      </c>
      <c r="AD5" s="105" t="s">
        <v>194</v>
      </c>
      <c r="AE5" s="105" t="s">
        <v>195</v>
      </c>
      <c r="AF5" s="105" t="s">
        <v>194</v>
      </c>
      <c r="AG5" s="105" t="s">
        <v>195</v>
      </c>
      <c r="AH5" s="105" t="s">
        <v>194</v>
      </c>
      <c r="AI5" s="105" t="s">
        <v>195</v>
      </c>
      <c r="AJ5" s="105" t="s">
        <v>194</v>
      </c>
      <c r="AK5" s="105" t="s">
        <v>195</v>
      </c>
      <c r="AL5" s="105" t="s">
        <v>194</v>
      </c>
      <c r="AM5" s="105" t="s">
        <v>195</v>
      </c>
      <c r="AN5" s="104"/>
    </row>
    <row r="6">
      <c r="A6" s="106" t="s">
        <v>196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</row>
    <row r="7">
      <c r="A7" s="107" t="s">
        <v>197</v>
      </c>
      <c r="B7" s="108" t="s">
        <v>198</v>
      </c>
      <c r="C7" s="109">
        <v>2793983.0</v>
      </c>
      <c r="D7" s="109">
        <v>1006415.0</v>
      </c>
      <c r="E7" s="109">
        <v>1787568.0</v>
      </c>
      <c r="F7" s="110">
        <v>0.0</v>
      </c>
      <c r="G7" s="110">
        <v>0.0</v>
      </c>
      <c r="H7" s="110">
        <v>0.0</v>
      </c>
      <c r="I7" s="110">
        <v>0.0</v>
      </c>
      <c r="J7" s="110">
        <v>0.0</v>
      </c>
      <c r="K7" s="110">
        <v>1.0</v>
      </c>
      <c r="L7" s="109">
        <v>2219.0</v>
      </c>
      <c r="M7" s="109">
        <v>3486.0</v>
      </c>
      <c r="N7" s="109">
        <v>2855.0</v>
      </c>
      <c r="O7" s="109">
        <v>6490.0</v>
      </c>
      <c r="P7" s="109">
        <v>5543.0</v>
      </c>
      <c r="Q7" s="109">
        <v>12306.0</v>
      </c>
      <c r="R7" s="109">
        <v>9356.0</v>
      </c>
      <c r="S7" s="109">
        <v>20623.0</v>
      </c>
      <c r="T7" s="109">
        <v>17271.0</v>
      </c>
      <c r="U7" s="109">
        <v>36776.0</v>
      </c>
      <c r="V7" s="109">
        <v>31427.0</v>
      </c>
      <c r="W7" s="109">
        <v>66695.0</v>
      </c>
      <c r="X7" s="109">
        <v>54203.0</v>
      </c>
      <c r="Y7" s="109">
        <v>118671.0</v>
      </c>
      <c r="Z7" s="109">
        <v>93470.0</v>
      </c>
      <c r="AA7" s="109">
        <v>194462.0</v>
      </c>
      <c r="AB7" s="109">
        <v>120306.0</v>
      </c>
      <c r="AC7" s="109">
        <v>228535.0</v>
      </c>
      <c r="AD7" s="109">
        <v>138335.0</v>
      </c>
      <c r="AE7" s="109">
        <v>247051.0</v>
      </c>
      <c r="AF7" s="109">
        <v>149354.0</v>
      </c>
      <c r="AG7" s="109">
        <v>243055.0</v>
      </c>
      <c r="AH7" s="109">
        <v>148034.0</v>
      </c>
      <c r="AI7" s="109">
        <v>226020.0</v>
      </c>
      <c r="AJ7" s="109">
        <v>114488.0</v>
      </c>
      <c r="AK7" s="109">
        <v>176401.0</v>
      </c>
      <c r="AL7" s="109">
        <v>119526.0</v>
      </c>
      <c r="AM7" s="109">
        <v>206936.0</v>
      </c>
      <c r="AN7" s="109">
        <v>2757706.0</v>
      </c>
    </row>
    <row r="8">
      <c r="A8" s="98"/>
      <c r="B8" s="111" t="s">
        <v>199</v>
      </c>
      <c r="C8" s="109">
        <v>1305552.0</v>
      </c>
      <c r="D8" s="109">
        <v>469444.0</v>
      </c>
      <c r="E8" s="109">
        <v>836108.0</v>
      </c>
      <c r="F8" s="110">
        <v>0.0</v>
      </c>
      <c r="G8" s="110">
        <v>0.0</v>
      </c>
      <c r="H8" s="110">
        <v>0.0</v>
      </c>
      <c r="I8" s="110">
        <v>0.0</v>
      </c>
      <c r="J8" s="110">
        <v>0.0</v>
      </c>
      <c r="K8" s="110">
        <v>0.0</v>
      </c>
      <c r="L8" s="112">
        <v>514.0</v>
      </c>
      <c r="M8" s="112">
        <v>726.0</v>
      </c>
      <c r="N8" s="109">
        <v>1048.0</v>
      </c>
      <c r="O8" s="109">
        <v>1866.0</v>
      </c>
      <c r="P8" s="109">
        <v>2050.0</v>
      </c>
      <c r="Q8" s="109">
        <v>3771.0</v>
      </c>
      <c r="R8" s="109">
        <v>3434.0</v>
      </c>
      <c r="S8" s="109">
        <v>6999.0</v>
      </c>
      <c r="T8" s="109">
        <v>6654.0</v>
      </c>
      <c r="U8" s="109">
        <v>13974.0</v>
      </c>
      <c r="V8" s="109">
        <v>12542.0</v>
      </c>
      <c r="W8" s="109">
        <v>26894.0</v>
      </c>
      <c r="X8" s="109">
        <v>22692.0</v>
      </c>
      <c r="Y8" s="109">
        <v>50016.0</v>
      </c>
      <c r="Z8" s="109">
        <v>39772.0</v>
      </c>
      <c r="AA8" s="109">
        <v>84126.0</v>
      </c>
      <c r="AB8" s="109">
        <v>52680.0</v>
      </c>
      <c r="AC8" s="109">
        <v>102913.0</v>
      </c>
      <c r="AD8" s="109">
        <v>61825.0</v>
      </c>
      <c r="AE8" s="109">
        <v>113664.0</v>
      </c>
      <c r="AF8" s="109">
        <v>71197.0</v>
      </c>
      <c r="AG8" s="109">
        <v>120082.0</v>
      </c>
      <c r="AH8" s="109">
        <v>74931.0</v>
      </c>
      <c r="AI8" s="109">
        <v>115611.0</v>
      </c>
      <c r="AJ8" s="109">
        <v>58263.0</v>
      </c>
      <c r="AK8" s="109">
        <v>91033.0</v>
      </c>
      <c r="AL8" s="109">
        <v>61854.0</v>
      </c>
      <c r="AM8" s="109">
        <v>104496.0</v>
      </c>
      <c r="AN8" s="109">
        <v>1289563.0</v>
      </c>
    </row>
    <row r="9">
      <c r="A9" s="98"/>
      <c r="B9" s="111" t="s">
        <v>200</v>
      </c>
      <c r="C9" s="109">
        <v>1082967.0</v>
      </c>
      <c r="D9" s="109">
        <v>366667.0</v>
      </c>
      <c r="E9" s="109">
        <v>716308.0</v>
      </c>
      <c r="F9" s="110">
        <v>0.0</v>
      </c>
      <c r="G9" s="110">
        <v>0.0</v>
      </c>
      <c r="H9" s="110">
        <v>0.0</v>
      </c>
      <c r="I9" s="110">
        <v>0.0</v>
      </c>
      <c r="J9" s="110">
        <v>0.0</v>
      </c>
      <c r="K9" s="110">
        <v>0.0</v>
      </c>
      <c r="L9" s="109">
        <v>1006.0</v>
      </c>
      <c r="M9" s="109">
        <v>1999.0</v>
      </c>
      <c r="N9" s="109">
        <v>1467.0</v>
      </c>
      <c r="O9" s="109">
        <v>3806.0</v>
      </c>
      <c r="P9" s="109">
        <v>2550.0</v>
      </c>
      <c r="Q9" s="109">
        <v>6473.0</v>
      </c>
      <c r="R9" s="109">
        <v>4079.0</v>
      </c>
      <c r="S9" s="109">
        <v>9942.0</v>
      </c>
      <c r="T9" s="109">
        <v>7357.0</v>
      </c>
      <c r="U9" s="109">
        <v>17007.0</v>
      </c>
      <c r="V9" s="109">
        <v>12623.0</v>
      </c>
      <c r="W9" s="109">
        <v>29629.0</v>
      </c>
      <c r="X9" s="109">
        <v>21490.0</v>
      </c>
      <c r="Y9" s="109">
        <v>51986.0</v>
      </c>
      <c r="Z9" s="109">
        <v>34801.0</v>
      </c>
      <c r="AA9" s="109">
        <v>82324.0</v>
      </c>
      <c r="AB9" s="109">
        <v>44202.0</v>
      </c>
      <c r="AC9" s="109">
        <v>94568.0</v>
      </c>
      <c r="AD9" s="109">
        <v>49314.0</v>
      </c>
      <c r="AE9" s="109">
        <v>98116.0</v>
      </c>
      <c r="AF9" s="109">
        <v>53606.0</v>
      </c>
      <c r="AG9" s="109">
        <v>96451.0</v>
      </c>
      <c r="AH9" s="109">
        <v>54157.0</v>
      </c>
      <c r="AI9" s="109">
        <v>88751.0</v>
      </c>
      <c r="AJ9" s="109">
        <v>40435.0</v>
      </c>
      <c r="AK9" s="109">
        <v>65781.0</v>
      </c>
      <c r="AL9" s="109">
        <v>39571.0</v>
      </c>
      <c r="AM9" s="109">
        <v>69479.0</v>
      </c>
      <c r="AN9" s="109">
        <v>1066882.0</v>
      </c>
    </row>
    <row r="10">
      <c r="A10" s="104"/>
      <c r="B10" s="111" t="s">
        <v>201</v>
      </c>
      <c r="C10" s="109">
        <v>112456.0</v>
      </c>
      <c r="D10" s="109">
        <v>42378.0</v>
      </c>
      <c r="E10" s="109">
        <v>70078.0</v>
      </c>
      <c r="F10" s="110">
        <v>0.0</v>
      </c>
      <c r="G10" s="110">
        <v>0.0</v>
      </c>
      <c r="H10" s="110">
        <v>0.0</v>
      </c>
      <c r="I10" s="110">
        <v>0.0</v>
      </c>
      <c r="J10" s="110">
        <v>0.0</v>
      </c>
      <c r="K10" s="110">
        <v>0.0</v>
      </c>
      <c r="L10" s="112">
        <v>197.0</v>
      </c>
      <c r="M10" s="112">
        <v>272.0</v>
      </c>
      <c r="N10" s="112">
        <v>228.0</v>
      </c>
      <c r="O10" s="112">
        <v>352.0</v>
      </c>
      <c r="P10" s="112">
        <v>339.0</v>
      </c>
      <c r="Q10" s="112">
        <v>576.0</v>
      </c>
      <c r="R10" s="112">
        <v>522.0</v>
      </c>
      <c r="S10" s="109">
        <v>1072.0</v>
      </c>
      <c r="T10" s="112">
        <v>993.0</v>
      </c>
      <c r="U10" s="109">
        <v>1753.0</v>
      </c>
      <c r="V10" s="109">
        <v>1519.0</v>
      </c>
      <c r="W10" s="109">
        <v>3207.0</v>
      </c>
      <c r="X10" s="109">
        <v>2472.0</v>
      </c>
      <c r="Y10" s="109">
        <v>5129.0</v>
      </c>
      <c r="Z10" s="109">
        <v>3940.0</v>
      </c>
      <c r="AA10" s="109">
        <v>7646.0</v>
      </c>
      <c r="AB10" s="109">
        <v>4807.0</v>
      </c>
      <c r="AC10" s="109">
        <v>9054.0</v>
      </c>
      <c r="AD10" s="109">
        <v>5343.0</v>
      </c>
      <c r="AE10" s="109">
        <v>9639.0</v>
      </c>
      <c r="AF10" s="109">
        <v>6142.0</v>
      </c>
      <c r="AG10" s="109">
        <v>9662.0</v>
      </c>
      <c r="AH10" s="109">
        <v>6249.0</v>
      </c>
      <c r="AI10" s="109">
        <v>8046.0</v>
      </c>
      <c r="AJ10" s="109">
        <v>4660.0</v>
      </c>
      <c r="AK10" s="109">
        <v>6036.0</v>
      </c>
      <c r="AL10" s="109">
        <v>4962.0</v>
      </c>
      <c r="AM10" s="109">
        <v>7639.0</v>
      </c>
      <c r="AN10" s="109">
        <v>109255.0</v>
      </c>
    </row>
    <row r="11">
      <c r="A11" s="107" t="s">
        <v>202</v>
      </c>
      <c r="B11" s="111" t="s">
        <v>198</v>
      </c>
      <c r="C11" s="109">
        <v>8984.0</v>
      </c>
      <c r="D11" s="109">
        <v>5120.0</v>
      </c>
      <c r="E11" s="109">
        <v>3864.0</v>
      </c>
      <c r="F11" s="112">
        <v>114.0</v>
      </c>
      <c r="G11" s="112">
        <v>95.0</v>
      </c>
      <c r="H11" s="112">
        <v>131.0</v>
      </c>
      <c r="I11" s="112">
        <v>135.0</v>
      </c>
      <c r="J11" s="112">
        <v>121.0</v>
      </c>
      <c r="K11" s="112">
        <v>131.0</v>
      </c>
      <c r="L11" s="112">
        <v>197.0</v>
      </c>
      <c r="M11" s="112">
        <v>167.0</v>
      </c>
      <c r="N11" s="112">
        <v>342.0</v>
      </c>
      <c r="O11" s="112">
        <v>267.0</v>
      </c>
      <c r="P11" s="112">
        <v>483.0</v>
      </c>
      <c r="Q11" s="112">
        <v>333.0</v>
      </c>
      <c r="R11" s="112">
        <v>480.0</v>
      </c>
      <c r="S11" s="112">
        <v>297.0</v>
      </c>
      <c r="T11" s="112">
        <v>346.0</v>
      </c>
      <c r="U11" s="112">
        <v>253.0</v>
      </c>
      <c r="V11" s="112">
        <v>373.0</v>
      </c>
      <c r="W11" s="112">
        <v>227.0</v>
      </c>
      <c r="X11" s="112">
        <v>387.0</v>
      </c>
      <c r="Y11" s="112">
        <v>223.0</v>
      </c>
      <c r="Z11" s="112">
        <v>469.0</v>
      </c>
      <c r="AA11" s="112">
        <v>221.0</v>
      </c>
      <c r="AB11" s="112">
        <v>434.0</v>
      </c>
      <c r="AC11" s="112">
        <v>300.0</v>
      </c>
      <c r="AD11" s="112">
        <v>325.0</v>
      </c>
      <c r="AE11" s="112">
        <v>275.0</v>
      </c>
      <c r="AF11" s="112">
        <v>246.0</v>
      </c>
      <c r="AG11" s="112">
        <v>284.0</v>
      </c>
      <c r="AH11" s="112">
        <v>212.0</v>
      </c>
      <c r="AI11" s="112">
        <v>273.0</v>
      </c>
      <c r="AJ11" s="112">
        <v>246.0</v>
      </c>
      <c r="AK11" s="112">
        <v>150.0</v>
      </c>
      <c r="AL11" s="112">
        <v>214.0</v>
      </c>
      <c r="AM11" s="112">
        <v>233.0</v>
      </c>
      <c r="AN11" s="109">
        <v>8626.0</v>
      </c>
    </row>
    <row r="12">
      <c r="A12" s="104"/>
      <c r="B12" s="111" t="s">
        <v>199</v>
      </c>
      <c r="C12" s="109">
        <v>6742.0</v>
      </c>
      <c r="D12" s="109">
        <v>3793.0</v>
      </c>
      <c r="E12" s="109">
        <v>2949.0</v>
      </c>
      <c r="F12" s="112">
        <v>136.0</v>
      </c>
      <c r="G12" s="112">
        <v>109.0</v>
      </c>
      <c r="H12" s="112">
        <v>93.0</v>
      </c>
      <c r="I12" s="112">
        <v>97.0</v>
      </c>
      <c r="J12" s="112">
        <v>159.0</v>
      </c>
      <c r="K12" s="112">
        <v>129.0</v>
      </c>
      <c r="L12" s="112">
        <v>147.0</v>
      </c>
      <c r="M12" s="112">
        <v>125.0</v>
      </c>
      <c r="N12" s="112">
        <v>285.0</v>
      </c>
      <c r="O12" s="112">
        <v>302.0</v>
      </c>
      <c r="P12" s="112">
        <v>342.0</v>
      </c>
      <c r="Q12" s="112">
        <v>244.0</v>
      </c>
      <c r="R12" s="112">
        <v>260.0</v>
      </c>
      <c r="S12" s="112">
        <v>246.0</v>
      </c>
      <c r="T12" s="112">
        <v>230.0</v>
      </c>
      <c r="U12" s="112">
        <v>141.0</v>
      </c>
      <c r="V12" s="112">
        <v>236.0</v>
      </c>
      <c r="W12" s="112">
        <v>184.0</v>
      </c>
      <c r="X12" s="112">
        <v>290.0</v>
      </c>
      <c r="Y12" s="112">
        <v>175.0</v>
      </c>
      <c r="Z12" s="112">
        <v>272.0</v>
      </c>
      <c r="AA12" s="112">
        <v>143.0</v>
      </c>
      <c r="AB12" s="112">
        <v>282.0</v>
      </c>
      <c r="AC12" s="112">
        <v>176.0</v>
      </c>
      <c r="AD12" s="112">
        <v>298.0</v>
      </c>
      <c r="AE12" s="112">
        <v>191.0</v>
      </c>
      <c r="AF12" s="112">
        <v>209.0</v>
      </c>
      <c r="AG12" s="112">
        <v>175.0</v>
      </c>
      <c r="AH12" s="112">
        <v>197.0</v>
      </c>
      <c r="AI12" s="112">
        <v>220.0</v>
      </c>
      <c r="AJ12" s="112">
        <v>144.0</v>
      </c>
      <c r="AK12" s="112">
        <v>134.0</v>
      </c>
      <c r="AL12" s="112">
        <v>213.0</v>
      </c>
      <c r="AM12" s="112">
        <v>158.0</v>
      </c>
      <c r="AN12" s="109">
        <v>6419.0</v>
      </c>
    </row>
    <row r="13">
      <c r="A13" s="107" t="s">
        <v>203</v>
      </c>
      <c r="B13" s="111" t="s">
        <v>198</v>
      </c>
      <c r="C13" s="109">
        <v>1731.0</v>
      </c>
      <c r="D13" s="112">
        <v>641.0</v>
      </c>
      <c r="E13" s="109">
        <v>1090.0</v>
      </c>
      <c r="F13" s="110">
        <v>0.0</v>
      </c>
      <c r="G13" s="110">
        <v>0.0</v>
      </c>
      <c r="H13" s="110">
        <v>0.0</v>
      </c>
      <c r="I13" s="110">
        <v>0.0</v>
      </c>
      <c r="J13" s="110">
        <v>0.0</v>
      </c>
      <c r="K13" s="110">
        <v>0.0</v>
      </c>
      <c r="L13" s="110">
        <v>0.0</v>
      </c>
      <c r="M13" s="110">
        <v>0.0</v>
      </c>
      <c r="N13" s="110">
        <v>0.0</v>
      </c>
      <c r="O13" s="110">
        <v>0.0</v>
      </c>
      <c r="P13" s="110">
        <v>0.0</v>
      </c>
      <c r="Q13" s="110">
        <v>0.0</v>
      </c>
      <c r="R13" s="110">
        <v>0.0</v>
      </c>
      <c r="S13" s="110">
        <v>0.0</v>
      </c>
      <c r="T13" s="110">
        <v>0.0</v>
      </c>
      <c r="U13" s="110">
        <v>0.0</v>
      </c>
      <c r="V13" s="110">
        <v>0.0</v>
      </c>
      <c r="W13" s="110">
        <v>0.0</v>
      </c>
      <c r="X13" s="110">
        <v>0.0</v>
      </c>
      <c r="Y13" s="110">
        <v>0.0</v>
      </c>
      <c r="Z13" s="110">
        <v>0.0</v>
      </c>
      <c r="AA13" s="110">
        <v>0.0</v>
      </c>
      <c r="AB13" s="110">
        <v>0.0</v>
      </c>
      <c r="AC13" s="110">
        <v>0.0</v>
      </c>
      <c r="AD13" s="110">
        <v>0.0</v>
      </c>
      <c r="AE13" s="110">
        <v>0.0</v>
      </c>
      <c r="AF13" s="112">
        <v>153.0</v>
      </c>
      <c r="AG13" s="112">
        <v>288.0</v>
      </c>
      <c r="AH13" s="112">
        <v>197.0</v>
      </c>
      <c r="AI13" s="112">
        <v>270.0</v>
      </c>
      <c r="AJ13" s="112">
        <v>148.0</v>
      </c>
      <c r="AK13" s="112">
        <v>259.0</v>
      </c>
      <c r="AL13" s="112">
        <v>143.0</v>
      </c>
      <c r="AM13" s="112">
        <v>273.0</v>
      </c>
      <c r="AN13" s="109">
        <v>1678.0</v>
      </c>
    </row>
    <row r="14">
      <c r="A14" s="104"/>
      <c r="B14" s="111" t="s">
        <v>199</v>
      </c>
      <c r="C14" s="109">
        <v>23666.0</v>
      </c>
      <c r="D14" s="109">
        <v>8489.0</v>
      </c>
      <c r="E14" s="109">
        <v>15177.0</v>
      </c>
      <c r="F14" s="110">
        <v>0.0</v>
      </c>
      <c r="G14" s="110">
        <v>0.0</v>
      </c>
      <c r="H14" s="110">
        <v>0.0</v>
      </c>
      <c r="I14" s="110">
        <v>0.0</v>
      </c>
      <c r="J14" s="110">
        <v>0.0</v>
      </c>
      <c r="K14" s="110">
        <v>0.0</v>
      </c>
      <c r="L14" s="110">
        <v>0.0</v>
      </c>
      <c r="M14" s="110">
        <v>0.0</v>
      </c>
      <c r="N14" s="110">
        <v>0.0</v>
      </c>
      <c r="O14" s="110">
        <v>0.0</v>
      </c>
      <c r="P14" s="110">
        <v>0.0</v>
      </c>
      <c r="Q14" s="110">
        <v>0.0</v>
      </c>
      <c r="R14" s="110">
        <v>0.0</v>
      </c>
      <c r="S14" s="110">
        <v>0.0</v>
      </c>
      <c r="T14" s="110">
        <v>0.0</v>
      </c>
      <c r="U14" s="110">
        <v>0.0</v>
      </c>
      <c r="V14" s="110">
        <v>0.0</v>
      </c>
      <c r="W14" s="110">
        <v>0.0</v>
      </c>
      <c r="X14" s="110">
        <v>0.0</v>
      </c>
      <c r="Y14" s="110">
        <v>0.0</v>
      </c>
      <c r="Z14" s="110">
        <v>0.0</v>
      </c>
      <c r="AA14" s="110">
        <v>0.0</v>
      </c>
      <c r="AB14" s="110">
        <v>0.0</v>
      </c>
      <c r="AC14" s="110">
        <v>0.0</v>
      </c>
      <c r="AD14" s="110">
        <v>0.0</v>
      </c>
      <c r="AE14" s="110">
        <v>0.0</v>
      </c>
      <c r="AF14" s="109">
        <v>2154.0</v>
      </c>
      <c r="AG14" s="109">
        <v>4151.0</v>
      </c>
      <c r="AH14" s="109">
        <v>2599.0</v>
      </c>
      <c r="AI14" s="109">
        <v>4591.0</v>
      </c>
      <c r="AJ14" s="109">
        <v>2091.0</v>
      </c>
      <c r="AK14" s="109">
        <v>3443.0</v>
      </c>
      <c r="AL14" s="109">
        <v>1642.0</v>
      </c>
      <c r="AM14" s="109">
        <v>2981.0</v>
      </c>
      <c r="AN14" s="109">
        <v>23382.0</v>
      </c>
    </row>
    <row r="15">
      <c r="A15" s="107" t="s">
        <v>204</v>
      </c>
      <c r="B15" s="111" t="s">
        <v>198</v>
      </c>
      <c r="C15" s="112">
        <v>778.0</v>
      </c>
      <c r="D15" s="112">
        <v>279.0</v>
      </c>
      <c r="E15" s="112">
        <v>499.0</v>
      </c>
      <c r="F15" s="110">
        <v>0.0</v>
      </c>
      <c r="G15" s="110">
        <v>0.0</v>
      </c>
      <c r="H15" s="110">
        <v>0.0</v>
      </c>
      <c r="I15" s="110">
        <v>0.0</v>
      </c>
      <c r="J15" s="110">
        <v>0.0</v>
      </c>
      <c r="K15" s="110">
        <v>0.0</v>
      </c>
      <c r="L15" s="110">
        <v>0.0</v>
      </c>
      <c r="M15" s="110">
        <v>0.0</v>
      </c>
      <c r="N15" s="110">
        <v>0.0</v>
      </c>
      <c r="O15" s="110">
        <v>0.0</v>
      </c>
      <c r="P15" s="110">
        <v>0.0</v>
      </c>
      <c r="Q15" s="110">
        <v>0.0</v>
      </c>
      <c r="R15" s="110">
        <v>0.0</v>
      </c>
      <c r="S15" s="110">
        <v>0.0</v>
      </c>
      <c r="T15" s="110">
        <v>0.0</v>
      </c>
      <c r="U15" s="110">
        <v>0.0</v>
      </c>
      <c r="V15" s="110">
        <v>0.0</v>
      </c>
      <c r="W15" s="110">
        <v>0.0</v>
      </c>
      <c r="X15" s="110">
        <v>0.0</v>
      </c>
      <c r="Y15" s="110">
        <v>0.0</v>
      </c>
      <c r="Z15" s="110">
        <v>0.0</v>
      </c>
      <c r="AA15" s="110">
        <v>0.0</v>
      </c>
      <c r="AB15" s="110">
        <v>0.0</v>
      </c>
      <c r="AC15" s="110">
        <v>0.0</v>
      </c>
      <c r="AD15" s="110">
        <v>0.0</v>
      </c>
      <c r="AE15" s="110">
        <v>0.0</v>
      </c>
      <c r="AF15" s="112">
        <v>48.0</v>
      </c>
      <c r="AG15" s="112">
        <v>80.0</v>
      </c>
      <c r="AH15" s="112">
        <v>52.0</v>
      </c>
      <c r="AI15" s="112">
        <v>93.0</v>
      </c>
      <c r="AJ15" s="112">
        <v>58.0</v>
      </c>
      <c r="AK15" s="112">
        <v>111.0</v>
      </c>
      <c r="AL15" s="112">
        <v>121.0</v>
      </c>
      <c r="AM15" s="112">
        <v>215.0</v>
      </c>
      <c r="AN15" s="112">
        <v>774.0</v>
      </c>
    </row>
    <row r="16">
      <c r="A16" s="104"/>
      <c r="B16" s="111" t="s">
        <v>199</v>
      </c>
      <c r="C16" s="109">
        <v>14077.0</v>
      </c>
      <c r="D16" s="109">
        <v>4680.0</v>
      </c>
      <c r="E16" s="109">
        <v>9397.0</v>
      </c>
      <c r="F16" s="110">
        <v>0.0</v>
      </c>
      <c r="G16" s="110">
        <v>0.0</v>
      </c>
      <c r="H16" s="110">
        <v>0.0</v>
      </c>
      <c r="I16" s="110">
        <v>0.0</v>
      </c>
      <c r="J16" s="110">
        <v>0.0</v>
      </c>
      <c r="K16" s="110">
        <v>0.0</v>
      </c>
      <c r="L16" s="110">
        <v>0.0</v>
      </c>
      <c r="M16" s="110">
        <v>0.0</v>
      </c>
      <c r="N16" s="110">
        <v>0.0</v>
      </c>
      <c r="O16" s="110">
        <v>0.0</v>
      </c>
      <c r="P16" s="110">
        <v>0.0</v>
      </c>
      <c r="Q16" s="110">
        <v>0.0</v>
      </c>
      <c r="R16" s="110">
        <v>0.0</v>
      </c>
      <c r="S16" s="110">
        <v>0.0</v>
      </c>
      <c r="T16" s="110">
        <v>0.0</v>
      </c>
      <c r="U16" s="110">
        <v>0.0</v>
      </c>
      <c r="V16" s="110">
        <v>0.0</v>
      </c>
      <c r="W16" s="110">
        <v>0.0</v>
      </c>
      <c r="X16" s="110">
        <v>0.0</v>
      </c>
      <c r="Y16" s="110">
        <v>0.0</v>
      </c>
      <c r="Z16" s="110">
        <v>0.0</v>
      </c>
      <c r="AA16" s="110">
        <v>0.0</v>
      </c>
      <c r="AB16" s="110">
        <v>0.0</v>
      </c>
      <c r="AC16" s="110">
        <v>0.0</v>
      </c>
      <c r="AD16" s="110">
        <v>0.0</v>
      </c>
      <c r="AE16" s="110">
        <v>0.0</v>
      </c>
      <c r="AF16" s="112">
        <v>555.0</v>
      </c>
      <c r="AG16" s="109">
        <v>1128.0</v>
      </c>
      <c r="AH16" s="112">
        <v>971.0</v>
      </c>
      <c r="AI16" s="109">
        <v>1736.0</v>
      </c>
      <c r="AJ16" s="109">
        <v>1111.0</v>
      </c>
      <c r="AK16" s="109">
        <v>2308.0</v>
      </c>
      <c r="AL16" s="109">
        <v>2038.0</v>
      </c>
      <c r="AM16" s="109">
        <v>4217.0</v>
      </c>
      <c r="AN16" s="109">
        <v>13840.0</v>
      </c>
    </row>
    <row r="17">
      <c r="A17" s="107" t="s">
        <v>205</v>
      </c>
      <c r="B17" s="111" t="s">
        <v>198</v>
      </c>
      <c r="C17" s="109">
        <v>4522.0</v>
      </c>
      <c r="D17" s="109">
        <v>1501.0</v>
      </c>
      <c r="E17" s="109">
        <v>3021.0</v>
      </c>
      <c r="F17" s="112">
        <v>34.0</v>
      </c>
      <c r="G17" s="112">
        <v>37.0</v>
      </c>
      <c r="H17" s="112">
        <v>40.0</v>
      </c>
      <c r="I17" s="112">
        <v>30.0</v>
      </c>
      <c r="J17" s="112">
        <v>24.0</v>
      </c>
      <c r="K17" s="112">
        <v>23.0</v>
      </c>
      <c r="L17" s="112">
        <v>72.0</v>
      </c>
      <c r="M17" s="112">
        <v>156.0</v>
      </c>
      <c r="N17" s="112">
        <v>178.0</v>
      </c>
      <c r="O17" s="112">
        <v>219.0</v>
      </c>
      <c r="P17" s="112">
        <v>94.0</v>
      </c>
      <c r="Q17" s="112">
        <v>182.0</v>
      </c>
      <c r="R17" s="112">
        <v>71.0</v>
      </c>
      <c r="S17" s="112">
        <v>155.0</v>
      </c>
      <c r="T17" s="112">
        <v>49.0</v>
      </c>
      <c r="U17" s="112">
        <v>127.0</v>
      </c>
      <c r="V17" s="112">
        <v>56.0</v>
      </c>
      <c r="W17" s="112">
        <v>150.0</v>
      </c>
      <c r="X17" s="112">
        <v>76.0</v>
      </c>
      <c r="Y17" s="112">
        <v>208.0</v>
      </c>
      <c r="Z17" s="112">
        <v>113.0</v>
      </c>
      <c r="AA17" s="112">
        <v>226.0</v>
      </c>
      <c r="AB17" s="112">
        <v>102.0</v>
      </c>
      <c r="AC17" s="112">
        <v>299.0</v>
      </c>
      <c r="AD17" s="112">
        <v>139.0</v>
      </c>
      <c r="AE17" s="112">
        <v>275.0</v>
      </c>
      <c r="AF17" s="112">
        <v>120.0</v>
      </c>
      <c r="AG17" s="112">
        <v>293.0</v>
      </c>
      <c r="AH17" s="112">
        <v>114.0</v>
      </c>
      <c r="AI17" s="112">
        <v>284.0</v>
      </c>
      <c r="AJ17" s="112">
        <v>114.0</v>
      </c>
      <c r="AK17" s="112">
        <v>180.0</v>
      </c>
      <c r="AL17" s="112">
        <v>105.0</v>
      </c>
      <c r="AM17" s="112">
        <v>177.0</v>
      </c>
      <c r="AN17" s="109">
        <v>4219.0</v>
      </c>
    </row>
    <row r="18">
      <c r="A18" s="98"/>
      <c r="B18" s="111" t="s">
        <v>199</v>
      </c>
      <c r="C18" s="112">
        <v>616.0</v>
      </c>
      <c r="D18" s="112">
        <v>282.0</v>
      </c>
      <c r="E18" s="112">
        <v>334.0</v>
      </c>
      <c r="F18" s="112">
        <v>16.0</v>
      </c>
      <c r="G18" s="112">
        <v>8.0</v>
      </c>
      <c r="H18" s="112">
        <v>10.0</v>
      </c>
      <c r="I18" s="112">
        <v>7.0</v>
      </c>
      <c r="J18" s="112">
        <v>0.0</v>
      </c>
      <c r="K18" s="112">
        <v>1.0</v>
      </c>
      <c r="L18" s="112">
        <v>7.0</v>
      </c>
      <c r="M18" s="112">
        <v>13.0</v>
      </c>
      <c r="N18" s="112">
        <v>21.0</v>
      </c>
      <c r="O18" s="112">
        <v>16.0</v>
      </c>
      <c r="P18" s="112">
        <v>15.0</v>
      </c>
      <c r="Q18" s="112">
        <v>17.0</v>
      </c>
      <c r="R18" s="112">
        <v>9.0</v>
      </c>
      <c r="S18" s="112">
        <v>17.0</v>
      </c>
      <c r="T18" s="112">
        <v>11.0</v>
      </c>
      <c r="U18" s="112">
        <v>12.0</v>
      </c>
      <c r="V18" s="112">
        <v>5.0</v>
      </c>
      <c r="W18" s="112">
        <v>8.0</v>
      </c>
      <c r="X18" s="112">
        <v>12.0</v>
      </c>
      <c r="Y18" s="112">
        <v>17.0</v>
      </c>
      <c r="Z18" s="112">
        <v>18.0</v>
      </c>
      <c r="AA18" s="112">
        <v>25.0</v>
      </c>
      <c r="AB18" s="112">
        <v>23.0</v>
      </c>
      <c r="AC18" s="112">
        <v>31.0</v>
      </c>
      <c r="AD18" s="112">
        <v>17.0</v>
      </c>
      <c r="AE18" s="112">
        <v>26.0</v>
      </c>
      <c r="AF18" s="112">
        <v>28.0</v>
      </c>
      <c r="AG18" s="112">
        <v>29.0</v>
      </c>
      <c r="AH18" s="112">
        <v>27.0</v>
      </c>
      <c r="AI18" s="112">
        <v>42.0</v>
      </c>
      <c r="AJ18" s="112">
        <v>31.0</v>
      </c>
      <c r="AK18" s="112">
        <v>25.0</v>
      </c>
      <c r="AL18" s="112">
        <v>32.0</v>
      </c>
      <c r="AM18" s="112">
        <v>40.0</v>
      </c>
      <c r="AN18" s="112">
        <v>542.0</v>
      </c>
    </row>
    <row r="19">
      <c r="A19" s="104"/>
      <c r="B19" s="111" t="s">
        <v>206</v>
      </c>
      <c r="C19" s="109">
        <v>7057.0</v>
      </c>
      <c r="D19" s="109">
        <v>1905.0</v>
      </c>
      <c r="E19" s="109">
        <v>5152.0</v>
      </c>
      <c r="F19" s="112">
        <v>10.0</v>
      </c>
      <c r="G19" s="112">
        <v>8.0</v>
      </c>
      <c r="H19" s="112">
        <v>3.0</v>
      </c>
      <c r="I19" s="112">
        <v>13.0</v>
      </c>
      <c r="J19" s="112">
        <v>8.0</v>
      </c>
      <c r="K19" s="112">
        <v>36.0</v>
      </c>
      <c r="L19" s="112">
        <v>254.0</v>
      </c>
      <c r="M19" s="112">
        <v>709.0</v>
      </c>
      <c r="N19" s="112">
        <v>429.0</v>
      </c>
      <c r="O19" s="112">
        <v>922.0</v>
      </c>
      <c r="P19" s="112">
        <v>303.0</v>
      </c>
      <c r="Q19" s="112">
        <v>736.0</v>
      </c>
      <c r="R19" s="112">
        <v>152.0</v>
      </c>
      <c r="S19" s="112">
        <v>595.0</v>
      </c>
      <c r="T19" s="112">
        <v>130.0</v>
      </c>
      <c r="U19" s="112">
        <v>544.0</v>
      </c>
      <c r="V19" s="112">
        <v>109.0</v>
      </c>
      <c r="W19" s="112">
        <v>445.0</v>
      </c>
      <c r="X19" s="112">
        <v>95.0</v>
      </c>
      <c r="Y19" s="112">
        <v>318.0</v>
      </c>
      <c r="Z19" s="112">
        <v>115.0</v>
      </c>
      <c r="AA19" s="112">
        <v>226.0</v>
      </c>
      <c r="AB19" s="112">
        <v>98.0</v>
      </c>
      <c r="AC19" s="112">
        <v>180.0</v>
      </c>
      <c r="AD19" s="112">
        <v>50.0</v>
      </c>
      <c r="AE19" s="112">
        <v>129.0</v>
      </c>
      <c r="AF19" s="112">
        <v>55.0</v>
      </c>
      <c r="AG19" s="112">
        <v>86.0</v>
      </c>
      <c r="AH19" s="112">
        <v>32.0</v>
      </c>
      <c r="AI19" s="112">
        <v>85.0</v>
      </c>
      <c r="AJ19" s="112">
        <v>20.0</v>
      </c>
      <c r="AK19" s="112">
        <v>55.0</v>
      </c>
      <c r="AL19" s="112">
        <v>42.0</v>
      </c>
      <c r="AM19" s="112">
        <v>65.0</v>
      </c>
      <c r="AN19" s="109">
        <v>6731.0</v>
      </c>
    </row>
    <row r="20">
      <c r="A20" s="107" t="s">
        <v>207</v>
      </c>
      <c r="B20" s="111" t="s">
        <v>198</v>
      </c>
      <c r="C20" s="109">
        <v>640824.0</v>
      </c>
      <c r="D20" s="109">
        <v>176686.0</v>
      </c>
      <c r="E20" s="109">
        <v>464139.0</v>
      </c>
      <c r="F20" s="109">
        <v>6878.0</v>
      </c>
      <c r="G20" s="109">
        <v>5802.0</v>
      </c>
      <c r="H20" s="109">
        <v>5501.0</v>
      </c>
      <c r="I20" s="109">
        <v>4649.0</v>
      </c>
      <c r="J20" s="109">
        <v>5599.0</v>
      </c>
      <c r="K20" s="109">
        <v>4826.0</v>
      </c>
      <c r="L20" s="109">
        <v>4518.0</v>
      </c>
      <c r="M20" s="109">
        <v>7499.0</v>
      </c>
      <c r="N20" s="109">
        <v>3506.0</v>
      </c>
      <c r="O20" s="109">
        <v>9073.0</v>
      </c>
      <c r="P20" s="109">
        <v>3827.0</v>
      </c>
      <c r="Q20" s="109">
        <v>12640.0</v>
      </c>
      <c r="R20" s="109">
        <v>4105.0</v>
      </c>
      <c r="S20" s="109">
        <v>14314.0</v>
      </c>
      <c r="T20" s="109">
        <v>4773.0</v>
      </c>
      <c r="U20" s="109">
        <v>17634.0</v>
      </c>
      <c r="V20" s="109">
        <v>6079.0</v>
      </c>
      <c r="W20" s="109">
        <v>22940.0</v>
      </c>
      <c r="X20" s="109">
        <v>8806.0</v>
      </c>
      <c r="Y20" s="109">
        <v>31977.0</v>
      </c>
      <c r="Z20" s="109">
        <v>12617.0</v>
      </c>
      <c r="AA20" s="109">
        <v>44548.0</v>
      </c>
      <c r="AB20" s="109">
        <v>15921.0</v>
      </c>
      <c r="AC20" s="109">
        <v>52706.0</v>
      </c>
      <c r="AD20" s="109">
        <v>17778.0</v>
      </c>
      <c r="AE20" s="109">
        <v>54716.0</v>
      </c>
      <c r="AF20" s="109">
        <v>19533.0</v>
      </c>
      <c r="AG20" s="109">
        <v>53322.0</v>
      </c>
      <c r="AH20" s="109">
        <v>20193.0</v>
      </c>
      <c r="AI20" s="109">
        <v>48061.0</v>
      </c>
      <c r="AJ20" s="109">
        <v>17306.0</v>
      </c>
      <c r="AK20" s="109">
        <v>36449.0</v>
      </c>
      <c r="AL20" s="109">
        <v>19748.0</v>
      </c>
      <c r="AM20" s="109">
        <v>42985.0</v>
      </c>
      <c r="AN20" s="109">
        <v>627792.0</v>
      </c>
    </row>
    <row r="21">
      <c r="A21" s="98"/>
      <c r="B21" s="111" t="s">
        <v>199</v>
      </c>
      <c r="C21" s="109">
        <v>85890.0</v>
      </c>
      <c r="D21" s="109">
        <v>31033.0</v>
      </c>
      <c r="E21" s="109">
        <v>54858.0</v>
      </c>
      <c r="F21" s="109">
        <v>1407.0</v>
      </c>
      <c r="G21" s="109">
        <v>1313.0</v>
      </c>
      <c r="H21" s="112">
        <v>747.0</v>
      </c>
      <c r="I21" s="112">
        <v>660.0</v>
      </c>
      <c r="J21" s="112">
        <v>508.0</v>
      </c>
      <c r="K21" s="112">
        <v>460.0</v>
      </c>
      <c r="L21" s="112">
        <v>454.0</v>
      </c>
      <c r="M21" s="112">
        <v>615.0</v>
      </c>
      <c r="N21" s="112">
        <v>379.0</v>
      </c>
      <c r="O21" s="112">
        <v>671.0</v>
      </c>
      <c r="P21" s="112">
        <v>431.0</v>
      </c>
      <c r="Q21" s="112">
        <v>955.0</v>
      </c>
      <c r="R21" s="112">
        <v>512.0</v>
      </c>
      <c r="S21" s="109">
        <v>1144.0</v>
      </c>
      <c r="T21" s="112">
        <v>551.0</v>
      </c>
      <c r="U21" s="109">
        <v>1660.0</v>
      </c>
      <c r="V21" s="112">
        <v>943.0</v>
      </c>
      <c r="W21" s="109">
        <v>2172.0</v>
      </c>
      <c r="X21" s="109">
        <v>1406.0</v>
      </c>
      <c r="Y21" s="109">
        <v>3407.0</v>
      </c>
      <c r="Z21" s="109">
        <v>2292.0</v>
      </c>
      <c r="AA21" s="109">
        <v>4759.0</v>
      </c>
      <c r="AB21" s="109">
        <v>2742.0</v>
      </c>
      <c r="AC21" s="109">
        <v>5459.0</v>
      </c>
      <c r="AD21" s="109">
        <v>3041.0</v>
      </c>
      <c r="AE21" s="109">
        <v>6294.0</v>
      </c>
      <c r="AF21" s="109">
        <v>3916.0</v>
      </c>
      <c r="AG21" s="109">
        <v>6977.0</v>
      </c>
      <c r="AH21" s="109">
        <v>4420.0</v>
      </c>
      <c r="AI21" s="109">
        <v>6789.0</v>
      </c>
      <c r="AJ21" s="109">
        <v>3598.0</v>
      </c>
      <c r="AK21" s="109">
        <v>5147.0</v>
      </c>
      <c r="AL21" s="109">
        <v>3689.0</v>
      </c>
      <c r="AM21" s="109">
        <v>6375.0</v>
      </c>
      <c r="AN21" s="109">
        <v>84606.0</v>
      </c>
    </row>
    <row r="22">
      <c r="A22" s="98"/>
      <c r="B22" s="111" t="s">
        <v>206</v>
      </c>
      <c r="C22" s="109">
        <v>14220.0</v>
      </c>
      <c r="D22" s="109">
        <v>2131.0</v>
      </c>
      <c r="E22" s="109">
        <v>12089.0</v>
      </c>
      <c r="F22" s="112">
        <v>693.0</v>
      </c>
      <c r="G22" s="112">
        <v>729.0</v>
      </c>
      <c r="H22" s="112">
        <v>61.0</v>
      </c>
      <c r="I22" s="112">
        <v>129.0</v>
      </c>
      <c r="J22" s="112">
        <v>78.0</v>
      </c>
      <c r="K22" s="112">
        <v>179.0</v>
      </c>
      <c r="L22" s="112">
        <v>40.0</v>
      </c>
      <c r="M22" s="112">
        <v>659.0</v>
      </c>
      <c r="N22" s="112">
        <v>65.0</v>
      </c>
      <c r="O22" s="112">
        <v>784.0</v>
      </c>
      <c r="P22" s="112">
        <v>76.0</v>
      </c>
      <c r="Q22" s="112">
        <v>894.0</v>
      </c>
      <c r="R22" s="112">
        <v>47.0</v>
      </c>
      <c r="S22" s="112">
        <v>790.0</v>
      </c>
      <c r="T22" s="112">
        <v>59.0</v>
      </c>
      <c r="U22" s="112">
        <v>700.0</v>
      </c>
      <c r="V22" s="112">
        <v>35.0</v>
      </c>
      <c r="W22" s="112">
        <v>916.0</v>
      </c>
      <c r="X22" s="112">
        <v>107.0</v>
      </c>
      <c r="Y22" s="112">
        <v>900.0</v>
      </c>
      <c r="Z22" s="112">
        <v>201.0</v>
      </c>
      <c r="AA22" s="109">
        <v>1131.0</v>
      </c>
      <c r="AB22" s="112">
        <v>208.0</v>
      </c>
      <c r="AC22" s="109">
        <v>1156.0</v>
      </c>
      <c r="AD22" s="112">
        <v>49.0</v>
      </c>
      <c r="AE22" s="109">
        <v>1047.0</v>
      </c>
      <c r="AF22" s="112">
        <v>179.0</v>
      </c>
      <c r="AG22" s="112">
        <v>823.0</v>
      </c>
      <c r="AH22" s="112">
        <v>85.0</v>
      </c>
      <c r="AI22" s="112">
        <v>695.0</v>
      </c>
      <c r="AJ22" s="112">
        <v>105.0</v>
      </c>
      <c r="AK22" s="112">
        <v>307.0</v>
      </c>
      <c r="AL22" s="112">
        <v>42.0</v>
      </c>
      <c r="AM22" s="112">
        <v>250.0</v>
      </c>
      <c r="AN22" s="109">
        <v>14043.0</v>
      </c>
    </row>
    <row r="23">
      <c r="A23" s="98"/>
      <c r="B23" s="111" t="s">
        <v>200</v>
      </c>
      <c r="C23" s="109">
        <v>152533.0</v>
      </c>
      <c r="D23" s="109">
        <v>54902.0</v>
      </c>
      <c r="E23" s="109">
        <v>97632.0</v>
      </c>
      <c r="F23" s="109">
        <v>28910.0</v>
      </c>
      <c r="G23" s="109">
        <v>28301.0</v>
      </c>
      <c r="H23" s="109">
        <v>6933.0</v>
      </c>
      <c r="I23" s="109">
        <v>7340.0</v>
      </c>
      <c r="J23" s="109">
        <v>2989.0</v>
      </c>
      <c r="K23" s="109">
        <v>3654.0</v>
      </c>
      <c r="L23" s="109">
        <v>1373.0</v>
      </c>
      <c r="M23" s="109">
        <v>5087.0</v>
      </c>
      <c r="N23" s="112">
        <v>875.0</v>
      </c>
      <c r="O23" s="109">
        <v>5337.0</v>
      </c>
      <c r="P23" s="112">
        <v>999.0</v>
      </c>
      <c r="Q23" s="109">
        <v>6201.0</v>
      </c>
      <c r="R23" s="112">
        <v>889.0</v>
      </c>
      <c r="S23" s="109">
        <v>5227.0</v>
      </c>
      <c r="T23" s="112">
        <v>865.0</v>
      </c>
      <c r="U23" s="109">
        <v>4479.0</v>
      </c>
      <c r="V23" s="112">
        <v>878.0</v>
      </c>
      <c r="W23" s="109">
        <v>4018.0</v>
      </c>
      <c r="X23" s="109">
        <v>1009.0</v>
      </c>
      <c r="Y23" s="109">
        <v>4401.0</v>
      </c>
      <c r="Z23" s="109">
        <v>1232.0</v>
      </c>
      <c r="AA23" s="109">
        <v>4873.0</v>
      </c>
      <c r="AB23" s="109">
        <v>1439.0</v>
      </c>
      <c r="AC23" s="109">
        <v>4474.0</v>
      </c>
      <c r="AD23" s="109">
        <v>1276.0</v>
      </c>
      <c r="AE23" s="109">
        <v>3782.0</v>
      </c>
      <c r="AF23" s="109">
        <v>1396.0</v>
      </c>
      <c r="AG23" s="109">
        <v>3439.0</v>
      </c>
      <c r="AH23" s="109">
        <v>1479.0</v>
      </c>
      <c r="AI23" s="109">
        <v>2862.0</v>
      </c>
      <c r="AJ23" s="109">
        <v>1100.0</v>
      </c>
      <c r="AK23" s="109">
        <v>1920.0</v>
      </c>
      <c r="AL23" s="109">
        <v>1261.0</v>
      </c>
      <c r="AM23" s="109">
        <v>2245.0</v>
      </c>
      <c r="AN23" s="109">
        <v>146638.0</v>
      </c>
    </row>
    <row r="24">
      <c r="A24" s="104"/>
      <c r="B24" s="111" t="s">
        <v>201</v>
      </c>
      <c r="C24" s="109">
        <v>60240.0</v>
      </c>
      <c r="D24" s="109">
        <v>25645.0</v>
      </c>
      <c r="E24" s="109">
        <v>34598.0</v>
      </c>
      <c r="F24" s="109">
        <v>1935.0</v>
      </c>
      <c r="G24" s="109">
        <v>1901.0</v>
      </c>
      <c r="H24" s="109">
        <v>1026.0</v>
      </c>
      <c r="I24" s="109">
        <v>1240.0</v>
      </c>
      <c r="J24" s="109">
        <v>1087.0</v>
      </c>
      <c r="K24" s="109">
        <v>1099.0</v>
      </c>
      <c r="L24" s="112">
        <v>798.0</v>
      </c>
      <c r="M24" s="109">
        <v>1126.0</v>
      </c>
      <c r="N24" s="112">
        <v>794.0</v>
      </c>
      <c r="O24" s="109">
        <v>1110.0</v>
      </c>
      <c r="P24" s="109">
        <v>1024.0</v>
      </c>
      <c r="Q24" s="109">
        <v>1586.0</v>
      </c>
      <c r="R24" s="109">
        <v>1012.0</v>
      </c>
      <c r="S24" s="109">
        <v>1771.0</v>
      </c>
      <c r="T24" s="109">
        <v>1129.0</v>
      </c>
      <c r="U24" s="109">
        <v>1737.0</v>
      </c>
      <c r="V24" s="109">
        <v>1331.0</v>
      </c>
      <c r="W24" s="109">
        <v>2144.0</v>
      </c>
      <c r="X24" s="109">
        <v>1596.0</v>
      </c>
      <c r="Y24" s="109">
        <v>2554.0</v>
      </c>
      <c r="Z24" s="109">
        <v>1915.0</v>
      </c>
      <c r="AA24" s="109">
        <v>2815.0</v>
      </c>
      <c r="AB24" s="109">
        <v>1881.0</v>
      </c>
      <c r="AC24" s="109">
        <v>2866.0</v>
      </c>
      <c r="AD24" s="109">
        <v>1876.0</v>
      </c>
      <c r="AE24" s="109">
        <v>2891.0</v>
      </c>
      <c r="AF24" s="109">
        <v>2124.0</v>
      </c>
      <c r="AG24" s="109">
        <v>2593.0</v>
      </c>
      <c r="AH24" s="109">
        <v>2113.0</v>
      </c>
      <c r="AI24" s="109">
        <v>2452.0</v>
      </c>
      <c r="AJ24" s="109">
        <v>1881.0</v>
      </c>
      <c r="AK24" s="109">
        <v>2148.0</v>
      </c>
      <c r="AL24" s="109">
        <v>2123.0</v>
      </c>
      <c r="AM24" s="109">
        <v>2565.0</v>
      </c>
      <c r="AN24" s="109">
        <v>58945.0</v>
      </c>
    </row>
    <row r="25">
      <c r="A25" s="107" t="s">
        <v>208</v>
      </c>
      <c r="B25" s="111" t="s">
        <v>198</v>
      </c>
      <c r="C25" s="112">
        <v>790.0</v>
      </c>
      <c r="D25" s="112">
        <v>428.0</v>
      </c>
      <c r="E25" s="112">
        <v>362.0</v>
      </c>
      <c r="F25" s="112">
        <v>320.0</v>
      </c>
      <c r="G25" s="112">
        <v>248.0</v>
      </c>
      <c r="H25" s="112">
        <v>54.0</v>
      </c>
      <c r="I25" s="112">
        <v>59.0</v>
      </c>
      <c r="J25" s="112">
        <v>28.0</v>
      </c>
      <c r="K25" s="112">
        <v>38.0</v>
      </c>
      <c r="L25" s="112">
        <v>21.0</v>
      </c>
      <c r="M25" s="112">
        <v>11.0</v>
      </c>
      <c r="N25" s="112">
        <v>5.0</v>
      </c>
      <c r="O25" s="112">
        <v>6.0</v>
      </c>
      <c r="P25" s="110">
        <v>0.0</v>
      </c>
      <c r="Q25" s="110">
        <v>0.0</v>
      </c>
      <c r="R25" s="110">
        <v>0.0</v>
      </c>
      <c r="S25" s="110">
        <v>0.0</v>
      </c>
      <c r="T25" s="110">
        <v>0.0</v>
      </c>
      <c r="U25" s="110">
        <v>18.0</v>
      </c>
      <c r="V25" s="110">
        <v>0.0</v>
      </c>
      <c r="W25" s="110">
        <v>0.0</v>
      </c>
      <c r="X25" s="110">
        <v>0.0</v>
      </c>
      <c r="Y25" s="110">
        <v>0.0</v>
      </c>
      <c r="Z25" s="110">
        <v>0.0</v>
      </c>
      <c r="AA25" s="110">
        <v>0.0</v>
      </c>
      <c r="AB25" s="110">
        <v>0.0</v>
      </c>
      <c r="AC25" s="110">
        <v>0.0</v>
      </c>
      <c r="AD25" s="110">
        <v>0.0</v>
      </c>
      <c r="AE25" s="110">
        <v>0.0</v>
      </c>
      <c r="AF25" s="110">
        <v>0.0</v>
      </c>
      <c r="AG25" s="110">
        <v>0.0</v>
      </c>
      <c r="AH25" s="110">
        <v>0.0</v>
      </c>
      <c r="AI25" s="110">
        <v>0.0</v>
      </c>
      <c r="AJ25" s="110">
        <v>0.0</v>
      </c>
      <c r="AK25" s="110">
        <v>0.0</v>
      </c>
      <c r="AL25" s="110">
        <v>0.0</v>
      </c>
      <c r="AM25" s="110">
        <v>0.0</v>
      </c>
      <c r="AN25" s="112">
        <v>757.0</v>
      </c>
    </row>
    <row r="26">
      <c r="A26" s="98"/>
      <c r="B26" s="111" t="s">
        <v>199</v>
      </c>
      <c r="C26" s="109">
        <v>1860.0</v>
      </c>
      <c r="D26" s="109">
        <v>1001.0</v>
      </c>
      <c r="E26" s="112">
        <v>859.0</v>
      </c>
      <c r="F26" s="112">
        <v>802.0</v>
      </c>
      <c r="G26" s="112">
        <v>699.0</v>
      </c>
      <c r="H26" s="112">
        <v>134.0</v>
      </c>
      <c r="I26" s="112">
        <v>106.0</v>
      </c>
      <c r="J26" s="112">
        <v>36.0</v>
      </c>
      <c r="K26" s="112">
        <v>30.0</v>
      </c>
      <c r="L26" s="112">
        <v>22.0</v>
      </c>
      <c r="M26" s="112">
        <v>13.0</v>
      </c>
      <c r="N26" s="112">
        <v>7.0</v>
      </c>
      <c r="O26" s="112">
        <v>11.0</v>
      </c>
      <c r="P26" s="110">
        <v>0.0</v>
      </c>
      <c r="Q26" s="110">
        <v>0.0</v>
      </c>
      <c r="R26" s="110">
        <v>0.0</v>
      </c>
      <c r="S26" s="110">
        <v>0.0</v>
      </c>
      <c r="T26" s="110">
        <v>0.0</v>
      </c>
      <c r="U26" s="110">
        <v>18.0</v>
      </c>
      <c r="V26" s="110">
        <v>0.0</v>
      </c>
      <c r="W26" s="110">
        <v>0.0</v>
      </c>
      <c r="X26" s="110">
        <v>0.0</v>
      </c>
      <c r="Y26" s="110">
        <v>0.0</v>
      </c>
      <c r="Z26" s="110">
        <v>0.0</v>
      </c>
      <c r="AA26" s="110">
        <v>0.0</v>
      </c>
      <c r="AB26" s="110">
        <v>0.0</v>
      </c>
      <c r="AC26" s="110">
        <v>0.0</v>
      </c>
      <c r="AD26" s="110">
        <v>0.0</v>
      </c>
      <c r="AE26" s="110">
        <v>0.0</v>
      </c>
      <c r="AF26" s="110">
        <v>0.0</v>
      </c>
      <c r="AG26" s="110">
        <v>0.0</v>
      </c>
      <c r="AH26" s="110">
        <v>0.0</v>
      </c>
      <c r="AI26" s="110">
        <v>0.0</v>
      </c>
      <c r="AJ26" s="110">
        <v>0.0</v>
      </c>
      <c r="AK26" s="110">
        <v>0.0</v>
      </c>
      <c r="AL26" s="110">
        <v>0.0</v>
      </c>
      <c r="AM26" s="110">
        <v>0.0</v>
      </c>
      <c r="AN26" s="109">
        <v>1711.0</v>
      </c>
    </row>
    <row r="27">
      <c r="A27" s="98"/>
      <c r="B27" s="111" t="s">
        <v>206</v>
      </c>
      <c r="C27" s="112">
        <v>128.0</v>
      </c>
      <c r="D27" s="112">
        <v>54.0</v>
      </c>
      <c r="E27" s="112">
        <v>74.0</v>
      </c>
      <c r="F27" s="112">
        <v>38.0</v>
      </c>
      <c r="G27" s="112">
        <v>32.0</v>
      </c>
      <c r="H27" s="112">
        <v>3.0</v>
      </c>
      <c r="I27" s="112">
        <v>4.0</v>
      </c>
      <c r="J27" s="112">
        <v>8.0</v>
      </c>
      <c r="K27" s="112">
        <v>13.0</v>
      </c>
      <c r="L27" s="112">
        <v>5.0</v>
      </c>
      <c r="M27" s="112">
        <v>11.0</v>
      </c>
      <c r="N27" s="112">
        <v>0.0</v>
      </c>
      <c r="O27" s="112">
        <v>14.0</v>
      </c>
      <c r="P27" s="110">
        <v>0.0</v>
      </c>
      <c r="Q27" s="110">
        <v>0.0</v>
      </c>
      <c r="R27" s="110">
        <v>0.0</v>
      </c>
      <c r="S27" s="110">
        <v>0.0</v>
      </c>
      <c r="T27" s="110">
        <v>0.0</v>
      </c>
      <c r="U27" s="110">
        <v>18.0</v>
      </c>
      <c r="V27" s="110">
        <v>0.0</v>
      </c>
      <c r="W27" s="110">
        <v>0.0</v>
      </c>
      <c r="X27" s="110">
        <v>0.0</v>
      </c>
      <c r="Y27" s="110">
        <v>0.0</v>
      </c>
      <c r="Z27" s="110">
        <v>1.0</v>
      </c>
      <c r="AA27" s="110">
        <v>0.0</v>
      </c>
      <c r="AB27" s="110">
        <v>0.0</v>
      </c>
      <c r="AC27" s="110">
        <v>0.0</v>
      </c>
      <c r="AD27" s="110">
        <v>0.0</v>
      </c>
      <c r="AE27" s="110">
        <v>0.0</v>
      </c>
      <c r="AF27" s="110">
        <v>0.0</v>
      </c>
      <c r="AG27" s="110">
        <v>0.0</v>
      </c>
      <c r="AH27" s="110">
        <v>0.0</v>
      </c>
      <c r="AI27" s="110">
        <v>0.0</v>
      </c>
      <c r="AJ27" s="110">
        <v>0.0</v>
      </c>
      <c r="AK27" s="110">
        <v>0.0</v>
      </c>
      <c r="AL27" s="110">
        <v>0.0</v>
      </c>
      <c r="AM27" s="110">
        <v>0.0</v>
      </c>
      <c r="AN27" s="112">
        <v>121.0</v>
      </c>
    </row>
    <row r="28">
      <c r="A28" s="98"/>
      <c r="B28" s="111" t="s">
        <v>200</v>
      </c>
      <c r="C28" s="109">
        <v>1145.0</v>
      </c>
      <c r="D28" s="112">
        <v>562.0</v>
      </c>
      <c r="E28" s="112">
        <v>583.0</v>
      </c>
      <c r="F28" s="112">
        <v>432.0</v>
      </c>
      <c r="G28" s="112">
        <v>474.0</v>
      </c>
      <c r="H28" s="112">
        <v>81.0</v>
      </c>
      <c r="I28" s="112">
        <v>51.0</v>
      </c>
      <c r="J28" s="112">
        <v>25.0</v>
      </c>
      <c r="K28" s="112">
        <v>24.0</v>
      </c>
      <c r="L28" s="112">
        <v>22.0</v>
      </c>
      <c r="M28" s="112">
        <v>23.0</v>
      </c>
      <c r="N28" s="112">
        <v>2.0</v>
      </c>
      <c r="O28" s="112">
        <v>11.0</v>
      </c>
      <c r="P28" s="110">
        <v>0.0</v>
      </c>
      <c r="Q28" s="110">
        <v>0.0</v>
      </c>
      <c r="R28" s="110">
        <v>0.0</v>
      </c>
      <c r="S28" s="110">
        <v>0.0</v>
      </c>
      <c r="T28" s="110">
        <v>0.0</v>
      </c>
      <c r="U28" s="110">
        <v>18.0</v>
      </c>
      <c r="V28" s="110">
        <v>0.0</v>
      </c>
      <c r="W28" s="110">
        <v>0.0</v>
      </c>
      <c r="X28" s="110">
        <v>0.0</v>
      </c>
      <c r="Y28" s="110">
        <v>0.0</v>
      </c>
      <c r="Z28" s="110">
        <v>0.0</v>
      </c>
      <c r="AA28" s="110">
        <v>0.0</v>
      </c>
      <c r="AB28" s="110">
        <v>0.0</v>
      </c>
      <c r="AC28" s="110">
        <v>0.0</v>
      </c>
      <c r="AD28" s="110">
        <v>0.0</v>
      </c>
      <c r="AE28" s="110">
        <v>0.0</v>
      </c>
      <c r="AF28" s="110">
        <v>0.0</v>
      </c>
      <c r="AG28" s="110">
        <v>0.0</v>
      </c>
      <c r="AH28" s="110">
        <v>0.0</v>
      </c>
      <c r="AI28" s="110">
        <v>0.0</v>
      </c>
      <c r="AJ28" s="110">
        <v>0.0</v>
      </c>
      <c r="AK28" s="110">
        <v>0.0</v>
      </c>
      <c r="AL28" s="110">
        <v>0.0</v>
      </c>
      <c r="AM28" s="110">
        <v>0.0</v>
      </c>
      <c r="AN28" s="109">
        <v>1057.0</v>
      </c>
    </row>
    <row r="29">
      <c r="A29" s="104"/>
      <c r="B29" s="111" t="s">
        <v>201</v>
      </c>
      <c r="C29" s="112">
        <v>114.0</v>
      </c>
      <c r="D29" s="112">
        <v>64.0</v>
      </c>
      <c r="E29" s="112">
        <v>50.0</v>
      </c>
      <c r="F29" s="112">
        <v>21.0</v>
      </c>
      <c r="G29" s="112">
        <v>13.0</v>
      </c>
      <c r="H29" s="112">
        <v>15.0</v>
      </c>
      <c r="I29" s="112">
        <v>5.0</v>
      </c>
      <c r="J29" s="112">
        <v>16.0</v>
      </c>
      <c r="K29" s="112">
        <v>7.0</v>
      </c>
      <c r="L29" s="112">
        <v>6.0</v>
      </c>
      <c r="M29" s="112">
        <v>3.0</v>
      </c>
      <c r="N29" s="112">
        <v>6.0</v>
      </c>
      <c r="O29" s="112">
        <v>4.0</v>
      </c>
      <c r="P29" s="110">
        <v>0.0</v>
      </c>
      <c r="Q29" s="110">
        <v>0.0</v>
      </c>
      <c r="R29" s="110">
        <v>0.0</v>
      </c>
      <c r="S29" s="110">
        <v>0.0</v>
      </c>
      <c r="T29" s="110">
        <v>0.0</v>
      </c>
      <c r="U29" s="110">
        <v>18.0</v>
      </c>
      <c r="V29" s="110">
        <v>0.0</v>
      </c>
      <c r="W29" s="110">
        <v>0.0</v>
      </c>
      <c r="X29" s="110">
        <v>0.0</v>
      </c>
      <c r="Y29" s="110">
        <v>0.0</v>
      </c>
      <c r="Z29" s="110">
        <v>0.0</v>
      </c>
      <c r="AA29" s="110">
        <v>0.0</v>
      </c>
      <c r="AB29" s="110">
        <v>0.0</v>
      </c>
      <c r="AC29" s="110">
        <v>0.0</v>
      </c>
      <c r="AD29" s="110">
        <v>0.0</v>
      </c>
      <c r="AE29" s="110">
        <v>0.0</v>
      </c>
      <c r="AF29" s="110">
        <v>0.0</v>
      </c>
      <c r="AG29" s="110">
        <v>0.0</v>
      </c>
      <c r="AH29" s="110">
        <v>0.0</v>
      </c>
      <c r="AI29" s="110">
        <v>0.0</v>
      </c>
      <c r="AJ29" s="110">
        <v>0.0</v>
      </c>
      <c r="AK29" s="110">
        <v>0.0</v>
      </c>
      <c r="AL29" s="110">
        <v>0.0</v>
      </c>
      <c r="AM29" s="110">
        <v>0.0</v>
      </c>
      <c r="AN29" s="112">
        <v>91.0</v>
      </c>
    </row>
    <row r="30">
      <c r="A30" s="113" t="s">
        <v>209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</row>
    <row r="31">
      <c r="A31" s="107" t="s">
        <v>197</v>
      </c>
      <c r="B31" s="108" t="s">
        <v>198</v>
      </c>
      <c r="C31" s="109">
        <v>17290.0</v>
      </c>
      <c r="D31" s="109">
        <v>6361.0</v>
      </c>
      <c r="E31" s="109">
        <v>10929.0</v>
      </c>
      <c r="F31" s="110">
        <v>0.0</v>
      </c>
      <c r="G31" s="110">
        <v>0.0</v>
      </c>
      <c r="H31" s="110">
        <v>0.0</v>
      </c>
      <c r="I31" s="110">
        <v>0.0</v>
      </c>
      <c r="J31" s="110">
        <v>0.0</v>
      </c>
      <c r="K31" s="110">
        <v>0.0</v>
      </c>
      <c r="L31" s="112">
        <v>5.0</v>
      </c>
      <c r="M31" s="112">
        <v>11.0</v>
      </c>
      <c r="N31" s="112">
        <v>21.0</v>
      </c>
      <c r="O31" s="112">
        <v>24.0</v>
      </c>
      <c r="P31" s="112">
        <v>37.0</v>
      </c>
      <c r="Q31" s="112">
        <v>44.0</v>
      </c>
      <c r="R31" s="112">
        <v>39.0</v>
      </c>
      <c r="S31" s="112">
        <v>76.0</v>
      </c>
      <c r="T31" s="112">
        <v>85.0</v>
      </c>
      <c r="U31" s="112">
        <v>161.0</v>
      </c>
      <c r="V31" s="112">
        <v>122.0</v>
      </c>
      <c r="W31" s="112">
        <v>308.0</v>
      </c>
      <c r="X31" s="112">
        <v>261.0</v>
      </c>
      <c r="Y31" s="112">
        <v>507.0</v>
      </c>
      <c r="Z31" s="112">
        <v>451.0</v>
      </c>
      <c r="AA31" s="109">
        <v>1060.0</v>
      </c>
      <c r="AB31" s="112">
        <v>641.0</v>
      </c>
      <c r="AC31" s="109">
        <v>1249.0</v>
      </c>
      <c r="AD31" s="112">
        <v>841.0</v>
      </c>
      <c r="AE31" s="109">
        <v>1448.0</v>
      </c>
      <c r="AF31" s="112">
        <v>909.0</v>
      </c>
      <c r="AG31" s="109">
        <v>1653.0</v>
      </c>
      <c r="AH31" s="109">
        <v>1222.0</v>
      </c>
      <c r="AI31" s="109">
        <v>1727.0</v>
      </c>
      <c r="AJ31" s="112">
        <v>917.0</v>
      </c>
      <c r="AK31" s="109">
        <v>1255.0</v>
      </c>
      <c r="AL31" s="112">
        <v>810.0</v>
      </c>
      <c r="AM31" s="109">
        <v>1406.0</v>
      </c>
      <c r="AN31" s="109">
        <v>17288.0</v>
      </c>
    </row>
    <row r="32">
      <c r="A32" s="98"/>
      <c r="B32" s="111" t="s">
        <v>199</v>
      </c>
      <c r="C32" s="109">
        <v>17428.0</v>
      </c>
      <c r="D32" s="109">
        <v>6887.0</v>
      </c>
      <c r="E32" s="109">
        <v>10541.0</v>
      </c>
      <c r="F32" s="110">
        <v>0.0</v>
      </c>
      <c r="G32" s="110">
        <v>0.0</v>
      </c>
      <c r="H32" s="110">
        <v>0.0</v>
      </c>
      <c r="I32" s="110">
        <v>0.0</v>
      </c>
      <c r="J32" s="110">
        <v>0.0</v>
      </c>
      <c r="K32" s="110">
        <v>0.0</v>
      </c>
      <c r="L32" s="112">
        <v>6.0</v>
      </c>
      <c r="M32" s="112">
        <v>4.0</v>
      </c>
      <c r="N32" s="112">
        <v>9.0</v>
      </c>
      <c r="O32" s="112">
        <v>30.0</v>
      </c>
      <c r="P32" s="112">
        <v>40.0</v>
      </c>
      <c r="Q32" s="112">
        <v>40.0</v>
      </c>
      <c r="R32" s="112">
        <v>46.0</v>
      </c>
      <c r="S32" s="112">
        <v>81.0</v>
      </c>
      <c r="T32" s="112">
        <v>84.0</v>
      </c>
      <c r="U32" s="112">
        <v>168.0</v>
      </c>
      <c r="V32" s="112">
        <v>182.0</v>
      </c>
      <c r="W32" s="112">
        <v>320.0</v>
      </c>
      <c r="X32" s="112">
        <v>319.0</v>
      </c>
      <c r="Y32" s="112">
        <v>527.0</v>
      </c>
      <c r="Z32" s="112">
        <v>530.0</v>
      </c>
      <c r="AA32" s="109">
        <v>1002.0</v>
      </c>
      <c r="AB32" s="112">
        <v>753.0</v>
      </c>
      <c r="AC32" s="109">
        <v>1247.0</v>
      </c>
      <c r="AD32" s="112">
        <v>925.0</v>
      </c>
      <c r="AE32" s="109">
        <v>1405.0</v>
      </c>
      <c r="AF32" s="112">
        <v>976.0</v>
      </c>
      <c r="AG32" s="109">
        <v>1559.0</v>
      </c>
      <c r="AH32" s="109">
        <v>1268.0</v>
      </c>
      <c r="AI32" s="109">
        <v>1499.0</v>
      </c>
      <c r="AJ32" s="112">
        <v>839.0</v>
      </c>
      <c r="AK32" s="109">
        <v>1172.0</v>
      </c>
      <c r="AL32" s="112">
        <v>910.0</v>
      </c>
      <c r="AM32" s="109">
        <v>1487.0</v>
      </c>
      <c r="AN32" s="109">
        <v>17425.0</v>
      </c>
    </row>
    <row r="33">
      <c r="A33" s="98"/>
      <c r="B33" s="111" t="s">
        <v>200</v>
      </c>
      <c r="C33" s="109">
        <v>9958.0</v>
      </c>
      <c r="D33" s="109">
        <v>3578.0</v>
      </c>
      <c r="E33" s="109">
        <v>6380.0</v>
      </c>
      <c r="F33" s="110">
        <v>0.0</v>
      </c>
      <c r="G33" s="110">
        <v>0.0</v>
      </c>
      <c r="H33" s="110">
        <v>0.0</v>
      </c>
      <c r="I33" s="110">
        <v>0.0</v>
      </c>
      <c r="J33" s="110">
        <v>0.0</v>
      </c>
      <c r="K33" s="110">
        <v>0.0</v>
      </c>
      <c r="L33" s="112">
        <v>4.0</v>
      </c>
      <c r="M33" s="112">
        <v>7.0</v>
      </c>
      <c r="N33" s="112">
        <v>8.0</v>
      </c>
      <c r="O33" s="112">
        <v>13.0</v>
      </c>
      <c r="P33" s="112">
        <v>19.0</v>
      </c>
      <c r="Q33" s="112">
        <v>26.0</v>
      </c>
      <c r="R33" s="112">
        <v>34.0</v>
      </c>
      <c r="S33" s="112">
        <v>48.0</v>
      </c>
      <c r="T33" s="112">
        <v>56.0</v>
      </c>
      <c r="U33" s="112">
        <v>101.0</v>
      </c>
      <c r="V33" s="112">
        <v>88.0</v>
      </c>
      <c r="W33" s="112">
        <v>211.0</v>
      </c>
      <c r="X33" s="112">
        <v>183.0</v>
      </c>
      <c r="Y33" s="112">
        <v>297.0</v>
      </c>
      <c r="Z33" s="112">
        <v>252.0</v>
      </c>
      <c r="AA33" s="112">
        <v>597.0</v>
      </c>
      <c r="AB33" s="112">
        <v>351.0</v>
      </c>
      <c r="AC33" s="112">
        <v>756.0</v>
      </c>
      <c r="AD33" s="112">
        <v>455.0</v>
      </c>
      <c r="AE33" s="112">
        <v>868.0</v>
      </c>
      <c r="AF33" s="112">
        <v>526.0</v>
      </c>
      <c r="AG33" s="112">
        <v>966.0</v>
      </c>
      <c r="AH33" s="112">
        <v>658.0</v>
      </c>
      <c r="AI33" s="112">
        <v>964.0</v>
      </c>
      <c r="AJ33" s="112">
        <v>474.0</v>
      </c>
      <c r="AK33" s="112">
        <v>698.0</v>
      </c>
      <c r="AL33" s="112">
        <v>470.0</v>
      </c>
      <c r="AM33" s="112">
        <v>828.0</v>
      </c>
      <c r="AN33" s="109">
        <v>9957.0</v>
      </c>
    </row>
    <row r="34">
      <c r="A34" s="104"/>
      <c r="B34" s="111" t="s">
        <v>201</v>
      </c>
      <c r="C34" s="112">
        <v>333.0</v>
      </c>
      <c r="D34" s="112">
        <v>149.0</v>
      </c>
      <c r="E34" s="112">
        <v>184.0</v>
      </c>
      <c r="F34" s="110">
        <v>0.0</v>
      </c>
      <c r="G34" s="110">
        <v>0.0</v>
      </c>
      <c r="H34" s="110">
        <v>0.0</v>
      </c>
      <c r="I34" s="110">
        <v>0.0</v>
      </c>
      <c r="J34" s="110">
        <v>0.0</v>
      </c>
      <c r="K34" s="110">
        <v>0.0</v>
      </c>
      <c r="L34" s="112">
        <v>0.0</v>
      </c>
      <c r="M34" s="112">
        <v>0.0</v>
      </c>
      <c r="N34" s="112">
        <v>0.0</v>
      </c>
      <c r="O34" s="112">
        <v>0.0</v>
      </c>
      <c r="P34" s="112">
        <v>4.0</v>
      </c>
      <c r="Q34" s="112">
        <v>3.0</v>
      </c>
      <c r="R34" s="112">
        <v>1.0</v>
      </c>
      <c r="S34" s="112">
        <v>3.0</v>
      </c>
      <c r="T34" s="112">
        <v>1.0</v>
      </c>
      <c r="U34" s="112">
        <v>5.0</v>
      </c>
      <c r="V34" s="112">
        <v>0.0</v>
      </c>
      <c r="W34" s="112">
        <v>6.0</v>
      </c>
      <c r="X34" s="112">
        <v>9.0</v>
      </c>
      <c r="Y34" s="112">
        <v>5.0</v>
      </c>
      <c r="Z34" s="112">
        <v>36.0</v>
      </c>
      <c r="AA34" s="112">
        <v>25.0</v>
      </c>
      <c r="AB34" s="112">
        <v>24.0</v>
      </c>
      <c r="AC34" s="112">
        <v>7.0</v>
      </c>
      <c r="AD34" s="112">
        <v>9.0</v>
      </c>
      <c r="AE34" s="112">
        <v>10.0</v>
      </c>
      <c r="AF34" s="112">
        <v>12.0</v>
      </c>
      <c r="AG34" s="112">
        <v>34.0</v>
      </c>
      <c r="AH34" s="112">
        <v>27.0</v>
      </c>
      <c r="AI34" s="112">
        <v>37.0</v>
      </c>
      <c r="AJ34" s="112">
        <v>14.0</v>
      </c>
      <c r="AK34" s="112">
        <v>18.0</v>
      </c>
      <c r="AL34" s="112">
        <v>12.0</v>
      </c>
      <c r="AM34" s="112">
        <v>31.0</v>
      </c>
      <c r="AN34" s="112">
        <v>327.0</v>
      </c>
    </row>
    <row r="35">
      <c r="A35" s="107" t="s">
        <v>202</v>
      </c>
      <c r="B35" s="111" t="s">
        <v>198</v>
      </c>
      <c r="C35" s="112">
        <v>289.0</v>
      </c>
      <c r="D35" s="112">
        <v>160.0</v>
      </c>
      <c r="E35" s="112">
        <v>129.0</v>
      </c>
      <c r="F35" s="112">
        <v>0.0</v>
      </c>
      <c r="G35" s="112">
        <v>0.0</v>
      </c>
      <c r="H35" s="112">
        <v>0.0</v>
      </c>
      <c r="I35" s="112">
        <v>0.0</v>
      </c>
      <c r="J35" s="112">
        <v>1.0</v>
      </c>
      <c r="K35" s="112">
        <v>0.0</v>
      </c>
      <c r="L35" s="112">
        <v>0.0</v>
      </c>
      <c r="M35" s="112">
        <v>4.0</v>
      </c>
      <c r="N35" s="112">
        <v>7.0</v>
      </c>
      <c r="O35" s="112">
        <v>13.0</v>
      </c>
      <c r="P35" s="112">
        <v>20.0</v>
      </c>
      <c r="Q35" s="112">
        <v>8.0</v>
      </c>
      <c r="R35" s="112">
        <v>11.0</v>
      </c>
      <c r="S35" s="112">
        <v>5.0</v>
      </c>
      <c r="T35" s="112">
        <v>6.0</v>
      </c>
      <c r="U35" s="112">
        <v>3.0</v>
      </c>
      <c r="V35" s="112">
        <v>19.0</v>
      </c>
      <c r="W35" s="112">
        <v>3.0</v>
      </c>
      <c r="X35" s="112">
        <v>11.0</v>
      </c>
      <c r="Y35" s="112">
        <v>8.0</v>
      </c>
      <c r="Z35" s="112">
        <v>13.0</v>
      </c>
      <c r="AA35" s="112">
        <v>15.0</v>
      </c>
      <c r="AB35" s="112">
        <v>16.0</v>
      </c>
      <c r="AC35" s="112">
        <v>7.0</v>
      </c>
      <c r="AD35" s="112">
        <v>21.0</v>
      </c>
      <c r="AE35" s="112">
        <v>2.0</v>
      </c>
      <c r="AF35" s="112">
        <v>1.0</v>
      </c>
      <c r="AG35" s="112">
        <v>25.0</v>
      </c>
      <c r="AH35" s="112">
        <v>9.0</v>
      </c>
      <c r="AI35" s="112">
        <v>26.0</v>
      </c>
      <c r="AJ35" s="112">
        <v>15.0</v>
      </c>
      <c r="AK35" s="112">
        <v>5.0</v>
      </c>
      <c r="AL35" s="112">
        <v>10.0</v>
      </c>
      <c r="AM35" s="112">
        <v>5.0</v>
      </c>
      <c r="AN35" s="112">
        <v>289.0</v>
      </c>
    </row>
    <row r="36">
      <c r="A36" s="104"/>
      <c r="B36" s="111" t="s">
        <v>199</v>
      </c>
      <c r="C36" s="112">
        <v>151.0</v>
      </c>
      <c r="D36" s="112">
        <v>96.0</v>
      </c>
      <c r="E36" s="112">
        <v>55.0</v>
      </c>
      <c r="F36" s="112">
        <v>0.0</v>
      </c>
      <c r="G36" s="112">
        <v>0.0</v>
      </c>
      <c r="H36" s="112">
        <v>1.0</v>
      </c>
      <c r="I36" s="112">
        <v>1.0</v>
      </c>
      <c r="J36" s="112">
        <v>3.0</v>
      </c>
      <c r="K36" s="112">
        <v>0.0</v>
      </c>
      <c r="L36" s="112">
        <v>3.0</v>
      </c>
      <c r="M36" s="112">
        <v>4.0</v>
      </c>
      <c r="N36" s="112">
        <v>13.0</v>
      </c>
      <c r="O36" s="112">
        <v>11.0</v>
      </c>
      <c r="P36" s="112">
        <v>8.0</v>
      </c>
      <c r="Q36" s="112">
        <v>2.0</v>
      </c>
      <c r="R36" s="112">
        <v>9.0</v>
      </c>
      <c r="S36" s="112">
        <v>6.0</v>
      </c>
      <c r="T36" s="112">
        <v>0.0</v>
      </c>
      <c r="U36" s="112">
        <v>3.0</v>
      </c>
      <c r="V36" s="112">
        <v>13.0</v>
      </c>
      <c r="W36" s="112">
        <v>3.0</v>
      </c>
      <c r="X36" s="112">
        <v>4.0</v>
      </c>
      <c r="Y36" s="112">
        <v>2.0</v>
      </c>
      <c r="Z36" s="112">
        <v>4.0</v>
      </c>
      <c r="AA36" s="112">
        <v>4.0</v>
      </c>
      <c r="AB36" s="112">
        <v>19.0</v>
      </c>
      <c r="AC36" s="112">
        <v>3.0</v>
      </c>
      <c r="AD36" s="112">
        <v>3.0</v>
      </c>
      <c r="AE36" s="112">
        <v>0.0</v>
      </c>
      <c r="AF36" s="112">
        <v>0.0</v>
      </c>
      <c r="AG36" s="112">
        <v>2.0</v>
      </c>
      <c r="AH36" s="112">
        <v>9.0</v>
      </c>
      <c r="AI36" s="112">
        <v>12.0</v>
      </c>
      <c r="AJ36" s="112">
        <v>6.0</v>
      </c>
      <c r="AK36" s="112">
        <v>0.0</v>
      </c>
      <c r="AL36" s="112">
        <v>1.0</v>
      </c>
      <c r="AM36" s="112">
        <v>2.0</v>
      </c>
      <c r="AN36" s="112">
        <v>151.0</v>
      </c>
    </row>
    <row r="37">
      <c r="A37" s="107" t="s">
        <v>203</v>
      </c>
      <c r="B37" s="111" t="s">
        <v>198</v>
      </c>
      <c r="C37" s="112">
        <v>120.0</v>
      </c>
      <c r="D37" s="112">
        <v>46.0</v>
      </c>
      <c r="E37" s="112">
        <v>74.0</v>
      </c>
      <c r="F37" s="110">
        <v>0.0</v>
      </c>
      <c r="G37" s="110">
        <v>0.0</v>
      </c>
      <c r="H37" s="110">
        <v>0.0</v>
      </c>
      <c r="I37" s="110">
        <v>0.0</v>
      </c>
      <c r="J37" s="110">
        <v>0.0</v>
      </c>
      <c r="K37" s="110">
        <v>0.0</v>
      </c>
      <c r="L37" s="110">
        <v>0.0</v>
      </c>
      <c r="M37" s="110">
        <v>0.0</v>
      </c>
      <c r="N37" s="110">
        <v>0.0</v>
      </c>
      <c r="O37" s="110">
        <v>0.0</v>
      </c>
      <c r="P37" s="110">
        <v>0.0</v>
      </c>
      <c r="Q37" s="110">
        <v>0.0</v>
      </c>
      <c r="R37" s="110">
        <v>0.0</v>
      </c>
      <c r="S37" s="110">
        <v>0.0</v>
      </c>
      <c r="T37" s="110">
        <v>0.0</v>
      </c>
      <c r="U37" s="110">
        <v>0.0</v>
      </c>
      <c r="V37" s="110">
        <v>0.0</v>
      </c>
      <c r="W37" s="110">
        <v>0.0</v>
      </c>
      <c r="X37" s="110">
        <v>0.0</v>
      </c>
      <c r="Y37" s="110">
        <v>0.0</v>
      </c>
      <c r="Z37" s="110">
        <v>0.0</v>
      </c>
      <c r="AA37" s="110">
        <v>0.0</v>
      </c>
      <c r="AB37" s="110">
        <v>0.0</v>
      </c>
      <c r="AC37" s="110">
        <v>0.0</v>
      </c>
      <c r="AD37" s="110">
        <v>0.0</v>
      </c>
      <c r="AE37" s="110">
        <v>0.0</v>
      </c>
      <c r="AF37" s="112">
        <v>6.0</v>
      </c>
      <c r="AG37" s="112">
        <v>9.0</v>
      </c>
      <c r="AH37" s="112">
        <v>13.0</v>
      </c>
      <c r="AI37" s="112">
        <v>16.0</v>
      </c>
      <c r="AJ37" s="112">
        <v>12.0</v>
      </c>
      <c r="AK37" s="112">
        <v>24.0</v>
      </c>
      <c r="AL37" s="112">
        <v>15.0</v>
      </c>
      <c r="AM37" s="112">
        <v>25.0</v>
      </c>
      <c r="AN37" s="112">
        <v>120.0</v>
      </c>
    </row>
    <row r="38">
      <c r="A38" s="104"/>
      <c r="B38" s="111" t="s">
        <v>199</v>
      </c>
      <c r="C38" s="112">
        <v>318.0</v>
      </c>
      <c r="D38" s="112">
        <v>99.0</v>
      </c>
      <c r="E38" s="112">
        <v>219.0</v>
      </c>
      <c r="F38" s="110">
        <v>0.0</v>
      </c>
      <c r="G38" s="110">
        <v>0.0</v>
      </c>
      <c r="H38" s="110">
        <v>0.0</v>
      </c>
      <c r="I38" s="110">
        <v>0.0</v>
      </c>
      <c r="J38" s="110">
        <v>0.0</v>
      </c>
      <c r="K38" s="110">
        <v>0.0</v>
      </c>
      <c r="L38" s="110">
        <v>0.0</v>
      </c>
      <c r="M38" s="110">
        <v>0.0</v>
      </c>
      <c r="N38" s="110">
        <v>0.0</v>
      </c>
      <c r="O38" s="110">
        <v>0.0</v>
      </c>
      <c r="P38" s="110">
        <v>0.0</v>
      </c>
      <c r="Q38" s="110">
        <v>0.0</v>
      </c>
      <c r="R38" s="110">
        <v>0.0</v>
      </c>
      <c r="S38" s="110">
        <v>0.0</v>
      </c>
      <c r="T38" s="110">
        <v>0.0</v>
      </c>
      <c r="U38" s="110">
        <v>0.0</v>
      </c>
      <c r="V38" s="110">
        <v>0.0</v>
      </c>
      <c r="W38" s="110">
        <v>0.0</v>
      </c>
      <c r="X38" s="110">
        <v>0.0</v>
      </c>
      <c r="Y38" s="110">
        <v>0.0</v>
      </c>
      <c r="Z38" s="110">
        <v>0.0</v>
      </c>
      <c r="AA38" s="110">
        <v>0.0</v>
      </c>
      <c r="AB38" s="110">
        <v>0.0</v>
      </c>
      <c r="AC38" s="110">
        <v>0.0</v>
      </c>
      <c r="AD38" s="110">
        <v>0.0</v>
      </c>
      <c r="AE38" s="110">
        <v>0.0</v>
      </c>
      <c r="AF38" s="112">
        <v>10.0</v>
      </c>
      <c r="AG38" s="112">
        <v>68.0</v>
      </c>
      <c r="AH38" s="112">
        <v>44.0</v>
      </c>
      <c r="AI38" s="112">
        <v>59.0</v>
      </c>
      <c r="AJ38" s="112">
        <v>30.0</v>
      </c>
      <c r="AK38" s="112">
        <v>69.0</v>
      </c>
      <c r="AL38" s="112">
        <v>15.0</v>
      </c>
      <c r="AM38" s="112">
        <v>23.0</v>
      </c>
      <c r="AN38" s="112">
        <v>317.0</v>
      </c>
    </row>
    <row r="39">
      <c r="A39" s="107" t="s">
        <v>204</v>
      </c>
      <c r="B39" s="111" t="s">
        <v>198</v>
      </c>
      <c r="C39" s="112">
        <v>108.0</v>
      </c>
      <c r="D39" s="112">
        <v>41.0</v>
      </c>
      <c r="E39" s="112">
        <v>67.0</v>
      </c>
      <c r="F39" s="110">
        <v>0.0</v>
      </c>
      <c r="G39" s="110">
        <v>0.0</v>
      </c>
      <c r="H39" s="110">
        <v>0.0</v>
      </c>
      <c r="I39" s="110">
        <v>0.0</v>
      </c>
      <c r="J39" s="110">
        <v>0.0</v>
      </c>
      <c r="K39" s="110">
        <v>0.0</v>
      </c>
      <c r="L39" s="110">
        <v>0.0</v>
      </c>
      <c r="M39" s="110">
        <v>0.0</v>
      </c>
      <c r="N39" s="110">
        <v>0.0</v>
      </c>
      <c r="O39" s="110">
        <v>0.0</v>
      </c>
      <c r="P39" s="110">
        <v>0.0</v>
      </c>
      <c r="Q39" s="110">
        <v>0.0</v>
      </c>
      <c r="R39" s="110">
        <v>0.0</v>
      </c>
      <c r="S39" s="110">
        <v>0.0</v>
      </c>
      <c r="T39" s="110">
        <v>0.0</v>
      </c>
      <c r="U39" s="110">
        <v>0.0</v>
      </c>
      <c r="V39" s="110">
        <v>0.0</v>
      </c>
      <c r="W39" s="110">
        <v>0.0</v>
      </c>
      <c r="X39" s="110">
        <v>0.0</v>
      </c>
      <c r="Y39" s="110">
        <v>0.0</v>
      </c>
      <c r="Z39" s="110">
        <v>0.0</v>
      </c>
      <c r="AA39" s="110">
        <v>0.0</v>
      </c>
      <c r="AB39" s="110">
        <v>0.0</v>
      </c>
      <c r="AC39" s="110">
        <v>0.0</v>
      </c>
      <c r="AD39" s="110">
        <v>0.0</v>
      </c>
      <c r="AE39" s="110">
        <v>0.0</v>
      </c>
      <c r="AF39" s="112">
        <v>5.0</v>
      </c>
      <c r="AG39" s="112">
        <v>10.0</v>
      </c>
      <c r="AH39" s="112">
        <v>9.0</v>
      </c>
      <c r="AI39" s="112">
        <v>14.0</v>
      </c>
      <c r="AJ39" s="112">
        <v>7.0</v>
      </c>
      <c r="AK39" s="112">
        <v>15.0</v>
      </c>
      <c r="AL39" s="112">
        <v>20.0</v>
      </c>
      <c r="AM39" s="112">
        <v>28.0</v>
      </c>
      <c r="AN39" s="112">
        <v>108.0</v>
      </c>
    </row>
    <row r="40">
      <c r="A40" s="104"/>
      <c r="B40" s="111" t="s">
        <v>199</v>
      </c>
      <c r="C40" s="112">
        <v>229.0</v>
      </c>
      <c r="D40" s="112">
        <v>70.0</v>
      </c>
      <c r="E40" s="112">
        <v>159.0</v>
      </c>
      <c r="F40" s="110">
        <v>0.0</v>
      </c>
      <c r="G40" s="110">
        <v>0.0</v>
      </c>
      <c r="H40" s="110">
        <v>0.0</v>
      </c>
      <c r="I40" s="110">
        <v>0.0</v>
      </c>
      <c r="J40" s="110">
        <v>0.0</v>
      </c>
      <c r="K40" s="110">
        <v>0.0</v>
      </c>
      <c r="L40" s="110">
        <v>0.0</v>
      </c>
      <c r="M40" s="110">
        <v>0.0</v>
      </c>
      <c r="N40" s="110">
        <v>0.0</v>
      </c>
      <c r="O40" s="110">
        <v>0.0</v>
      </c>
      <c r="P40" s="110">
        <v>0.0</v>
      </c>
      <c r="Q40" s="110">
        <v>0.0</v>
      </c>
      <c r="R40" s="110">
        <v>0.0</v>
      </c>
      <c r="S40" s="110">
        <v>0.0</v>
      </c>
      <c r="T40" s="110">
        <v>0.0</v>
      </c>
      <c r="U40" s="110">
        <v>0.0</v>
      </c>
      <c r="V40" s="110">
        <v>0.0</v>
      </c>
      <c r="W40" s="110">
        <v>0.0</v>
      </c>
      <c r="X40" s="110">
        <v>0.0</v>
      </c>
      <c r="Y40" s="110">
        <v>0.0</v>
      </c>
      <c r="Z40" s="110">
        <v>0.0</v>
      </c>
      <c r="AA40" s="110">
        <v>0.0</v>
      </c>
      <c r="AB40" s="110">
        <v>0.0</v>
      </c>
      <c r="AC40" s="110">
        <v>0.0</v>
      </c>
      <c r="AD40" s="110">
        <v>0.0</v>
      </c>
      <c r="AE40" s="110">
        <v>0.0</v>
      </c>
      <c r="AF40" s="112">
        <v>8.0</v>
      </c>
      <c r="AG40" s="112">
        <v>16.0</v>
      </c>
      <c r="AH40" s="112">
        <v>15.0</v>
      </c>
      <c r="AI40" s="112">
        <v>40.0</v>
      </c>
      <c r="AJ40" s="112">
        <v>18.0</v>
      </c>
      <c r="AK40" s="112">
        <v>42.0</v>
      </c>
      <c r="AL40" s="112">
        <v>29.0</v>
      </c>
      <c r="AM40" s="112">
        <v>61.0</v>
      </c>
      <c r="AN40" s="112">
        <v>225.0</v>
      </c>
    </row>
    <row r="41">
      <c r="A41" s="107" t="s">
        <v>205</v>
      </c>
      <c r="B41" s="111" t="s">
        <v>198</v>
      </c>
      <c r="C41" s="112">
        <v>5.0</v>
      </c>
      <c r="D41" s="112">
        <v>2.0</v>
      </c>
      <c r="E41" s="112">
        <v>3.0</v>
      </c>
      <c r="F41" s="112">
        <v>0.0</v>
      </c>
      <c r="G41" s="112">
        <v>0.0</v>
      </c>
      <c r="H41" s="112">
        <v>0.0</v>
      </c>
      <c r="I41" s="112">
        <v>0.0</v>
      </c>
      <c r="J41" s="112">
        <v>0.0</v>
      </c>
      <c r="K41" s="112">
        <v>0.0</v>
      </c>
      <c r="L41" s="112">
        <v>0.0</v>
      </c>
      <c r="M41" s="112">
        <v>0.0</v>
      </c>
      <c r="N41" s="112">
        <v>0.0</v>
      </c>
      <c r="O41" s="112">
        <v>0.0</v>
      </c>
      <c r="P41" s="112">
        <v>0.0</v>
      </c>
      <c r="Q41" s="112">
        <v>0.0</v>
      </c>
      <c r="R41" s="112">
        <v>0.0</v>
      </c>
      <c r="S41" s="112">
        <v>1.0</v>
      </c>
      <c r="T41" s="112">
        <v>0.0</v>
      </c>
      <c r="U41" s="112">
        <v>0.0</v>
      </c>
      <c r="V41" s="112">
        <v>0.0</v>
      </c>
      <c r="W41" s="112">
        <v>0.0</v>
      </c>
      <c r="X41" s="112">
        <v>0.0</v>
      </c>
      <c r="Y41" s="112">
        <v>0.0</v>
      </c>
      <c r="Z41" s="112">
        <v>0.0</v>
      </c>
      <c r="AA41" s="112">
        <v>0.0</v>
      </c>
      <c r="AB41" s="112">
        <v>0.0</v>
      </c>
      <c r="AC41" s="112">
        <v>1.0</v>
      </c>
      <c r="AD41" s="112">
        <v>2.0</v>
      </c>
      <c r="AE41" s="112">
        <v>0.0</v>
      </c>
      <c r="AF41" s="112">
        <v>0.0</v>
      </c>
      <c r="AG41" s="112">
        <v>0.0</v>
      </c>
      <c r="AH41" s="112">
        <v>0.0</v>
      </c>
      <c r="AI41" s="112">
        <v>1.0</v>
      </c>
      <c r="AJ41" s="112">
        <v>0.0</v>
      </c>
      <c r="AK41" s="112">
        <v>0.0</v>
      </c>
      <c r="AL41" s="112">
        <v>0.0</v>
      </c>
      <c r="AM41" s="112">
        <v>0.0</v>
      </c>
      <c r="AN41" s="112">
        <v>5.0</v>
      </c>
    </row>
    <row r="42">
      <c r="A42" s="98"/>
      <c r="B42" s="111" t="s">
        <v>199</v>
      </c>
      <c r="C42" s="112">
        <v>0.0</v>
      </c>
      <c r="D42" s="112">
        <v>0.0</v>
      </c>
      <c r="E42" s="112">
        <v>0.0</v>
      </c>
      <c r="F42" s="112">
        <v>0.0</v>
      </c>
      <c r="G42" s="112">
        <v>0.0</v>
      </c>
      <c r="H42" s="112">
        <v>0.0</v>
      </c>
      <c r="I42" s="112">
        <v>0.0</v>
      </c>
      <c r="J42" s="112">
        <v>0.0</v>
      </c>
      <c r="K42" s="112">
        <v>0.0</v>
      </c>
      <c r="L42" s="112">
        <v>0.0</v>
      </c>
      <c r="M42" s="112">
        <v>0.0</v>
      </c>
      <c r="N42" s="112">
        <v>0.0</v>
      </c>
      <c r="O42" s="112">
        <v>0.0</v>
      </c>
      <c r="P42" s="112">
        <v>0.0</v>
      </c>
      <c r="Q42" s="112">
        <v>0.0</v>
      </c>
      <c r="R42" s="112">
        <v>0.0</v>
      </c>
      <c r="S42" s="112">
        <v>0.0</v>
      </c>
      <c r="T42" s="112">
        <v>0.0</v>
      </c>
      <c r="U42" s="112">
        <v>0.0</v>
      </c>
      <c r="V42" s="112">
        <v>0.0</v>
      </c>
      <c r="W42" s="112">
        <v>0.0</v>
      </c>
      <c r="X42" s="112">
        <v>0.0</v>
      </c>
      <c r="Y42" s="112">
        <v>0.0</v>
      </c>
      <c r="Z42" s="112">
        <v>0.0</v>
      </c>
      <c r="AA42" s="112">
        <v>0.0</v>
      </c>
      <c r="AB42" s="112">
        <v>0.0</v>
      </c>
      <c r="AC42" s="112">
        <v>0.0</v>
      </c>
      <c r="AD42" s="112">
        <v>0.0</v>
      </c>
      <c r="AE42" s="112">
        <v>0.0</v>
      </c>
      <c r="AF42" s="112">
        <v>0.0</v>
      </c>
      <c r="AG42" s="112">
        <v>0.0</v>
      </c>
      <c r="AH42" s="112">
        <v>0.0</v>
      </c>
      <c r="AI42" s="112">
        <v>0.0</v>
      </c>
      <c r="AJ42" s="112">
        <v>0.0</v>
      </c>
      <c r="AK42" s="112">
        <v>0.0</v>
      </c>
      <c r="AL42" s="112">
        <v>0.0</v>
      </c>
      <c r="AM42" s="112">
        <v>0.0</v>
      </c>
      <c r="AN42" s="112">
        <v>0.0</v>
      </c>
    </row>
    <row r="43">
      <c r="A43" s="104"/>
      <c r="B43" s="111" t="s">
        <v>206</v>
      </c>
      <c r="C43" s="112">
        <v>1.0</v>
      </c>
      <c r="D43" s="112">
        <v>0.0</v>
      </c>
      <c r="E43" s="112">
        <v>1.0</v>
      </c>
      <c r="F43" s="112">
        <v>0.0</v>
      </c>
      <c r="G43" s="112">
        <v>0.0</v>
      </c>
      <c r="H43" s="112">
        <v>0.0</v>
      </c>
      <c r="I43" s="112">
        <v>0.0</v>
      </c>
      <c r="J43" s="112">
        <v>0.0</v>
      </c>
      <c r="K43" s="112">
        <v>0.0</v>
      </c>
      <c r="L43" s="112">
        <v>0.0</v>
      </c>
      <c r="M43" s="112">
        <v>0.0</v>
      </c>
      <c r="N43" s="112">
        <v>0.0</v>
      </c>
      <c r="O43" s="112">
        <v>0.0</v>
      </c>
      <c r="P43" s="112">
        <v>0.0</v>
      </c>
      <c r="Q43" s="112">
        <v>0.0</v>
      </c>
      <c r="R43" s="112">
        <v>0.0</v>
      </c>
      <c r="S43" s="112">
        <v>0.0</v>
      </c>
      <c r="T43" s="112">
        <v>0.0</v>
      </c>
      <c r="U43" s="112">
        <v>0.0</v>
      </c>
      <c r="V43" s="112">
        <v>0.0</v>
      </c>
      <c r="W43" s="112">
        <v>0.0</v>
      </c>
      <c r="X43" s="112">
        <v>0.0</v>
      </c>
      <c r="Y43" s="112">
        <v>1.0</v>
      </c>
      <c r="Z43" s="112">
        <v>0.0</v>
      </c>
      <c r="AA43" s="112">
        <v>0.0</v>
      </c>
      <c r="AB43" s="112">
        <v>0.0</v>
      </c>
      <c r="AC43" s="112">
        <v>0.0</v>
      </c>
      <c r="AD43" s="112">
        <v>0.0</v>
      </c>
      <c r="AE43" s="112">
        <v>0.0</v>
      </c>
      <c r="AF43" s="112">
        <v>0.0</v>
      </c>
      <c r="AG43" s="112">
        <v>0.0</v>
      </c>
      <c r="AH43" s="112">
        <v>0.0</v>
      </c>
      <c r="AI43" s="112">
        <v>0.0</v>
      </c>
      <c r="AJ43" s="112">
        <v>0.0</v>
      </c>
      <c r="AK43" s="112">
        <v>0.0</v>
      </c>
      <c r="AL43" s="112">
        <v>0.0</v>
      </c>
      <c r="AM43" s="112">
        <v>0.0</v>
      </c>
      <c r="AN43" s="112">
        <v>1.0</v>
      </c>
    </row>
    <row r="44">
      <c r="A44" s="107" t="s">
        <v>207</v>
      </c>
      <c r="B44" s="111" t="s">
        <v>198</v>
      </c>
      <c r="C44" s="109">
        <v>17259.0</v>
      </c>
      <c r="D44" s="109">
        <v>5070.0</v>
      </c>
      <c r="E44" s="109">
        <v>12189.0</v>
      </c>
      <c r="F44" s="112">
        <v>2.0</v>
      </c>
      <c r="G44" s="112">
        <v>10.0</v>
      </c>
      <c r="H44" s="112">
        <v>225.0</v>
      </c>
      <c r="I44" s="112">
        <v>284.0</v>
      </c>
      <c r="J44" s="112">
        <v>397.0</v>
      </c>
      <c r="K44" s="112">
        <v>369.0</v>
      </c>
      <c r="L44" s="112">
        <v>335.0</v>
      </c>
      <c r="M44" s="112">
        <v>418.0</v>
      </c>
      <c r="N44" s="112">
        <v>277.0</v>
      </c>
      <c r="O44" s="112">
        <v>374.0</v>
      </c>
      <c r="P44" s="112">
        <v>199.0</v>
      </c>
      <c r="Q44" s="112">
        <v>450.0</v>
      </c>
      <c r="R44" s="112">
        <v>219.0</v>
      </c>
      <c r="S44" s="112">
        <v>474.0</v>
      </c>
      <c r="T44" s="112">
        <v>173.0</v>
      </c>
      <c r="U44" s="112">
        <v>547.0</v>
      </c>
      <c r="V44" s="112">
        <v>146.0</v>
      </c>
      <c r="W44" s="112">
        <v>507.0</v>
      </c>
      <c r="X44" s="112">
        <v>189.0</v>
      </c>
      <c r="Y44" s="112">
        <v>753.0</v>
      </c>
      <c r="Z44" s="112">
        <v>304.0</v>
      </c>
      <c r="AA44" s="109">
        <v>1092.0</v>
      </c>
      <c r="AB44" s="112">
        <v>401.0</v>
      </c>
      <c r="AC44" s="109">
        <v>1290.0</v>
      </c>
      <c r="AD44" s="112">
        <v>533.0</v>
      </c>
      <c r="AE44" s="109">
        <v>1407.0</v>
      </c>
      <c r="AF44" s="112">
        <v>455.0</v>
      </c>
      <c r="AG44" s="109">
        <v>1270.0</v>
      </c>
      <c r="AH44" s="112">
        <v>490.0</v>
      </c>
      <c r="AI44" s="109">
        <v>1236.0</v>
      </c>
      <c r="AJ44" s="112">
        <v>381.0</v>
      </c>
      <c r="AK44" s="112">
        <v>806.0</v>
      </c>
      <c r="AL44" s="112">
        <v>344.0</v>
      </c>
      <c r="AM44" s="112">
        <v>902.0</v>
      </c>
      <c r="AN44" s="109">
        <v>17255.0</v>
      </c>
    </row>
    <row r="45">
      <c r="A45" s="98"/>
      <c r="B45" s="111" t="s">
        <v>199</v>
      </c>
      <c r="C45" s="109">
        <v>3358.0</v>
      </c>
      <c r="D45" s="109">
        <v>1331.0</v>
      </c>
      <c r="E45" s="109">
        <v>2027.0</v>
      </c>
      <c r="F45" s="112">
        <v>0.0</v>
      </c>
      <c r="G45" s="112">
        <v>1.0</v>
      </c>
      <c r="H45" s="112">
        <v>76.0</v>
      </c>
      <c r="I45" s="112">
        <v>109.0</v>
      </c>
      <c r="J45" s="112">
        <v>163.0</v>
      </c>
      <c r="K45" s="112">
        <v>174.0</v>
      </c>
      <c r="L45" s="112">
        <v>154.0</v>
      </c>
      <c r="M45" s="112">
        <v>159.0</v>
      </c>
      <c r="N45" s="112">
        <v>107.0</v>
      </c>
      <c r="O45" s="112">
        <v>125.0</v>
      </c>
      <c r="P45" s="112">
        <v>73.0</v>
      </c>
      <c r="Q45" s="112">
        <v>128.0</v>
      </c>
      <c r="R45" s="112">
        <v>88.0</v>
      </c>
      <c r="S45" s="112">
        <v>152.0</v>
      </c>
      <c r="T45" s="112">
        <v>59.0</v>
      </c>
      <c r="U45" s="112">
        <v>136.0</v>
      </c>
      <c r="V45" s="112">
        <v>42.0</v>
      </c>
      <c r="W45" s="112">
        <v>72.0</v>
      </c>
      <c r="X45" s="112">
        <v>55.0</v>
      </c>
      <c r="Y45" s="112">
        <v>102.0</v>
      </c>
      <c r="Z45" s="112">
        <v>64.0</v>
      </c>
      <c r="AA45" s="112">
        <v>227.0</v>
      </c>
      <c r="AB45" s="112">
        <v>105.0</v>
      </c>
      <c r="AC45" s="112">
        <v>213.0</v>
      </c>
      <c r="AD45" s="112">
        <v>139.0</v>
      </c>
      <c r="AE45" s="112">
        <v>169.0</v>
      </c>
      <c r="AF45" s="112">
        <v>97.0</v>
      </c>
      <c r="AG45" s="112">
        <v>100.0</v>
      </c>
      <c r="AH45" s="112">
        <v>62.0</v>
      </c>
      <c r="AI45" s="112">
        <v>82.0</v>
      </c>
      <c r="AJ45" s="112">
        <v>38.0</v>
      </c>
      <c r="AK45" s="112">
        <v>48.0</v>
      </c>
      <c r="AL45" s="112">
        <v>9.0</v>
      </c>
      <c r="AM45" s="112">
        <v>30.0</v>
      </c>
      <c r="AN45" s="109">
        <v>3358.0</v>
      </c>
    </row>
    <row r="46">
      <c r="A46" s="98"/>
      <c r="B46" s="111" t="s">
        <v>206</v>
      </c>
      <c r="C46" s="112">
        <v>14.0</v>
      </c>
      <c r="D46" s="112">
        <v>4.0</v>
      </c>
      <c r="E46" s="112">
        <v>10.0</v>
      </c>
      <c r="F46" s="112">
        <v>2.0</v>
      </c>
      <c r="G46" s="112">
        <v>0.0</v>
      </c>
      <c r="H46" s="112">
        <v>0.0</v>
      </c>
      <c r="I46" s="112">
        <v>0.0</v>
      </c>
      <c r="J46" s="112">
        <v>0.0</v>
      </c>
      <c r="K46" s="112">
        <v>0.0</v>
      </c>
      <c r="L46" s="112">
        <v>0.0</v>
      </c>
      <c r="M46" s="112">
        <v>0.0</v>
      </c>
      <c r="N46" s="112">
        <v>0.0</v>
      </c>
      <c r="O46" s="112">
        <v>0.0</v>
      </c>
      <c r="P46" s="112">
        <v>0.0</v>
      </c>
      <c r="Q46" s="112">
        <v>1.0</v>
      </c>
      <c r="R46" s="112">
        <v>0.0</v>
      </c>
      <c r="S46" s="112">
        <v>1.0</v>
      </c>
      <c r="T46" s="112">
        <v>0.0</v>
      </c>
      <c r="U46" s="112">
        <v>1.0</v>
      </c>
      <c r="V46" s="112">
        <v>0.0</v>
      </c>
      <c r="W46" s="112">
        <v>1.0</v>
      </c>
      <c r="X46" s="112">
        <v>0.0</v>
      </c>
      <c r="Y46" s="112">
        <v>0.0</v>
      </c>
      <c r="Z46" s="112">
        <v>0.0</v>
      </c>
      <c r="AA46" s="112">
        <v>0.0</v>
      </c>
      <c r="AB46" s="112">
        <v>0.0</v>
      </c>
      <c r="AC46" s="112">
        <v>0.0</v>
      </c>
      <c r="AD46" s="112">
        <v>0.0</v>
      </c>
      <c r="AE46" s="112">
        <v>0.0</v>
      </c>
      <c r="AF46" s="112">
        <v>0.0</v>
      </c>
      <c r="AG46" s="112">
        <v>0.0</v>
      </c>
      <c r="AH46" s="112">
        <v>0.0</v>
      </c>
      <c r="AI46" s="112">
        <v>0.0</v>
      </c>
      <c r="AJ46" s="112">
        <v>1.0</v>
      </c>
      <c r="AK46" s="112">
        <v>2.0</v>
      </c>
      <c r="AL46" s="112">
        <v>1.0</v>
      </c>
      <c r="AM46" s="112">
        <v>4.0</v>
      </c>
      <c r="AN46" s="112">
        <v>13.0</v>
      </c>
    </row>
    <row r="47">
      <c r="A47" s="98"/>
      <c r="B47" s="111" t="s">
        <v>200</v>
      </c>
      <c r="C47" s="109">
        <v>8733.0</v>
      </c>
      <c r="D47" s="109">
        <v>3628.0</v>
      </c>
      <c r="E47" s="109">
        <v>5105.0</v>
      </c>
      <c r="F47" s="109">
        <v>2237.0</v>
      </c>
      <c r="G47" s="109">
        <v>2095.0</v>
      </c>
      <c r="H47" s="112">
        <v>460.0</v>
      </c>
      <c r="I47" s="112">
        <v>505.0</v>
      </c>
      <c r="J47" s="112">
        <v>274.0</v>
      </c>
      <c r="K47" s="112">
        <v>303.0</v>
      </c>
      <c r="L47" s="112">
        <v>108.0</v>
      </c>
      <c r="M47" s="112">
        <v>455.0</v>
      </c>
      <c r="N47" s="112">
        <v>36.0</v>
      </c>
      <c r="O47" s="112">
        <v>187.0</v>
      </c>
      <c r="P47" s="112">
        <v>40.0</v>
      </c>
      <c r="Q47" s="112">
        <v>199.0</v>
      </c>
      <c r="R47" s="112">
        <v>35.0</v>
      </c>
      <c r="S47" s="112">
        <v>170.0</v>
      </c>
      <c r="T47" s="112">
        <v>29.0</v>
      </c>
      <c r="U47" s="112">
        <v>139.0</v>
      </c>
      <c r="V47" s="112">
        <v>34.0</v>
      </c>
      <c r="W47" s="112">
        <v>165.0</v>
      </c>
      <c r="X47" s="112">
        <v>24.0</v>
      </c>
      <c r="Y47" s="112">
        <v>154.0</v>
      </c>
      <c r="Z47" s="112">
        <v>33.0</v>
      </c>
      <c r="AA47" s="112">
        <v>170.0</v>
      </c>
      <c r="AB47" s="112">
        <v>43.0</v>
      </c>
      <c r="AC47" s="112">
        <v>126.0</v>
      </c>
      <c r="AD47" s="112">
        <v>39.0</v>
      </c>
      <c r="AE47" s="112">
        <v>95.0</v>
      </c>
      <c r="AF47" s="112">
        <v>53.0</v>
      </c>
      <c r="AG47" s="112">
        <v>115.0</v>
      </c>
      <c r="AH47" s="112">
        <v>76.0</v>
      </c>
      <c r="AI47" s="112">
        <v>85.0</v>
      </c>
      <c r="AJ47" s="112">
        <v>52.0</v>
      </c>
      <c r="AK47" s="112">
        <v>54.0</v>
      </c>
      <c r="AL47" s="112">
        <v>55.0</v>
      </c>
      <c r="AM47" s="112">
        <v>88.0</v>
      </c>
      <c r="AN47" s="109">
        <v>8733.0</v>
      </c>
    </row>
    <row r="48">
      <c r="A48" s="104"/>
      <c r="B48" s="111" t="s">
        <v>201</v>
      </c>
      <c r="C48" s="112">
        <v>0.0</v>
      </c>
      <c r="D48" s="112">
        <v>0.0</v>
      </c>
      <c r="E48" s="112">
        <v>0.0</v>
      </c>
      <c r="F48" s="112">
        <v>0.0</v>
      </c>
      <c r="G48" s="112">
        <v>0.0</v>
      </c>
      <c r="H48" s="112">
        <v>0.0</v>
      </c>
      <c r="I48" s="112">
        <v>0.0</v>
      </c>
      <c r="J48" s="112">
        <v>0.0</v>
      </c>
      <c r="K48" s="112">
        <v>0.0</v>
      </c>
      <c r="L48" s="112">
        <v>0.0</v>
      </c>
      <c r="M48" s="112">
        <v>0.0</v>
      </c>
      <c r="N48" s="112">
        <v>0.0</v>
      </c>
      <c r="O48" s="112">
        <v>0.0</v>
      </c>
      <c r="P48" s="112">
        <v>0.0</v>
      </c>
      <c r="Q48" s="112">
        <v>0.0</v>
      </c>
      <c r="R48" s="112">
        <v>0.0</v>
      </c>
      <c r="S48" s="112">
        <v>0.0</v>
      </c>
      <c r="T48" s="112">
        <v>0.0</v>
      </c>
      <c r="U48" s="112">
        <v>0.0</v>
      </c>
      <c r="V48" s="112">
        <v>0.0</v>
      </c>
      <c r="W48" s="112">
        <v>0.0</v>
      </c>
      <c r="X48" s="112">
        <v>0.0</v>
      </c>
      <c r="Y48" s="112">
        <v>0.0</v>
      </c>
      <c r="Z48" s="112">
        <v>0.0</v>
      </c>
      <c r="AA48" s="112">
        <v>0.0</v>
      </c>
      <c r="AB48" s="112">
        <v>0.0</v>
      </c>
      <c r="AC48" s="112">
        <v>0.0</v>
      </c>
      <c r="AD48" s="112">
        <v>0.0</v>
      </c>
      <c r="AE48" s="112">
        <v>0.0</v>
      </c>
      <c r="AF48" s="112">
        <v>0.0</v>
      </c>
      <c r="AG48" s="112">
        <v>0.0</v>
      </c>
      <c r="AH48" s="112">
        <v>0.0</v>
      </c>
      <c r="AI48" s="112">
        <v>0.0</v>
      </c>
      <c r="AJ48" s="112">
        <v>0.0</v>
      </c>
      <c r="AK48" s="112">
        <v>0.0</v>
      </c>
      <c r="AL48" s="112">
        <v>0.0</v>
      </c>
      <c r="AM48" s="112">
        <v>0.0</v>
      </c>
      <c r="AN48" s="112">
        <v>0.0</v>
      </c>
    </row>
    <row r="49">
      <c r="A49" s="107" t="s">
        <v>208</v>
      </c>
      <c r="B49" s="111" t="s">
        <v>198</v>
      </c>
      <c r="C49" s="112">
        <v>51.0</v>
      </c>
      <c r="D49" s="112">
        <v>32.0</v>
      </c>
      <c r="E49" s="112">
        <v>19.0</v>
      </c>
      <c r="F49" s="112">
        <v>32.0</v>
      </c>
      <c r="G49" s="112">
        <v>19.0</v>
      </c>
      <c r="H49" s="112">
        <v>0.0</v>
      </c>
      <c r="I49" s="112">
        <v>0.0</v>
      </c>
      <c r="J49" s="112">
        <v>0.0</v>
      </c>
      <c r="K49" s="112">
        <v>0.0</v>
      </c>
      <c r="L49" s="112">
        <v>0.0</v>
      </c>
      <c r="M49" s="112">
        <v>0.0</v>
      </c>
      <c r="N49" s="112">
        <v>0.0</v>
      </c>
      <c r="O49" s="112">
        <v>0.0</v>
      </c>
      <c r="P49" s="110">
        <v>0.0</v>
      </c>
      <c r="Q49" s="110">
        <v>0.0</v>
      </c>
      <c r="R49" s="110">
        <v>0.0</v>
      </c>
      <c r="S49" s="110">
        <v>0.0</v>
      </c>
      <c r="T49" s="110">
        <v>0.0</v>
      </c>
      <c r="U49" s="110">
        <v>0.0</v>
      </c>
      <c r="V49" s="110">
        <v>0.0</v>
      </c>
      <c r="W49" s="110">
        <v>0.0</v>
      </c>
      <c r="X49" s="110">
        <v>0.0</v>
      </c>
      <c r="Y49" s="110">
        <v>0.0</v>
      </c>
      <c r="Z49" s="110">
        <v>0.0</v>
      </c>
      <c r="AA49" s="110">
        <v>0.0</v>
      </c>
      <c r="AB49" s="110">
        <v>0.0</v>
      </c>
      <c r="AC49" s="110">
        <v>0.0</v>
      </c>
      <c r="AD49" s="110">
        <v>0.0</v>
      </c>
      <c r="AE49" s="110">
        <v>0.0</v>
      </c>
      <c r="AF49" s="110">
        <v>0.0</v>
      </c>
      <c r="AG49" s="110">
        <v>0.0</v>
      </c>
      <c r="AH49" s="110">
        <v>0.0</v>
      </c>
      <c r="AI49" s="110">
        <v>0.0</v>
      </c>
      <c r="AJ49" s="110">
        <v>0.0</v>
      </c>
      <c r="AK49" s="110">
        <v>0.0</v>
      </c>
      <c r="AL49" s="110">
        <v>0.0</v>
      </c>
      <c r="AM49" s="110">
        <v>0.0</v>
      </c>
      <c r="AN49" s="112">
        <v>51.0</v>
      </c>
    </row>
    <row r="50">
      <c r="A50" s="98"/>
      <c r="B50" s="111" t="s">
        <v>199</v>
      </c>
      <c r="C50" s="112">
        <v>138.0</v>
      </c>
      <c r="D50" s="112">
        <v>79.0</v>
      </c>
      <c r="E50" s="112">
        <v>59.0</v>
      </c>
      <c r="F50" s="112">
        <v>73.0</v>
      </c>
      <c r="G50" s="112">
        <v>55.0</v>
      </c>
      <c r="H50" s="112">
        <v>6.0</v>
      </c>
      <c r="I50" s="112">
        <v>4.0</v>
      </c>
      <c r="J50" s="112">
        <v>0.0</v>
      </c>
      <c r="K50" s="112">
        <v>0.0</v>
      </c>
      <c r="L50" s="112">
        <v>0.0</v>
      </c>
      <c r="M50" s="112">
        <v>0.0</v>
      </c>
      <c r="N50" s="112">
        <v>0.0</v>
      </c>
      <c r="O50" s="112">
        <v>0.0</v>
      </c>
      <c r="P50" s="110">
        <v>0.0</v>
      </c>
      <c r="Q50" s="110">
        <v>0.0</v>
      </c>
      <c r="R50" s="110">
        <v>0.0</v>
      </c>
      <c r="S50" s="110">
        <v>0.0</v>
      </c>
      <c r="T50" s="110">
        <v>0.0</v>
      </c>
      <c r="U50" s="110">
        <v>0.0</v>
      </c>
      <c r="V50" s="110">
        <v>0.0</v>
      </c>
      <c r="W50" s="110">
        <v>0.0</v>
      </c>
      <c r="X50" s="110">
        <v>0.0</v>
      </c>
      <c r="Y50" s="110">
        <v>0.0</v>
      </c>
      <c r="Z50" s="110">
        <v>0.0</v>
      </c>
      <c r="AA50" s="110">
        <v>0.0</v>
      </c>
      <c r="AB50" s="110">
        <v>0.0</v>
      </c>
      <c r="AC50" s="110">
        <v>0.0</v>
      </c>
      <c r="AD50" s="110">
        <v>0.0</v>
      </c>
      <c r="AE50" s="110">
        <v>0.0</v>
      </c>
      <c r="AF50" s="110">
        <v>0.0</v>
      </c>
      <c r="AG50" s="110">
        <v>0.0</v>
      </c>
      <c r="AH50" s="110">
        <v>0.0</v>
      </c>
      <c r="AI50" s="110">
        <v>0.0</v>
      </c>
      <c r="AJ50" s="110">
        <v>0.0</v>
      </c>
      <c r="AK50" s="110">
        <v>0.0</v>
      </c>
      <c r="AL50" s="110">
        <v>0.0</v>
      </c>
      <c r="AM50" s="110">
        <v>0.0</v>
      </c>
      <c r="AN50" s="112">
        <v>131.0</v>
      </c>
    </row>
    <row r="51">
      <c r="A51" s="98"/>
      <c r="B51" s="111" t="s">
        <v>206</v>
      </c>
      <c r="C51" s="112">
        <v>0.0</v>
      </c>
      <c r="D51" s="112">
        <v>0.0</v>
      </c>
      <c r="E51" s="112">
        <v>0.0</v>
      </c>
      <c r="F51" s="112">
        <v>0.0</v>
      </c>
      <c r="G51" s="112">
        <v>0.0</v>
      </c>
      <c r="H51" s="112">
        <v>0.0</v>
      </c>
      <c r="I51" s="112">
        <v>0.0</v>
      </c>
      <c r="J51" s="112">
        <v>0.0</v>
      </c>
      <c r="K51" s="112">
        <v>0.0</v>
      </c>
      <c r="L51" s="112">
        <v>0.0</v>
      </c>
      <c r="M51" s="112">
        <v>0.0</v>
      </c>
      <c r="N51" s="112">
        <v>0.0</v>
      </c>
      <c r="O51" s="112">
        <v>0.0</v>
      </c>
      <c r="P51" s="110">
        <v>0.0</v>
      </c>
      <c r="Q51" s="110">
        <v>0.0</v>
      </c>
      <c r="R51" s="110">
        <v>0.0</v>
      </c>
      <c r="S51" s="110">
        <v>0.0</v>
      </c>
      <c r="T51" s="110">
        <v>0.0</v>
      </c>
      <c r="U51" s="110">
        <v>0.0</v>
      </c>
      <c r="V51" s="110">
        <v>0.0</v>
      </c>
      <c r="W51" s="110">
        <v>0.0</v>
      </c>
      <c r="X51" s="110">
        <v>0.0</v>
      </c>
      <c r="Y51" s="110">
        <v>0.0</v>
      </c>
      <c r="Z51" s="110">
        <v>0.0</v>
      </c>
      <c r="AA51" s="110">
        <v>0.0</v>
      </c>
      <c r="AB51" s="110">
        <v>0.0</v>
      </c>
      <c r="AC51" s="110">
        <v>0.0</v>
      </c>
      <c r="AD51" s="110">
        <v>0.0</v>
      </c>
      <c r="AE51" s="110">
        <v>0.0</v>
      </c>
      <c r="AF51" s="110">
        <v>0.0</v>
      </c>
      <c r="AG51" s="110">
        <v>0.0</v>
      </c>
      <c r="AH51" s="110">
        <v>0.0</v>
      </c>
      <c r="AI51" s="110">
        <v>0.0</v>
      </c>
      <c r="AJ51" s="110">
        <v>0.0</v>
      </c>
      <c r="AK51" s="110">
        <v>0.0</v>
      </c>
      <c r="AL51" s="110">
        <v>0.0</v>
      </c>
      <c r="AM51" s="110">
        <v>0.0</v>
      </c>
      <c r="AN51" s="112">
        <v>0.0</v>
      </c>
    </row>
    <row r="52">
      <c r="A52" s="98"/>
      <c r="B52" s="111" t="s">
        <v>200</v>
      </c>
      <c r="C52" s="112">
        <v>35.0</v>
      </c>
      <c r="D52" s="112">
        <v>17.0</v>
      </c>
      <c r="E52" s="112">
        <v>18.0</v>
      </c>
      <c r="F52" s="112">
        <v>17.0</v>
      </c>
      <c r="G52" s="112">
        <v>18.0</v>
      </c>
      <c r="H52" s="112">
        <v>0.0</v>
      </c>
      <c r="I52" s="112">
        <v>0.0</v>
      </c>
      <c r="J52" s="112">
        <v>0.0</v>
      </c>
      <c r="K52" s="112">
        <v>0.0</v>
      </c>
      <c r="L52" s="112">
        <v>0.0</v>
      </c>
      <c r="M52" s="112">
        <v>0.0</v>
      </c>
      <c r="N52" s="112">
        <v>0.0</v>
      </c>
      <c r="O52" s="112">
        <v>0.0</v>
      </c>
      <c r="P52" s="110">
        <v>0.0</v>
      </c>
      <c r="Q52" s="110">
        <v>0.0</v>
      </c>
      <c r="R52" s="110">
        <v>0.0</v>
      </c>
      <c r="S52" s="110">
        <v>0.0</v>
      </c>
      <c r="T52" s="110">
        <v>0.0</v>
      </c>
      <c r="U52" s="110">
        <v>0.0</v>
      </c>
      <c r="V52" s="110">
        <v>0.0</v>
      </c>
      <c r="W52" s="110">
        <v>0.0</v>
      </c>
      <c r="X52" s="110">
        <v>0.0</v>
      </c>
      <c r="Y52" s="110">
        <v>0.0</v>
      </c>
      <c r="Z52" s="110">
        <v>0.0</v>
      </c>
      <c r="AA52" s="110">
        <v>0.0</v>
      </c>
      <c r="AB52" s="110">
        <v>0.0</v>
      </c>
      <c r="AC52" s="110">
        <v>0.0</v>
      </c>
      <c r="AD52" s="110">
        <v>0.0</v>
      </c>
      <c r="AE52" s="110">
        <v>0.0</v>
      </c>
      <c r="AF52" s="110">
        <v>0.0</v>
      </c>
      <c r="AG52" s="110">
        <v>0.0</v>
      </c>
      <c r="AH52" s="110">
        <v>0.0</v>
      </c>
      <c r="AI52" s="110">
        <v>0.0</v>
      </c>
      <c r="AJ52" s="110">
        <v>0.0</v>
      </c>
      <c r="AK52" s="110">
        <v>0.0</v>
      </c>
      <c r="AL52" s="110">
        <v>0.0</v>
      </c>
      <c r="AM52" s="110">
        <v>0.0</v>
      </c>
      <c r="AN52" s="112">
        <v>35.0</v>
      </c>
    </row>
    <row r="53">
      <c r="A53" s="104"/>
      <c r="B53" s="111" t="s">
        <v>201</v>
      </c>
      <c r="C53" s="112">
        <v>0.0</v>
      </c>
      <c r="D53" s="112">
        <v>0.0</v>
      </c>
      <c r="E53" s="112">
        <v>0.0</v>
      </c>
      <c r="F53" s="112">
        <v>0.0</v>
      </c>
      <c r="G53" s="112">
        <v>0.0</v>
      </c>
      <c r="H53" s="112">
        <v>0.0</v>
      </c>
      <c r="I53" s="112">
        <v>0.0</v>
      </c>
      <c r="J53" s="112">
        <v>0.0</v>
      </c>
      <c r="K53" s="112">
        <v>0.0</v>
      </c>
      <c r="L53" s="112">
        <v>0.0</v>
      </c>
      <c r="M53" s="112">
        <v>0.0</v>
      </c>
      <c r="N53" s="112">
        <v>0.0</v>
      </c>
      <c r="O53" s="112">
        <v>0.0</v>
      </c>
      <c r="P53" s="110">
        <v>0.0</v>
      </c>
      <c r="Q53" s="110">
        <v>0.0</v>
      </c>
      <c r="R53" s="110">
        <v>0.0</v>
      </c>
      <c r="S53" s="110">
        <v>0.0</v>
      </c>
      <c r="T53" s="110">
        <v>0.0</v>
      </c>
      <c r="U53" s="110">
        <v>0.0</v>
      </c>
      <c r="V53" s="110">
        <v>0.0</v>
      </c>
      <c r="W53" s="110">
        <v>0.0</v>
      </c>
      <c r="X53" s="110">
        <v>0.0</v>
      </c>
      <c r="Y53" s="110">
        <v>0.0</v>
      </c>
      <c r="Z53" s="110">
        <v>0.0</v>
      </c>
      <c r="AA53" s="110">
        <v>0.0</v>
      </c>
      <c r="AB53" s="110">
        <v>0.0</v>
      </c>
      <c r="AC53" s="110">
        <v>0.0</v>
      </c>
      <c r="AD53" s="110">
        <v>0.0</v>
      </c>
      <c r="AE53" s="110">
        <v>0.0</v>
      </c>
      <c r="AF53" s="110">
        <v>0.0</v>
      </c>
      <c r="AG53" s="110">
        <v>0.0</v>
      </c>
      <c r="AH53" s="110">
        <v>0.0</v>
      </c>
      <c r="AI53" s="110">
        <v>0.0</v>
      </c>
      <c r="AJ53" s="110">
        <v>0.0</v>
      </c>
      <c r="AK53" s="110">
        <v>0.0</v>
      </c>
      <c r="AL53" s="110">
        <v>0.0</v>
      </c>
      <c r="AM53" s="110">
        <v>0.0</v>
      </c>
      <c r="AN53" s="112">
        <v>0.0</v>
      </c>
    </row>
    <row r="54">
      <c r="A54" s="113" t="s">
        <v>210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</row>
    <row r="55">
      <c r="A55" s="107" t="s">
        <v>197</v>
      </c>
      <c r="B55" s="108" t="s">
        <v>198</v>
      </c>
      <c r="C55" s="109">
        <v>56278.0</v>
      </c>
      <c r="D55" s="109">
        <v>20241.0</v>
      </c>
      <c r="E55" s="109">
        <v>36037.0</v>
      </c>
      <c r="F55" s="110">
        <v>0.0</v>
      </c>
      <c r="G55" s="110">
        <v>0.0</v>
      </c>
      <c r="H55" s="110">
        <v>0.0</v>
      </c>
      <c r="I55" s="110">
        <v>0.0</v>
      </c>
      <c r="J55" s="110">
        <v>0.0</v>
      </c>
      <c r="K55" s="110">
        <v>0.0</v>
      </c>
      <c r="L55" s="112">
        <v>37.0</v>
      </c>
      <c r="M55" s="112">
        <v>55.0</v>
      </c>
      <c r="N55" s="112">
        <v>46.0</v>
      </c>
      <c r="O55" s="112">
        <v>159.0</v>
      </c>
      <c r="P55" s="112">
        <v>103.0</v>
      </c>
      <c r="Q55" s="112">
        <v>254.0</v>
      </c>
      <c r="R55" s="112">
        <v>184.0</v>
      </c>
      <c r="S55" s="112">
        <v>400.0</v>
      </c>
      <c r="T55" s="112">
        <v>363.0</v>
      </c>
      <c r="U55" s="112">
        <v>774.0</v>
      </c>
      <c r="V55" s="112">
        <v>578.0</v>
      </c>
      <c r="W55" s="109">
        <v>1260.0</v>
      </c>
      <c r="X55" s="112">
        <v>970.0</v>
      </c>
      <c r="Y55" s="109">
        <v>2276.0</v>
      </c>
      <c r="Z55" s="109">
        <v>1808.0</v>
      </c>
      <c r="AA55" s="109">
        <v>3842.0</v>
      </c>
      <c r="AB55" s="109">
        <v>2590.0</v>
      </c>
      <c r="AC55" s="109">
        <v>4621.0</v>
      </c>
      <c r="AD55" s="109">
        <v>3196.0</v>
      </c>
      <c r="AE55" s="109">
        <v>5542.0</v>
      </c>
      <c r="AF55" s="109">
        <v>3243.0</v>
      </c>
      <c r="AG55" s="109">
        <v>5373.0</v>
      </c>
      <c r="AH55" s="109">
        <v>3000.0</v>
      </c>
      <c r="AI55" s="109">
        <v>4650.0</v>
      </c>
      <c r="AJ55" s="109">
        <v>1944.0</v>
      </c>
      <c r="AK55" s="109">
        <v>3147.0</v>
      </c>
      <c r="AL55" s="109">
        <v>2179.0</v>
      </c>
      <c r="AM55" s="109">
        <v>3684.0</v>
      </c>
      <c r="AN55" s="109">
        <v>55435.0</v>
      </c>
    </row>
    <row r="56">
      <c r="A56" s="98"/>
      <c r="B56" s="111" t="s">
        <v>199</v>
      </c>
      <c r="C56" s="109">
        <v>15978.0</v>
      </c>
      <c r="D56" s="109">
        <v>6262.0</v>
      </c>
      <c r="E56" s="109">
        <v>9716.0</v>
      </c>
      <c r="F56" s="110">
        <v>0.0</v>
      </c>
      <c r="G56" s="110">
        <v>0.0</v>
      </c>
      <c r="H56" s="110">
        <v>0.0</v>
      </c>
      <c r="I56" s="110">
        <v>0.0</v>
      </c>
      <c r="J56" s="110">
        <v>0.0</v>
      </c>
      <c r="K56" s="110">
        <v>0.0</v>
      </c>
      <c r="L56" s="112">
        <v>8.0</v>
      </c>
      <c r="M56" s="112">
        <v>14.0</v>
      </c>
      <c r="N56" s="112">
        <v>11.0</v>
      </c>
      <c r="O56" s="112">
        <v>30.0</v>
      </c>
      <c r="P56" s="112">
        <v>34.0</v>
      </c>
      <c r="Q56" s="112">
        <v>64.0</v>
      </c>
      <c r="R56" s="112">
        <v>43.0</v>
      </c>
      <c r="S56" s="112">
        <v>124.0</v>
      </c>
      <c r="T56" s="112">
        <v>103.0</v>
      </c>
      <c r="U56" s="112">
        <v>220.0</v>
      </c>
      <c r="V56" s="112">
        <v>181.0</v>
      </c>
      <c r="W56" s="112">
        <v>336.0</v>
      </c>
      <c r="X56" s="112">
        <v>330.0</v>
      </c>
      <c r="Y56" s="112">
        <v>586.0</v>
      </c>
      <c r="Z56" s="112">
        <v>521.0</v>
      </c>
      <c r="AA56" s="112">
        <v>987.0</v>
      </c>
      <c r="AB56" s="112">
        <v>791.0</v>
      </c>
      <c r="AC56" s="109">
        <v>1179.0</v>
      </c>
      <c r="AD56" s="112">
        <v>839.0</v>
      </c>
      <c r="AE56" s="109">
        <v>1358.0</v>
      </c>
      <c r="AF56" s="112">
        <v>958.0</v>
      </c>
      <c r="AG56" s="109">
        <v>1405.0</v>
      </c>
      <c r="AH56" s="112">
        <v>986.0</v>
      </c>
      <c r="AI56" s="109">
        <v>1386.0</v>
      </c>
      <c r="AJ56" s="112">
        <v>653.0</v>
      </c>
      <c r="AK56" s="109">
        <v>1002.0</v>
      </c>
      <c r="AL56" s="112">
        <v>804.0</v>
      </c>
      <c r="AM56" s="109">
        <v>1025.0</v>
      </c>
      <c r="AN56" s="109">
        <v>15379.0</v>
      </c>
    </row>
    <row r="57">
      <c r="A57" s="98"/>
      <c r="B57" s="111" t="s">
        <v>200</v>
      </c>
      <c r="C57" s="109">
        <v>11824.0</v>
      </c>
      <c r="D57" s="109">
        <v>4455.0</v>
      </c>
      <c r="E57" s="109">
        <v>7369.0</v>
      </c>
      <c r="F57" s="110">
        <v>0.0</v>
      </c>
      <c r="G57" s="110">
        <v>0.0</v>
      </c>
      <c r="H57" s="110">
        <v>0.0</v>
      </c>
      <c r="I57" s="110">
        <v>0.0</v>
      </c>
      <c r="J57" s="110">
        <v>0.0</v>
      </c>
      <c r="K57" s="110">
        <v>0.0</v>
      </c>
      <c r="L57" s="112">
        <v>15.0</v>
      </c>
      <c r="M57" s="112">
        <v>10.0</v>
      </c>
      <c r="N57" s="112">
        <v>14.0</v>
      </c>
      <c r="O57" s="112">
        <v>35.0</v>
      </c>
      <c r="P57" s="112">
        <v>26.0</v>
      </c>
      <c r="Q57" s="112">
        <v>75.0</v>
      </c>
      <c r="R57" s="112">
        <v>71.0</v>
      </c>
      <c r="S57" s="112">
        <v>147.0</v>
      </c>
      <c r="T57" s="112">
        <v>136.0</v>
      </c>
      <c r="U57" s="112">
        <v>244.0</v>
      </c>
      <c r="V57" s="112">
        <v>209.0</v>
      </c>
      <c r="W57" s="112">
        <v>370.0</v>
      </c>
      <c r="X57" s="112">
        <v>308.0</v>
      </c>
      <c r="Y57" s="112">
        <v>621.0</v>
      </c>
      <c r="Z57" s="112">
        <v>423.0</v>
      </c>
      <c r="AA57" s="112">
        <v>838.0</v>
      </c>
      <c r="AB57" s="112">
        <v>546.0</v>
      </c>
      <c r="AC57" s="109">
        <v>1007.0</v>
      </c>
      <c r="AD57" s="112">
        <v>604.0</v>
      </c>
      <c r="AE57" s="109">
        <v>1067.0</v>
      </c>
      <c r="AF57" s="112">
        <v>613.0</v>
      </c>
      <c r="AG57" s="112">
        <v>920.0</v>
      </c>
      <c r="AH57" s="112">
        <v>589.0</v>
      </c>
      <c r="AI57" s="112">
        <v>815.0</v>
      </c>
      <c r="AJ57" s="112">
        <v>415.0</v>
      </c>
      <c r="AK57" s="112">
        <v>606.0</v>
      </c>
      <c r="AL57" s="112">
        <v>486.0</v>
      </c>
      <c r="AM57" s="112">
        <v>614.0</v>
      </c>
      <c r="AN57" s="109">
        <v>10334.0</v>
      </c>
    </row>
    <row r="58">
      <c r="A58" s="104"/>
      <c r="B58" s="111" t="s">
        <v>201</v>
      </c>
      <c r="C58" s="112">
        <v>101.0</v>
      </c>
      <c r="D58" s="112">
        <v>68.0</v>
      </c>
      <c r="E58" s="112">
        <v>33.0</v>
      </c>
      <c r="F58" s="110">
        <v>0.0</v>
      </c>
      <c r="G58" s="110">
        <v>0.0</v>
      </c>
      <c r="H58" s="110">
        <v>0.0</v>
      </c>
      <c r="I58" s="110">
        <v>0.0</v>
      </c>
      <c r="J58" s="110">
        <v>0.0</v>
      </c>
      <c r="K58" s="110">
        <v>0.0</v>
      </c>
      <c r="L58" s="112">
        <v>1.0</v>
      </c>
      <c r="M58" s="112">
        <v>0.0</v>
      </c>
      <c r="N58" s="112">
        <v>0.0</v>
      </c>
      <c r="O58" s="112">
        <v>0.0</v>
      </c>
      <c r="P58" s="112">
        <v>0.0</v>
      </c>
      <c r="Q58" s="112">
        <v>0.0</v>
      </c>
      <c r="R58" s="112">
        <v>0.0</v>
      </c>
      <c r="S58" s="112">
        <v>2.0</v>
      </c>
      <c r="T58" s="112">
        <v>4.0</v>
      </c>
      <c r="U58" s="112">
        <v>2.0</v>
      </c>
      <c r="V58" s="112">
        <v>0.0</v>
      </c>
      <c r="W58" s="112">
        <v>0.0</v>
      </c>
      <c r="X58" s="112">
        <v>5.0</v>
      </c>
      <c r="Y58" s="112">
        <v>0.0</v>
      </c>
      <c r="Z58" s="112">
        <v>0.0</v>
      </c>
      <c r="AA58" s="112">
        <v>1.0</v>
      </c>
      <c r="AB58" s="112">
        <v>0.0</v>
      </c>
      <c r="AC58" s="112">
        <v>1.0</v>
      </c>
      <c r="AD58" s="112">
        <v>3.0</v>
      </c>
      <c r="AE58" s="112">
        <v>7.0</v>
      </c>
      <c r="AF58" s="112">
        <v>15.0</v>
      </c>
      <c r="AG58" s="112">
        <v>0.0</v>
      </c>
      <c r="AH58" s="112">
        <v>9.0</v>
      </c>
      <c r="AI58" s="112">
        <v>5.0</v>
      </c>
      <c r="AJ58" s="112">
        <v>20.0</v>
      </c>
      <c r="AK58" s="112">
        <v>1.0</v>
      </c>
      <c r="AL58" s="112">
        <v>11.0</v>
      </c>
      <c r="AM58" s="112">
        <v>14.0</v>
      </c>
      <c r="AN58" s="112">
        <v>96.0</v>
      </c>
    </row>
    <row r="59">
      <c r="A59" s="107" t="s">
        <v>202</v>
      </c>
      <c r="B59" s="111" t="s">
        <v>198</v>
      </c>
      <c r="C59" s="112">
        <v>387.0</v>
      </c>
      <c r="D59" s="112">
        <v>196.0</v>
      </c>
      <c r="E59" s="112">
        <v>191.0</v>
      </c>
      <c r="F59" s="112">
        <v>0.0</v>
      </c>
      <c r="G59" s="112">
        <v>2.0</v>
      </c>
      <c r="H59" s="112">
        <v>0.0</v>
      </c>
      <c r="I59" s="112">
        <v>1.0</v>
      </c>
      <c r="J59" s="112">
        <v>6.0</v>
      </c>
      <c r="K59" s="112">
        <v>20.0</v>
      </c>
      <c r="L59" s="112">
        <v>17.0</v>
      </c>
      <c r="M59" s="112">
        <v>12.0</v>
      </c>
      <c r="N59" s="112">
        <v>14.0</v>
      </c>
      <c r="O59" s="112">
        <v>21.0</v>
      </c>
      <c r="P59" s="112">
        <v>13.0</v>
      </c>
      <c r="Q59" s="112">
        <v>18.0</v>
      </c>
      <c r="R59" s="112">
        <v>18.0</v>
      </c>
      <c r="S59" s="112">
        <v>22.0</v>
      </c>
      <c r="T59" s="112">
        <v>5.0</v>
      </c>
      <c r="U59" s="112">
        <v>20.0</v>
      </c>
      <c r="V59" s="112">
        <v>19.0</v>
      </c>
      <c r="W59" s="112">
        <v>19.0</v>
      </c>
      <c r="X59" s="112">
        <v>14.0</v>
      </c>
      <c r="Y59" s="112">
        <v>8.0</v>
      </c>
      <c r="Z59" s="112">
        <v>13.0</v>
      </c>
      <c r="AA59" s="112">
        <v>2.0</v>
      </c>
      <c r="AB59" s="112">
        <v>5.0</v>
      </c>
      <c r="AC59" s="112">
        <v>7.0</v>
      </c>
      <c r="AD59" s="112">
        <v>21.0</v>
      </c>
      <c r="AE59" s="112">
        <v>7.0</v>
      </c>
      <c r="AF59" s="112">
        <v>12.0</v>
      </c>
      <c r="AG59" s="112">
        <v>4.0</v>
      </c>
      <c r="AH59" s="112">
        <v>7.0</v>
      </c>
      <c r="AI59" s="112">
        <v>16.0</v>
      </c>
      <c r="AJ59" s="112">
        <v>18.0</v>
      </c>
      <c r="AK59" s="112">
        <v>2.0</v>
      </c>
      <c r="AL59" s="112">
        <v>14.0</v>
      </c>
      <c r="AM59" s="112">
        <v>10.0</v>
      </c>
      <c r="AN59" s="112">
        <v>353.0</v>
      </c>
    </row>
    <row r="60">
      <c r="A60" s="104"/>
      <c r="B60" s="111" t="s">
        <v>199</v>
      </c>
      <c r="C60" s="112">
        <v>618.0</v>
      </c>
      <c r="D60" s="112">
        <v>347.0</v>
      </c>
      <c r="E60" s="112">
        <v>271.0</v>
      </c>
      <c r="F60" s="112">
        <v>3.0</v>
      </c>
      <c r="G60" s="112">
        <v>3.0</v>
      </c>
      <c r="H60" s="112">
        <v>0.0</v>
      </c>
      <c r="I60" s="112">
        <v>1.0</v>
      </c>
      <c r="J60" s="112">
        <v>17.0</v>
      </c>
      <c r="K60" s="112">
        <v>19.0</v>
      </c>
      <c r="L60" s="112">
        <v>9.0</v>
      </c>
      <c r="M60" s="112">
        <v>9.0</v>
      </c>
      <c r="N60" s="112">
        <v>33.0</v>
      </c>
      <c r="O60" s="112">
        <v>29.0</v>
      </c>
      <c r="P60" s="112">
        <v>31.0</v>
      </c>
      <c r="Q60" s="112">
        <v>32.0</v>
      </c>
      <c r="R60" s="112">
        <v>17.0</v>
      </c>
      <c r="S60" s="112">
        <v>26.0</v>
      </c>
      <c r="T60" s="112">
        <v>7.0</v>
      </c>
      <c r="U60" s="112">
        <v>28.0</v>
      </c>
      <c r="V60" s="112">
        <v>26.0</v>
      </c>
      <c r="W60" s="112">
        <v>42.0</v>
      </c>
      <c r="X60" s="112">
        <v>23.0</v>
      </c>
      <c r="Y60" s="112">
        <v>16.0</v>
      </c>
      <c r="Z60" s="112">
        <v>11.0</v>
      </c>
      <c r="AA60" s="112">
        <v>9.0</v>
      </c>
      <c r="AB60" s="112">
        <v>10.0</v>
      </c>
      <c r="AC60" s="112">
        <v>14.0</v>
      </c>
      <c r="AD60" s="112">
        <v>45.0</v>
      </c>
      <c r="AE60" s="112">
        <v>2.0</v>
      </c>
      <c r="AF60" s="112">
        <v>16.0</v>
      </c>
      <c r="AG60" s="112">
        <v>3.0</v>
      </c>
      <c r="AH60" s="112">
        <v>38.0</v>
      </c>
      <c r="AI60" s="112">
        <v>35.0</v>
      </c>
      <c r="AJ60" s="112">
        <v>14.0</v>
      </c>
      <c r="AK60" s="112">
        <v>1.0</v>
      </c>
      <c r="AL60" s="112">
        <v>47.0</v>
      </c>
      <c r="AM60" s="112">
        <v>2.0</v>
      </c>
      <c r="AN60" s="112">
        <v>571.0</v>
      </c>
    </row>
    <row r="61">
      <c r="A61" s="107" t="s">
        <v>203</v>
      </c>
      <c r="B61" s="111" t="s">
        <v>198</v>
      </c>
      <c r="C61" s="112">
        <v>54.0</v>
      </c>
      <c r="D61" s="112">
        <v>17.0</v>
      </c>
      <c r="E61" s="112">
        <v>37.0</v>
      </c>
      <c r="F61" s="110">
        <v>0.0</v>
      </c>
      <c r="G61" s="110">
        <v>0.0</v>
      </c>
      <c r="H61" s="110">
        <v>0.0</v>
      </c>
      <c r="I61" s="110">
        <v>0.0</v>
      </c>
      <c r="J61" s="110">
        <v>0.0</v>
      </c>
      <c r="K61" s="110">
        <v>0.0</v>
      </c>
      <c r="L61" s="110">
        <v>0.0</v>
      </c>
      <c r="M61" s="110">
        <v>0.0</v>
      </c>
      <c r="N61" s="110">
        <v>0.0</v>
      </c>
      <c r="O61" s="110">
        <v>0.0</v>
      </c>
      <c r="P61" s="110">
        <v>0.0</v>
      </c>
      <c r="Q61" s="110">
        <v>0.0</v>
      </c>
      <c r="R61" s="110">
        <v>0.0</v>
      </c>
      <c r="S61" s="110">
        <v>0.0</v>
      </c>
      <c r="T61" s="110">
        <v>0.0</v>
      </c>
      <c r="U61" s="110">
        <v>0.0</v>
      </c>
      <c r="V61" s="110">
        <v>0.0</v>
      </c>
      <c r="W61" s="110">
        <v>0.0</v>
      </c>
      <c r="X61" s="110">
        <v>0.0</v>
      </c>
      <c r="Y61" s="110">
        <v>0.0</v>
      </c>
      <c r="Z61" s="110">
        <v>0.0</v>
      </c>
      <c r="AA61" s="110">
        <v>0.0</v>
      </c>
      <c r="AB61" s="110">
        <v>0.0</v>
      </c>
      <c r="AC61" s="110">
        <v>0.0</v>
      </c>
      <c r="AD61" s="110">
        <v>0.0</v>
      </c>
      <c r="AE61" s="110">
        <v>0.0</v>
      </c>
      <c r="AF61" s="112">
        <v>4.0</v>
      </c>
      <c r="AG61" s="112">
        <v>10.0</v>
      </c>
      <c r="AH61" s="112">
        <v>6.0</v>
      </c>
      <c r="AI61" s="112">
        <v>8.0</v>
      </c>
      <c r="AJ61" s="112">
        <v>2.0</v>
      </c>
      <c r="AK61" s="112">
        <v>11.0</v>
      </c>
      <c r="AL61" s="112">
        <v>5.0</v>
      </c>
      <c r="AM61" s="112">
        <v>8.0</v>
      </c>
      <c r="AN61" s="112">
        <v>54.0</v>
      </c>
    </row>
    <row r="62">
      <c r="A62" s="104"/>
      <c r="B62" s="111" t="s">
        <v>199</v>
      </c>
      <c r="C62" s="112">
        <v>976.0</v>
      </c>
      <c r="D62" s="112">
        <v>340.0</v>
      </c>
      <c r="E62" s="112">
        <v>636.0</v>
      </c>
      <c r="F62" s="110">
        <v>0.0</v>
      </c>
      <c r="G62" s="110">
        <v>0.0</v>
      </c>
      <c r="H62" s="110">
        <v>0.0</v>
      </c>
      <c r="I62" s="110">
        <v>0.0</v>
      </c>
      <c r="J62" s="110">
        <v>0.0</v>
      </c>
      <c r="K62" s="110">
        <v>0.0</v>
      </c>
      <c r="L62" s="110">
        <v>0.0</v>
      </c>
      <c r="M62" s="110">
        <v>0.0</v>
      </c>
      <c r="N62" s="110">
        <v>0.0</v>
      </c>
      <c r="O62" s="110">
        <v>0.0</v>
      </c>
      <c r="P62" s="110">
        <v>0.0</v>
      </c>
      <c r="Q62" s="110">
        <v>0.0</v>
      </c>
      <c r="R62" s="110">
        <v>0.0</v>
      </c>
      <c r="S62" s="110">
        <v>0.0</v>
      </c>
      <c r="T62" s="110">
        <v>0.0</v>
      </c>
      <c r="U62" s="110">
        <v>0.0</v>
      </c>
      <c r="V62" s="110">
        <v>0.0</v>
      </c>
      <c r="W62" s="110">
        <v>0.0</v>
      </c>
      <c r="X62" s="110">
        <v>0.0</v>
      </c>
      <c r="Y62" s="110">
        <v>0.0</v>
      </c>
      <c r="Z62" s="110">
        <v>0.0</v>
      </c>
      <c r="AA62" s="110">
        <v>0.0</v>
      </c>
      <c r="AB62" s="110">
        <v>0.0</v>
      </c>
      <c r="AC62" s="110">
        <v>0.0</v>
      </c>
      <c r="AD62" s="110">
        <v>0.0</v>
      </c>
      <c r="AE62" s="110">
        <v>0.0</v>
      </c>
      <c r="AF62" s="112">
        <v>78.0</v>
      </c>
      <c r="AG62" s="112">
        <v>155.0</v>
      </c>
      <c r="AH62" s="112">
        <v>108.0</v>
      </c>
      <c r="AI62" s="112">
        <v>190.0</v>
      </c>
      <c r="AJ62" s="112">
        <v>74.0</v>
      </c>
      <c r="AK62" s="112">
        <v>142.0</v>
      </c>
      <c r="AL62" s="112">
        <v>80.0</v>
      </c>
      <c r="AM62" s="112">
        <v>149.0</v>
      </c>
      <c r="AN62" s="112">
        <v>964.0</v>
      </c>
    </row>
    <row r="63">
      <c r="A63" s="107" t="s">
        <v>204</v>
      </c>
      <c r="B63" s="111" t="s">
        <v>198</v>
      </c>
      <c r="C63" s="112">
        <v>22.0</v>
      </c>
      <c r="D63" s="112">
        <v>6.0</v>
      </c>
      <c r="E63" s="112">
        <v>16.0</v>
      </c>
      <c r="F63" s="110">
        <v>0.0</v>
      </c>
      <c r="G63" s="110">
        <v>0.0</v>
      </c>
      <c r="H63" s="110">
        <v>0.0</v>
      </c>
      <c r="I63" s="110">
        <v>0.0</v>
      </c>
      <c r="J63" s="110">
        <v>0.0</v>
      </c>
      <c r="K63" s="110">
        <v>0.0</v>
      </c>
      <c r="L63" s="110">
        <v>0.0</v>
      </c>
      <c r="M63" s="110">
        <v>0.0</v>
      </c>
      <c r="N63" s="110">
        <v>0.0</v>
      </c>
      <c r="O63" s="110">
        <v>0.0</v>
      </c>
      <c r="P63" s="110">
        <v>0.0</v>
      </c>
      <c r="Q63" s="110">
        <v>0.0</v>
      </c>
      <c r="R63" s="110">
        <v>0.0</v>
      </c>
      <c r="S63" s="110">
        <v>0.0</v>
      </c>
      <c r="T63" s="110">
        <v>0.0</v>
      </c>
      <c r="U63" s="110">
        <v>0.0</v>
      </c>
      <c r="V63" s="110">
        <v>0.0</v>
      </c>
      <c r="W63" s="110">
        <v>0.0</v>
      </c>
      <c r="X63" s="110">
        <v>0.0</v>
      </c>
      <c r="Y63" s="110">
        <v>0.0</v>
      </c>
      <c r="Z63" s="110">
        <v>0.0</v>
      </c>
      <c r="AA63" s="110">
        <v>0.0</v>
      </c>
      <c r="AB63" s="110">
        <v>0.0</v>
      </c>
      <c r="AC63" s="110">
        <v>0.0</v>
      </c>
      <c r="AD63" s="110">
        <v>0.0</v>
      </c>
      <c r="AE63" s="110">
        <v>0.0</v>
      </c>
      <c r="AF63" s="112">
        <v>4.0</v>
      </c>
      <c r="AG63" s="112">
        <v>2.0</v>
      </c>
      <c r="AH63" s="112">
        <v>1.0</v>
      </c>
      <c r="AI63" s="112">
        <v>2.0</v>
      </c>
      <c r="AJ63" s="112">
        <v>1.0</v>
      </c>
      <c r="AK63" s="112">
        <v>4.0</v>
      </c>
      <c r="AL63" s="112">
        <v>0.0</v>
      </c>
      <c r="AM63" s="112">
        <v>8.0</v>
      </c>
      <c r="AN63" s="112">
        <v>22.0</v>
      </c>
    </row>
    <row r="64">
      <c r="A64" s="104"/>
      <c r="B64" s="111" t="s">
        <v>199</v>
      </c>
      <c r="C64" s="112">
        <v>447.0</v>
      </c>
      <c r="D64" s="112">
        <v>163.0</v>
      </c>
      <c r="E64" s="112">
        <v>284.0</v>
      </c>
      <c r="F64" s="110">
        <v>0.0</v>
      </c>
      <c r="G64" s="110">
        <v>0.0</v>
      </c>
      <c r="H64" s="110">
        <v>0.0</v>
      </c>
      <c r="I64" s="110">
        <v>0.0</v>
      </c>
      <c r="J64" s="110">
        <v>0.0</v>
      </c>
      <c r="K64" s="110">
        <v>0.0</v>
      </c>
      <c r="L64" s="110">
        <v>0.0</v>
      </c>
      <c r="M64" s="110">
        <v>0.0</v>
      </c>
      <c r="N64" s="110">
        <v>0.0</v>
      </c>
      <c r="O64" s="110">
        <v>0.0</v>
      </c>
      <c r="P64" s="110">
        <v>0.0</v>
      </c>
      <c r="Q64" s="110">
        <v>0.0</v>
      </c>
      <c r="R64" s="110">
        <v>0.0</v>
      </c>
      <c r="S64" s="110">
        <v>0.0</v>
      </c>
      <c r="T64" s="110">
        <v>0.0</v>
      </c>
      <c r="U64" s="110">
        <v>0.0</v>
      </c>
      <c r="V64" s="110">
        <v>0.0</v>
      </c>
      <c r="W64" s="110">
        <v>0.0</v>
      </c>
      <c r="X64" s="110">
        <v>0.0</v>
      </c>
      <c r="Y64" s="110">
        <v>0.0</v>
      </c>
      <c r="Z64" s="110">
        <v>0.0</v>
      </c>
      <c r="AA64" s="110">
        <v>0.0</v>
      </c>
      <c r="AB64" s="110">
        <v>0.0</v>
      </c>
      <c r="AC64" s="110">
        <v>0.0</v>
      </c>
      <c r="AD64" s="110">
        <v>0.0</v>
      </c>
      <c r="AE64" s="110">
        <v>0.0</v>
      </c>
      <c r="AF64" s="112">
        <v>29.0</v>
      </c>
      <c r="AG64" s="112">
        <v>29.0</v>
      </c>
      <c r="AH64" s="112">
        <v>34.0</v>
      </c>
      <c r="AI64" s="112">
        <v>66.0</v>
      </c>
      <c r="AJ64" s="112">
        <v>49.0</v>
      </c>
      <c r="AK64" s="112">
        <v>57.0</v>
      </c>
      <c r="AL64" s="112">
        <v>51.0</v>
      </c>
      <c r="AM64" s="112">
        <v>132.0</v>
      </c>
      <c r="AN64" s="112">
        <v>443.0</v>
      </c>
    </row>
    <row r="65">
      <c r="A65" s="107" t="s">
        <v>205</v>
      </c>
      <c r="B65" s="111" t="s">
        <v>198</v>
      </c>
      <c r="C65" s="112">
        <v>93.0</v>
      </c>
      <c r="D65" s="112">
        <v>35.0</v>
      </c>
      <c r="E65" s="112">
        <v>58.0</v>
      </c>
      <c r="F65" s="112">
        <v>0.0</v>
      </c>
      <c r="G65" s="112">
        <v>0.0</v>
      </c>
      <c r="H65" s="112">
        <v>0.0</v>
      </c>
      <c r="I65" s="112">
        <v>0.0</v>
      </c>
      <c r="J65" s="112">
        <v>0.0</v>
      </c>
      <c r="K65" s="112">
        <v>0.0</v>
      </c>
      <c r="L65" s="112">
        <v>1.0</v>
      </c>
      <c r="M65" s="112">
        <v>2.0</v>
      </c>
      <c r="N65" s="112">
        <v>0.0</v>
      </c>
      <c r="O65" s="112">
        <v>2.0</v>
      </c>
      <c r="P65" s="112">
        <v>0.0</v>
      </c>
      <c r="Q65" s="112">
        <v>0.0</v>
      </c>
      <c r="R65" s="112">
        <v>0.0</v>
      </c>
      <c r="S65" s="112">
        <v>5.0</v>
      </c>
      <c r="T65" s="112">
        <v>0.0</v>
      </c>
      <c r="U65" s="112">
        <v>0.0</v>
      </c>
      <c r="V65" s="112">
        <v>0.0</v>
      </c>
      <c r="W65" s="112">
        <v>3.0</v>
      </c>
      <c r="X65" s="112">
        <v>3.0</v>
      </c>
      <c r="Y65" s="112">
        <v>6.0</v>
      </c>
      <c r="Z65" s="112">
        <v>2.0</v>
      </c>
      <c r="AA65" s="112">
        <v>2.0</v>
      </c>
      <c r="AB65" s="112">
        <v>8.0</v>
      </c>
      <c r="AC65" s="112">
        <v>10.0</v>
      </c>
      <c r="AD65" s="112">
        <v>7.0</v>
      </c>
      <c r="AE65" s="112">
        <v>9.0</v>
      </c>
      <c r="AF65" s="112">
        <v>5.0</v>
      </c>
      <c r="AG65" s="112">
        <v>9.0</v>
      </c>
      <c r="AH65" s="112">
        <v>4.0</v>
      </c>
      <c r="AI65" s="112">
        <v>7.0</v>
      </c>
      <c r="AJ65" s="112">
        <v>0.0</v>
      </c>
      <c r="AK65" s="112">
        <v>2.0</v>
      </c>
      <c r="AL65" s="112">
        <v>5.0</v>
      </c>
      <c r="AM65" s="112">
        <v>1.0</v>
      </c>
      <c r="AN65" s="112">
        <v>92.0</v>
      </c>
    </row>
    <row r="66">
      <c r="A66" s="98"/>
      <c r="B66" s="111" t="s">
        <v>199</v>
      </c>
      <c r="C66" s="112">
        <v>58.0</v>
      </c>
      <c r="D66" s="112">
        <v>19.0</v>
      </c>
      <c r="E66" s="112">
        <v>39.0</v>
      </c>
      <c r="F66" s="112">
        <v>0.0</v>
      </c>
      <c r="G66" s="112">
        <v>0.0</v>
      </c>
      <c r="H66" s="112">
        <v>0.0</v>
      </c>
      <c r="I66" s="112">
        <v>0.0</v>
      </c>
      <c r="J66" s="112">
        <v>0.0</v>
      </c>
      <c r="K66" s="112">
        <v>1.0</v>
      </c>
      <c r="L66" s="112">
        <v>0.0</v>
      </c>
      <c r="M66" s="112">
        <v>0.0</v>
      </c>
      <c r="N66" s="112">
        <v>0.0</v>
      </c>
      <c r="O66" s="112">
        <v>2.0</v>
      </c>
      <c r="P66" s="112">
        <v>0.0</v>
      </c>
      <c r="Q66" s="112">
        <v>1.0</v>
      </c>
      <c r="R66" s="112">
        <v>0.0</v>
      </c>
      <c r="S66" s="112">
        <v>0.0</v>
      </c>
      <c r="T66" s="112">
        <v>0.0</v>
      </c>
      <c r="U66" s="112">
        <v>2.0</v>
      </c>
      <c r="V66" s="112">
        <v>0.0</v>
      </c>
      <c r="W66" s="112">
        <v>1.0</v>
      </c>
      <c r="X66" s="112">
        <v>0.0</v>
      </c>
      <c r="Y66" s="112">
        <v>0.0</v>
      </c>
      <c r="Z66" s="112">
        <v>0.0</v>
      </c>
      <c r="AA66" s="112">
        <v>0.0</v>
      </c>
      <c r="AB66" s="112">
        <v>4.0</v>
      </c>
      <c r="AC66" s="112">
        <v>6.0</v>
      </c>
      <c r="AD66" s="112">
        <v>4.0</v>
      </c>
      <c r="AE66" s="112">
        <v>9.0</v>
      </c>
      <c r="AF66" s="112">
        <v>4.0</v>
      </c>
      <c r="AG66" s="112">
        <v>6.0</v>
      </c>
      <c r="AH66" s="112">
        <v>3.0</v>
      </c>
      <c r="AI66" s="112">
        <v>4.0</v>
      </c>
      <c r="AJ66" s="112">
        <v>2.0</v>
      </c>
      <c r="AK66" s="112">
        <v>4.0</v>
      </c>
      <c r="AL66" s="112">
        <v>2.0</v>
      </c>
      <c r="AM66" s="112">
        <v>3.0</v>
      </c>
      <c r="AN66" s="112">
        <v>58.0</v>
      </c>
    </row>
    <row r="67">
      <c r="A67" s="104"/>
      <c r="B67" s="111" t="s">
        <v>206</v>
      </c>
      <c r="C67" s="112">
        <v>0.0</v>
      </c>
      <c r="D67" s="112">
        <v>0.0</v>
      </c>
      <c r="E67" s="112">
        <v>0.0</v>
      </c>
      <c r="F67" s="112">
        <v>0.0</v>
      </c>
      <c r="G67" s="112">
        <v>0.0</v>
      </c>
      <c r="H67" s="112">
        <v>0.0</v>
      </c>
      <c r="I67" s="112">
        <v>0.0</v>
      </c>
      <c r="J67" s="112">
        <v>0.0</v>
      </c>
      <c r="K67" s="112">
        <v>0.0</v>
      </c>
      <c r="L67" s="112">
        <v>0.0</v>
      </c>
      <c r="M67" s="112">
        <v>0.0</v>
      </c>
      <c r="N67" s="112">
        <v>0.0</v>
      </c>
      <c r="O67" s="112">
        <v>0.0</v>
      </c>
      <c r="P67" s="112">
        <v>0.0</v>
      </c>
      <c r="Q67" s="112">
        <v>0.0</v>
      </c>
      <c r="R67" s="112">
        <v>0.0</v>
      </c>
      <c r="S67" s="112">
        <v>0.0</v>
      </c>
      <c r="T67" s="112">
        <v>0.0</v>
      </c>
      <c r="U67" s="112">
        <v>0.0</v>
      </c>
      <c r="V67" s="112">
        <v>0.0</v>
      </c>
      <c r="W67" s="112">
        <v>0.0</v>
      </c>
      <c r="X67" s="112">
        <v>0.0</v>
      </c>
      <c r="Y67" s="112">
        <v>0.0</v>
      </c>
      <c r="Z67" s="112">
        <v>0.0</v>
      </c>
      <c r="AA67" s="112">
        <v>0.0</v>
      </c>
      <c r="AB67" s="112">
        <v>0.0</v>
      </c>
      <c r="AC67" s="112">
        <v>0.0</v>
      </c>
      <c r="AD67" s="112">
        <v>0.0</v>
      </c>
      <c r="AE67" s="112">
        <v>0.0</v>
      </c>
      <c r="AF67" s="112">
        <v>0.0</v>
      </c>
      <c r="AG67" s="112">
        <v>0.0</v>
      </c>
      <c r="AH67" s="112">
        <v>0.0</v>
      </c>
      <c r="AI67" s="112">
        <v>0.0</v>
      </c>
      <c r="AJ67" s="112">
        <v>0.0</v>
      </c>
      <c r="AK67" s="112">
        <v>0.0</v>
      </c>
      <c r="AL67" s="112">
        <v>0.0</v>
      </c>
      <c r="AM67" s="112">
        <v>0.0</v>
      </c>
      <c r="AN67" s="112">
        <v>0.0</v>
      </c>
    </row>
    <row r="68">
      <c r="A68" s="107" t="s">
        <v>207</v>
      </c>
      <c r="B68" s="111" t="s">
        <v>198</v>
      </c>
      <c r="C68" s="109">
        <v>22600.0</v>
      </c>
      <c r="D68" s="109">
        <v>5319.0</v>
      </c>
      <c r="E68" s="109">
        <v>17281.0</v>
      </c>
      <c r="F68" s="112">
        <v>90.0</v>
      </c>
      <c r="G68" s="112">
        <v>93.0</v>
      </c>
      <c r="H68" s="112">
        <v>88.0</v>
      </c>
      <c r="I68" s="112">
        <v>88.0</v>
      </c>
      <c r="J68" s="112">
        <v>72.0</v>
      </c>
      <c r="K68" s="112">
        <v>91.0</v>
      </c>
      <c r="L68" s="112">
        <v>71.0</v>
      </c>
      <c r="M68" s="112">
        <v>164.0</v>
      </c>
      <c r="N68" s="112">
        <v>52.0</v>
      </c>
      <c r="O68" s="112">
        <v>267.0</v>
      </c>
      <c r="P68" s="112">
        <v>92.0</v>
      </c>
      <c r="Q68" s="112">
        <v>398.0</v>
      </c>
      <c r="R68" s="112">
        <v>114.0</v>
      </c>
      <c r="S68" s="112">
        <v>434.0</v>
      </c>
      <c r="T68" s="112">
        <v>100.0</v>
      </c>
      <c r="U68" s="112">
        <v>470.0</v>
      </c>
      <c r="V68" s="112">
        <v>171.0</v>
      </c>
      <c r="W68" s="112">
        <v>586.0</v>
      </c>
      <c r="X68" s="112">
        <v>160.0</v>
      </c>
      <c r="Y68" s="112">
        <v>847.0</v>
      </c>
      <c r="Z68" s="112">
        <v>257.0</v>
      </c>
      <c r="AA68" s="109">
        <v>1251.0</v>
      </c>
      <c r="AB68" s="112">
        <v>499.0</v>
      </c>
      <c r="AC68" s="109">
        <v>1950.0</v>
      </c>
      <c r="AD68" s="112">
        <v>663.0</v>
      </c>
      <c r="AE68" s="109">
        <v>2453.0</v>
      </c>
      <c r="AF68" s="112">
        <v>776.0</v>
      </c>
      <c r="AG68" s="109">
        <v>2496.0</v>
      </c>
      <c r="AH68" s="112">
        <v>732.0</v>
      </c>
      <c r="AI68" s="109">
        <v>2188.0</v>
      </c>
      <c r="AJ68" s="112">
        <v>598.0</v>
      </c>
      <c r="AK68" s="109">
        <v>1615.0</v>
      </c>
      <c r="AL68" s="112">
        <v>784.0</v>
      </c>
      <c r="AM68" s="109">
        <v>1890.0</v>
      </c>
      <c r="AN68" s="109">
        <v>20606.0</v>
      </c>
    </row>
    <row r="69">
      <c r="A69" s="98"/>
      <c r="B69" s="111" t="s">
        <v>199</v>
      </c>
      <c r="C69" s="109">
        <v>2816.0</v>
      </c>
      <c r="D69" s="112">
        <v>828.0</v>
      </c>
      <c r="E69" s="109">
        <v>1988.0</v>
      </c>
      <c r="F69" s="112">
        <v>182.0</v>
      </c>
      <c r="G69" s="112">
        <v>247.0</v>
      </c>
      <c r="H69" s="112">
        <v>21.0</v>
      </c>
      <c r="I69" s="112">
        <v>36.0</v>
      </c>
      <c r="J69" s="112">
        <v>0.0</v>
      </c>
      <c r="K69" s="112">
        <v>1.0</v>
      </c>
      <c r="L69" s="112">
        <v>6.0</v>
      </c>
      <c r="M69" s="112">
        <v>22.0</v>
      </c>
      <c r="N69" s="112">
        <v>3.0</v>
      </c>
      <c r="O69" s="112">
        <v>27.0</v>
      </c>
      <c r="P69" s="112">
        <v>9.0</v>
      </c>
      <c r="Q69" s="112">
        <v>57.0</v>
      </c>
      <c r="R69" s="112">
        <v>11.0</v>
      </c>
      <c r="S69" s="112">
        <v>62.0</v>
      </c>
      <c r="T69" s="112">
        <v>17.0</v>
      </c>
      <c r="U69" s="112">
        <v>98.0</v>
      </c>
      <c r="V69" s="112">
        <v>20.0</v>
      </c>
      <c r="W69" s="112">
        <v>76.0</v>
      </c>
      <c r="X69" s="112">
        <v>41.0</v>
      </c>
      <c r="Y69" s="112">
        <v>125.0</v>
      </c>
      <c r="Z69" s="112">
        <v>54.0</v>
      </c>
      <c r="AA69" s="112">
        <v>186.0</v>
      </c>
      <c r="AB69" s="112">
        <v>82.0</v>
      </c>
      <c r="AC69" s="112">
        <v>220.0</v>
      </c>
      <c r="AD69" s="112">
        <v>63.0</v>
      </c>
      <c r="AE69" s="112">
        <v>186.0</v>
      </c>
      <c r="AF69" s="112">
        <v>83.0</v>
      </c>
      <c r="AG69" s="112">
        <v>203.0</v>
      </c>
      <c r="AH69" s="112">
        <v>90.0</v>
      </c>
      <c r="AI69" s="112">
        <v>181.0</v>
      </c>
      <c r="AJ69" s="112">
        <v>68.0</v>
      </c>
      <c r="AK69" s="112">
        <v>123.0</v>
      </c>
      <c r="AL69" s="112">
        <v>78.0</v>
      </c>
      <c r="AM69" s="112">
        <v>138.0</v>
      </c>
      <c r="AN69" s="109">
        <v>2425.0</v>
      </c>
    </row>
    <row r="70">
      <c r="A70" s="98"/>
      <c r="B70" s="111" t="s">
        <v>206</v>
      </c>
      <c r="C70" s="112">
        <v>673.0</v>
      </c>
      <c r="D70" s="112">
        <v>189.0</v>
      </c>
      <c r="E70" s="112">
        <v>484.0</v>
      </c>
      <c r="F70" s="112">
        <v>173.0</v>
      </c>
      <c r="G70" s="112">
        <v>288.0</v>
      </c>
      <c r="H70" s="112">
        <v>0.0</v>
      </c>
      <c r="I70" s="112">
        <v>0.0</v>
      </c>
      <c r="J70" s="112">
        <v>0.0</v>
      </c>
      <c r="K70" s="112">
        <v>2.0</v>
      </c>
      <c r="L70" s="112">
        <v>0.0</v>
      </c>
      <c r="M70" s="112">
        <v>31.0</v>
      </c>
      <c r="N70" s="112">
        <v>0.0</v>
      </c>
      <c r="O70" s="112">
        <v>33.0</v>
      </c>
      <c r="P70" s="112">
        <v>0.0</v>
      </c>
      <c r="Q70" s="112">
        <v>23.0</v>
      </c>
      <c r="R70" s="112">
        <v>0.0</v>
      </c>
      <c r="S70" s="112">
        <v>28.0</v>
      </c>
      <c r="T70" s="112">
        <v>0.0</v>
      </c>
      <c r="U70" s="112">
        <v>13.0</v>
      </c>
      <c r="V70" s="112">
        <v>0.0</v>
      </c>
      <c r="W70" s="112">
        <v>11.0</v>
      </c>
      <c r="X70" s="112">
        <v>0.0</v>
      </c>
      <c r="Y70" s="112">
        <v>11.0</v>
      </c>
      <c r="Z70" s="112">
        <v>0.0</v>
      </c>
      <c r="AA70" s="112">
        <v>7.0</v>
      </c>
      <c r="AB70" s="112">
        <v>0.0</v>
      </c>
      <c r="AC70" s="112">
        <v>3.0</v>
      </c>
      <c r="AD70" s="112">
        <v>0.0</v>
      </c>
      <c r="AE70" s="112">
        <v>2.0</v>
      </c>
      <c r="AF70" s="112">
        <v>1.0</v>
      </c>
      <c r="AG70" s="112">
        <v>2.0</v>
      </c>
      <c r="AH70" s="112">
        <v>0.0</v>
      </c>
      <c r="AI70" s="112">
        <v>1.0</v>
      </c>
      <c r="AJ70" s="112">
        <v>4.0</v>
      </c>
      <c r="AK70" s="112">
        <v>1.0</v>
      </c>
      <c r="AL70" s="112">
        <v>11.0</v>
      </c>
      <c r="AM70" s="112">
        <v>28.0</v>
      </c>
      <c r="AN70" s="112">
        <v>591.0</v>
      </c>
    </row>
    <row r="71">
      <c r="A71" s="98"/>
      <c r="B71" s="111" t="s">
        <v>200</v>
      </c>
      <c r="C71" s="109">
        <v>5724.0</v>
      </c>
      <c r="D71" s="109">
        <v>2405.0</v>
      </c>
      <c r="E71" s="109">
        <v>3319.0</v>
      </c>
      <c r="F71" s="109">
        <v>1595.0</v>
      </c>
      <c r="G71" s="109">
        <v>1625.0</v>
      </c>
      <c r="H71" s="112">
        <v>266.0</v>
      </c>
      <c r="I71" s="112">
        <v>255.0</v>
      </c>
      <c r="J71" s="112">
        <v>30.0</v>
      </c>
      <c r="K71" s="112">
        <v>35.0</v>
      </c>
      <c r="L71" s="112">
        <v>32.0</v>
      </c>
      <c r="M71" s="112">
        <v>77.0</v>
      </c>
      <c r="N71" s="112">
        <v>16.0</v>
      </c>
      <c r="O71" s="112">
        <v>86.0</v>
      </c>
      <c r="P71" s="112">
        <v>23.0</v>
      </c>
      <c r="Q71" s="112">
        <v>127.0</v>
      </c>
      <c r="R71" s="112">
        <v>14.0</v>
      </c>
      <c r="S71" s="112">
        <v>106.0</v>
      </c>
      <c r="T71" s="112">
        <v>21.0</v>
      </c>
      <c r="U71" s="112">
        <v>111.0</v>
      </c>
      <c r="V71" s="112">
        <v>33.0</v>
      </c>
      <c r="W71" s="112">
        <v>97.0</v>
      </c>
      <c r="X71" s="112">
        <v>44.0</v>
      </c>
      <c r="Y71" s="112">
        <v>88.0</v>
      </c>
      <c r="Z71" s="112">
        <v>42.0</v>
      </c>
      <c r="AA71" s="112">
        <v>109.0</v>
      </c>
      <c r="AB71" s="112">
        <v>54.0</v>
      </c>
      <c r="AC71" s="112">
        <v>103.0</v>
      </c>
      <c r="AD71" s="112">
        <v>36.0</v>
      </c>
      <c r="AE71" s="112">
        <v>105.0</v>
      </c>
      <c r="AF71" s="112">
        <v>42.0</v>
      </c>
      <c r="AG71" s="112">
        <v>87.0</v>
      </c>
      <c r="AH71" s="112">
        <v>57.0</v>
      </c>
      <c r="AI71" s="112">
        <v>107.0</v>
      </c>
      <c r="AJ71" s="112">
        <v>48.0</v>
      </c>
      <c r="AK71" s="112">
        <v>82.0</v>
      </c>
      <c r="AL71" s="112">
        <v>52.0</v>
      </c>
      <c r="AM71" s="112">
        <v>119.0</v>
      </c>
      <c r="AN71" s="109">
        <v>4936.0</v>
      </c>
    </row>
    <row r="72">
      <c r="A72" s="104"/>
      <c r="B72" s="111" t="s">
        <v>201</v>
      </c>
      <c r="C72" s="109">
        <v>2106.0</v>
      </c>
      <c r="D72" s="112">
        <v>968.0</v>
      </c>
      <c r="E72" s="109">
        <v>1138.0</v>
      </c>
      <c r="F72" s="112">
        <v>38.0</v>
      </c>
      <c r="G72" s="112">
        <v>52.0</v>
      </c>
      <c r="H72" s="112">
        <v>36.0</v>
      </c>
      <c r="I72" s="112">
        <v>55.0</v>
      </c>
      <c r="J72" s="112">
        <v>30.0</v>
      </c>
      <c r="K72" s="112">
        <v>47.0</v>
      </c>
      <c r="L72" s="112">
        <v>35.0</v>
      </c>
      <c r="M72" s="112">
        <v>28.0</v>
      </c>
      <c r="N72" s="112">
        <v>30.0</v>
      </c>
      <c r="O72" s="112">
        <v>26.0</v>
      </c>
      <c r="P72" s="112">
        <v>41.0</v>
      </c>
      <c r="Q72" s="112">
        <v>66.0</v>
      </c>
      <c r="R72" s="112">
        <v>59.0</v>
      </c>
      <c r="S72" s="112">
        <v>138.0</v>
      </c>
      <c r="T72" s="112">
        <v>60.0</v>
      </c>
      <c r="U72" s="112">
        <v>55.0</v>
      </c>
      <c r="V72" s="112">
        <v>69.0</v>
      </c>
      <c r="W72" s="112">
        <v>56.0</v>
      </c>
      <c r="X72" s="112">
        <v>82.0</v>
      </c>
      <c r="Y72" s="112">
        <v>79.0</v>
      </c>
      <c r="Z72" s="112">
        <v>60.0</v>
      </c>
      <c r="AA72" s="112">
        <v>67.0</v>
      </c>
      <c r="AB72" s="112">
        <v>58.0</v>
      </c>
      <c r="AC72" s="112">
        <v>65.0</v>
      </c>
      <c r="AD72" s="112">
        <v>82.0</v>
      </c>
      <c r="AE72" s="112">
        <v>57.0</v>
      </c>
      <c r="AF72" s="112">
        <v>55.0</v>
      </c>
      <c r="AG72" s="112">
        <v>84.0</v>
      </c>
      <c r="AH72" s="112">
        <v>89.0</v>
      </c>
      <c r="AI72" s="112">
        <v>92.0</v>
      </c>
      <c r="AJ72" s="112">
        <v>82.0</v>
      </c>
      <c r="AK72" s="112">
        <v>52.0</v>
      </c>
      <c r="AL72" s="112">
        <v>62.0</v>
      </c>
      <c r="AM72" s="112">
        <v>119.0</v>
      </c>
      <c r="AN72" s="109">
        <v>1897.0</v>
      </c>
    </row>
    <row r="73">
      <c r="A73" s="107" t="s">
        <v>208</v>
      </c>
      <c r="B73" s="111" t="s">
        <v>198</v>
      </c>
      <c r="C73" s="112">
        <v>7.0</v>
      </c>
      <c r="D73" s="112">
        <v>6.0</v>
      </c>
      <c r="E73" s="112">
        <v>1.0</v>
      </c>
      <c r="F73" s="112">
        <v>6.0</v>
      </c>
      <c r="G73" s="112">
        <v>1.0</v>
      </c>
      <c r="H73" s="112">
        <v>0.0</v>
      </c>
      <c r="I73" s="112">
        <v>0.0</v>
      </c>
      <c r="J73" s="112">
        <v>0.0</v>
      </c>
      <c r="K73" s="112">
        <v>0.0</v>
      </c>
      <c r="L73" s="112">
        <v>0.0</v>
      </c>
      <c r="M73" s="112">
        <v>0.0</v>
      </c>
      <c r="N73" s="112">
        <v>0.0</v>
      </c>
      <c r="O73" s="112">
        <v>0.0</v>
      </c>
      <c r="P73" s="110">
        <v>0.0</v>
      </c>
      <c r="Q73" s="110">
        <v>0.0</v>
      </c>
      <c r="R73" s="110">
        <v>0.0</v>
      </c>
      <c r="S73" s="110">
        <v>0.0</v>
      </c>
      <c r="T73" s="110">
        <v>0.0</v>
      </c>
      <c r="U73" s="110">
        <v>0.0</v>
      </c>
      <c r="V73" s="110">
        <v>0.0</v>
      </c>
      <c r="W73" s="110">
        <v>0.0</v>
      </c>
      <c r="X73" s="110">
        <v>0.0</v>
      </c>
      <c r="Y73" s="110">
        <v>0.0</v>
      </c>
      <c r="Z73" s="110">
        <v>0.0</v>
      </c>
      <c r="AA73" s="110">
        <v>0.0</v>
      </c>
      <c r="AB73" s="110">
        <v>0.0</v>
      </c>
      <c r="AC73" s="110">
        <v>0.0</v>
      </c>
      <c r="AD73" s="110">
        <v>0.0</v>
      </c>
      <c r="AE73" s="110">
        <v>0.0</v>
      </c>
      <c r="AF73" s="110">
        <v>0.0</v>
      </c>
      <c r="AG73" s="110">
        <v>0.0</v>
      </c>
      <c r="AH73" s="110">
        <v>0.0</v>
      </c>
      <c r="AI73" s="110">
        <v>0.0</v>
      </c>
      <c r="AJ73" s="110">
        <v>0.0</v>
      </c>
      <c r="AK73" s="110">
        <v>0.0</v>
      </c>
      <c r="AL73" s="110">
        <v>0.0</v>
      </c>
      <c r="AM73" s="110">
        <v>0.0</v>
      </c>
      <c r="AN73" s="112">
        <v>7.0</v>
      </c>
    </row>
    <row r="74">
      <c r="A74" s="98"/>
      <c r="B74" s="111" t="s">
        <v>199</v>
      </c>
      <c r="C74" s="112">
        <v>90.0</v>
      </c>
      <c r="D74" s="112">
        <v>45.0</v>
      </c>
      <c r="E74" s="112">
        <v>45.0</v>
      </c>
      <c r="F74" s="112">
        <v>43.0</v>
      </c>
      <c r="G74" s="112">
        <v>43.0</v>
      </c>
      <c r="H74" s="112">
        <v>1.0</v>
      </c>
      <c r="I74" s="112">
        <v>2.0</v>
      </c>
      <c r="J74" s="112">
        <v>0.0</v>
      </c>
      <c r="K74" s="112">
        <v>0.0</v>
      </c>
      <c r="L74" s="112">
        <v>1.0</v>
      </c>
      <c r="M74" s="112">
        <v>0.0</v>
      </c>
      <c r="N74" s="112">
        <v>0.0</v>
      </c>
      <c r="O74" s="112">
        <v>0.0</v>
      </c>
      <c r="P74" s="110">
        <v>0.0</v>
      </c>
      <c r="Q74" s="110">
        <v>0.0</v>
      </c>
      <c r="R74" s="110">
        <v>0.0</v>
      </c>
      <c r="S74" s="110">
        <v>0.0</v>
      </c>
      <c r="T74" s="110">
        <v>0.0</v>
      </c>
      <c r="U74" s="110">
        <v>0.0</v>
      </c>
      <c r="V74" s="110">
        <v>0.0</v>
      </c>
      <c r="W74" s="110">
        <v>0.0</v>
      </c>
      <c r="X74" s="110">
        <v>0.0</v>
      </c>
      <c r="Y74" s="110">
        <v>0.0</v>
      </c>
      <c r="Z74" s="110">
        <v>0.0</v>
      </c>
      <c r="AA74" s="110">
        <v>0.0</v>
      </c>
      <c r="AB74" s="110">
        <v>0.0</v>
      </c>
      <c r="AC74" s="110">
        <v>0.0</v>
      </c>
      <c r="AD74" s="110">
        <v>0.0</v>
      </c>
      <c r="AE74" s="110">
        <v>0.0</v>
      </c>
      <c r="AF74" s="110">
        <v>0.0</v>
      </c>
      <c r="AG74" s="110">
        <v>0.0</v>
      </c>
      <c r="AH74" s="110">
        <v>0.0</v>
      </c>
      <c r="AI74" s="110">
        <v>0.0</v>
      </c>
      <c r="AJ74" s="110">
        <v>0.0</v>
      </c>
      <c r="AK74" s="110">
        <v>0.0</v>
      </c>
      <c r="AL74" s="110">
        <v>0.0</v>
      </c>
      <c r="AM74" s="110">
        <v>0.0</v>
      </c>
      <c r="AN74" s="112">
        <v>72.0</v>
      </c>
    </row>
    <row r="75">
      <c r="A75" s="98"/>
      <c r="B75" s="111" t="s">
        <v>206</v>
      </c>
      <c r="C75" s="112">
        <v>33.0</v>
      </c>
      <c r="D75" s="112">
        <v>18.0</v>
      </c>
      <c r="E75" s="112">
        <v>15.0</v>
      </c>
      <c r="F75" s="112">
        <v>17.0</v>
      </c>
      <c r="G75" s="112">
        <v>13.0</v>
      </c>
      <c r="H75" s="112">
        <v>1.0</v>
      </c>
      <c r="I75" s="112">
        <v>2.0</v>
      </c>
      <c r="J75" s="112">
        <v>0.0</v>
      </c>
      <c r="K75" s="112">
        <v>0.0</v>
      </c>
      <c r="L75" s="112">
        <v>0.0</v>
      </c>
      <c r="M75" s="112">
        <v>0.0</v>
      </c>
      <c r="N75" s="112">
        <v>0.0</v>
      </c>
      <c r="O75" s="112">
        <v>0.0</v>
      </c>
      <c r="P75" s="110">
        <v>0.0</v>
      </c>
      <c r="Q75" s="110">
        <v>0.0</v>
      </c>
      <c r="R75" s="110">
        <v>0.0</v>
      </c>
      <c r="S75" s="110">
        <v>0.0</v>
      </c>
      <c r="T75" s="110">
        <v>0.0</v>
      </c>
      <c r="U75" s="110">
        <v>0.0</v>
      </c>
      <c r="V75" s="110">
        <v>0.0</v>
      </c>
      <c r="W75" s="110">
        <v>0.0</v>
      </c>
      <c r="X75" s="110">
        <v>0.0</v>
      </c>
      <c r="Y75" s="110">
        <v>0.0</v>
      </c>
      <c r="Z75" s="110">
        <v>0.0</v>
      </c>
      <c r="AA75" s="110">
        <v>0.0</v>
      </c>
      <c r="AB75" s="110">
        <v>0.0</v>
      </c>
      <c r="AC75" s="110">
        <v>0.0</v>
      </c>
      <c r="AD75" s="110">
        <v>0.0</v>
      </c>
      <c r="AE75" s="110">
        <v>0.0</v>
      </c>
      <c r="AF75" s="110">
        <v>0.0</v>
      </c>
      <c r="AG75" s="110">
        <v>0.0</v>
      </c>
      <c r="AH75" s="110">
        <v>0.0</v>
      </c>
      <c r="AI75" s="110">
        <v>0.0</v>
      </c>
      <c r="AJ75" s="110">
        <v>0.0</v>
      </c>
      <c r="AK75" s="110">
        <v>0.0</v>
      </c>
      <c r="AL75" s="110">
        <v>0.0</v>
      </c>
      <c r="AM75" s="110">
        <v>0.0</v>
      </c>
      <c r="AN75" s="112">
        <v>33.0</v>
      </c>
    </row>
    <row r="76">
      <c r="A76" s="98"/>
      <c r="B76" s="111" t="s">
        <v>200</v>
      </c>
      <c r="C76" s="112">
        <v>70.0</v>
      </c>
      <c r="D76" s="112">
        <v>33.0</v>
      </c>
      <c r="E76" s="112">
        <v>37.0</v>
      </c>
      <c r="F76" s="112">
        <v>23.0</v>
      </c>
      <c r="G76" s="112">
        <v>28.0</v>
      </c>
      <c r="H76" s="112">
        <v>7.0</v>
      </c>
      <c r="I76" s="112">
        <v>3.0</v>
      </c>
      <c r="J76" s="112">
        <v>1.0</v>
      </c>
      <c r="K76" s="112">
        <v>1.0</v>
      </c>
      <c r="L76" s="112">
        <v>2.0</v>
      </c>
      <c r="M76" s="112">
        <v>4.0</v>
      </c>
      <c r="N76" s="112">
        <v>0.0</v>
      </c>
      <c r="O76" s="112">
        <v>1.0</v>
      </c>
      <c r="P76" s="110">
        <v>0.0</v>
      </c>
      <c r="Q76" s="110">
        <v>0.0</v>
      </c>
      <c r="R76" s="110">
        <v>0.0</v>
      </c>
      <c r="S76" s="110">
        <v>0.0</v>
      </c>
      <c r="T76" s="110">
        <v>0.0</v>
      </c>
      <c r="U76" s="110">
        <v>0.0</v>
      </c>
      <c r="V76" s="110">
        <v>0.0</v>
      </c>
      <c r="W76" s="110">
        <v>0.0</v>
      </c>
      <c r="X76" s="110">
        <v>0.0</v>
      </c>
      <c r="Y76" s="110">
        <v>0.0</v>
      </c>
      <c r="Z76" s="110">
        <v>0.0</v>
      </c>
      <c r="AA76" s="110">
        <v>0.0</v>
      </c>
      <c r="AB76" s="110">
        <v>0.0</v>
      </c>
      <c r="AC76" s="110">
        <v>0.0</v>
      </c>
      <c r="AD76" s="110">
        <v>0.0</v>
      </c>
      <c r="AE76" s="110">
        <v>0.0</v>
      </c>
      <c r="AF76" s="110">
        <v>0.0</v>
      </c>
      <c r="AG76" s="110">
        <v>0.0</v>
      </c>
      <c r="AH76" s="110">
        <v>0.0</v>
      </c>
      <c r="AI76" s="110">
        <v>0.0</v>
      </c>
      <c r="AJ76" s="110">
        <v>0.0</v>
      </c>
      <c r="AK76" s="110">
        <v>0.0</v>
      </c>
      <c r="AL76" s="110">
        <v>0.0</v>
      </c>
      <c r="AM76" s="110">
        <v>0.0</v>
      </c>
      <c r="AN76" s="112">
        <v>48.0</v>
      </c>
    </row>
    <row r="77">
      <c r="A77" s="104"/>
      <c r="B77" s="111" t="s">
        <v>201</v>
      </c>
      <c r="C77" s="112">
        <v>0.0</v>
      </c>
      <c r="D77" s="112">
        <v>0.0</v>
      </c>
      <c r="E77" s="112">
        <v>0.0</v>
      </c>
      <c r="F77" s="112">
        <v>0.0</v>
      </c>
      <c r="G77" s="112">
        <v>0.0</v>
      </c>
      <c r="H77" s="112">
        <v>0.0</v>
      </c>
      <c r="I77" s="112">
        <v>0.0</v>
      </c>
      <c r="J77" s="112">
        <v>0.0</v>
      </c>
      <c r="K77" s="112">
        <v>0.0</v>
      </c>
      <c r="L77" s="112">
        <v>0.0</v>
      </c>
      <c r="M77" s="112">
        <v>0.0</v>
      </c>
      <c r="N77" s="112">
        <v>0.0</v>
      </c>
      <c r="O77" s="112">
        <v>0.0</v>
      </c>
      <c r="P77" s="110">
        <v>0.0</v>
      </c>
      <c r="Q77" s="110">
        <v>0.0</v>
      </c>
      <c r="R77" s="110">
        <v>0.0</v>
      </c>
      <c r="S77" s="110">
        <v>0.0</v>
      </c>
      <c r="T77" s="110">
        <v>0.0</v>
      </c>
      <c r="U77" s="110">
        <v>0.0</v>
      </c>
      <c r="V77" s="110">
        <v>0.0</v>
      </c>
      <c r="W77" s="110">
        <v>0.0</v>
      </c>
      <c r="X77" s="110">
        <v>0.0</v>
      </c>
      <c r="Y77" s="110">
        <v>0.0</v>
      </c>
      <c r="Z77" s="110">
        <v>0.0</v>
      </c>
      <c r="AA77" s="110">
        <v>0.0</v>
      </c>
      <c r="AB77" s="110">
        <v>0.0</v>
      </c>
      <c r="AC77" s="110">
        <v>0.0</v>
      </c>
      <c r="AD77" s="110">
        <v>0.0</v>
      </c>
      <c r="AE77" s="110">
        <v>0.0</v>
      </c>
      <c r="AF77" s="110">
        <v>0.0</v>
      </c>
      <c r="AG77" s="110">
        <v>0.0</v>
      </c>
      <c r="AH77" s="110">
        <v>0.0</v>
      </c>
      <c r="AI77" s="110">
        <v>0.0</v>
      </c>
      <c r="AJ77" s="110">
        <v>0.0</v>
      </c>
      <c r="AK77" s="110">
        <v>0.0</v>
      </c>
      <c r="AL77" s="110">
        <v>0.0</v>
      </c>
      <c r="AM77" s="110">
        <v>0.0</v>
      </c>
      <c r="AN77" s="112">
        <v>0.0</v>
      </c>
    </row>
    <row r="78">
      <c r="A78" s="113" t="s">
        <v>211</v>
      </c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</row>
    <row r="79">
      <c r="A79" s="107" t="s">
        <v>197</v>
      </c>
      <c r="B79" s="108" t="s">
        <v>198</v>
      </c>
      <c r="C79" s="109">
        <v>80461.0</v>
      </c>
      <c r="D79" s="109">
        <v>26550.0</v>
      </c>
      <c r="E79" s="109">
        <v>53911.0</v>
      </c>
      <c r="F79" s="110">
        <v>0.0</v>
      </c>
      <c r="G79" s="110">
        <v>0.0</v>
      </c>
      <c r="H79" s="110">
        <v>0.0</v>
      </c>
      <c r="I79" s="110">
        <v>0.0</v>
      </c>
      <c r="J79" s="110">
        <v>0.0</v>
      </c>
      <c r="K79" s="110">
        <v>0.0</v>
      </c>
      <c r="L79" s="112">
        <v>44.0</v>
      </c>
      <c r="M79" s="112">
        <v>109.0</v>
      </c>
      <c r="N79" s="112">
        <v>38.0</v>
      </c>
      <c r="O79" s="112">
        <v>144.0</v>
      </c>
      <c r="P79" s="112">
        <v>94.0</v>
      </c>
      <c r="Q79" s="112">
        <v>265.0</v>
      </c>
      <c r="R79" s="112">
        <v>152.0</v>
      </c>
      <c r="S79" s="112">
        <v>482.0</v>
      </c>
      <c r="T79" s="112">
        <v>351.0</v>
      </c>
      <c r="U79" s="112">
        <v>897.0</v>
      </c>
      <c r="V79" s="112">
        <v>647.0</v>
      </c>
      <c r="W79" s="109">
        <v>1742.0</v>
      </c>
      <c r="X79" s="109">
        <v>1205.0</v>
      </c>
      <c r="Y79" s="109">
        <v>3135.0</v>
      </c>
      <c r="Z79" s="109">
        <v>2501.0</v>
      </c>
      <c r="AA79" s="109">
        <v>5668.0</v>
      </c>
      <c r="AB79" s="109">
        <v>3301.0</v>
      </c>
      <c r="AC79" s="109">
        <v>7457.0</v>
      </c>
      <c r="AD79" s="109">
        <v>4233.0</v>
      </c>
      <c r="AE79" s="109">
        <v>8071.0</v>
      </c>
      <c r="AF79" s="109">
        <v>4178.0</v>
      </c>
      <c r="AG79" s="109">
        <v>7559.0</v>
      </c>
      <c r="AH79" s="109">
        <v>3848.0</v>
      </c>
      <c r="AI79" s="109">
        <v>6837.0</v>
      </c>
      <c r="AJ79" s="109">
        <v>2978.0</v>
      </c>
      <c r="AK79" s="109">
        <v>5415.0</v>
      </c>
      <c r="AL79" s="109">
        <v>2980.0</v>
      </c>
      <c r="AM79" s="109">
        <v>6130.0</v>
      </c>
      <c r="AN79" s="109">
        <v>74086.0</v>
      </c>
    </row>
    <row r="80">
      <c r="A80" s="98"/>
      <c r="B80" s="111" t="s">
        <v>199</v>
      </c>
      <c r="C80" s="109">
        <v>20991.0</v>
      </c>
      <c r="D80" s="109">
        <v>7089.0</v>
      </c>
      <c r="E80" s="109">
        <v>13902.0</v>
      </c>
      <c r="F80" s="110">
        <v>0.0</v>
      </c>
      <c r="G80" s="110">
        <v>0.0</v>
      </c>
      <c r="H80" s="110">
        <v>0.0</v>
      </c>
      <c r="I80" s="110">
        <v>0.0</v>
      </c>
      <c r="J80" s="110">
        <v>0.0</v>
      </c>
      <c r="K80" s="110">
        <v>0.0</v>
      </c>
      <c r="L80" s="112">
        <v>10.0</v>
      </c>
      <c r="M80" s="112">
        <v>19.0</v>
      </c>
      <c r="N80" s="112">
        <v>3.0</v>
      </c>
      <c r="O80" s="112">
        <v>16.0</v>
      </c>
      <c r="P80" s="112">
        <v>29.0</v>
      </c>
      <c r="Q80" s="112">
        <v>53.0</v>
      </c>
      <c r="R80" s="112">
        <v>42.0</v>
      </c>
      <c r="S80" s="112">
        <v>111.0</v>
      </c>
      <c r="T80" s="112">
        <v>87.0</v>
      </c>
      <c r="U80" s="112">
        <v>211.0</v>
      </c>
      <c r="V80" s="112">
        <v>155.0</v>
      </c>
      <c r="W80" s="112">
        <v>410.0</v>
      </c>
      <c r="X80" s="112">
        <v>300.0</v>
      </c>
      <c r="Y80" s="112">
        <v>878.0</v>
      </c>
      <c r="Z80" s="112">
        <v>611.0</v>
      </c>
      <c r="AA80" s="109">
        <v>1393.0</v>
      </c>
      <c r="AB80" s="112">
        <v>811.0</v>
      </c>
      <c r="AC80" s="109">
        <v>1745.0</v>
      </c>
      <c r="AD80" s="109">
        <v>1064.0</v>
      </c>
      <c r="AE80" s="109">
        <v>1911.0</v>
      </c>
      <c r="AF80" s="109">
        <v>1149.0</v>
      </c>
      <c r="AG80" s="109">
        <v>2088.0</v>
      </c>
      <c r="AH80" s="109">
        <v>1070.0</v>
      </c>
      <c r="AI80" s="109">
        <v>2061.0</v>
      </c>
      <c r="AJ80" s="112">
        <v>923.0</v>
      </c>
      <c r="AK80" s="109">
        <v>1497.0</v>
      </c>
      <c r="AL80" s="112">
        <v>835.0</v>
      </c>
      <c r="AM80" s="109">
        <v>1509.0</v>
      </c>
      <c r="AN80" s="109">
        <v>20270.0</v>
      </c>
    </row>
    <row r="81">
      <c r="A81" s="98"/>
      <c r="B81" s="111" t="s">
        <v>200</v>
      </c>
      <c r="C81" s="109">
        <v>17669.0</v>
      </c>
      <c r="D81" s="109">
        <v>5366.0</v>
      </c>
      <c r="E81" s="109">
        <v>12303.0</v>
      </c>
      <c r="F81" s="110">
        <v>0.0</v>
      </c>
      <c r="G81" s="110">
        <v>0.0</v>
      </c>
      <c r="H81" s="110">
        <v>0.0</v>
      </c>
      <c r="I81" s="110">
        <v>0.0</v>
      </c>
      <c r="J81" s="110">
        <v>0.0</v>
      </c>
      <c r="K81" s="110">
        <v>0.0</v>
      </c>
      <c r="L81" s="112">
        <v>16.0</v>
      </c>
      <c r="M81" s="112">
        <v>34.0</v>
      </c>
      <c r="N81" s="112">
        <v>19.0</v>
      </c>
      <c r="O81" s="112">
        <v>79.0</v>
      </c>
      <c r="P81" s="112">
        <v>32.0</v>
      </c>
      <c r="Q81" s="112">
        <v>122.0</v>
      </c>
      <c r="R81" s="112">
        <v>43.0</v>
      </c>
      <c r="S81" s="112">
        <v>223.0</v>
      </c>
      <c r="T81" s="112">
        <v>111.0</v>
      </c>
      <c r="U81" s="112">
        <v>354.0</v>
      </c>
      <c r="V81" s="112">
        <v>179.0</v>
      </c>
      <c r="W81" s="112">
        <v>564.0</v>
      </c>
      <c r="X81" s="112">
        <v>284.0</v>
      </c>
      <c r="Y81" s="112">
        <v>888.0</v>
      </c>
      <c r="Z81" s="112">
        <v>546.0</v>
      </c>
      <c r="AA81" s="109">
        <v>1593.0</v>
      </c>
      <c r="AB81" s="112">
        <v>701.0</v>
      </c>
      <c r="AC81" s="109">
        <v>1644.0</v>
      </c>
      <c r="AD81" s="112">
        <v>852.0</v>
      </c>
      <c r="AE81" s="109">
        <v>1709.0</v>
      </c>
      <c r="AF81" s="112">
        <v>854.0</v>
      </c>
      <c r="AG81" s="109">
        <v>1671.0</v>
      </c>
      <c r="AH81" s="112">
        <v>750.0</v>
      </c>
      <c r="AI81" s="109">
        <v>1461.0</v>
      </c>
      <c r="AJ81" s="112">
        <v>494.0</v>
      </c>
      <c r="AK81" s="109">
        <v>1013.0</v>
      </c>
      <c r="AL81" s="112">
        <v>485.0</v>
      </c>
      <c r="AM81" s="112">
        <v>948.0</v>
      </c>
      <c r="AN81" s="109">
        <v>16716.0</v>
      </c>
    </row>
    <row r="82">
      <c r="A82" s="104"/>
      <c r="B82" s="111" t="s">
        <v>201</v>
      </c>
      <c r="C82" s="112">
        <v>34.0</v>
      </c>
      <c r="D82" s="112">
        <v>13.0</v>
      </c>
      <c r="E82" s="112">
        <v>21.0</v>
      </c>
      <c r="F82" s="110">
        <v>0.0</v>
      </c>
      <c r="G82" s="110">
        <v>0.0</v>
      </c>
      <c r="H82" s="110">
        <v>0.0</v>
      </c>
      <c r="I82" s="110">
        <v>0.0</v>
      </c>
      <c r="J82" s="110">
        <v>0.0</v>
      </c>
      <c r="K82" s="110">
        <v>0.0</v>
      </c>
      <c r="L82" s="112">
        <v>0.0</v>
      </c>
      <c r="M82" s="112">
        <v>0.0</v>
      </c>
      <c r="N82" s="112">
        <v>0.0</v>
      </c>
      <c r="O82" s="112">
        <v>0.0</v>
      </c>
      <c r="P82" s="112">
        <v>0.0</v>
      </c>
      <c r="Q82" s="112">
        <v>0.0</v>
      </c>
      <c r="R82" s="112">
        <v>0.0</v>
      </c>
      <c r="S82" s="112">
        <v>1.0</v>
      </c>
      <c r="T82" s="112">
        <v>0.0</v>
      </c>
      <c r="U82" s="112">
        <v>0.0</v>
      </c>
      <c r="V82" s="112">
        <v>1.0</v>
      </c>
      <c r="W82" s="112">
        <v>1.0</v>
      </c>
      <c r="X82" s="112">
        <v>0.0</v>
      </c>
      <c r="Y82" s="112">
        <v>0.0</v>
      </c>
      <c r="Z82" s="112">
        <v>0.0</v>
      </c>
      <c r="AA82" s="112">
        <v>1.0</v>
      </c>
      <c r="AB82" s="112">
        <v>0.0</v>
      </c>
      <c r="AC82" s="112">
        <v>2.0</v>
      </c>
      <c r="AD82" s="112">
        <v>2.0</v>
      </c>
      <c r="AE82" s="112">
        <v>1.0</v>
      </c>
      <c r="AF82" s="112">
        <v>1.0</v>
      </c>
      <c r="AG82" s="112">
        <v>3.0</v>
      </c>
      <c r="AH82" s="112">
        <v>3.0</v>
      </c>
      <c r="AI82" s="112">
        <v>5.0</v>
      </c>
      <c r="AJ82" s="112">
        <v>2.0</v>
      </c>
      <c r="AK82" s="112">
        <v>5.0</v>
      </c>
      <c r="AL82" s="112">
        <v>4.0</v>
      </c>
      <c r="AM82" s="112">
        <v>2.0</v>
      </c>
      <c r="AN82" s="112">
        <v>34.0</v>
      </c>
    </row>
    <row r="83">
      <c r="A83" s="107" t="s">
        <v>202</v>
      </c>
      <c r="B83" s="111" t="s">
        <v>198</v>
      </c>
      <c r="C83" s="112">
        <v>801.0</v>
      </c>
      <c r="D83" s="112">
        <v>445.0</v>
      </c>
      <c r="E83" s="112">
        <v>356.0</v>
      </c>
      <c r="F83" s="112">
        <v>23.0</v>
      </c>
      <c r="G83" s="112">
        <v>5.0</v>
      </c>
      <c r="H83" s="112">
        <v>13.0</v>
      </c>
      <c r="I83" s="112">
        <v>24.0</v>
      </c>
      <c r="J83" s="112">
        <v>11.0</v>
      </c>
      <c r="K83" s="112">
        <v>12.0</v>
      </c>
      <c r="L83" s="112">
        <v>26.0</v>
      </c>
      <c r="M83" s="112">
        <v>16.0</v>
      </c>
      <c r="N83" s="112">
        <v>59.0</v>
      </c>
      <c r="O83" s="112">
        <v>28.0</v>
      </c>
      <c r="P83" s="112">
        <v>57.0</v>
      </c>
      <c r="Q83" s="112">
        <v>31.0</v>
      </c>
      <c r="R83" s="112">
        <v>43.0</v>
      </c>
      <c r="S83" s="112">
        <v>30.0</v>
      </c>
      <c r="T83" s="112">
        <v>35.0</v>
      </c>
      <c r="U83" s="112">
        <v>25.0</v>
      </c>
      <c r="V83" s="112">
        <v>37.0</v>
      </c>
      <c r="W83" s="112">
        <v>27.0</v>
      </c>
      <c r="X83" s="112">
        <v>29.0</v>
      </c>
      <c r="Y83" s="112">
        <v>5.0</v>
      </c>
      <c r="Z83" s="112">
        <v>30.0</v>
      </c>
      <c r="AA83" s="112">
        <v>10.0</v>
      </c>
      <c r="AB83" s="112">
        <v>16.0</v>
      </c>
      <c r="AC83" s="112">
        <v>10.0</v>
      </c>
      <c r="AD83" s="112">
        <v>20.0</v>
      </c>
      <c r="AE83" s="112">
        <v>28.0</v>
      </c>
      <c r="AF83" s="112">
        <v>13.0</v>
      </c>
      <c r="AG83" s="112">
        <v>32.0</v>
      </c>
      <c r="AH83" s="112">
        <v>11.0</v>
      </c>
      <c r="AI83" s="112">
        <v>50.0</v>
      </c>
      <c r="AJ83" s="112">
        <v>16.0</v>
      </c>
      <c r="AK83" s="112">
        <v>10.0</v>
      </c>
      <c r="AL83" s="112">
        <v>6.0</v>
      </c>
      <c r="AM83" s="112">
        <v>13.0</v>
      </c>
      <c r="AN83" s="112">
        <v>755.0</v>
      </c>
    </row>
    <row r="84">
      <c r="A84" s="104"/>
      <c r="B84" s="111" t="s">
        <v>199</v>
      </c>
      <c r="C84" s="112">
        <v>357.0</v>
      </c>
      <c r="D84" s="112">
        <v>205.0</v>
      </c>
      <c r="E84" s="112">
        <v>152.0</v>
      </c>
      <c r="F84" s="112">
        <v>2.0</v>
      </c>
      <c r="G84" s="112">
        <v>4.0</v>
      </c>
      <c r="H84" s="112">
        <v>0.0</v>
      </c>
      <c r="I84" s="112">
        <v>1.0</v>
      </c>
      <c r="J84" s="112">
        <v>0.0</v>
      </c>
      <c r="K84" s="112">
        <v>2.0</v>
      </c>
      <c r="L84" s="112">
        <v>9.0</v>
      </c>
      <c r="M84" s="112">
        <v>3.0</v>
      </c>
      <c r="N84" s="112">
        <v>17.0</v>
      </c>
      <c r="O84" s="112">
        <v>7.0</v>
      </c>
      <c r="P84" s="112">
        <v>17.0</v>
      </c>
      <c r="Q84" s="112">
        <v>10.0</v>
      </c>
      <c r="R84" s="112">
        <v>14.0</v>
      </c>
      <c r="S84" s="112">
        <v>13.0</v>
      </c>
      <c r="T84" s="112">
        <v>9.0</v>
      </c>
      <c r="U84" s="112">
        <v>4.0</v>
      </c>
      <c r="V84" s="112">
        <v>5.0</v>
      </c>
      <c r="W84" s="112">
        <v>7.0</v>
      </c>
      <c r="X84" s="112">
        <v>15.0</v>
      </c>
      <c r="Y84" s="112">
        <v>2.0</v>
      </c>
      <c r="Z84" s="112">
        <v>14.0</v>
      </c>
      <c r="AA84" s="112">
        <v>5.0</v>
      </c>
      <c r="AB84" s="112">
        <v>5.0</v>
      </c>
      <c r="AC84" s="112">
        <v>7.0</v>
      </c>
      <c r="AD84" s="112">
        <v>5.0</v>
      </c>
      <c r="AE84" s="112">
        <v>3.0</v>
      </c>
      <c r="AF84" s="112">
        <v>28.0</v>
      </c>
      <c r="AG84" s="112">
        <v>24.0</v>
      </c>
      <c r="AH84" s="112">
        <v>32.0</v>
      </c>
      <c r="AI84" s="112">
        <v>32.0</v>
      </c>
      <c r="AJ84" s="112">
        <v>22.0</v>
      </c>
      <c r="AK84" s="112">
        <v>14.0</v>
      </c>
      <c r="AL84" s="112">
        <v>11.0</v>
      </c>
      <c r="AM84" s="112">
        <v>14.0</v>
      </c>
      <c r="AN84" s="112">
        <v>353.0</v>
      </c>
    </row>
    <row r="85">
      <c r="A85" s="107" t="s">
        <v>203</v>
      </c>
      <c r="B85" s="111" t="s">
        <v>198</v>
      </c>
      <c r="C85" s="112">
        <v>15.0</v>
      </c>
      <c r="D85" s="112">
        <v>5.0</v>
      </c>
      <c r="E85" s="112">
        <v>10.0</v>
      </c>
      <c r="F85" s="110">
        <v>0.0</v>
      </c>
      <c r="G85" s="110">
        <v>0.0</v>
      </c>
      <c r="H85" s="110">
        <v>0.0</v>
      </c>
      <c r="I85" s="110">
        <v>0.0</v>
      </c>
      <c r="J85" s="110">
        <v>0.0</v>
      </c>
      <c r="K85" s="110">
        <v>0.0</v>
      </c>
      <c r="L85" s="110">
        <v>0.0</v>
      </c>
      <c r="M85" s="110">
        <v>0.0</v>
      </c>
      <c r="N85" s="110">
        <v>0.0</v>
      </c>
      <c r="O85" s="110">
        <v>0.0</v>
      </c>
      <c r="P85" s="110">
        <v>0.0</v>
      </c>
      <c r="Q85" s="110">
        <v>0.0</v>
      </c>
      <c r="R85" s="110">
        <v>0.0</v>
      </c>
      <c r="S85" s="110">
        <v>0.0</v>
      </c>
      <c r="T85" s="110">
        <v>0.0</v>
      </c>
      <c r="U85" s="110">
        <v>0.0</v>
      </c>
      <c r="V85" s="110">
        <v>0.0</v>
      </c>
      <c r="W85" s="110">
        <v>0.0</v>
      </c>
      <c r="X85" s="110">
        <v>0.0</v>
      </c>
      <c r="Y85" s="110">
        <v>0.0</v>
      </c>
      <c r="Z85" s="110">
        <v>0.0</v>
      </c>
      <c r="AA85" s="110">
        <v>0.0</v>
      </c>
      <c r="AB85" s="110">
        <v>0.0</v>
      </c>
      <c r="AC85" s="110">
        <v>0.0</v>
      </c>
      <c r="AD85" s="110">
        <v>0.0</v>
      </c>
      <c r="AE85" s="110">
        <v>0.0</v>
      </c>
      <c r="AF85" s="112">
        <v>0.0</v>
      </c>
      <c r="AG85" s="112">
        <v>1.0</v>
      </c>
      <c r="AH85" s="112">
        <v>0.0</v>
      </c>
      <c r="AI85" s="112">
        <v>0.0</v>
      </c>
      <c r="AJ85" s="112">
        <v>0.0</v>
      </c>
      <c r="AK85" s="112">
        <v>3.0</v>
      </c>
      <c r="AL85" s="112">
        <v>5.0</v>
      </c>
      <c r="AM85" s="112">
        <v>6.0</v>
      </c>
      <c r="AN85" s="112">
        <v>12.0</v>
      </c>
    </row>
    <row r="86">
      <c r="A86" s="104"/>
      <c r="B86" s="111" t="s">
        <v>199</v>
      </c>
      <c r="C86" s="109">
        <v>1737.0</v>
      </c>
      <c r="D86" s="112">
        <v>620.0</v>
      </c>
      <c r="E86" s="109">
        <v>1117.0</v>
      </c>
      <c r="F86" s="110">
        <v>0.0</v>
      </c>
      <c r="G86" s="110">
        <v>0.0</v>
      </c>
      <c r="H86" s="110">
        <v>0.0</v>
      </c>
      <c r="I86" s="110">
        <v>0.0</v>
      </c>
      <c r="J86" s="110">
        <v>0.0</v>
      </c>
      <c r="K86" s="110">
        <v>0.0</v>
      </c>
      <c r="L86" s="110">
        <v>0.0</v>
      </c>
      <c r="M86" s="110">
        <v>0.0</v>
      </c>
      <c r="N86" s="110">
        <v>0.0</v>
      </c>
      <c r="O86" s="110">
        <v>0.0</v>
      </c>
      <c r="P86" s="110">
        <v>0.0</v>
      </c>
      <c r="Q86" s="110">
        <v>0.0</v>
      </c>
      <c r="R86" s="110">
        <v>0.0</v>
      </c>
      <c r="S86" s="110">
        <v>0.0</v>
      </c>
      <c r="T86" s="110">
        <v>0.0</v>
      </c>
      <c r="U86" s="110">
        <v>0.0</v>
      </c>
      <c r="V86" s="110">
        <v>0.0</v>
      </c>
      <c r="W86" s="110">
        <v>0.0</v>
      </c>
      <c r="X86" s="110">
        <v>0.0</v>
      </c>
      <c r="Y86" s="110">
        <v>0.0</v>
      </c>
      <c r="Z86" s="110">
        <v>0.0</v>
      </c>
      <c r="AA86" s="110">
        <v>0.0</v>
      </c>
      <c r="AB86" s="110">
        <v>0.0</v>
      </c>
      <c r="AC86" s="110">
        <v>0.0</v>
      </c>
      <c r="AD86" s="110">
        <v>0.0</v>
      </c>
      <c r="AE86" s="110">
        <v>0.0</v>
      </c>
      <c r="AF86" s="112">
        <v>147.0</v>
      </c>
      <c r="AG86" s="112">
        <v>292.0</v>
      </c>
      <c r="AH86" s="112">
        <v>191.0</v>
      </c>
      <c r="AI86" s="112">
        <v>333.0</v>
      </c>
      <c r="AJ86" s="112">
        <v>155.0</v>
      </c>
      <c r="AK86" s="112">
        <v>253.0</v>
      </c>
      <c r="AL86" s="112">
        <v>127.0</v>
      </c>
      <c r="AM86" s="112">
        <v>239.0</v>
      </c>
      <c r="AN86" s="109">
        <v>1747.0</v>
      </c>
    </row>
    <row r="87">
      <c r="A87" s="107" t="s">
        <v>204</v>
      </c>
      <c r="B87" s="111" t="s">
        <v>198</v>
      </c>
      <c r="C87" s="112">
        <v>0.0</v>
      </c>
      <c r="D87" s="112">
        <v>0.0</v>
      </c>
      <c r="E87" s="112">
        <v>0.0</v>
      </c>
      <c r="F87" s="110">
        <v>0.0</v>
      </c>
      <c r="G87" s="110">
        <v>0.0</v>
      </c>
      <c r="H87" s="110">
        <v>0.0</v>
      </c>
      <c r="I87" s="110">
        <v>0.0</v>
      </c>
      <c r="J87" s="110">
        <v>0.0</v>
      </c>
      <c r="K87" s="110">
        <v>0.0</v>
      </c>
      <c r="L87" s="110">
        <v>0.0</v>
      </c>
      <c r="M87" s="110">
        <v>0.0</v>
      </c>
      <c r="N87" s="110">
        <v>0.0</v>
      </c>
      <c r="O87" s="110">
        <v>0.0</v>
      </c>
      <c r="P87" s="110">
        <v>0.0</v>
      </c>
      <c r="Q87" s="110">
        <v>0.0</v>
      </c>
      <c r="R87" s="110">
        <v>0.0</v>
      </c>
      <c r="S87" s="110">
        <v>0.0</v>
      </c>
      <c r="T87" s="110">
        <v>0.0</v>
      </c>
      <c r="U87" s="110">
        <v>0.0</v>
      </c>
      <c r="V87" s="110">
        <v>0.0</v>
      </c>
      <c r="W87" s="110">
        <v>0.0</v>
      </c>
      <c r="X87" s="110">
        <v>0.0</v>
      </c>
      <c r="Y87" s="110">
        <v>0.0</v>
      </c>
      <c r="Z87" s="110">
        <v>0.0</v>
      </c>
      <c r="AA87" s="110">
        <v>0.0</v>
      </c>
      <c r="AB87" s="110">
        <v>0.0</v>
      </c>
      <c r="AC87" s="110">
        <v>0.0</v>
      </c>
      <c r="AD87" s="110">
        <v>0.0</v>
      </c>
      <c r="AE87" s="110">
        <v>0.0</v>
      </c>
      <c r="AF87" s="112">
        <v>0.0</v>
      </c>
      <c r="AG87" s="112">
        <v>0.0</v>
      </c>
      <c r="AH87" s="112">
        <v>0.0</v>
      </c>
      <c r="AI87" s="112">
        <v>0.0</v>
      </c>
      <c r="AJ87" s="112">
        <v>0.0</v>
      </c>
      <c r="AK87" s="112">
        <v>0.0</v>
      </c>
      <c r="AL87" s="112">
        <v>0.0</v>
      </c>
      <c r="AM87" s="112">
        <v>0.0</v>
      </c>
      <c r="AN87" s="112">
        <v>0.0</v>
      </c>
    </row>
    <row r="88">
      <c r="A88" s="104"/>
      <c r="B88" s="111" t="s">
        <v>199</v>
      </c>
      <c r="C88" s="109">
        <v>1224.0</v>
      </c>
      <c r="D88" s="112">
        <v>262.0</v>
      </c>
      <c r="E88" s="112">
        <v>962.0</v>
      </c>
      <c r="F88" s="110">
        <v>0.0</v>
      </c>
      <c r="G88" s="110">
        <v>0.0</v>
      </c>
      <c r="H88" s="110">
        <v>0.0</v>
      </c>
      <c r="I88" s="110">
        <v>0.0</v>
      </c>
      <c r="J88" s="110">
        <v>0.0</v>
      </c>
      <c r="K88" s="110">
        <v>0.0</v>
      </c>
      <c r="L88" s="110">
        <v>0.0</v>
      </c>
      <c r="M88" s="110">
        <v>0.0</v>
      </c>
      <c r="N88" s="110">
        <v>0.0</v>
      </c>
      <c r="O88" s="110">
        <v>0.0</v>
      </c>
      <c r="P88" s="110">
        <v>0.0</v>
      </c>
      <c r="Q88" s="110">
        <v>0.0</v>
      </c>
      <c r="R88" s="110">
        <v>0.0</v>
      </c>
      <c r="S88" s="110">
        <v>0.0</v>
      </c>
      <c r="T88" s="110">
        <v>0.0</v>
      </c>
      <c r="U88" s="110">
        <v>0.0</v>
      </c>
      <c r="V88" s="110">
        <v>0.0</v>
      </c>
      <c r="W88" s="110">
        <v>0.0</v>
      </c>
      <c r="X88" s="110">
        <v>0.0</v>
      </c>
      <c r="Y88" s="110">
        <v>0.0</v>
      </c>
      <c r="Z88" s="110">
        <v>0.0</v>
      </c>
      <c r="AA88" s="110">
        <v>0.0</v>
      </c>
      <c r="AB88" s="110">
        <v>0.0</v>
      </c>
      <c r="AC88" s="110">
        <v>0.0</v>
      </c>
      <c r="AD88" s="110">
        <v>0.0</v>
      </c>
      <c r="AE88" s="110">
        <v>0.0</v>
      </c>
      <c r="AF88" s="112">
        <v>32.0</v>
      </c>
      <c r="AG88" s="112">
        <v>95.0</v>
      </c>
      <c r="AH88" s="112">
        <v>47.0</v>
      </c>
      <c r="AI88" s="112">
        <v>149.0</v>
      </c>
      <c r="AJ88" s="112">
        <v>51.0</v>
      </c>
      <c r="AK88" s="112">
        <v>388.0</v>
      </c>
      <c r="AL88" s="112">
        <v>132.0</v>
      </c>
      <c r="AM88" s="112">
        <v>330.0</v>
      </c>
      <c r="AN88" s="109">
        <v>1150.0</v>
      </c>
    </row>
    <row r="89">
      <c r="A89" s="107" t="s">
        <v>205</v>
      </c>
      <c r="B89" s="111" t="s">
        <v>198</v>
      </c>
      <c r="C89" s="112">
        <v>16.0</v>
      </c>
      <c r="D89" s="112">
        <v>8.0</v>
      </c>
      <c r="E89" s="112">
        <v>8.0</v>
      </c>
      <c r="F89" s="112">
        <v>0.0</v>
      </c>
      <c r="G89" s="112">
        <v>0.0</v>
      </c>
      <c r="H89" s="112">
        <v>0.0</v>
      </c>
      <c r="I89" s="112">
        <v>1.0</v>
      </c>
      <c r="J89" s="112">
        <v>0.0</v>
      </c>
      <c r="K89" s="112">
        <v>0.0</v>
      </c>
      <c r="L89" s="112">
        <v>1.0</v>
      </c>
      <c r="M89" s="112">
        <v>1.0</v>
      </c>
      <c r="N89" s="112">
        <v>1.0</v>
      </c>
      <c r="O89" s="112">
        <v>2.0</v>
      </c>
      <c r="P89" s="112">
        <v>3.0</v>
      </c>
      <c r="Q89" s="112">
        <v>2.0</v>
      </c>
      <c r="R89" s="112">
        <v>1.0</v>
      </c>
      <c r="S89" s="112">
        <v>1.0</v>
      </c>
      <c r="T89" s="112">
        <v>0.0</v>
      </c>
      <c r="U89" s="112">
        <v>0.0</v>
      </c>
      <c r="V89" s="112">
        <v>0.0</v>
      </c>
      <c r="W89" s="112">
        <v>0.0</v>
      </c>
      <c r="X89" s="112">
        <v>0.0</v>
      </c>
      <c r="Y89" s="112">
        <v>0.0</v>
      </c>
      <c r="Z89" s="112">
        <v>0.0</v>
      </c>
      <c r="AA89" s="112">
        <v>0.0</v>
      </c>
      <c r="AB89" s="112">
        <v>1.0</v>
      </c>
      <c r="AC89" s="112">
        <v>0.0</v>
      </c>
      <c r="AD89" s="112">
        <v>0.0</v>
      </c>
      <c r="AE89" s="112">
        <v>0.0</v>
      </c>
      <c r="AF89" s="112">
        <v>0.0</v>
      </c>
      <c r="AG89" s="112">
        <v>1.0</v>
      </c>
      <c r="AH89" s="112">
        <v>0.0</v>
      </c>
      <c r="AI89" s="112">
        <v>0.0</v>
      </c>
      <c r="AJ89" s="112">
        <v>1.0</v>
      </c>
      <c r="AK89" s="112">
        <v>0.0</v>
      </c>
      <c r="AL89" s="112">
        <v>0.0</v>
      </c>
      <c r="AM89" s="112">
        <v>0.0</v>
      </c>
      <c r="AN89" s="112">
        <v>13.0</v>
      </c>
    </row>
    <row r="90">
      <c r="A90" s="98"/>
      <c r="B90" s="111" t="s">
        <v>199</v>
      </c>
      <c r="C90" s="112">
        <v>6.0</v>
      </c>
      <c r="D90" s="112">
        <v>0.0</v>
      </c>
      <c r="E90" s="112">
        <v>6.0</v>
      </c>
      <c r="F90" s="112">
        <v>0.0</v>
      </c>
      <c r="G90" s="112">
        <v>0.0</v>
      </c>
      <c r="H90" s="112">
        <v>0.0</v>
      </c>
      <c r="I90" s="112">
        <v>0.0</v>
      </c>
      <c r="J90" s="112">
        <v>0.0</v>
      </c>
      <c r="K90" s="112">
        <v>0.0</v>
      </c>
      <c r="L90" s="112">
        <v>0.0</v>
      </c>
      <c r="M90" s="112">
        <v>2.0</v>
      </c>
      <c r="N90" s="112">
        <v>0.0</v>
      </c>
      <c r="O90" s="112">
        <v>3.0</v>
      </c>
      <c r="P90" s="112">
        <v>0.0</v>
      </c>
      <c r="Q90" s="112">
        <v>0.0</v>
      </c>
      <c r="R90" s="112">
        <v>0.0</v>
      </c>
      <c r="S90" s="112">
        <v>0.0</v>
      </c>
      <c r="T90" s="112">
        <v>0.0</v>
      </c>
      <c r="U90" s="112">
        <v>1.0</v>
      </c>
      <c r="V90" s="112">
        <v>0.0</v>
      </c>
      <c r="W90" s="112">
        <v>0.0</v>
      </c>
      <c r="X90" s="112">
        <v>0.0</v>
      </c>
      <c r="Y90" s="112">
        <v>0.0</v>
      </c>
      <c r="Z90" s="112">
        <v>0.0</v>
      </c>
      <c r="AA90" s="112">
        <v>0.0</v>
      </c>
      <c r="AB90" s="112">
        <v>0.0</v>
      </c>
      <c r="AC90" s="112">
        <v>0.0</v>
      </c>
      <c r="AD90" s="112">
        <v>0.0</v>
      </c>
      <c r="AE90" s="112">
        <v>0.0</v>
      </c>
      <c r="AF90" s="112">
        <v>0.0</v>
      </c>
      <c r="AG90" s="112">
        <v>0.0</v>
      </c>
      <c r="AH90" s="112">
        <v>0.0</v>
      </c>
      <c r="AI90" s="112">
        <v>0.0</v>
      </c>
      <c r="AJ90" s="112">
        <v>0.0</v>
      </c>
      <c r="AK90" s="112">
        <v>0.0</v>
      </c>
      <c r="AL90" s="112">
        <v>0.0</v>
      </c>
      <c r="AM90" s="112">
        <v>0.0</v>
      </c>
      <c r="AN90" s="112">
        <v>6.0</v>
      </c>
    </row>
    <row r="91">
      <c r="A91" s="104"/>
      <c r="B91" s="111" t="s">
        <v>206</v>
      </c>
      <c r="C91" s="112">
        <v>402.0</v>
      </c>
      <c r="D91" s="112">
        <v>90.0</v>
      </c>
      <c r="E91" s="112">
        <v>312.0</v>
      </c>
      <c r="F91" s="112">
        <v>0.0</v>
      </c>
      <c r="G91" s="112">
        <v>0.0</v>
      </c>
      <c r="H91" s="112">
        <v>0.0</v>
      </c>
      <c r="I91" s="112">
        <v>0.0</v>
      </c>
      <c r="J91" s="112">
        <v>0.0</v>
      </c>
      <c r="K91" s="112">
        <v>1.0</v>
      </c>
      <c r="L91" s="112">
        <v>17.0</v>
      </c>
      <c r="M91" s="112">
        <v>67.0</v>
      </c>
      <c r="N91" s="112">
        <v>25.0</v>
      </c>
      <c r="O91" s="112">
        <v>57.0</v>
      </c>
      <c r="P91" s="112">
        <v>22.0</v>
      </c>
      <c r="Q91" s="112">
        <v>45.0</v>
      </c>
      <c r="R91" s="112">
        <v>7.0</v>
      </c>
      <c r="S91" s="112">
        <v>58.0</v>
      </c>
      <c r="T91" s="112">
        <v>2.0</v>
      </c>
      <c r="U91" s="112">
        <v>20.0</v>
      </c>
      <c r="V91" s="112">
        <v>7.0</v>
      </c>
      <c r="W91" s="112">
        <v>29.0</v>
      </c>
      <c r="X91" s="112">
        <v>2.0</v>
      </c>
      <c r="Y91" s="112">
        <v>14.0</v>
      </c>
      <c r="Z91" s="112">
        <v>2.0</v>
      </c>
      <c r="AA91" s="112">
        <v>5.0</v>
      </c>
      <c r="AB91" s="112">
        <v>4.0</v>
      </c>
      <c r="AC91" s="112">
        <v>0.0</v>
      </c>
      <c r="AD91" s="112">
        <v>1.0</v>
      </c>
      <c r="AE91" s="112">
        <v>8.0</v>
      </c>
      <c r="AF91" s="112">
        <v>1.0</v>
      </c>
      <c r="AG91" s="112">
        <v>1.0</v>
      </c>
      <c r="AH91" s="112">
        <v>0.0</v>
      </c>
      <c r="AI91" s="112">
        <v>6.0</v>
      </c>
      <c r="AJ91" s="112">
        <v>0.0</v>
      </c>
      <c r="AK91" s="112">
        <v>0.0</v>
      </c>
      <c r="AL91" s="112">
        <v>0.0</v>
      </c>
      <c r="AM91" s="112">
        <v>1.0</v>
      </c>
      <c r="AN91" s="112">
        <v>402.0</v>
      </c>
    </row>
    <row r="92">
      <c r="A92" s="107" t="s">
        <v>207</v>
      </c>
      <c r="B92" s="111" t="s">
        <v>198</v>
      </c>
      <c r="C92" s="109">
        <v>38489.0</v>
      </c>
      <c r="D92" s="109">
        <v>10305.0</v>
      </c>
      <c r="E92" s="109">
        <v>28184.0</v>
      </c>
      <c r="F92" s="112">
        <v>104.0</v>
      </c>
      <c r="G92" s="112">
        <v>55.0</v>
      </c>
      <c r="H92" s="112">
        <v>52.0</v>
      </c>
      <c r="I92" s="112">
        <v>60.0</v>
      </c>
      <c r="J92" s="112">
        <v>76.0</v>
      </c>
      <c r="K92" s="112">
        <v>96.0</v>
      </c>
      <c r="L92" s="112">
        <v>77.0</v>
      </c>
      <c r="M92" s="112">
        <v>199.0</v>
      </c>
      <c r="N92" s="112">
        <v>82.0</v>
      </c>
      <c r="O92" s="112">
        <v>303.0</v>
      </c>
      <c r="P92" s="112">
        <v>89.0</v>
      </c>
      <c r="Q92" s="112">
        <v>357.0</v>
      </c>
      <c r="R92" s="112">
        <v>108.0</v>
      </c>
      <c r="S92" s="112">
        <v>449.0</v>
      </c>
      <c r="T92" s="112">
        <v>159.0</v>
      </c>
      <c r="U92" s="112">
        <v>694.0</v>
      </c>
      <c r="V92" s="112">
        <v>175.0</v>
      </c>
      <c r="W92" s="112">
        <v>825.0</v>
      </c>
      <c r="X92" s="112">
        <v>452.0</v>
      </c>
      <c r="Y92" s="109">
        <v>1459.0</v>
      </c>
      <c r="Z92" s="112">
        <v>823.0</v>
      </c>
      <c r="AA92" s="109">
        <v>2325.0</v>
      </c>
      <c r="AB92" s="109">
        <v>1086.0</v>
      </c>
      <c r="AC92" s="109">
        <v>3055.0</v>
      </c>
      <c r="AD92" s="109">
        <v>1090.0</v>
      </c>
      <c r="AE92" s="109">
        <v>3666.0</v>
      </c>
      <c r="AF92" s="109">
        <v>1606.0</v>
      </c>
      <c r="AG92" s="109">
        <v>3671.0</v>
      </c>
      <c r="AH92" s="109">
        <v>1456.0</v>
      </c>
      <c r="AI92" s="109">
        <v>3935.0</v>
      </c>
      <c r="AJ92" s="109">
        <v>1412.0</v>
      </c>
      <c r="AK92" s="109">
        <v>2968.0</v>
      </c>
      <c r="AL92" s="109">
        <v>1458.0</v>
      </c>
      <c r="AM92" s="109">
        <v>4067.0</v>
      </c>
      <c r="AN92" s="109">
        <v>37023.0</v>
      </c>
    </row>
    <row r="93">
      <c r="A93" s="98"/>
      <c r="B93" s="111" t="s">
        <v>199</v>
      </c>
      <c r="C93" s="109">
        <v>5474.0</v>
      </c>
      <c r="D93" s="109">
        <v>2349.0</v>
      </c>
      <c r="E93" s="109">
        <v>3125.0</v>
      </c>
      <c r="F93" s="112">
        <v>6.0</v>
      </c>
      <c r="G93" s="112">
        <v>7.0</v>
      </c>
      <c r="H93" s="112">
        <v>3.0</v>
      </c>
      <c r="I93" s="112">
        <v>3.0</v>
      </c>
      <c r="J93" s="112">
        <v>1.0</v>
      </c>
      <c r="K93" s="112">
        <v>1.0</v>
      </c>
      <c r="L93" s="112">
        <v>2.0</v>
      </c>
      <c r="M93" s="112">
        <v>14.0</v>
      </c>
      <c r="N93" s="112">
        <v>2.0</v>
      </c>
      <c r="O93" s="112">
        <v>18.0</v>
      </c>
      <c r="P93" s="112">
        <v>9.0</v>
      </c>
      <c r="Q93" s="112">
        <v>37.0</v>
      </c>
      <c r="R93" s="112">
        <v>11.0</v>
      </c>
      <c r="S93" s="112">
        <v>41.0</v>
      </c>
      <c r="T93" s="112">
        <v>17.0</v>
      </c>
      <c r="U93" s="112">
        <v>46.0</v>
      </c>
      <c r="V93" s="112">
        <v>18.0</v>
      </c>
      <c r="W93" s="112">
        <v>89.0</v>
      </c>
      <c r="X93" s="112">
        <v>184.0</v>
      </c>
      <c r="Y93" s="112">
        <v>170.0</v>
      </c>
      <c r="Z93" s="112">
        <v>348.0</v>
      </c>
      <c r="AA93" s="112">
        <v>249.0</v>
      </c>
      <c r="AB93" s="112">
        <v>382.0</v>
      </c>
      <c r="AC93" s="112">
        <v>290.0</v>
      </c>
      <c r="AD93" s="112">
        <v>156.0</v>
      </c>
      <c r="AE93" s="112">
        <v>386.0</v>
      </c>
      <c r="AF93" s="112">
        <v>434.0</v>
      </c>
      <c r="AG93" s="112">
        <v>404.0</v>
      </c>
      <c r="AH93" s="112">
        <v>298.0</v>
      </c>
      <c r="AI93" s="112">
        <v>713.0</v>
      </c>
      <c r="AJ93" s="112">
        <v>270.0</v>
      </c>
      <c r="AK93" s="112">
        <v>305.0</v>
      </c>
      <c r="AL93" s="112">
        <v>208.0</v>
      </c>
      <c r="AM93" s="112">
        <v>352.0</v>
      </c>
      <c r="AN93" s="109">
        <v>5347.0</v>
      </c>
    </row>
    <row r="94">
      <c r="A94" s="98"/>
      <c r="B94" s="111" t="s">
        <v>206</v>
      </c>
      <c r="C94" s="109">
        <v>1198.0</v>
      </c>
      <c r="D94" s="112">
        <v>673.0</v>
      </c>
      <c r="E94" s="112">
        <v>525.0</v>
      </c>
      <c r="F94" s="112">
        <v>20.0</v>
      </c>
      <c r="G94" s="112">
        <v>24.0</v>
      </c>
      <c r="H94" s="112">
        <v>1.0</v>
      </c>
      <c r="I94" s="112">
        <v>3.0</v>
      </c>
      <c r="J94" s="112">
        <v>0.0</v>
      </c>
      <c r="K94" s="112">
        <v>2.0</v>
      </c>
      <c r="L94" s="112">
        <v>0.0</v>
      </c>
      <c r="M94" s="112">
        <v>33.0</v>
      </c>
      <c r="N94" s="112">
        <v>4.0</v>
      </c>
      <c r="O94" s="112">
        <v>59.0</v>
      </c>
      <c r="P94" s="112">
        <v>1.0</v>
      </c>
      <c r="Q94" s="112">
        <v>53.0</v>
      </c>
      <c r="R94" s="112">
        <v>0.0</v>
      </c>
      <c r="S94" s="112">
        <v>61.0</v>
      </c>
      <c r="T94" s="112">
        <v>2.0</v>
      </c>
      <c r="U94" s="112">
        <v>9.0</v>
      </c>
      <c r="V94" s="112">
        <v>0.0</v>
      </c>
      <c r="W94" s="112">
        <v>38.0</v>
      </c>
      <c r="X94" s="112">
        <v>78.0</v>
      </c>
      <c r="Y94" s="112">
        <v>9.0</v>
      </c>
      <c r="Z94" s="112">
        <v>150.0</v>
      </c>
      <c r="AA94" s="112">
        <v>11.0</v>
      </c>
      <c r="AB94" s="112">
        <v>152.0</v>
      </c>
      <c r="AC94" s="112">
        <v>17.0</v>
      </c>
      <c r="AD94" s="112">
        <v>3.0</v>
      </c>
      <c r="AE94" s="112">
        <v>13.0</v>
      </c>
      <c r="AF94" s="112">
        <v>135.0</v>
      </c>
      <c r="AG94" s="112">
        <v>13.0</v>
      </c>
      <c r="AH94" s="112">
        <v>47.0</v>
      </c>
      <c r="AI94" s="112">
        <v>160.0</v>
      </c>
      <c r="AJ94" s="112">
        <v>72.0</v>
      </c>
      <c r="AK94" s="112">
        <v>12.0</v>
      </c>
      <c r="AL94" s="112">
        <v>8.0</v>
      </c>
      <c r="AM94" s="112">
        <v>8.0</v>
      </c>
      <c r="AN94" s="109">
        <v>1198.0</v>
      </c>
    </row>
    <row r="95">
      <c r="A95" s="98"/>
      <c r="B95" s="111" t="s">
        <v>200</v>
      </c>
      <c r="C95" s="109">
        <v>15532.0</v>
      </c>
      <c r="D95" s="109">
        <v>6006.0</v>
      </c>
      <c r="E95" s="109">
        <v>9526.0</v>
      </c>
      <c r="F95" s="109">
        <v>3778.0</v>
      </c>
      <c r="G95" s="109">
        <v>3569.0</v>
      </c>
      <c r="H95" s="112">
        <v>526.0</v>
      </c>
      <c r="I95" s="112">
        <v>589.0</v>
      </c>
      <c r="J95" s="112">
        <v>185.0</v>
      </c>
      <c r="K95" s="112">
        <v>245.0</v>
      </c>
      <c r="L95" s="112">
        <v>143.0</v>
      </c>
      <c r="M95" s="112">
        <v>538.0</v>
      </c>
      <c r="N95" s="112">
        <v>152.0</v>
      </c>
      <c r="O95" s="112">
        <v>616.0</v>
      </c>
      <c r="P95" s="112">
        <v>163.0</v>
      </c>
      <c r="Q95" s="112">
        <v>587.0</v>
      </c>
      <c r="R95" s="112">
        <v>143.0</v>
      </c>
      <c r="S95" s="112">
        <v>470.0</v>
      </c>
      <c r="T95" s="112">
        <v>102.0</v>
      </c>
      <c r="U95" s="112">
        <v>342.0</v>
      </c>
      <c r="V95" s="112">
        <v>56.0</v>
      </c>
      <c r="W95" s="112">
        <v>324.0</v>
      </c>
      <c r="X95" s="112">
        <v>79.0</v>
      </c>
      <c r="Y95" s="112">
        <v>293.0</v>
      </c>
      <c r="Z95" s="112">
        <v>83.0</v>
      </c>
      <c r="AA95" s="112">
        <v>359.0</v>
      </c>
      <c r="AB95" s="112">
        <v>122.0</v>
      </c>
      <c r="AC95" s="112">
        <v>371.0</v>
      </c>
      <c r="AD95" s="112">
        <v>71.0</v>
      </c>
      <c r="AE95" s="112">
        <v>327.0</v>
      </c>
      <c r="AF95" s="112">
        <v>111.0</v>
      </c>
      <c r="AG95" s="112">
        <v>326.0</v>
      </c>
      <c r="AH95" s="112">
        <v>105.0</v>
      </c>
      <c r="AI95" s="112">
        <v>214.0</v>
      </c>
      <c r="AJ95" s="112">
        <v>81.0</v>
      </c>
      <c r="AK95" s="112">
        <v>154.0</v>
      </c>
      <c r="AL95" s="112">
        <v>106.0</v>
      </c>
      <c r="AM95" s="112">
        <v>202.0</v>
      </c>
      <c r="AN95" s="109">
        <v>15165.0</v>
      </c>
    </row>
    <row r="96">
      <c r="A96" s="104"/>
      <c r="B96" s="111" t="s">
        <v>201</v>
      </c>
      <c r="C96" s="109">
        <v>1557.0</v>
      </c>
      <c r="D96" s="112">
        <v>999.0</v>
      </c>
      <c r="E96" s="112">
        <v>558.0</v>
      </c>
      <c r="F96" s="112">
        <v>31.0</v>
      </c>
      <c r="G96" s="112">
        <v>29.0</v>
      </c>
      <c r="H96" s="112">
        <v>35.0</v>
      </c>
      <c r="I96" s="112">
        <v>52.0</v>
      </c>
      <c r="J96" s="112">
        <v>10.0</v>
      </c>
      <c r="K96" s="112">
        <v>17.0</v>
      </c>
      <c r="L96" s="112">
        <v>21.0</v>
      </c>
      <c r="M96" s="112">
        <v>21.0</v>
      </c>
      <c r="N96" s="112">
        <v>19.0</v>
      </c>
      <c r="O96" s="112">
        <v>22.0</v>
      </c>
      <c r="P96" s="112">
        <v>23.0</v>
      </c>
      <c r="Q96" s="112">
        <v>28.0</v>
      </c>
      <c r="R96" s="112">
        <v>25.0</v>
      </c>
      <c r="S96" s="112">
        <v>31.0</v>
      </c>
      <c r="T96" s="112">
        <v>25.0</v>
      </c>
      <c r="U96" s="112">
        <v>26.0</v>
      </c>
      <c r="V96" s="112">
        <v>18.0</v>
      </c>
      <c r="W96" s="112">
        <v>20.0</v>
      </c>
      <c r="X96" s="112">
        <v>97.0</v>
      </c>
      <c r="Y96" s="112">
        <v>39.0</v>
      </c>
      <c r="Z96" s="112">
        <v>165.0</v>
      </c>
      <c r="AA96" s="112">
        <v>27.0</v>
      </c>
      <c r="AB96" s="112">
        <v>164.0</v>
      </c>
      <c r="AC96" s="112">
        <v>19.0</v>
      </c>
      <c r="AD96" s="112">
        <v>38.0</v>
      </c>
      <c r="AE96" s="112">
        <v>56.0</v>
      </c>
      <c r="AF96" s="112">
        <v>133.0</v>
      </c>
      <c r="AG96" s="112">
        <v>16.0</v>
      </c>
      <c r="AH96" s="112">
        <v>85.0</v>
      </c>
      <c r="AI96" s="112">
        <v>138.0</v>
      </c>
      <c r="AJ96" s="112">
        <v>47.0</v>
      </c>
      <c r="AK96" s="112">
        <v>4.0</v>
      </c>
      <c r="AL96" s="112">
        <v>63.0</v>
      </c>
      <c r="AM96" s="112">
        <v>13.0</v>
      </c>
      <c r="AN96" s="109">
        <v>1496.0</v>
      </c>
    </row>
    <row r="97">
      <c r="A97" s="107" t="s">
        <v>208</v>
      </c>
      <c r="B97" s="111" t="s">
        <v>198</v>
      </c>
      <c r="C97" s="112">
        <v>377.0</v>
      </c>
      <c r="D97" s="112">
        <v>189.0</v>
      </c>
      <c r="E97" s="112">
        <v>188.0</v>
      </c>
      <c r="F97" s="112">
        <v>127.0</v>
      </c>
      <c r="G97" s="112">
        <v>107.0</v>
      </c>
      <c r="H97" s="112">
        <v>33.0</v>
      </c>
      <c r="I97" s="112">
        <v>39.0</v>
      </c>
      <c r="J97" s="112">
        <v>17.0</v>
      </c>
      <c r="K97" s="112">
        <v>31.0</v>
      </c>
      <c r="L97" s="112">
        <v>12.0</v>
      </c>
      <c r="M97" s="112">
        <v>10.0</v>
      </c>
      <c r="N97" s="112">
        <v>0.0</v>
      </c>
      <c r="O97" s="112">
        <v>1.0</v>
      </c>
      <c r="P97" s="110">
        <v>0.0</v>
      </c>
      <c r="Q97" s="110">
        <v>0.0</v>
      </c>
      <c r="R97" s="110">
        <v>0.0</v>
      </c>
      <c r="S97" s="110">
        <v>0.0</v>
      </c>
      <c r="T97" s="110">
        <v>0.0</v>
      </c>
      <c r="U97" s="110">
        <v>0.0</v>
      </c>
      <c r="V97" s="110">
        <v>0.0</v>
      </c>
      <c r="W97" s="110">
        <v>0.0</v>
      </c>
      <c r="X97" s="110">
        <v>0.0</v>
      </c>
      <c r="Y97" s="110">
        <v>0.0</v>
      </c>
      <c r="Z97" s="110">
        <v>0.0</v>
      </c>
      <c r="AA97" s="110">
        <v>0.0</v>
      </c>
      <c r="AB97" s="110">
        <v>0.0</v>
      </c>
      <c r="AC97" s="110">
        <v>0.0</v>
      </c>
      <c r="AD97" s="110">
        <v>0.0</v>
      </c>
      <c r="AE97" s="110">
        <v>0.0</v>
      </c>
      <c r="AF97" s="110">
        <v>0.0</v>
      </c>
      <c r="AG97" s="110">
        <v>0.0</v>
      </c>
      <c r="AH97" s="110">
        <v>0.0</v>
      </c>
      <c r="AI97" s="110">
        <v>0.0</v>
      </c>
      <c r="AJ97" s="110">
        <v>0.0</v>
      </c>
      <c r="AK97" s="110">
        <v>0.0</v>
      </c>
      <c r="AL97" s="110">
        <v>0.0</v>
      </c>
      <c r="AM97" s="110">
        <v>0.0</v>
      </c>
      <c r="AN97" s="112">
        <v>371.0</v>
      </c>
    </row>
    <row r="98">
      <c r="A98" s="98"/>
      <c r="B98" s="111" t="s">
        <v>199</v>
      </c>
      <c r="C98" s="112">
        <v>92.0</v>
      </c>
      <c r="D98" s="112">
        <v>64.0</v>
      </c>
      <c r="E98" s="112">
        <v>28.0</v>
      </c>
      <c r="F98" s="112">
        <v>55.0</v>
      </c>
      <c r="G98" s="112">
        <v>23.0</v>
      </c>
      <c r="H98" s="112">
        <v>5.0</v>
      </c>
      <c r="I98" s="112">
        <v>1.0</v>
      </c>
      <c r="J98" s="112">
        <v>0.0</v>
      </c>
      <c r="K98" s="112">
        <v>2.0</v>
      </c>
      <c r="L98" s="112">
        <v>2.0</v>
      </c>
      <c r="M98" s="112">
        <v>2.0</v>
      </c>
      <c r="N98" s="112">
        <v>2.0</v>
      </c>
      <c r="O98" s="112">
        <v>0.0</v>
      </c>
      <c r="P98" s="110">
        <v>0.0</v>
      </c>
      <c r="Q98" s="110">
        <v>0.0</v>
      </c>
      <c r="R98" s="110">
        <v>0.0</v>
      </c>
      <c r="S98" s="110">
        <v>0.0</v>
      </c>
      <c r="T98" s="110">
        <v>0.0</v>
      </c>
      <c r="U98" s="110">
        <v>0.0</v>
      </c>
      <c r="V98" s="110">
        <v>0.0</v>
      </c>
      <c r="W98" s="110">
        <v>0.0</v>
      </c>
      <c r="X98" s="110">
        <v>0.0</v>
      </c>
      <c r="Y98" s="110">
        <v>0.0</v>
      </c>
      <c r="Z98" s="110">
        <v>0.0</v>
      </c>
      <c r="AA98" s="110">
        <v>0.0</v>
      </c>
      <c r="AB98" s="110">
        <v>0.0</v>
      </c>
      <c r="AC98" s="110">
        <v>0.0</v>
      </c>
      <c r="AD98" s="110">
        <v>0.0</v>
      </c>
      <c r="AE98" s="110">
        <v>0.0</v>
      </c>
      <c r="AF98" s="110">
        <v>0.0</v>
      </c>
      <c r="AG98" s="110">
        <v>0.0</v>
      </c>
      <c r="AH98" s="110">
        <v>0.0</v>
      </c>
      <c r="AI98" s="110">
        <v>0.0</v>
      </c>
      <c r="AJ98" s="110">
        <v>0.0</v>
      </c>
      <c r="AK98" s="110">
        <v>0.0</v>
      </c>
      <c r="AL98" s="110">
        <v>0.0</v>
      </c>
      <c r="AM98" s="110">
        <v>0.0</v>
      </c>
      <c r="AN98" s="112">
        <v>87.0</v>
      </c>
    </row>
    <row r="99">
      <c r="A99" s="98"/>
      <c r="B99" s="111" t="s">
        <v>206</v>
      </c>
      <c r="C99" s="112">
        <v>3.0</v>
      </c>
      <c r="D99" s="112">
        <v>0.0</v>
      </c>
      <c r="E99" s="112">
        <v>3.0</v>
      </c>
      <c r="F99" s="112">
        <v>0.0</v>
      </c>
      <c r="G99" s="112">
        <v>3.0</v>
      </c>
      <c r="H99" s="112">
        <v>0.0</v>
      </c>
      <c r="I99" s="112">
        <v>0.0</v>
      </c>
      <c r="J99" s="112">
        <v>0.0</v>
      </c>
      <c r="K99" s="112">
        <v>0.0</v>
      </c>
      <c r="L99" s="112">
        <v>0.0</v>
      </c>
      <c r="M99" s="112">
        <v>0.0</v>
      </c>
      <c r="N99" s="112">
        <v>0.0</v>
      </c>
      <c r="O99" s="112">
        <v>0.0</v>
      </c>
      <c r="P99" s="110">
        <v>0.0</v>
      </c>
      <c r="Q99" s="110">
        <v>0.0</v>
      </c>
      <c r="R99" s="110">
        <v>0.0</v>
      </c>
      <c r="S99" s="110">
        <v>0.0</v>
      </c>
      <c r="T99" s="110">
        <v>0.0</v>
      </c>
      <c r="U99" s="110">
        <v>0.0</v>
      </c>
      <c r="V99" s="110">
        <v>0.0</v>
      </c>
      <c r="W99" s="110">
        <v>0.0</v>
      </c>
      <c r="X99" s="110">
        <v>0.0</v>
      </c>
      <c r="Y99" s="110">
        <v>0.0</v>
      </c>
      <c r="Z99" s="110">
        <v>0.0</v>
      </c>
      <c r="AA99" s="110">
        <v>0.0</v>
      </c>
      <c r="AB99" s="110">
        <v>0.0</v>
      </c>
      <c r="AC99" s="110">
        <v>0.0</v>
      </c>
      <c r="AD99" s="110">
        <v>0.0</v>
      </c>
      <c r="AE99" s="110">
        <v>0.0</v>
      </c>
      <c r="AF99" s="110">
        <v>0.0</v>
      </c>
      <c r="AG99" s="110">
        <v>0.0</v>
      </c>
      <c r="AH99" s="110">
        <v>0.0</v>
      </c>
      <c r="AI99" s="110">
        <v>0.0</v>
      </c>
      <c r="AJ99" s="110">
        <v>0.0</v>
      </c>
      <c r="AK99" s="110">
        <v>0.0</v>
      </c>
      <c r="AL99" s="110">
        <v>0.0</v>
      </c>
      <c r="AM99" s="110">
        <v>0.0</v>
      </c>
      <c r="AN99" s="112">
        <v>3.0</v>
      </c>
    </row>
    <row r="100">
      <c r="A100" s="98"/>
      <c r="B100" s="111" t="s">
        <v>200</v>
      </c>
      <c r="C100" s="112">
        <v>78.0</v>
      </c>
      <c r="D100" s="112">
        <v>40.0</v>
      </c>
      <c r="E100" s="112">
        <v>38.0</v>
      </c>
      <c r="F100" s="112">
        <v>34.0</v>
      </c>
      <c r="G100" s="112">
        <v>32.0</v>
      </c>
      <c r="H100" s="112">
        <v>2.0</v>
      </c>
      <c r="I100" s="112">
        <v>2.0</v>
      </c>
      <c r="J100" s="112">
        <v>2.0</v>
      </c>
      <c r="K100" s="112">
        <v>3.0</v>
      </c>
      <c r="L100" s="112">
        <v>1.0</v>
      </c>
      <c r="M100" s="112">
        <v>1.0</v>
      </c>
      <c r="N100" s="112">
        <v>1.0</v>
      </c>
      <c r="O100" s="112">
        <v>0.0</v>
      </c>
      <c r="P100" s="110">
        <v>0.0</v>
      </c>
      <c r="Q100" s="110">
        <v>0.0</v>
      </c>
      <c r="R100" s="110">
        <v>0.0</v>
      </c>
      <c r="S100" s="110">
        <v>0.0</v>
      </c>
      <c r="T100" s="110">
        <v>0.0</v>
      </c>
      <c r="U100" s="110">
        <v>0.0</v>
      </c>
      <c r="V100" s="110">
        <v>0.0</v>
      </c>
      <c r="W100" s="110">
        <v>0.0</v>
      </c>
      <c r="X100" s="110">
        <v>0.0</v>
      </c>
      <c r="Y100" s="110">
        <v>0.0</v>
      </c>
      <c r="Z100" s="110">
        <v>0.0</v>
      </c>
      <c r="AA100" s="110">
        <v>0.0</v>
      </c>
      <c r="AB100" s="110">
        <v>0.0</v>
      </c>
      <c r="AC100" s="110">
        <v>0.0</v>
      </c>
      <c r="AD100" s="110">
        <v>0.0</v>
      </c>
      <c r="AE100" s="110">
        <v>0.0</v>
      </c>
      <c r="AF100" s="110">
        <v>0.0</v>
      </c>
      <c r="AG100" s="110">
        <v>0.0</v>
      </c>
      <c r="AH100" s="110">
        <v>0.0</v>
      </c>
      <c r="AI100" s="110">
        <v>0.0</v>
      </c>
      <c r="AJ100" s="110">
        <v>0.0</v>
      </c>
      <c r="AK100" s="110">
        <v>0.0</v>
      </c>
      <c r="AL100" s="110">
        <v>0.0</v>
      </c>
      <c r="AM100" s="110">
        <v>0.0</v>
      </c>
      <c r="AN100" s="112">
        <v>66.0</v>
      </c>
    </row>
    <row r="101">
      <c r="A101" s="104"/>
      <c r="B101" s="111" t="s">
        <v>201</v>
      </c>
      <c r="C101" s="112">
        <v>5.0</v>
      </c>
      <c r="D101" s="112">
        <v>2.0</v>
      </c>
      <c r="E101" s="112">
        <v>3.0</v>
      </c>
      <c r="F101" s="112">
        <v>0.0</v>
      </c>
      <c r="G101" s="112">
        <v>3.0</v>
      </c>
      <c r="H101" s="112">
        <v>1.0</v>
      </c>
      <c r="I101" s="112">
        <v>0.0</v>
      </c>
      <c r="J101" s="112">
        <v>0.0</v>
      </c>
      <c r="K101" s="112">
        <v>0.0</v>
      </c>
      <c r="L101" s="112">
        <v>0.0</v>
      </c>
      <c r="M101" s="112">
        <v>0.0</v>
      </c>
      <c r="N101" s="112">
        <v>1.0</v>
      </c>
      <c r="O101" s="112">
        <v>0.0</v>
      </c>
      <c r="P101" s="110">
        <v>0.0</v>
      </c>
      <c r="Q101" s="110">
        <v>0.0</v>
      </c>
      <c r="R101" s="110">
        <v>0.0</v>
      </c>
      <c r="S101" s="110">
        <v>0.0</v>
      </c>
      <c r="T101" s="110">
        <v>0.0</v>
      </c>
      <c r="U101" s="110">
        <v>0.0</v>
      </c>
      <c r="V101" s="110">
        <v>0.0</v>
      </c>
      <c r="W101" s="110">
        <v>0.0</v>
      </c>
      <c r="X101" s="110">
        <v>0.0</v>
      </c>
      <c r="Y101" s="110">
        <v>0.0</v>
      </c>
      <c r="Z101" s="110">
        <v>0.0</v>
      </c>
      <c r="AA101" s="110">
        <v>0.0</v>
      </c>
      <c r="AB101" s="110">
        <v>0.0</v>
      </c>
      <c r="AC101" s="110">
        <v>0.0</v>
      </c>
      <c r="AD101" s="110">
        <v>0.0</v>
      </c>
      <c r="AE101" s="110">
        <v>0.0</v>
      </c>
      <c r="AF101" s="110">
        <v>0.0</v>
      </c>
      <c r="AG101" s="110">
        <v>0.0</v>
      </c>
      <c r="AH101" s="110">
        <v>0.0</v>
      </c>
      <c r="AI101" s="110">
        <v>0.0</v>
      </c>
      <c r="AJ101" s="110">
        <v>0.0</v>
      </c>
      <c r="AK101" s="110">
        <v>0.0</v>
      </c>
      <c r="AL101" s="110">
        <v>0.0</v>
      </c>
      <c r="AM101" s="110">
        <v>0.0</v>
      </c>
      <c r="AN101" s="112">
        <v>4.0</v>
      </c>
    </row>
    <row r="102">
      <c r="A102" s="113" t="s">
        <v>212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</row>
    <row r="103">
      <c r="A103" s="107" t="s">
        <v>197</v>
      </c>
      <c r="B103" s="108" t="s">
        <v>198</v>
      </c>
      <c r="C103" s="109">
        <v>49058.0</v>
      </c>
      <c r="D103" s="109">
        <v>16061.0</v>
      </c>
      <c r="E103" s="109">
        <v>32997.0</v>
      </c>
      <c r="F103" s="110">
        <v>0.0</v>
      </c>
      <c r="G103" s="110">
        <v>0.0</v>
      </c>
      <c r="H103" s="110">
        <v>0.0</v>
      </c>
      <c r="I103" s="110">
        <v>0.0</v>
      </c>
      <c r="J103" s="110">
        <v>0.0</v>
      </c>
      <c r="K103" s="110">
        <v>0.0</v>
      </c>
      <c r="L103" s="112">
        <v>50.0</v>
      </c>
      <c r="M103" s="112">
        <v>91.0</v>
      </c>
      <c r="N103" s="112">
        <v>41.0</v>
      </c>
      <c r="O103" s="112">
        <v>158.0</v>
      </c>
      <c r="P103" s="112">
        <v>85.0</v>
      </c>
      <c r="Q103" s="112">
        <v>221.0</v>
      </c>
      <c r="R103" s="112">
        <v>145.0</v>
      </c>
      <c r="S103" s="112">
        <v>376.0</v>
      </c>
      <c r="T103" s="112">
        <v>236.0</v>
      </c>
      <c r="U103" s="112">
        <v>800.0</v>
      </c>
      <c r="V103" s="112">
        <v>492.0</v>
      </c>
      <c r="W103" s="109">
        <v>1243.0</v>
      </c>
      <c r="X103" s="112">
        <v>825.0</v>
      </c>
      <c r="Y103" s="109">
        <v>2261.0</v>
      </c>
      <c r="Z103" s="109">
        <v>1538.0</v>
      </c>
      <c r="AA103" s="109">
        <v>3657.0</v>
      </c>
      <c r="AB103" s="109">
        <v>1884.0</v>
      </c>
      <c r="AC103" s="109">
        <v>4432.0</v>
      </c>
      <c r="AD103" s="109">
        <v>2200.0</v>
      </c>
      <c r="AE103" s="109">
        <v>4436.0</v>
      </c>
      <c r="AF103" s="109">
        <v>2260.0</v>
      </c>
      <c r="AG103" s="109">
        <v>4403.0</v>
      </c>
      <c r="AH103" s="109">
        <v>2453.0</v>
      </c>
      <c r="AI103" s="109">
        <v>4055.0</v>
      </c>
      <c r="AJ103" s="109">
        <v>1900.0</v>
      </c>
      <c r="AK103" s="109">
        <v>3234.0</v>
      </c>
      <c r="AL103" s="109">
        <v>1952.0</v>
      </c>
      <c r="AM103" s="109">
        <v>3630.0</v>
      </c>
      <c r="AN103" s="109">
        <v>48499.0</v>
      </c>
    </row>
    <row r="104">
      <c r="A104" s="98"/>
      <c r="B104" s="111" t="s">
        <v>199</v>
      </c>
      <c r="C104" s="109">
        <v>14157.0</v>
      </c>
      <c r="D104" s="109">
        <v>4793.0</v>
      </c>
      <c r="E104" s="109">
        <v>9364.0</v>
      </c>
      <c r="F104" s="110">
        <v>0.0</v>
      </c>
      <c r="G104" s="110">
        <v>0.0</v>
      </c>
      <c r="H104" s="110">
        <v>0.0</v>
      </c>
      <c r="I104" s="110">
        <v>0.0</v>
      </c>
      <c r="J104" s="110">
        <v>0.0</v>
      </c>
      <c r="K104" s="110">
        <v>0.0</v>
      </c>
      <c r="L104" s="112">
        <v>2.0</v>
      </c>
      <c r="M104" s="112">
        <v>7.0</v>
      </c>
      <c r="N104" s="112">
        <v>10.0</v>
      </c>
      <c r="O104" s="112">
        <v>10.0</v>
      </c>
      <c r="P104" s="112">
        <v>11.0</v>
      </c>
      <c r="Q104" s="112">
        <v>37.0</v>
      </c>
      <c r="R104" s="112">
        <v>24.0</v>
      </c>
      <c r="S104" s="112">
        <v>71.0</v>
      </c>
      <c r="T104" s="112">
        <v>54.0</v>
      </c>
      <c r="U104" s="112">
        <v>151.0</v>
      </c>
      <c r="V104" s="112">
        <v>118.0</v>
      </c>
      <c r="W104" s="112">
        <v>308.0</v>
      </c>
      <c r="X104" s="112">
        <v>224.0</v>
      </c>
      <c r="Y104" s="112">
        <v>556.0</v>
      </c>
      <c r="Z104" s="112">
        <v>458.0</v>
      </c>
      <c r="AA104" s="112">
        <v>998.0</v>
      </c>
      <c r="AB104" s="112">
        <v>543.0</v>
      </c>
      <c r="AC104" s="109">
        <v>1280.0</v>
      </c>
      <c r="AD104" s="112">
        <v>679.0</v>
      </c>
      <c r="AE104" s="109">
        <v>1278.0</v>
      </c>
      <c r="AF104" s="112">
        <v>661.0</v>
      </c>
      <c r="AG104" s="109">
        <v>1322.0</v>
      </c>
      <c r="AH104" s="112">
        <v>709.0</v>
      </c>
      <c r="AI104" s="109">
        <v>1281.0</v>
      </c>
      <c r="AJ104" s="112">
        <v>660.0</v>
      </c>
      <c r="AK104" s="112">
        <v>986.0</v>
      </c>
      <c r="AL104" s="112">
        <v>640.0</v>
      </c>
      <c r="AM104" s="109">
        <v>1079.0</v>
      </c>
      <c r="AN104" s="109">
        <v>14032.0</v>
      </c>
    </row>
    <row r="105">
      <c r="A105" s="98"/>
      <c r="B105" s="111" t="s">
        <v>200</v>
      </c>
      <c r="C105" s="109">
        <v>11043.0</v>
      </c>
      <c r="D105" s="109">
        <v>3289.0</v>
      </c>
      <c r="E105" s="109">
        <v>7754.0</v>
      </c>
      <c r="F105" s="110">
        <v>0.0</v>
      </c>
      <c r="G105" s="110">
        <v>0.0</v>
      </c>
      <c r="H105" s="110">
        <v>0.0</v>
      </c>
      <c r="I105" s="110">
        <v>0.0</v>
      </c>
      <c r="J105" s="110">
        <v>0.0</v>
      </c>
      <c r="K105" s="110">
        <v>0.0</v>
      </c>
      <c r="L105" s="112">
        <v>9.0</v>
      </c>
      <c r="M105" s="112">
        <v>23.0</v>
      </c>
      <c r="N105" s="112">
        <v>7.0</v>
      </c>
      <c r="O105" s="112">
        <v>30.0</v>
      </c>
      <c r="P105" s="112">
        <v>25.0</v>
      </c>
      <c r="Q105" s="112">
        <v>61.0</v>
      </c>
      <c r="R105" s="112">
        <v>33.0</v>
      </c>
      <c r="S105" s="112">
        <v>111.0</v>
      </c>
      <c r="T105" s="112">
        <v>50.0</v>
      </c>
      <c r="U105" s="112">
        <v>192.0</v>
      </c>
      <c r="V105" s="112">
        <v>94.0</v>
      </c>
      <c r="W105" s="112">
        <v>328.0</v>
      </c>
      <c r="X105" s="112">
        <v>185.0</v>
      </c>
      <c r="Y105" s="112">
        <v>576.0</v>
      </c>
      <c r="Z105" s="112">
        <v>280.0</v>
      </c>
      <c r="AA105" s="112">
        <v>872.0</v>
      </c>
      <c r="AB105" s="112">
        <v>404.0</v>
      </c>
      <c r="AC105" s="109">
        <v>1060.0</v>
      </c>
      <c r="AD105" s="112">
        <v>462.0</v>
      </c>
      <c r="AE105" s="109">
        <v>1064.0</v>
      </c>
      <c r="AF105" s="112">
        <v>469.0</v>
      </c>
      <c r="AG105" s="109">
        <v>1071.0</v>
      </c>
      <c r="AH105" s="112">
        <v>492.0</v>
      </c>
      <c r="AI105" s="112">
        <v>966.0</v>
      </c>
      <c r="AJ105" s="112">
        <v>406.0</v>
      </c>
      <c r="AK105" s="112">
        <v>682.0</v>
      </c>
      <c r="AL105" s="112">
        <v>373.0</v>
      </c>
      <c r="AM105" s="112">
        <v>718.0</v>
      </c>
      <c r="AN105" s="109">
        <v>10941.0</v>
      </c>
    </row>
    <row r="106">
      <c r="A106" s="104"/>
      <c r="B106" s="111" t="s">
        <v>201</v>
      </c>
      <c r="C106" s="109">
        <v>1084.0</v>
      </c>
      <c r="D106" s="112">
        <v>287.0</v>
      </c>
      <c r="E106" s="112">
        <v>797.0</v>
      </c>
      <c r="F106" s="110">
        <v>0.0</v>
      </c>
      <c r="G106" s="110">
        <v>0.0</v>
      </c>
      <c r="H106" s="110">
        <v>0.0</v>
      </c>
      <c r="I106" s="110">
        <v>0.0</v>
      </c>
      <c r="J106" s="110">
        <v>0.0</v>
      </c>
      <c r="K106" s="110">
        <v>0.0</v>
      </c>
      <c r="L106" s="112">
        <v>0.0</v>
      </c>
      <c r="M106" s="112">
        <v>3.0</v>
      </c>
      <c r="N106" s="112">
        <v>1.0</v>
      </c>
      <c r="O106" s="112">
        <v>3.0</v>
      </c>
      <c r="P106" s="112">
        <v>4.0</v>
      </c>
      <c r="Q106" s="112">
        <v>7.0</v>
      </c>
      <c r="R106" s="112">
        <v>2.0</v>
      </c>
      <c r="S106" s="112">
        <v>4.0</v>
      </c>
      <c r="T106" s="112">
        <v>6.0</v>
      </c>
      <c r="U106" s="112">
        <v>16.0</v>
      </c>
      <c r="V106" s="112">
        <v>12.0</v>
      </c>
      <c r="W106" s="112">
        <v>29.0</v>
      </c>
      <c r="X106" s="112">
        <v>14.0</v>
      </c>
      <c r="Y106" s="112">
        <v>51.0</v>
      </c>
      <c r="Z106" s="112">
        <v>17.0</v>
      </c>
      <c r="AA106" s="112">
        <v>82.0</v>
      </c>
      <c r="AB106" s="112">
        <v>35.0</v>
      </c>
      <c r="AC106" s="112">
        <v>105.0</v>
      </c>
      <c r="AD106" s="112">
        <v>55.0</v>
      </c>
      <c r="AE106" s="112">
        <v>109.0</v>
      </c>
      <c r="AF106" s="112">
        <v>32.0</v>
      </c>
      <c r="AG106" s="112">
        <v>100.0</v>
      </c>
      <c r="AH106" s="112">
        <v>24.0</v>
      </c>
      <c r="AI106" s="112">
        <v>99.0</v>
      </c>
      <c r="AJ106" s="112">
        <v>47.0</v>
      </c>
      <c r="AK106" s="112">
        <v>67.0</v>
      </c>
      <c r="AL106" s="112">
        <v>38.0</v>
      </c>
      <c r="AM106" s="112">
        <v>122.0</v>
      </c>
      <c r="AN106" s="109">
        <v>1075.0</v>
      </c>
    </row>
    <row r="107">
      <c r="A107" s="107" t="s">
        <v>202</v>
      </c>
      <c r="B107" s="111" t="s">
        <v>198</v>
      </c>
      <c r="C107" s="112">
        <v>125.0</v>
      </c>
      <c r="D107" s="112">
        <v>86.0</v>
      </c>
      <c r="E107" s="112">
        <v>39.0</v>
      </c>
      <c r="F107" s="112">
        <v>1.0</v>
      </c>
      <c r="G107" s="112">
        <v>0.0</v>
      </c>
      <c r="H107" s="112">
        <v>1.0</v>
      </c>
      <c r="I107" s="112">
        <v>0.0</v>
      </c>
      <c r="J107" s="112">
        <v>1.0</v>
      </c>
      <c r="K107" s="112">
        <v>5.0</v>
      </c>
      <c r="L107" s="112">
        <v>3.0</v>
      </c>
      <c r="M107" s="112">
        <v>0.0</v>
      </c>
      <c r="N107" s="112">
        <v>3.0</v>
      </c>
      <c r="O107" s="112">
        <v>3.0</v>
      </c>
      <c r="P107" s="112">
        <v>4.0</v>
      </c>
      <c r="Q107" s="112">
        <v>2.0</v>
      </c>
      <c r="R107" s="112">
        <v>6.0</v>
      </c>
      <c r="S107" s="112">
        <v>0.0</v>
      </c>
      <c r="T107" s="112">
        <v>6.0</v>
      </c>
      <c r="U107" s="112">
        <v>2.0</v>
      </c>
      <c r="V107" s="112">
        <v>4.0</v>
      </c>
      <c r="W107" s="112">
        <v>2.0</v>
      </c>
      <c r="X107" s="112">
        <v>6.0</v>
      </c>
      <c r="Y107" s="112">
        <v>2.0</v>
      </c>
      <c r="Z107" s="112">
        <v>15.0</v>
      </c>
      <c r="AA107" s="112">
        <v>3.0</v>
      </c>
      <c r="AB107" s="112">
        <v>8.0</v>
      </c>
      <c r="AC107" s="112">
        <v>6.0</v>
      </c>
      <c r="AD107" s="112">
        <v>8.0</v>
      </c>
      <c r="AE107" s="112">
        <v>3.0</v>
      </c>
      <c r="AF107" s="112">
        <v>3.0</v>
      </c>
      <c r="AG107" s="112">
        <v>0.0</v>
      </c>
      <c r="AH107" s="112">
        <v>1.0</v>
      </c>
      <c r="AI107" s="112">
        <v>7.0</v>
      </c>
      <c r="AJ107" s="112">
        <v>4.0</v>
      </c>
      <c r="AK107" s="112">
        <v>0.0</v>
      </c>
      <c r="AL107" s="112">
        <v>12.0</v>
      </c>
      <c r="AM107" s="112">
        <v>4.0</v>
      </c>
      <c r="AN107" s="112">
        <v>114.0</v>
      </c>
    </row>
    <row r="108">
      <c r="A108" s="104"/>
      <c r="B108" s="111" t="s">
        <v>199</v>
      </c>
      <c r="C108" s="112">
        <v>65.0</v>
      </c>
      <c r="D108" s="112">
        <v>43.0</v>
      </c>
      <c r="E108" s="112">
        <v>22.0</v>
      </c>
      <c r="F108" s="112">
        <v>0.0</v>
      </c>
      <c r="G108" s="112">
        <v>0.0</v>
      </c>
      <c r="H108" s="112">
        <v>0.0</v>
      </c>
      <c r="I108" s="112">
        <v>0.0</v>
      </c>
      <c r="J108" s="112">
        <v>0.0</v>
      </c>
      <c r="K108" s="112">
        <v>0.0</v>
      </c>
      <c r="L108" s="112">
        <v>1.0</v>
      </c>
      <c r="M108" s="112">
        <v>0.0</v>
      </c>
      <c r="N108" s="112">
        <v>0.0</v>
      </c>
      <c r="O108" s="112">
        <v>4.0</v>
      </c>
      <c r="P108" s="112">
        <v>0.0</v>
      </c>
      <c r="Q108" s="112">
        <v>1.0</v>
      </c>
      <c r="R108" s="112">
        <v>0.0</v>
      </c>
      <c r="S108" s="112">
        <v>1.0</v>
      </c>
      <c r="T108" s="112">
        <v>4.0</v>
      </c>
      <c r="U108" s="112">
        <v>0.0</v>
      </c>
      <c r="V108" s="112">
        <v>1.0</v>
      </c>
      <c r="W108" s="112">
        <v>0.0</v>
      </c>
      <c r="X108" s="112">
        <v>1.0</v>
      </c>
      <c r="Y108" s="112">
        <v>0.0</v>
      </c>
      <c r="Z108" s="112">
        <v>10.0</v>
      </c>
      <c r="AA108" s="112">
        <v>0.0</v>
      </c>
      <c r="AB108" s="112">
        <v>4.0</v>
      </c>
      <c r="AC108" s="112">
        <v>2.0</v>
      </c>
      <c r="AD108" s="112">
        <v>10.0</v>
      </c>
      <c r="AE108" s="112">
        <v>1.0</v>
      </c>
      <c r="AF108" s="112">
        <v>3.0</v>
      </c>
      <c r="AG108" s="112">
        <v>2.0</v>
      </c>
      <c r="AH108" s="112">
        <v>1.0</v>
      </c>
      <c r="AI108" s="112">
        <v>1.0</v>
      </c>
      <c r="AJ108" s="112">
        <v>2.0</v>
      </c>
      <c r="AK108" s="112">
        <v>0.0</v>
      </c>
      <c r="AL108" s="112">
        <v>6.0</v>
      </c>
      <c r="AM108" s="112">
        <v>10.0</v>
      </c>
      <c r="AN108" s="112">
        <v>64.0</v>
      </c>
    </row>
    <row r="109">
      <c r="A109" s="107" t="s">
        <v>203</v>
      </c>
      <c r="B109" s="111" t="s">
        <v>198</v>
      </c>
      <c r="C109" s="112">
        <v>3.0</v>
      </c>
      <c r="D109" s="112">
        <v>0.0</v>
      </c>
      <c r="E109" s="112">
        <v>3.0</v>
      </c>
      <c r="F109" s="110">
        <v>0.0</v>
      </c>
      <c r="G109" s="110">
        <v>0.0</v>
      </c>
      <c r="H109" s="110">
        <v>0.0</v>
      </c>
      <c r="I109" s="110">
        <v>0.0</v>
      </c>
      <c r="J109" s="110">
        <v>0.0</v>
      </c>
      <c r="K109" s="110">
        <v>0.0</v>
      </c>
      <c r="L109" s="110">
        <v>0.0</v>
      </c>
      <c r="M109" s="110">
        <v>0.0</v>
      </c>
      <c r="N109" s="110">
        <v>0.0</v>
      </c>
      <c r="O109" s="110">
        <v>0.0</v>
      </c>
      <c r="P109" s="110">
        <v>0.0</v>
      </c>
      <c r="Q109" s="110">
        <v>0.0</v>
      </c>
      <c r="R109" s="110">
        <v>0.0</v>
      </c>
      <c r="S109" s="110">
        <v>0.0</v>
      </c>
      <c r="T109" s="110">
        <v>0.0</v>
      </c>
      <c r="U109" s="110">
        <v>0.0</v>
      </c>
      <c r="V109" s="110">
        <v>0.0</v>
      </c>
      <c r="W109" s="110">
        <v>0.0</v>
      </c>
      <c r="X109" s="110">
        <v>0.0</v>
      </c>
      <c r="Y109" s="110">
        <v>0.0</v>
      </c>
      <c r="Z109" s="110">
        <v>0.0</v>
      </c>
      <c r="AA109" s="110">
        <v>0.0</v>
      </c>
      <c r="AB109" s="110">
        <v>0.0</v>
      </c>
      <c r="AC109" s="110">
        <v>0.0</v>
      </c>
      <c r="AD109" s="110">
        <v>0.0</v>
      </c>
      <c r="AE109" s="110">
        <v>0.0</v>
      </c>
      <c r="AF109" s="112">
        <v>0.0</v>
      </c>
      <c r="AG109" s="112">
        <v>0.0</v>
      </c>
      <c r="AH109" s="112">
        <v>0.0</v>
      </c>
      <c r="AI109" s="112">
        <v>1.0</v>
      </c>
      <c r="AJ109" s="112">
        <v>0.0</v>
      </c>
      <c r="AK109" s="112">
        <v>2.0</v>
      </c>
      <c r="AL109" s="112">
        <v>0.0</v>
      </c>
      <c r="AM109" s="112">
        <v>0.0</v>
      </c>
      <c r="AN109" s="112">
        <v>3.0</v>
      </c>
    </row>
    <row r="110">
      <c r="A110" s="104"/>
      <c r="B110" s="111" t="s">
        <v>199</v>
      </c>
      <c r="C110" s="112">
        <v>21.0</v>
      </c>
      <c r="D110" s="112">
        <v>9.0</v>
      </c>
      <c r="E110" s="112">
        <v>12.0</v>
      </c>
      <c r="F110" s="110">
        <v>0.0</v>
      </c>
      <c r="G110" s="110">
        <v>0.0</v>
      </c>
      <c r="H110" s="110">
        <v>0.0</v>
      </c>
      <c r="I110" s="110">
        <v>0.0</v>
      </c>
      <c r="J110" s="110">
        <v>0.0</v>
      </c>
      <c r="K110" s="110">
        <v>0.0</v>
      </c>
      <c r="L110" s="110">
        <v>0.0</v>
      </c>
      <c r="M110" s="110">
        <v>0.0</v>
      </c>
      <c r="N110" s="110">
        <v>0.0</v>
      </c>
      <c r="O110" s="110">
        <v>0.0</v>
      </c>
      <c r="P110" s="110">
        <v>0.0</v>
      </c>
      <c r="Q110" s="110">
        <v>0.0</v>
      </c>
      <c r="R110" s="110">
        <v>0.0</v>
      </c>
      <c r="S110" s="110">
        <v>0.0</v>
      </c>
      <c r="T110" s="110">
        <v>0.0</v>
      </c>
      <c r="U110" s="110">
        <v>0.0</v>
      </c>
      <c r="V110" s="110">
        <v>0.0</v>
      </c>
      <c r="W110" s="110">
        <v>0.0</v>
      </c>
      <c r="X110" s="110">
        <v>0.0</v>
      </c>
      <c r="Y110" s="110">
        <v>0.0</v>
      </c>
      <c r="Z110" s="110">
        <v>0.0</v>
      </c>
      <c r="AA110" s="110">
        <v>0.0</v>
      </c>
      <c r="AB110" s="110">
        <v>0.0</v>
      </c>
      <c r="AC110" s="110">
        <v>0.0</v>
      </c>
      <c r="AD110" s="110">
        <v>0.0</v>
      </c>
      <c r="AE110" s="110">
        <v>0.0</v>
      </c>
      <c r="AF110" s="112">
        <v>3.0</v>
      </c>
      <c r="AG110" s="112">
        <v>8.0</v>
      </c>
      <c r="AH110" s="112">
        <v>3.0</v>
      </c>
      <c r="AI110" s="112">
        <v>0.0</v>
      </c>
      <c r="AJ110" s="112">
        <v>2.0</v>
      </c>
      <c r="AK110" s="112">
        <v>2.0</v>
      </c>
      <c r="AL110" s="112">
        <v>1.0</v>
      </c>
      <c r="AM110" s="112">
        <v>2.0</v>
      </c>
      <c r="AN110" s="112">
        <v>21.0</v>
      </c>
    </row>
    <row r="111">
      <c r="A111" s="107" t="s">
        <v>204</v>
      </c>
      <c r="B111" s="111" t="s">
        <v>198</v>
      </c>
      <c r="C111" s="112">
        <v>2.0</v>
      </c>
      <c r="D111" s="112">
        <v>2.0</v>
      </c>
      <c r="E111" s="112">
        <v>0.0</v>
      </c>
      <c r="F111" s="110">
        <v>0.0</v>
      </c>
      <c r="G111" s="110">
        <v>0.0</v>
      </c>
      <c r="H111" s="110">
        <v>0.0</v>
      </c>
      <c r="I111" s="110">
        <v>0.0</v>
      </c>
      <c r="J111" s="110">
        <v>0.0</v>
      </c>
      <c r="K111" s="110">
        <v>0.0</v>
      </c>
      <c r="L111" s="110">
        <v>0.0</v>
      </c>
      <c r="M111" s="110">
        <v>0.0</v>
      </c>
      <c r="N111" s="110">
        <v>0.0</v>
      </c>
      <c r="O111" s="110">
        <v>0.0</v>
      </c>
      <c r="P111" s="110">
        <v>0.0</v>
      </c>
      <c r="Q111" s="110">
        <v>0.0</v>
      </c>
      <c r="R111" s="110">
        <v>0.0</v>
      </c>
      <c r="S111" s="110">
        <v>0.0</v>
      </c>
      <c r="T111" s="110">
        <v>0.0</v>
      </c>
      <c r="U111" s="110">
        <v>0.0</v>
      </c>
      <c r="V111" s="110">
        <v>0.0</v>
      </c>
      <c r="W111" s="110">
        <v>0.0</v>
      </c>
      <c r="X111" s="110">
        <v>0.0</v>
      </c>
      <c r="Y111" s="110">
        <v>0.0</v>
      </c>
      <c r="Z111" s="110">
        <v>0.0</v>
      </c>
      <c r="AA111" s="110">
        <v>0.0</v>
      </c>
      <c r="AB111" s="110">
        <v>0.0</v>
      </c>
      <c r="AC111" s="110">
        <v>0.0</v>
      </c>
      <c r="AD111" s="110">
        <v>0.0</v>
      </c>
      <c r="AE111" s="110">
        <v>0.0</v>
      </c>
      <c r="AF111" s="112">
        <v>0.0</v>
      </c>
      <c r="AG111" s="112">
        <v>0.0</v>
      </c>
      <c r="AH111" s="112">
        <v>0.0</v>
      </c>
      <c r="AI111" s="112">
        <v>0.0</v>
      </c>
      <c r="AJ111" s="112">
        <v>0.0</v>
      </c>
      <c r="AK111" s="112">
        <v>0.0</v>
      </c>
      <c r="AL111" s="112">
        <v>2.0</v>
      </c>
      <c r="AM111" s="112">
        <v>0.0</v>
      </c>
      <c r="AN111" s="112">
        <v>2.0</v>
      </c>
    </row>
    <row r="112">
      <c r="A112" s="104"/>
      <c r="B112" s="111" t="s">
        <v>199</v>
      </c>
      <c r="C112" s="112">
        <v>23.0</v>
      </c>
      <c r="D112" s="112">
        <v>9.0</v>
      </c>
      <c r="E112" s="112">
        <v>14.0</v>
      </c>
      <c r="F112" s="110">
        <v>0.0</v>
      </c>
      <c r="G112" s="110">
        <v>0.0</v>
      </c>
      <c r="H112" s="110">
        <v>0.0</v>
      </c>
      <c r="I112" s="110">
        <v>0.0</v>
      </c>
      <c r="J112" s="110">
        <v>0.0</v>
      </c>
      <c r="K112" s="110">
        <v>0.0</v>
      </c>
      <c r="L112" s="110">
        <v>0.0</v>
      </c>
      <c r="M112" s="110">
        <v>0.0</v>
      </c>
      <c r="N112" s="110">
        <v>0.0</v>
      </c>
      <c r="O112" s="110">
        <v>0.0</v>
      </c>
      <c r="P112" s="110">
        <v>0.0</v>
      </c>
      <c r="Q112" s="110">
        <v>0.0</v>
      </c>
      <c r="R112" s="110">
        <v>0.0</v>
      </c>
      <c r="S112" s="110">
        <v>0.0</v>
      </c>
      <c r="T112" s="110">
        <v>0.0</v>
      </c>
      <c r="U112" s="110">
        <v>0.0</v>
      </c>
      <c r="V112" s="110">
        <v>0.0</v>
      </c>
      <c r="W112" s="110">
        <v>0.0</v>
      </c>
      <c r="X112" s="110">
        <v>0.0</v>
      </c>
      <c r="Y112" s="110">
        <v>0.0</v>
      </c>
      <c r="Z112" s="110">
        <v>0.0</v>
      </c>
      <c r="AA112" s="110">
        <v>0.0</v>
      </c>
      <c r="AB112" s="110">
        <v>0.0</v>
      </c>
      <c r="AC112" s="110">
        <v>0.0</v>
      </c>
      <c r="AD112" s="110">
        <v>0.0</v>
      </c>
      <c r="AE112" s="110">
        <v>0.0</v>
      </c>
      <c r="AF112" s="112">
        <v>1.0</v>
      </c>
      <c r="AG112" s="112">
        <v>2.0</v>
      </c>
      <c r="AH112" s="112">
        <v>2.0</v>
      </c>
      <c r="AI112" s="112">
        <v>2.0</v>
      </c>
      <c r="AJ112" s="112">
        <v>1.0</v>
      </c>
      <c r="AK112" s="112">
        <v>3.0</v>
      </c>
      <c r="AL112" s="112">
        <v>5.0</v>
      </c>
      <c r="AM112" s="112">
        <v>7.0</v>
      </c>
      <c r="AN112" s="112">
        <v>23.0</v>
      </c>
    </row>
    <row r="113">
      <c r="A113" s="107" t="s">
        <v>205</v>
      </c>
      <c r="B113" s="111" t="s">
        <v>198</v>
      </c>
      <c r="C113" s="112">
        <v>8.0</v>
      </c>
      <c r="D113" s="112">
        <v>4.0</v>
      </c>
      <c r="E113" s="112">
        <v>4.0</v>
      </c>
      <c r="F113" s="112">
        <v>0.0</v>
      </c>
      <c r="G113" s="112">
        <v>0.0</v>
      </c>
      <c r="H113" s="112">
        <v>0.0</v>
      </c>
      <c r="I113" s="112">
        <v>0.0</v>
      </c>
      <c r="J113" s="112">
        <v>0.0</v>
      </c>
      <c r="K113" s="112">
        <v>0.0</v>
      </c>
      <c r="L113" s="112">
        <v>1.0</v>
      </c>
      <c r="M113" s="112">
        <v>0.0</v>
      </c>
      <c r="N113" s="112">
        <v>0.0</v>
      </c>
      <c r="O113" s="112">
        <v>0.0</v>
      </c>
      <c r="P113" s="112">
        <v>0.0</v>
      </c>
      <c r="Q113" s="112">
        <v>1.0</v>
      </c>
      <c r="R113" s="112">
        <v>0.0</v>
      </c>
      <c r="S113" s="112">
        <v>0.0</v>
      </c>
      <c r="T113" s="112">
        <v>0.0</v>
      </c>
      <c r="U113" s="112">
        <v>1.0</v>
      </c>
      <c r="V113" s="112">
        <v>0.0</v>
      </c>
      <c r="W113" s="112">
        <v>0.0</v>
      </c>
      <c r="X113" s="112">
        <v>0.0</v>
      </c>
      <c r="Y113" s="112">
        <v>0.0</v>
      </c>
      <c r="Z113" s="112">
        <v>2.0</v>
      </c>
      <c r="AA113" s="112">
        <v>0.0</v>
      </c>
      <c r="AB113" s="112">
        <v>1.0</v>
      </c>
      <c r="AC113" s="112">
        <v>1.0</v>
      </c>
      <c r="AD113" s="112">
        <v>0.0</v>
      </c>
      <c r="AE113" s="112">
        <v>0.0</v>
      </c>
      <c r="AF113" s="112">
        <v>0.0</v>
      </c>
      <c r="AG113" s="112">
        <v>1.0</v>
      </c>
      <c r="AH113" s="112">
        <v>0.0</v>
      </c>
      <c r="AI113" s="112">
        <v>0.0</v>
      </c>
      <c r="AJ113" s="112">
        <v>0.0</v>
      </c>
      <c r="AK113" s="112">
        <v>0.0</v>
      </c>
      <c r="AL113" s="112">
        <v>0.0</v>
      </c>
      <c r="AM113" s="112">
        <v>0.0</v>
      </c>
      <c r="AN113" s="112">
        <v>8.0</v>
      </c>
    </row>
    <row r="114">
      <c r="A114" s="98"/>
      <c r="B114" s="111" t="s">
        <v>199</v>
      </c>
      <c r="C114" s="112">
        <v>1.0</v>
      </c>
      <c r="D114" s="112">
        <v>0.0</v>
      </c>
      <c r="E114" s="112">
        <v>1.0</v>
      </c>
      <c r="F114" s="112">
        <v>0.0</v>
      </c>
      <c r="G114" s="112">
        <v>0.0</v>
      </c>
      <c r="H114" s="112">
        <v>0.0</v>
      </c>
      <c r="I114" s="112">
        <v>0.0</v>
      </c>
      <c r="J114" s="112">
        <v>0.0</v>
      </c>
      <c r="K114" s="112">
        <v>0.0</v>
      </c>
      <c r="L114" s="112">
        <v>0.0</v>
      </c>
      <c r="M114" s="112">
        <v>0.0</v>
      </c>
      <c r="N114" s="112">
        <v>0.0</v>
      </c>
      <c r="O114" s="112">
        <v>0.0</v>
      </c>
      <c r="P114" s="112">
        <v>0.0</v>
      </c>
      <c r="Q114" s="112">
        <v>0.0</v>
      </c>
      <c r="R114" s="112">
        <v>0.0</v>
      </c>
      <c r="S114" s="112">
        <v>0.0</v>
      </c>
      <c r="T114" s="112">
        <v>0.0</v>
      </c>
      <c r="U114" s="112">
        <v>0.0</v>
      </c>
      <c r="V114" s="112">
        <v>0.0</v>
      </c>
      <c r="W114" s="112">
        <v>0.0</v>
      </c>
      <c r="X114" s="112">
        <v>0.0</v>
      </c>
      <c r="Y114" s="112">
        <v>0.0</v>
      </c>
      <c r="Z114" s="112">
        <v>0.0</v>
      </c>
      <c r="AA114" s="112">
        <v>0.0</v>
      </c>
      <c r="AB114" s="112">
        <v>0.0</v>
      </c>
      <c r="AC114" s="112">
        <v>0.0</v>
      </c>
      <c r="AD114" s="112">
        <v>0.0</v>
      </c>
      <c r="AE114" s="112">
        <v>0.0</v>
      </c>
      <c r="AF114" s="112">
        <v>0.0</v>
      </c>
      <c r="AG114" s="112">
        <v>1.0</v>
      </c>
      <c r="AH114" s="112">
        <v>0.0</v>
      </c>
      <c r="AI114" s="112">
        <v>0.0</v>
      </c>
      <c r="AJ114" s="112">
        <v>0.0</v>
      </c>
      <c r="AK114" s="112">
        <v>0.0</v>
      </c>
      <c r="AL114" s="112">
        <v>0.0</v>
      </c>
      <c r="AM114" s="112">
        <v>0.0</v>
      </c>
      <c r="AN114" s="112">
        <v>1.0</v>
      </c>
    </row>
    <row r="115">
      <c r="A115" s="104"/>
      <c r="B115" s="111" t="s">
        <v>206</v>
      </c>
      <c r="C115" s="112">
        <v>33.0</v>
      </c>
      <c r="D115" s="112">
        <v>3.0</v>
      </c>
      <c r="E115" s="112">
        <v>30.0</v>
      </c>
      <c r="F115" s="112">
        <v>0.0</v>
      </c>
      <c r="G115" s="112">
        <v>0.0</v>
      </c>
      <c r="H115" s="112">
        <v>0.0</v>
      </c>
      <c r="I115" s="112">
        <v>0.0</v>
      </c>
      <c r="J115" s="112">
        <v>0.0</v>
      </c>
      <c r="K115" s="112">
        <v>0.0</v>
      </c>
      <c r="L115" s="112">
        <v>2.0</v>
      </c>
      <c r="M115" s="112">
        <v>2.0</v>
      </c>
      <c r="N115" s="112">
        <v>1.0</v>
      </c>
      <c r="O115" s="112">
        <v>3.0</v>
      </c>
      <c r="P115" s="112">
        <v>0.0</v>
      </c>
      <c r="Q115" s="112">
        <v>4.0</v>
      </c>
      <c r="R115" s="112">
        <v>0.0</v>
      </c>
      <c r="S115" s="112">
        <v>1.0</v>
      </c>
      <c r="T115" s="112">
        <v>0.0</v>
      </c>
      <c r="U115" s="112">
        <v>5.0</v>
      </c>
      <c r="V115" s="112">
        <v>0.0</v>
      </c>
      <c r="W115" s="112">
        <v>6.0</v>
      </c>
      <c r="X115" s="112">
        <v>0.0</v>
      </c>
      <c r="Y115" s="112">
        <v>2.0</v>
      </c>
      <c r="Z115" s="112">
        <v>0.0</v>
      </c>
      <c r="AA115" s="112">
        <v>5.0</v>
      </c>
      <c r="AB115" s="112">
        <v>0.0</v>
      </c>
      <c r="AC115" s="112">
        <v>2.0</v>
      </c>
      <c r="AD115" s="112">
        <v>0.0</v>
      </c>
      <c r="AE115" s="112">
        <v>0.0</v>
      </c>
      <c r="AF115" s="112">
        <v>0.0</v>
      </c>
      <c r="AG115" s="112">
        <v>0.0</v>
      </c>
      <c r="AH115" s="112">
        <v>0.0</v>
      </c>
      <c r="AI115" s="112">
        <v>0.0</v>
      </c>
      <c r="AJ115" s="112">
        <v>0.0</v>
      </c>
      <c r="AK115" s="112">
        <v>0.0</v>
      </c>
      <c r="AL115" s="112">
        <v>0.0</v>
      </c>
      <c r="AM115" s="112">
        <v>0.0</v>
      </c>
      <c r="AN115" s="112">
        <v>28.0</v>
      </c>
    </row>
    <row r="116">
      <c r="A116" s="107" t="s">
        <v>207</v>
      </c>
      <c r="B116" s="111" t="s">
        <v>198</v>
      </c>
      <c r="C116" s="109">
        <v>9175.0</v>
      </c>
      <c r="D116" s="109">
        <v>2359.0</v>
      </c>
      <c r="E116" s="109">
        <v>6816.0</v>
      </c>
      <c r="F116" s="112">
        <v>53.0</v>
      </c>
      <c r="G116" s="112">
        <v>69.0</v>
      </c>
      <c r="H116" s="112">
        <v>48.0</v>
      </c>
      <c r="I116" s="112">
        <v>44.0</v>
      </c>
      <c r="J116" s="112">
        <v>36.0</v>
      </c>
      <c r="K116" s="112">
        <v>66.0</v>
      </c>
      <c r="L116" s="112">
        <v>47.0</v>
      </c>
      <c r="M116" s="112">
        <v>120.0</v>
      </c>
      <c r="N116" s="112">
        <v>41.0</v>
      </c>
      <c r="O116" s="112">
        <v>145.0</v>
      </c>
      <c r="P116" s="112">
        <v>33.0</v>
      </c>
      <c r="Q116" s="112">
        <v>169.0</v>
      </c>
      <c r="R116" s="112">
        <v>48.0</v>
      </c>
      <c r="S116" s="112">
        <v>228.0</v>
      </c>
      <c r="T116" s="112">
        <v>64.0</v>
      </c>
      <c r="U116" s="112">
        <v>316.0</v>
      </c>
      <c r="V116" s="112">
        <v>90.0</v>
      </c>
      <c r="W116" s="112">
        <v>336.0</v>
      </c>
      <c r="X116" s="112">
        <v>102.0</v>
      </c>
      <c r="Y116" s="112">
        <v>505.0</v>
      </c>
      <c r="Z116" s="112">
        <v>166.0</v>
      </c>
      <c r="AA116" s="112">
        <v>704.0</v>
      </c>
      <c r="AB116" s="112">
        <v>224.0</v>
      </c>
      <c r="AC116" s="112">
        <v>801.0</v>
      </c>
      <c r="AD116" s="112">
        <v>248.0</v>
      </c>
      <c r="AE116" s="112">
        <v>702.0</v>
      </c>
      <c r="AF116" s="112">
        <v>234.0</v>
      </c>
      <c r="AG116" s="112">
        <v>796.0</v>
      </c>
      <c r="AH116" s="112">
        <v>292.0</v>
      </c>
      <c r="AI116" s="112">
        <v>701.0</v>
      </c>
      <c r="AJ116" s="112">
        <v>313.0</v>
      </c>
      <c r="AK116" s="112">
        <v>552.0</v>
      </c>
      <c r="AL116" s="112">
        <v>320.0</v>
      </c>
      <c r="AM116" s="112">
        <v>562.0</v>
      </c>
      <c r="AN116" s="109">
        <v>9021.0</v>
      </c>
    </row>
    <row r="117">
      <c r="A117" s="98"/>
      <c r="B117" s="111" t="s">
        <v>199</v>
      </c>
      <c r="C117" s="112">
        <v>585.0</v>
      </c>
      <c r="D117" s="112">
        <v>162.0</v>
      </c>
      <c r="E117" s="112">
        <v>423.0</v>
      </c>
      <c r="F117" s="112">
        <v>40.0</v>
      </c>
      <c r="G117" s="112">
        <v>34.0</v>
      </c>
      <c r="H117" s="112">
        <v>17.0</v>
      </c>
      <c r="I117" s="112">
        <v>20.0</v>
      </c>
      <c r="J117" s="112">
        <v>0.0</v>
      </c>
      <c r="K117" s="112">
        <v>0.0</v>
      </c>
      <c r="L117" s="112">
        <v>1.0</v>
      </c>
      <c r="M117" s="112">
        <v>2.0</v>
      </c>
      <c r="N117" s="112">
        <v>0.0</v>
      </c>
      <c r="O117" s="112">
        <v>3.0</v>
      </c>
      <c r="P117" s="112">
        <v>0.0</v>
      </c>
      <c r="Q117" s="112">
        <v>3.0</v>
      </c>
      <c r="R117" s="112">
        <v>1.0</v>
      </c>
      <c r="S117" s="112">
        <v>4.0</v>
      </c>
      <c r="T117" s="112">
        <v>1.0</v>
      </c>
      <c r="U117" s="112">
        <v>9.0</v>
      </c>
      <c r="V117" s="112">
        <v>2.0</v>
      </c>
      <c r="W117" s="112">
        <v>15.0</v>
      </c>
      <c r="X117" s="112">
        <v>4.0</v>
      </c>
      <c r="Y117" s="112">
        <v>26.0</v>
      </c>
      <c r="Z117" s="112">
        <v>9.0</v>
      </c>
      <c r="AA117" s="112">
        <v>36.0</v>
      </c>
      <c r="AB117" s="112">
        <v>11.0</v>
      </c>
      <c r="AC117" s="112">
        <v>59.0</v>
      </c>
      <c r="AD117" s="112">
        <v>9.0</v>
      </c>
      <c r="AE117" s="112">
        <v>42.0</v>
      </c>
      <c r="AF117" s="112">
        <v>9.0</v>
      </c>
      <c r="AG117" s="112">
        <v>45.0</v>
      </c>
      <c r="AH117" s="112">
        <v>10.0</v>
      </c>
      <c r="AI117" s="112">
        <v>44.0</v>
      </c>
      <c r="AJ117" s="112">
        <v>24.0</v>
      </c>
      <c r="AK117" s="112">
        <v>34.0</v>
      </c>
      <c r="AL117" s="112">
        <v>24.0</v>
      </c>
      <c r="AM117" s="112">
        <v>47.0</v>
      </c>
      <c r="AN117" s="112">
        <v>576.0</v>
      </c>
    </row>
    <row r="118">
      <c r="A118" s="98"/>
      <c r="B118" s="111" t="s">
        <v>206</v>
      </c>
      <c r="C118" s="112">
        <v>7.0</v>
      </c>
      <c r="D118" s="112">
        <v>3.0</v>
      </c>
      <c r="E118" s="112">
        <v>4.0</v>
      </c>
      <c r="F118" s="112">
        <v>0.0</v>
      </c>
      <c r="G118" s="112">
        <v>0.0</v>
      </c>
      <c r="H118" s="112">
        <v>0.0</v>
      </c>
      <c r="I118" s="112">
        <v>0.0</v>
      </c>
      <c r="J118" s="112">
        <v>0.0</v>
      </c>
      <c r="K118" s="112">
        <v>0.0</v>
      </c>
      <c r="L118" s="112">
        <v>0.0</v>
      </c>
      <c r="M118" s="112">
        <v>0.0</v>
      </c>
      <c r="N118" s="112">
        <v>1.0</v>
      </c>
      <c r="O118" s="112">
        <v>1.0</v>
      </c>
      <c r="P118" s="112">
        <v>0.0</v>
      </c>
      <c r="Q118" s="112">
        <v>0.0</v>
      </c>
      <c r="R118" s="112">
        <v>0.0</v>
      </c>
      <c r="S118" s="112">
        <v>0.0</v>
      </c>
      <c r="T118" s="112">
        <v>1.0</v>
      </c>
      <c r="U118" s="112">
        <v>1.0</v>
      </c>
      <c r="V118" s="112">
        <v>0.0</v>
      </c>
      <c r="W118" s="112">
        <v>2.0</v>
      </c>
      <c r="X118" s="112">
        <v>0.0</v>
      </c>
      <c r="Y118" s="112">
        <v>0.0</v>
      </c>
      <c r="Z118" s="112">
        <v>0.0</v>
      </c>
      <c r="AA118" s="112">
        <v>0.0</v>
      </c>
      <c r="AB118" s="112">
        <v>0.0</v>
      </c>
      <c r="AC118" s="112">
        <v>0.0</v>
      </c>
      <c r="AD118" s="112">
        <v>0.0</v>
      </c>
      <c r="AE118" s="112">
        <v>0.0</v>
      </c>
      <c r="AF118" s="112">
        <v>0.0</v>
      </c>
      <c r="AG118" s="112">
        <v>0.0</v>
      </c>
      <c r="AH118" s="112">
        <v>0.0</v>
      </c>
      <c r="AI118" s="112">
        <v>0.0</v>
      </c>
      <c r="AJ118" s="112">
        <v>0.0</v>
      </c>
      <c r="AK118" s="112">
        <v>0.0</v>
      </c>
      <c r="AL118" s="112">
        <v>0.0</v>
      </c>
      <c r="AM118" s="112">
        <v>0.0</v>
      </c>
      <c r="AN118" s="112">
        <v>2.0</v>
      </c>
    </row>
    <row r="119">
      <c r="A119" s="98"/>
      <c r="B119" s="111" t="s">
        <v>200</v>
      </c>
      <c r="C119" s="112">
        <v>419.0</v>
      </c>
      <c r="D119" s="112">
        <v>134.0</v>
      </c>
      <c r="E119" s="112">
        <v>285.0</v>
      </c>
      <c r="F119" s="112">
        <v>83.0</v>
      </c>
      <c r="G119" s="112">
        <v>58.0</v>
      </c>
      <c r="H119" s="112">
        <v>6.0</v>
      </c>
      <c r="I119" s="112">
        <v>12.0</v>
      </c>
      <c r="J119" s="112">
        <v>3.0</v>
      </c>
      <c r="K119" s="112">
        <v>2.0</v>
      </c>
      <c r="L119" s="112">
        <v>0.0</v>
      </c>
      <c r="M119" s="112">
        <v>12.0</v>
      </c>
      <c r="N119" s="112">
        <v>0.0</v>
      </c>
      <c r="O119" s="112">
        <v>11.0</v>
      </c>
      <c r="P119" s="112">
        <v>3.0</v>
      </c>
      <c r="Q119" s="112">
        <v>25.0</v>
      </c>
      <c r="R119" s="112">
        <v>3.0</v>
      </c>
      <c r="S119" s="112">
        <v>16.0</v>
      </c>
      <c r="T119" s="112">
        <v>2.0</v>
      </c>
      <c r="U119" s="112">
        <v>11.0</v>
      </c>
      <c r="V119" s="112">
        <v>1.0</v>
      </c>
      <c r="W119" s="112">
        <v>9.0</v>
      </c>
      <c r="X119" s="112">
        <v>2.0</v>
      </c>
      <c r="Y119" s="112">
        <v>16.0</v>
      </c>
      <c r="Z119" s="112">
        <v>2.0</v>
      </c>
      <c r="AA119" s="112">
        <v>22.0</v>
      </c>
      <c r="AB119" s="112">
        <v>2.0</v>
      </c>
      <c r="AC119" s="112">
        <v>26.0</v>
      </c>
      <c r="AD119" s="112">
        <v>7.0</v>
      </c>
      <c r="AE119" s="112">
        <v>14.0</v>
      </c>
      <c r="AF119" s="112">
        <v>5.0</v>
      </c>
      <c r="AG119" s="112">
        <v>16.0</v>
      </c>
      <c r="AH119" s="112">
        <v>6.0</v>
      </c>
      <c r="AI119" s="112">
        <v>16.0</v>
      </c>
      <c r="AJ119" s="112">
        <v>6.0</v>
      </c>
      <c r="AK119" s="112">
        <v>11.0</v>
      </c>
      <c r="AL119" s="112">
        <v>3.0</v>
      </c>
      <c r="AM119" s="112">
        <v>8.0</v>
      </c>
      <c r="AN119" s="112">
        <v>406.0</v>
      </c>
    </row>
    <row r="120">
      <c r="A120" s="104"/>
      <c r="B120" s="111" t="s">
        <v>201</v>
      </c>
      <c r="C120" s="112">
        <v>785.0</v>
      </c>
      <c r="D120" s="112">
        <v>289.0</v>
      </c>
      <c r="E120" s="112">
        <v>496.0</v>
      </c>
      <c r="F120" s="112">
        <v>7.0</v>
      </c>
      <c r="G120" s="112">
        <v>1.0</v>
      </c>
      <c r="H120" s="112">
        <v>9.0</v>
      </c>
      <c r="I120" s="112">
        <v>9.0</v>
      </c>
      <c r="J120" s="112">
        <v>10.0</v>
      </c>
      <c r="K120" s="112">
        <v>12.0</v>
      </c>
      <c r="L120" s="112">
        <v>1.0</v>
      </c>
      <c r="M120" s="112">
        <v>10.0</v>
      </c>
      <c r="N120" s="112">
        <v>27.0</v>
      </c>
      <c r="O120" s="112">
        <v>17.0</v>
      </c>
      <c r="P120" s="112">
        <v>23.0</v>
      </c>
      <c r="Q120" s="112">
        <v>14.0</v>
      </c>
      <c r="R120" s="112">
        <v>17.0</v>
      </c>
      <c r="S120" s="112">
        <v>14.0</v>
      </c>
      <c r="T120" s="112">
        <v>22.0</v>
      </c>
      <c r="U120" s="112">
        <v>19.0</v>
      </c>
      <c r="V120" s="112">
        <v>24.0</v>
      </c>
      <c r="W120" s="112">
        <v>34.0</v>
      </c>
      <c r="X120" s="112">
        <v>31.0</v>
      </c>
      <c r="Y120" s="112">
        <v>68.0</v>
      </c>
      <c r="Z120" s="112">
        <v>15.0</v>
      </c>
      <c r="AA120" s="112">
        <v>70.0</v>
      </c>
      <c r="AB120" s="112">
        <v>21.0</v>
      </c>
      <c r="AC120" s="112">
        <v>44.0</v>
      </c>
      <c r="AD120" s="112">
        <v>17.0</v>
      </c>
      <c r="AE120" s="112">
        <v>50.0</v>
      </c>
      <c r="AF120" s="112">
        <v>32.0</v>
      </c>
      <c r="AG120" s="112">
        <v>56.0</v>
      </c>
      <c r="AH120" s="112">
        <v>9.0</v>
      </c>
      <c r="AI120" s="112">
        <v>33.0</v>
      </c>
      <c r="AJ120" s="112">
        <v>16.0</v>
      </c>
      <c r="AK120" s="112">
        <v>26.0</v>
      </c>
      <c r="AL120" s="112">
        <v>8.0</v>
      </c>
      <c r="AM120" s="112">
        <v>19.0</v>
      </c>
      <c r="AN120" s="112">
        <v>775.0</v>
      </c>
    </row>
    <row r="121">
      <c r="A121" s="107" t="s">
        <v>208</v>
      </c>
      <c r="B121" s="111" t="s">
        <v>198</v>
      </c>
      <c r="C121" s="112">
        <v>1.0</v>
      </c>
      <c r="D121" s="112">
        <v>1.0</v>
      </c>
      <c r="E121" s="112">
        <v>0.0</v>
      </c>
      <c r="F121" s="112">
        <v>0.0</v>
      </c>
      <c r="G121" s="112">
        <v>0.0</v>
      </c>
      <c r="H121" s="112">
        <v>1.0</v>
      </c>
      <c r="I121" s="112">
        <v>0.0</v>
      </c>
      <c r="J121" s="112">
        <v>0.0</v>
      </c>
      <c r="K121" s="112">
        <v>0.0</v>
      </c>
      <c r="L121" s="112">
        <v>0.0</v>
      </c>
      <c r="M121" s="112">
        <v>0.0</v>
      </c>
      <c r="N121" s="112">
        <v>0.0</v>
      </c>
      <c r="O121" s="112">
        <v>0.0</v>
      </c>
      <c r="P121" s="110">
        <v>0.0</v>
      </c>
      <c r="Q121" s="110">
        <v>0.0</v>
      </c>
      <c r="R121" s="110">
        <v>0.0</v>
      </c>
      <c r="S121" s="110">
        <v>0.0</v>
      </c>
      <c r="T121" s="110">
        <v>0.0</v>
      </c>
      <c r="U121" s="110">
        <v>18.0</v>
      </c>
      <c r="V121" s="110">
        <v>0.0</v>
      </c>
      <c r="W121" s="110">
        <v>0.0</v>
      </c>
      <c r="X121" s="110">
        <v>0.0</v>
      </c>
      <c r="Y121" s="110">
        <v>0.0</v>
      </c>
      <c r="Z121" s="110">
        <v>0.0</v>
      </c>
      <c r="AA121" s="110">
        <v>0.0</v>
      </c>
      <c r="AB121" s="110">
        <v>0.0</v>
      </c>
      <c r="AC121" s="110">
        <v>0.0</v>
      </c>
      <c r="AD121" s="110">
        <v>0.0</v>
      </c>
      <c r="AE121" s="110">
        <v>0.0</v>
      </c>
      <c r="AF121" s="110">
        <v>0.0</v>
      </c>
      <c r="AG121" s="110">
        <v>0.0</v>
      </c>
      <c r="AH121" s="110">
        <v>0.0</v>
      </c>
      <c r="AI121" s="110">
        <v>0.0</v>
      </c>
      <c r="AJ121" s="110">
        <v>0.0</v>
      </c>
      <c r="AK121" s="110">
        <v>0.0</v>
      </c>
      <c r="AL121" s="110">
        <v>0.0</v>
      </c>
      <c r="AM121" s="110">
        <v>0.0</v>
      </c>
      <c r="AN121" s="112">
        <v>0.0</v>
      </c>
    </row>
    <row r="122">
      <c r="A122" s="98"/>
      <c r="B122" s="111" t="s">
        <v>199</v>
      </c>
      <c r="C122" s="112">
        <v>0.0</v>
      </c>
      <c r="D122" s="112">
        <v>0.0</v>
      </c>
      <c r="E122" s="112">
        <v>0.0</v>
      </c>
      <c r="F122" s="112">
        <v>0.0</v>
      </c>
      <c r="G122" s="112">
        <v>0.0</v>
      </c>
      <c r="H122" s="112">
        <v>0.0</v>
      </c>
      <c r="I122" s="112">
        <v>0.0</v>
      </c>
      <c r="J122" s="112">
        <v>0.0</v>
      </c>
      <c r="K122" s="112">
        <v>0.0</v>
      </c>
      <c r="L122" s="112">
        <v>0.0</v>
      </c>
      <c r="M122" s="112">
        <v>0.0</v>
      </c>
      <c r="N122" s="112">
        <v>0.0</v>
      </c>
      <c r="O122" s="112">
        <v>0.0</v>
      </c>
      <c r="P122" s="110">
        <v>0.0</v>
      </c>
      <c r="Q122" s="110">
        <v>0.0</v>
      </c>
      <c r="R122" s="110">
        <v>0.0</v>
      </c>
      <c r="S122" s="110">
        <v>0.0</v>
      </c>
      <c r="T122" s="110">
        <v>0.0</v>
      </c>
      <c r="U122" s="110">
        <v>18.0</v>
      </c>
      <c r="V122" s="110">
        <v>0.0</v>
      </c>
      <c r="W122" s="110">
        <v>0.0</v>
      </c>
      <c r="X122" s="110">
        <v>0.0</v>
      </c>
      <c r="Y122" s="110">
        <v>0.0</v>
      </c>
      <c r="Z122" s="110">
        <v>0.0</v>
      </c>
      <c r="AA122" s="110">
        <v>0.0</v>
      </c>
      <c r="AB122" s="110">
        <v>0.0</v>
      </c>
      <c r="AC122" s="110">
        <v>0.0</v>
      </c>
      <c r="AD122" s="110">
        <v>0.0</v>
      </c>
      <c r="AE122" s="110">
        <v>0.0</v>
      </c>
      <c r="AF122" s="110">
        <v>0.0</v>
      </c>
      <c r="AG122" s="110">
        <v>0.0</v>
      </c>
      <c r="AH122" s="110">
        <v>0.0</v>
      </c>
      <c r="AI122" s="110">
        <v>0.0</v>
      </c>
      <c r="AJ122" s="110">
        <v>0.0</v>
      </c>
      <c r="AK122" s="110">
        <v>0.0</v>
      </c>
      <c r="AL122" s="110">
        <v>0.0</v>
      </c>
      <c r="AM122" s="110">
        <v>0.0</v>
      </c>
      <c r="AN122" s="112">
        <v>0.0</v>
      </c>
    </row>
    <row r="123">
      <c r="A123" s="98"/>
      <c r="B123" s="111" t="s">
        <v>206</v>
      </c>
      <c r="C123" s="112">
        <v>0.0</v>
      </c>
      <c r="D123" s="112">
        <v>0.0</v>
      </c>
      <c r="E123" s="112">
        <v>0.0</v>
      </c>
      <c r="F123" s="112">
        <v>0.0</v>
      </c>
      <c r="G123" s="112">
        <v>0.0</v>
      </c>
      <c r="H123" s="112">
        <v>0.0</v>
      </c>
      <c r="I123" s="112">
        <v>0.0</v>
      </c>
      <c r="J123" s="112">
        <v>0.0</v>
      </c>
      <c r="K123" s="112">
        <v>0.0</v>
      </c>
      <c r="L123" s="112">
        <v>0.0</v>
      </c>
      <c r="M123" s="112">
        <v>0.0</v>
      </c>
      <c r="N123" s="112">
        <v>0.0</v>
      </c>
      <c r="O123" s="112">
        <v>0.0</v>
      </c>
      <c r="P123" s="110">
        <v>0.0</v>
      </c>
      <c r="Q123" s="110">
        <v>0.0</v>
      </c>
      <c r="R123" s="110">
        <v>0.0</v>
      </c>
      <c r="S123" s="110">
        <v>0.0</v>
      </c>
      <c r="T123" s="110">
        <v>0.0</v>
      </c>
      <c r="U123" s="110">
        <v>18.0</v>
      </c>
      <c r="V123" s="110">
        <v>0.0</v>
      </c>
      <c r="W123" s="110">
        <v>0.0</v>
      </c>
      <c r="X123" s="110">
        <v>0.0</v>
      </c>
      <c r="Y123" s="110">
        <v>0.0</v>
      </c>
      <c r="Z123" s="110">
        <v>0.0</v>
      </c>
      <c r="AA123" s="110">
        <v>0.0</v>
      </c>
      <c r="AB123" s="110">
        <v>0.0</v>
      </c>
      <c r="AC123" s="110">
        <v>0.0</v>
      </c>
      <c r="AD123" s="110">
        <v>0.0</v>
      </c>
      <c r="AE123" s="110">
        <v>0.0</v>
      </c>
      <c r="AF123" s="110">
        <v>0.0</v>
      </c>
      <c r="AG123" s="110">
        <v>0.0</v>
      </c>
      <c r="AH123" s="110">
        <v>0.0</v>
      </c>
      <c r="AI123" s="110">
        <v>0.0</v>
      </c>
      <c r="AJ123" s="110">
        <v>0.0</v>
      </c>
      <c r="AK123" s="110">
        <v>0.0</v>
      </c>
      <c r="AL123" s="110">
        <v>0.0</v>
      </c>
      <c r="AM123" s="110">
        <v>0.0</v>
      </c>
      <c r="AN123" s="112">
        <v>0.0</v>
      </c>
    </row>
    <row r="124">
      <c r="A124" s="98"/>
      <c r="B124" s="111" t="s">
        <v>200</v>
      </c>
      <c r="C124" s="112">
        <v>11.0</v>
      </c>
      <c r="D124" s="112">
        <v>5.0</v>
      </c>
      <c r="E124" s="112">
        <v>6.0</v>
      </c>
      <c r="F124" s="112">
        <v>4.0</v>
      </c>
      <c r="G124" s="112">
        <v>6.0</v>
      </c>
      <c r="H124" s="112">
        <v>1.0</v>
      </c>
      <c r="I124" s="112">
        <v>0.0</v>
      </c>
      <c r="J124" s="112">
        <v>0.0</v>
      </c>
      <c r="K124" s="112">
        <v>0.0</v>
      </c>
      <c r="L124" s="112">
        <v>0.0</v>
      </c>
      <c r="M124" s="112">
        <v>0.0</v>
      </c>
      <c r="N124" s="112">
        <v>0.0</v>
      </c>
      <c r="O124" s="112">
        <v>0.0</v>
      </c>
      <c r="P124" s="110">
        <v>0.0</v>
      </c>
      <c r="Q124" s="110">
        <v>0.0</v>
      </c>
      <c r="R124" s="110">
        <v>0.0</v>
      </c>
      <c r="S124" s="110">
        <v>0.0</v>
      </c>
      <c r="T124" s="110">
        <v>0.0</v>
      </c>
      <c r="U124" s="110">
        <v>18.0</v>
      </c>
      <c r="V124" s="110">
        <v>0.0</v>
      </c>
      <c r="W124" s="110">
        <v>0.0</v>
      </c>
      <c r="X124" s="110">
        <v>0.0</v>
      </c>
      <c r="Y124" s="110">
        <v>0.0</v>
      </c>
      <c r="Z124" s="110">
        <v>0.0</v>
      </c>
      <c r="AA124" s="110">
        <v>0.0</v>
      </c>
      <c r="AB124" s="110">
        <v>0.0</v>
      </c>
      <c r="AC124" s="110">
        <v>0.0</v>
      </c>
      <c r="AD124" s="110">
        <v>0.0</v>
      </c>
      <c r="AE124" s="110">
        <v>0.0</v>
      </c>
      <c r="AF124" s="110">
        <v>0.0</v>
      </c>
      <c r="AG124" s="110">
        <v>0.0</v>
      </c>
      <c r="AH124" s="110">
        <v>0.0</v>
      </c>
      <c r="AI124" s="110">
        <v>0.0</v>
      </c>
      <c r="AJ124" s="110">
        <v>0.0</v>
      </c>
      <c r="AK124" s="110">
        <v>0.0</v>
      </c>
      <c r="AL124" s="110">
        <v>0.0</v>
      </c>
      <c r="AM124" s="110">
        <v>0.0</v>
      </c>
      <c r="AN124" s="112">
        <v>11.0</v>
      </c>
    </row>
    <row r="125">
      <c r="A125" s="104"/>
      <c r="B125" s="111" t="s">
        <v>201</v>
      </c>
      <c r="C125" s="112">
        <v>18.0</v>
      </c>
      <c r="D125" s="112">
        <v>0.0</v>
      </c>
      <c r="E125" s="112">
        <v>18.0</v>
      </c>
      <c r="F125" s="112">
        <v>0.0</v>
      </c>
      <c r="G125" s="112">
        <v>0.0</v>
      </c>
      <c r="H125" s="112">
        <v>0.0</v>
      </c>
      <c r="I125" s="112">
        <v>0.0</v>
      </c>
      <c r="J125" s="112">
        <v>0.0</v>
      </c>
      <c r="K125" s="112">
        <v>0.0</v>
      </c>
      <c r="L125" s="112">
        <v>0.0</v>
      </c>
      <c r="M125" s="112">
        <v>0.0</v>
      </c>
      <c r="N125" s="112">
        <v>0.0</v>
      </c>
      <c r="O125" s="112">
        <v>0.0</v>
      </c>
      <c r="P125" s="110">
        <v>0.0</v>
      </c>
      <c r="Q125" s="110">
        <v>0.0</v>
      </c>
      <c r="R125" s="110">
        <v>0.0</v>
      </c>
      <c r="S125" s="110">
        <v>0.0</v>
      </c>
      <c r="T125" s="110">
        <v>0.0</v>
      </c>
      <c r="U125" s="110">
        <v>18.0</v>
      </c>
      <c r="V125" s="110">
        <v>0.0</v>
      </c>
      <c r="W125" s="110">
        <v>0.0</v>
      </c>
      <c r="X125" s="110">
        <v>0.0</v>
      </c>
      <c r="Y125" s="110">
        <v>0.0</v>
      </c>
      <c r="Z125" s="110">
        <v>0.0</v>
      </c>
      <c r="AA125" s="110">
        <v>0.0</v>
      </c>
      <c r="AB125" s="110">
        <v>0.0</v>
      </c>
      <c r="AC125" s="110">
        <v>0.0</v>
      </c>
      <c r="AD125" s="110">
        <v>0.0</v>
      </c>
      <c r="AE125" s="110">
        <v>0.0</v>
      </c>
      <c r="AF125" s="110">
        <v>0.0</v>
      </c>
      <c r="AG125" s="110">
        <v>0.0</v>
      </c>
      <c r="AH125" s="110">
        <v>0.0</v>
      </c>
      <c r="AI125" s="110">
        <v>0.0</v>
      </c>
      <c r="AJ125" s="110">
        <v>0.0</v>
      </c>
      <c r="AK125" s="110">
        <v>0.0</v>
      </c>
      <c r="AL125" s="110">
        <v>0.0</v>
      </c>
      <c r="AM125" s="110">
        <v>0.0</v>
      </c>
      <c r="AN125" s="112">
        <v>4.0</v>
      </c>
    </row>
    <row r="126">
      <c r="A126" s="113" t="s">
        <v>213</v>
      </c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</row>
    <row r="127">
      <c r="A127" s="107" t="s">
        <v>197</v>
      </c>
      <c r="B127" s="108" t="s">
        <v>198</v>
      </c>
      <c r="C127" s="109">
        <v>156695.0</v>
      </c>
      <c r="D127" s="109">
        <v>53813.0</v>
      </c>
      <c r="E127" s="109">
        <v>102882.0</v>
      </c>
      <c r="F127" s="110">
        <v>0.0</v>
      </c>
      <c r="G127" s="110">
        <v>0.0</v>
      </c>
      <c r="H127" s="110">
        <v>0.0</v>
      </c>
      <c r="I127" s="110">
        <v>0.0</v>
      </c>
      <c r="J127" s="110">
        <v>0.0</v>
      </c>
      <c r="K127" s="110">
        <v>0.0</v>
      </c>
      <c r="L127" s="112">
        <v>206.0</v>
      </c>
      <c r="M127" s="112">
        <v>380.0</v>
      </c>
      <c r="N127" s="112">
        <v>181.0</v>
      </c>
      <c r="O127" s="112">
        <v>530.0</v>
      </c>
      <c r="P127" s="112">
        <v>297.0</v>
      </c>
      <c r="Q127" s="112">
        <v>861.0</v>
      </c>
      <c r="R127" s="112">
        <v>487.0</v>
      </c>
      <c r="S127" s="109">
        <v>1372.0</v>
      </c>
      <c r="T127" s="112">
        <v>790.0</v>
      </c>
      <c r="U127" s="109">
        <v>2115.0</v>
      </c>
      <c r="V127" s="109">
        <v>1505.0</v>
      </c>
      <c r="W127" s="109">
        <v>3848.0</v>
      </c>
      <c r="X127" s="109">
        <v>2547.0</v>
      </c>
      <c r="Y127" s="109">
        <v>6658.0</v>
      </c>
      <c r="Z127" s="109">
        <v>4361.0</v>
      </c>
      <c r="AA127" s="109">
        <v>10970.0</v>
      </c>
      <c r="AB127" s="109">
        <v>5658.0</v>
      </c>
      <c r="AC127" s="109">
        <v>12303.0</v>
      </c>
      <c r="AD127" s="109">
        <v>7050.0</v>
      </c>
      <c r="AE127" s="109">
        <v>13975.0</v>
      </c>
      <c r="AF127" s="109">
        <v>7848.0</v>
      </c>
      <c r="AG127" s="109">
        <v>13680.0</v>
      </c>
      <c r="AH127" s="109">
        <v>8297.0</v>
      </c>
      <c r="AI127" s="109">
        <v>12995.0</v>
      </c>
      <c r="AJ127" s="109">
        <v>6743.0</v>
      </c>
      <c r="AK127" s="109">
        <v>10552.0</v>
      </c>
      <c r="AL127" s="109">
        <v>7843.0</v>
      </c>
      <c r="AM127" s="109">
        <v>12643.0</v>
      </c>
      <c r="AN127" s="109">
        <v>154757.0</v>
      </c>
    </row>
    <row r="128">
      <c r="A128" s="98"/>
      <c r="B128" s="111" t="s">
        <v>199</v>
      </c>
      <c r="C128" s="109">
        <v>54654.0</v>
      </c>
      <c r="D128" s="109">
        <v>18699.0</v>
      </c>
      <c r="E128" s="109">
        <v>35955.0</v>
      </c>
      <c r="F128" s="110">
        <v>0.0</v>
      </c>
      <c r="G128" s="110">
        <v>0.0</v>
      </c>
      <c r="H128" s="110">
        <v>0.0</v>
      </c>
      <c r="I128" s="110">
        <v>0.0</v>
      </c>
      <c r="J128" s="110">
        <v>0.0</v>
      </c>
      <c r="K128" s="110">
        <v>0.0</v>
      </c>
      <c r="L128" s="112">
        <v>26.0</v>
      </c>
      <c r="M128" s="112">
        <v>42.0</v>
      </c>
      <c r="N128" s="112">
        <v>36.0</v>
      </c>
      <c r="O128" s="112">
        <v>98.0</v>
      </c>
      <c r="P128" s="112">
        <v>80.0</v>
      </c>
      <c r="Q128" s="112">
        <v>201.0</v>
      </c>
      <c r="R128" s="112">
        <v>140.0</v>
      </c>
      <c r="S128" s="112">
        <v>391.0</v>
      </c>
      <c r="T128" s="112">
        <v>247.0</v>
      </c>
      <c r="U128" s="112">
        <v>676.0</v>
      </c>
      <c r="V128" s="112">
        <v>454.0</v>
      </c>
      <c r="W128" s="109">
        <v>1250.0</v>
      </c>
      <c r="X128" s="112">
        <v>867.0</v>
      </c>
      <c r="Y128" s="109">
        <v>2218.0</v>
      </c>
      <c r="Z128" s="109">
        <v>1328.0</v>
      </c>
      <c r="AA128" s="109">
        <v>3736.0</v>
      </c>
      <c r="AB128" s="109">
        <v>1845.0</v>
      </c>
      <c r="AC128" s="109">
        <v>4216.0</v>
      </c>
      <c r="AD128" s="109">
        <v>2260.0</v>
      </c>
      <c r="AE128" s="109">
        <v>4802.0</v>
      </c>
      <c r="AF128" s="109">
        <v>2823.0</v>
      </c>
      <c r="AG128" s="109">
        <v>5001.0</v>
      </c>
      <c r="AH128" s="109">
        <v>3071.0</v>
      </c>
      <c r="AI128" s="109">
        <v>4794.0</v>
      </c>
      <c r="AJ128" s="109">
        <v>2539.0</v>
      </c>
      <c r="AK128" s="109">
        <v>3869.0</v>
      </c>
      <c r="AL128" s="109">
        <v>2986.0</v>
      </c>
      <c r="AM128" s="109">
        <v>4683.0</v>
      </c>
      <c r="AN128" s="109">
        <v>52933.0</v>
      </c>
    </row>
    <row r="129">
      <c r="A129" s="98"/>
      <c r="B129" s="111" t="s">
        <v>200</v>
      </c>
      <c r="C129" s="109">
        <v>43765.0</v>
      </c>
      <c r="D129" s="109">
        <v>13962.0</v>
      </c>
      <c r="E129" s="109">
        <v>29809.0</v>
      </c>
      <c r="F129" s="110">
        <v>0.0</v>
      </c>
      <c r="G129" s="110">
        <v>0.0</v>
      </c>
      <c r="H129" s="110">
        <v>0.0</v>
      </c>
      <c r="I129" s="110">
        <v>0.0</v>
      </c>
      <c r="J129" s="110">
        <v>0.0</v>
      </c>
      <c r="K129" s="110">
        <v>0.0</v>
      </c>
      <c r="L129" s="112">
        <v>56.0</v>
      </c>
      <c r="M129" s="112">
        <v>119.0</v>
      </c>
      <c r="N129" s="112">
        <v>61.0</v>
      </c>
      <c r="O129" s="112">
        <v>205.0</v>
      </c>
      <c r="P129" s="112">
        <v>110.0</v>
      </c>
      <c r="Q129" s="112">
        <v>281.0</v>
      </c>
      <c r="R129" s="112">
        <v>148.0</v>
      </c>
      <c r="S129" s="112">
        <v>480.0</v>
      </c>
      <c r="T129" s="112">
        <v>245.0</v>
      </c>
      <c r="U129" s="112">
        <v>740.0</v>
      </c>
      <c r="V129" s="112">
        <v>457.0</v>
      </c>
      <c r="W129" s="109">
        <v>1347.0</v>
      </c>
      <c r="X129" s="112">
        <v>759.0</v>
      </c>
      <c r="Y129" s="109">
        <v>2209.0</v>
      </c>
      <c r="Z129" s="109">
        <v>1098.0</v>
      </c>
      <c r="AA129" s="109">
        <v>3529.0</v>
      </c>
      <c r="AB129" s="109">
        <v>1480.0</v>
      </c>
      <c r="AC129" s="109">
        <v>3785.0</v>
      </c>
      <c r="AD129" s="109">
        <v>1844.0</v>
      </c>
      <c r="AE129" s="109">
        <v>4040.0</v>
      </c>
      <c r="AF129" s="109">
        <v>1953.0</v>
      </c>
      <c r="AG129" s="109">
        <v>3864.0</v>
      </c>
      <c r="AH129" s="109">
        <v>2160.0</v>
      </c>
      <c r="AI129" s="109">
        <v>3562.0</v>
      </c>
      <c r="AJ129" s="109">
        <v>1750.0</v>
      </c>
      <c r="AK129" s="109">
        <v>2719.0</v>
      </c>
      <c r="AL129" s="109">
        <v>1840.0</v>
      </c>
      <c r="AM129" s="109">
        <v>2930.0</v>
      </c>
      <c r="AN129" s="109">
        <v>43309.0</v>
      </c>
    </row>
    <row r="130">
      <c r="A130" s="104"/>
      <c r="B130" s="111" t="s">
        <v>201</v>
      </c>
      <c r="C130" s="109">
        <v>3690.0</v>
      </c>
      <c r="D130" s="109">
        <v>1343.0</v>
      </c>
      <c r="E130" s="109">
        <v>2347.0</v>
      </c>
      <c r="F130" s="110">
        <v>0.0</v>
      </c>
      <c r="G130" s="110">
        <v>0.0</v>
      </c>
      <c r="H130" s="110">
        <v>0.0</v>
      </c>
      <c r="I130" s="110">
        <v>0.0</v>
      </c>
      <c r="J130" s="110">
        <v>0.0</v>
      </c>
      <c r="K130" s="110">
        <v>0.0</v>
      </c>
      <c r="L130" s="112">
        <v>1.0</v>
      </c>
      <c r="M130" s="112">
        <v>2.0</v>
      </c>
      <c r="N130" s="112">
        <v>9.0</v>
      </c>
      <c r="O130" s="112">
        <v>14.0</v>
      </c>
      <c r="P130" s="112">
        <v>11.0</v>
      </c>
      <c r="Q130" s="112">
        <v>30.0</v>
      </c>
      <c r="R130" s="112">
        <v>24.0</v>
      </c>
      <c r="S130" s="112">
        <v>44.0</v>
      </c>
      <c r="T130" s="112">
        <v>35.0</v>
      </c>
      <c r="U130" s="112">
        <v>63.0</v>
      </c>
      <c r="V130" s="112">
        <v>56.0</v>
      </c>
      <c r="W130" s="112">
        <v>97.0</v>
      </c>
      <c r="X130" s="112">
        <v>81.0</v>
      </c>
      <c r="Y130" s="112">
        <v>197.0</v>
      </c>
      <c r="Z130" s="112">
        <v>130.0</v>
      </c>
      <c r="AA130" s="112">
        <v>308.0</v>
      </c>
      <c r="AB130" s="112">
        <v>156.0</v>
      </c>
      <c r="AC130" s="112">
        <v>243.0</v>
      </c>
      <c r="AD130" s="112">
        <v>142.0</v>
      </c>
      <c r="AE130" s="112">
        <v>263.0</v>
      </c>
      <c r="AF130" s="112">
        <v>177.0</v>
      </c>
      <c r="AG130" s="112">
        <v>284.0</v>
      </c>
      <c r="AH130" s="112">
        <v>174.0</v>
      </c>
      <c r="AI130" s="112">
        <v>291.0</v>
      </c>
      <c r="AJ130" s="112">
        <v>157.0</v>
      </c>
      <c r="AK130" s="112">
        <v>227.0</v>
      </c>
      <c r="AL130" s="112">
        <v>190.0</v>
      </c>
      <c r="AM130" s="112">
        <v>284.0</v>
      </c>
      <c r="AN130" s="109">
        <v>3658.0</v>
      </c>
    </row>
    <row r="131">
      <c r="A131" s="107" t="s">
        <v>202</v>
      </c>
      <c r="B131" s="111" t="s">
        <v>198</v>
      </c>
      <c r="C131" s="112">
        <v>291.0</v>
      </c>
      <c r="D131" s="112">
        <v>134.0</v>
      </c>
      <c r="E131" s="112">
        <v>157.0</v>
      </c>
      <c r="F131" s="112">
        <v>1.0</v>
      </c>
      <c r="G131" s="112">
        <v>2.0</v>
      </c>
      <c r="H131" s="112">
        <v>6.0</v>
      </c>
      <c r="I131" s="112">
        <v>2.0</v>
      </c>
      <c r="J131" s="112">
        <v>4.0</v>
      </c>
      <c r="K131" s="112">
        <v>3.0</v>
      </c>
      <c r="L131" s="112">
        <v>6.0</v>
      </c>
      <c r="M131" s="112">
        <v>9.0</v>
      </c>
      <c r="N131" s="112">
        <v>11.0</v>
      </c>
      <c r="O131" s="112">
        <v>11.0</v>
      </c>
      <c r="P131" s="112">
        <v>19.0</v>
      </c>
      <c r="Q131" s="112">
        <v>31.0</v>
      </c>
      <c r="R131" s="112">
        <v>8.0</v>
      </c>
      <c r="S131" s="112">
        <v>7.0</v>
      </c>
      <c r="T131" s="112">
        <v>8.0</v>
      </c>
      <c r="U131" s="112">
        <v>7.0</v>
      </c>
      <c r="V131" s="112">
        <v>7.0</v>
      </c>
      <c r="W131" s="112">
        <v>11.0</v>
      </c>
      <c r="X131" s="112">
        <v>6.0</v>
      </c>
      <c r="Y131" s="112">
        <v>12.0</v>
      </c>
      <c r="Z131" s="112">
        <v>8.0</v>
      </c>
      <c r="AA131" s="112">
        <v>4.0</v>
      </c>
      <c r="AB131" s="112">
        <v>6.0</v>
      </c>
      <c r="AC131" s="112">
        <v>20.0</v>
      </c>
      <c r="AD131" s="112">
        <v>15.0</v>
      </c>
      <c r="AE131" s="112">
        <v>8.0</v>
      </c>
      <c r="AF131" s="112">
        <v>3.0</v>
      </c>
      <c r="AG131" s="112">
        <v>9.0</v>
      </c>
      <c r="AH131" s="112">
        <v>10.0</v>
      </c>
      <c r="AI131" s="112">
        <v>4.0</v>
      </c>
      <c r="AJ131" s="112">
        <v>11.0</v>
      </c>
      <c r="AK131" s="112">
        <v>5.0</v>
      </c>
      <c r="AL131" s="112">
        <v>5.0</v>
      </c>
      <c r="AM131" s="112">
        <v>12.0</v>
      </c>
      <c r="AN131" s="112">
        <v>286.0</v>
      </c>
    </row>
    <row r="132">
      <c r="A132" s="104"/>
      <c r="B132" s="111" t="s">
        <v>199</v>
      </c>
      <c r="C132" s="112">
        <v>229.0</v>
      </c>
      <c r="D132" s="112">
        <v>134.0</v>
      </c>
      <c r="E132" s="112">
        <v>95.0</v>
      </c>
      <c r="F132" s="112">
        <v>2.0</v>
      </c>
      <c r="G132" s="112">
        <v>3.0</v>
      </c>
      <c r="H132" s="112">
        <v>6.0</v>
      </c>
      <c r="I132" s="112">
        <v>3.0</v>
      </c>
      <c r="J132" s="112">
        <v>4.0</v>
      </c>
      <c r="K132" s="112">
        <v>2.0</v>
      </c>
      <c r="L132" s="112">
        <v>6.0</v>
      </c>
      <c r="M132" s="112">
        <v>4.0</v>
      </c>
      <c r="N132" s="112">
        <v>19.0</v>
      </c>
      <c r="O132" s="112">
        <v>7.0</v>
      </c>
      <c r="P132" s="112">
        <v>17.0</v>
      </c>
      <c r="Q132" s="112">
        <v>19.0</v>
      </c>
      <c r="R132" s="112">
        <v>18.0</v>
      </c>
      <c r="S132" s="112">
        <v>4.0</v>
      </c>
      <c r="T132" s="112">
        <v>2.0</v>
      </c>
      <c r="U132" s="112">
        <v>0.0</v>
      </c>
      <c r="V132" s="112">
        <v>8.0</v>
      </c>
      <c r="W132" s="112">
        <v>3.0</v>
      </c>
      <c r="X132" s="112">
        <v>6.0</v>
      </c>
      <c r="Y132" s="112">
        <v>3.0</v>
      </c>
      <c r="Z132" s="112">
        <v>2.0</v>
      </c>
      <c r="AA132" s="112">
        <v>5.0</v>
      </c>
      <c r="AB132" s="112">
        <v>5.0</v>
      </c>
      <c r="AC132" s="112">
        <v>13.0</v>
      </c>
      <c r="AD132" s="112">
        <v>6.0</v>
      </c>
      <c r="AE132" s="112">
        <v>7.0</v>
      </c>
      <c r="AF132" s="112">
        <v>14.0</v>
      </c>
      <c r="AG132" s="112">
        <v>5.0</v>
      </c>
      <c r="AH132" s="112">
        <v>6.0</v>
      </c>
      <c r="AI132" s="112">
        <v>4.0</v>
      </c>
      <c r="AJ132" s="112">
        <v>12.0</v>
      </c>
      <c r="AK132" s="112">
        <v>5.0</v>
      </c>
      <c r="AL132" s="112">
        <v>1.0</v>
      </c>
      <c r="AM132" s="112">
        <v>8.0</v>
      </c>
      <c r="AN132" s="112">
        <v>228.0</v>
      </c>
    </row>
    <row r="133">
      <c r="A133" s="107" t="s">
        <v>203</v>
      </c>
      <c r="B133" s="111" t="s">
        <v>198</v>
      </c>
      <c r="C133" s="112">
        <v>23.0</v>
      </c>
      <c r="D133" s="112">
        <v>12.0</v>
      </c>
      <c r="E133" s="112">
        <v>11.0</v>
      </c>
      <c r="F133" s="110">
        <v>0.0</v>
      </c>
      <c r="G133" s="110">
        <v>0.0</v>
      </c>
      <c r="H133" s="110">
        <v>0.0</v>
      </c>
      <c r="I133" s="110">
        <v>0.0</v>
      </c>
      <c r="J133" s="110">
        <v>0.0</v>
      </c>
      <c r="K133" s="110">
        <v>0.0</v>
      </c>
      <c r="L133" s="110">
        <v>0.0</v>
      </c>
      <c r="M133" s="110">
        <v>0.0</v>
      </c>
      <c r="N133" s="110">
        <v>0.0</v>
      </c>
      <c r="O133" s="110">
        <v>0.0</v>
      </c>
      <c r="P133" s="110">
        <v>0.0</v>
      </c>
      <c r="Q133" s="110">
        <v>0.0</v>
      </c>
      <c r="R133" s="110">
        <v>0.0</v>
      </c>
      <c r="S133" s="110">
        <v>0.0</v>
      </c>
      <c r="T133" s="110">
        <v>0.0</v>
      </c>
      <c r="U133" s="110">
        <v>0.0</v>
      </c>
      <c r="V133" s="110">
        <v>0.0</v>
      </c>
      <c r="W133" s="110">
        <v>0.0</v>
      </c>
      <c r="X133" s="110">
        <v>0.0</v>
      </c>
      <c r="Y133" s="110">
        <v>0.0</v>
      </c>
      <c r="Z133" s="110">
        <v>0.0</v>
      </c>
      <c r="AA133" s="110">
        <v>0.0</v>
      </c>
      <c r="AB133" s="110">
        <v>0.0</v>
      </c>
      <c r="AC133" s="110">
        <v>0.0</v>
      </c>
      <c r="AD133" s="110">
        <v>0.0</v>
      </c>
      <c r="AE133" s="110">
        <v>0.0</v>
      </c>
      <c r="AF133" s="112">
        <v>2.0</v>
      </c>
      <c r="AG133" s="112">
        <v>4.0</v>
      </c>
      <c r="AH133" s="112">
        <v>5.0</v>
      </c>
      <c r="AI133" s="112">
        <v>1.0</v>
      </c>
      <c r="AJ133" s="112">
        <v>3.0</v>
      </c>
      <c r="AK133" s="112">
        <v>2.0</v>
      </c>
      <c r="AL133" s="112">
        <v>2.0</v>
      </c>
      <c r="AM133" s="112">
        <v>4.0</v>
      </c>
      <c r="AN133" s="112">
        <v>14.0</v>
      </c>
    </row>
    <row r="134">
      <c r="A134" s="104"/>
      <c r="B134" s="111" t="s">
        <v>199</v>
      </c>
      <c r="C134" s="112">
        <v>585.0</v>
      </c>
      <c r="D134" s="112">
        <v>223.0</v>
      </c>
      <c r="E134" s="112">
        <v>362.0</v>
      </c>
      <c r="F134" s="110">
        <v>0.0</v>
      </c>
      <c r="G134" s="110">
        <v>0.0</v>
      </c>
      <c r="H134" s="110">
        <v>0.0</v>
      </c>
      <c r="I134" s="110">
        <v>0.0</v>
      </c>
      <c r="J134" s="110">
        <v>0.0</v>
      </c>
      <c r="K134" s="110">
        <v>0.0</v>
      </c>
      <c r="L134" s="110">
        <v>0.0</v>
      </c>
      <c r="M134" s="110">
        <v>0.0</v>
      </c>
      <c r="N134" s="110">
        <v>0.0</v>
      </c>
      <c r="O134" s="110">
        <v>0.0</v>
      </c>
      <c r="P134" s="110">
        <v>0.0</v>
      </c>
      <c r="Q134" s="110">
        <v>0.0</v>
      </c>
      <c r="R134" s="110">
        <v>0.0</v>
      </c>
      <c r="S134" s="110">
        <v>0.0</v>
      </c>
      <c r="T134" s="110">
        <v>0.0</v>
      </c>
      <c r="U134" s="110">
        <v>0.0</v>
      </c>
      <c r="V134" s="110">
        <v>0.0</v>
      </c>
      <c r="W134" s="110">
        <v>0.0</v>
      </c>
      <c r="X134" s="110">
        <v>0.0</v>
      </c>
      <c r="Y134" s="110">
        <v>0.0</v>
      </c>
      <c r="Z134" s="110">
        <v>0.0</v>
      </c>
      <c r="AA134" s="110">
        <v>0.0</v>
      </c>
      <c r="AB134" s="110">
        <v>0.0</v>
      </c>
      <c r="AC134" s="110">
        <v>0.0</v>
      </c>
      <c r="AD134" s="110">
        <v>0.0</v>
      </c>
      <c r="AE134" s="110">
        <v>0.0</v>
      </c>
      <c r="AF134" s="112">
        <v>29.0</v>
      </c>
      <c r="AG134" s="112">
        <v>92.0</v>
      </c>
      <c r="AH134" s="112">
        <v>73.0</v>
      </c>
      <c r="AI134" s="112">
        <v>110.0</v>
      </c>
      <c r="AJ134" s="112">
        <v>72.0</v>
      </c>
      <c r="AK134" s="112">
        <v>100.0</v>
      </c>
      <c r="AL134" s="112">
        <v>47.0</v>
      </c>
      <c r="AM134" s="112">
        <v>50.0</v>
      </c>
      <c r="AN134" s="112">
        <v>567.0</v>
      </c>
    </row>
    <row r="135">
      <c r="A135" s="107" t="s">
        <v>204</v>
      </c>
      <c r="B135" s="111" t="s">
        <v>198</v>
      </c>
      <c r="C135" s="112">
        <v>3.0</v>
      </c>
      <c r="D135" s="112">
        <v>2.0</v>
      </c>
      <c r="E135" s="112">
        <v>1.0</v>
      </c>
      <c r="F135" s="110">
        <v>0.0</v>
      </c>
      <c r="G135" s="110">
        <v>0.0</v>
      </c>
      <c r="H135" s="110">
        <v>0.0</v>
      </c>
      <c r="I135" s="110">
        <v>0.0</v>
      </c>
      <c r="J135" s="110">
        <v>0.0</v>
      </c>
      <c r="K135" s="110">
        <v>0.0</v>
      </c>
      <c r="L135" s="110">
        <v>0.0</v>
      </c>
      <c r="M135" s="110">
        <v>0.0</v>
      </c>
      <c r="N135" s="110">
        <v>0.0</v>
      </c>
      <c r="O135" s="110">
        <v>0.0</v>
      </c>
      <c r="P135" s="110">
        <v>0.0</v>
      </c>
      <c r="Q135" s="110">
        <v>0.0</v>
      </c>
      <c r="R135" s="110">
        <v>0.0</v>
      </c>
      <c r="S135" s="110">
        <v>0.0</v>
      </c>
      <c r="T135" s="110">
        <v>0.0</v>
      </c>
      <c r="U135" s="110">
        <v>0.0</v>
      </c>
      <c r="V135" s="110">
        <v>0.0</v>
      </c>
      <c r="W135" s="110">
        <v>0.0</v>
      </c>
      <c r="X135" s="110">
        <v>0.0</v>
      </c>
      <c r="Y135" s="110">
        <v>0.0</v>
      </c>
      <c r="Z135" s="110">
        <v>0.0</v>
      </c>
      <c r="AA135" s="110">
        <v>0.0</v>
      </c>
      <c r="AB135" s="110">
        <v>0.0</v>
      </c>
      <c r="AC135" s="110">
        <v>0.0</v>
      </c>
      <c r="AD135" s="110">
        <v>0.0</v>
      </c>
      <c r="AE135" s="110">
        <v>0.0</v>
      </c>
      <c r="AF135" s="112">
        <v>0.0</v>
      </c>
      <c r="AG135" s="112">
        <v>0.0</v>
      </c>
      <c r="AH135" s="112">
        <v>1.0</v>
      </c>
      <c r="AI135" s="112">
        <v>0.0</v>
      </c>
      <c r="AJ135" s="112">
        <v>1.0</v>
      </c>
      <c r="AK135" s="112">
        <v>0.0</v>
      </c>
      <c r="AL135" s="112">
        <v>0.0</v>
      </c>
      <c r="AM135" s="112">
        <v>1.0</v>
      </c>
      <c r="AN135" s="112">
        <v>3.0</v>
      </c>
    </row>
    <row r="136">
      <c r="A136" s="104"/>
      <c r="B136" s="111" t="s">
        <v>199</v>
      </c>
      <c r="C136" s="112">
        <v>354.0</v>
      </c>
      <c r="D136" s="112">
        <v>129.0</v>
      </c>
      <c r="E136" s="112">
        <v>225.0</v>
      </c>
      <c r="F136" s="110">
        <v>0.0</v>
      </c>
      <c r="G136" s="110">
        <v>0.0</v>
      </c>
      <c r="H136" s="110">
        <v>0.0</v>
      </c>
      <c r="I136" s="110">
        <v>0.0</v>
      </c>
      <c r="J136" s="110">
        <v>0.0</v>
      </c>
      <c r="K136" s="110">
        <v>0.0</v>
      </c>
      <c r="L136" s="110">
        <v>0.0</v>
      </c>
      <c r="M136" s="110">
        <v>0.0</v>
      </c>
      <c r="N136" s="110">
        <v>0.0</v>
      </c>
      <c r="O136" s="110">
        <v>0.0</v>
      </c>
      <c r="P136" s="110">
        <v>0.0</v>
      </c>
      <c r="Q136" s="110">
        <v>0.0</v>
      </c>
      <c r="R136" s="110">
        <v>0.0</v>
      </c>
      <c r="S136" s="110">
        <v>0.0</v>
      </c>
      <c r="T136" s="110">
        <v>0.0</v>
      </c>
      <c r="U136" s="110">
        <v>0.0</v>
      </c>
      <c r="V136" s="110">
        <v>0.0</v>
      </c>
      <c r="W136" s="110">
        <v>0.0</v>
      </c>
      <c r="X136" s="110">
        <v>0.0</v>
      </c>
      <c r="Y136" s="110">
        <v>0.0</v>
      </c>
      <c r="Z136" s="110">
        <v>0.0</v>
      </c>
      <c r="AA136" s="110">
        <v>0.0</v>
      </c>
      <c r="AB136" s="110">
        <v>0.0</v>
      </c>
      <c r="AC136" s="110">
        <v>0.0</v>
      </c>
      <c r="AD136" s="110">
        <v>0.0</v>
      </c>
      <c r="AE136" s="110">
        <v>0.0</v>
      </c>
      <c r="AF136" s="112">
        <v>9.0</v>
      </c>
      <c r="AG136" s="112">
        <v>24.0</v>
      </c>
      <c r="AH136" s="112">
        <v>17.0</v>
      </c>
      <c r="AI136" s="112">
        <v>20.0</v>
      </c>
      <c r="AJ136" s="112">
        <v>33.0</v>
      </c>
      <c r="AK136" s="112">
        <v>52.0</v>
      </c>
      <c r="AL136" s="112">
        <v>70.0</v>
      </c>
      <c r="AM136" s="112">
        <v>129.0</v>
      </c>
      <c r="AN136" s="112">
        <v>350.0</v>
      </c>
    </row>
    <row r="137">
      <c r="A137" s="107" t="s">
        <v>205</v>
      </c>
      <c r="B137" s="111" t="s">
        <v>198</v>
      </c>
      <c r="C137" s="112">
        <v>462.0</v>
      </c>
      <c r="D137" s="112">
        <v>150.0</v>
      </c>
      <c r="E137" s="112">
        <v>312.0</v>
      </c>
      <c r="F137" s="112">
        <v>0.0</v>
      </c>
      <c r="G137" s="112">
        <v>0.0</v>
      </c>
      <c r="H137" s="112">
        <v>0.0</v>
      </c>
      <c r="I137" s="112">
        <v>0.0</v>
      </c>
      <c r="J137" s="112">
        <v>0.0</v>
      </c>
      <c r="K137" s="112">
        <v>0.0</v>
      </c>
      <c r="L137" s="112">
        <v>6.0</v>
      </c>
      <c r="M137" s="112">
        <v>31.0</v>
      </c>
      <c r="N137" s="112">
        <v>31.0</v>
      </c>
      <c r="O137" s="112">
        <v>77.0</v>
      </c>
      <c r="P137" s="112">
        <v>27.0</v>
      </c>
      <c r="Q137" s="112">
        <v>55.0</v>
      </c>
      <c r="R137" s="112">
        <v>21.0</v>
      </c>
      <c r="S137" s="112">
        <v>38.0</v>
      </c>
      <c r="T137" s="112">
        <v>10.0</v>
      </c>
      <c r="U137" s="112">
        <v>16.0</v>
      </c>
      <c r="V137" s="112">
        <v>2.0</v>
      </c>
      <c r="W137" s="112">
        <v>6.0</v>
      </c>
      <c r="X137" s="112">
        <v>14.0</v>
      </c>
      <c r="Y137" s="112">
        <v>6.0</v>
      </c>
      <c r="Z137" s="112">
        <v>3.0</v>
      </c>
      <c r="AA137" s="112">
        <v>27.0</v>
      </c>
      <c r="AB137" s="112">
        <v>6.0</v>
      </c>
      <c r="AC137" s="112">
        <v>14.0</v>
      </c>
      <c r="AD137" s="112">
        <v>14.0</v>
      </c>
      <c r="AE137" s="112">
        <v>10.0</v>
      </c>
      <c r="AF137" s="112">
        <v>6.0</v>
      </c>
      <c r="AG137" s="112">
        <v>9.0</v>
      </c>
      <c r="AH137" s="112">
        <v>5.0</v>
      </c>
      <c r="AI137" s="112">
        <v>17.0</v>
      </c>
      <c r="AJ137" s="112">
        <v>2.0</v>
      </c>
      <c r="AK137" s="112">
        <v>2.0</v>
      </c>
      <c r="AL137" s="112">
        <v>3.0</v>
      </c>
      <c r="AM137" s="112">
        <v>4.0</v>
      </c>
      <c r="AN137" s="112">
        <v>456.0</v>
      </c>
    </row>
    <row r="138">
      <c r="A138" s="98"/>
      <c r="B138" s="111" t="s">
        <v>199</v>
      </c>
      <c r="C138" s="112">
        <v>23.0</v>
      </c>
      <c r="D138" s="112">
        <v>2.0</v>
      </c>
      <c r="E138" s="112">
        <v>21.0</v>
      </c>
      <c r="F138" s="112">
        <v>0.0</v>
      </c>
      <c r="G138" s="112">
        <v>0.0</v>
      </c>
      <c r="H138" s="112">
        <v>0.0</v>
      </c>
      <c r="I138" s="112">
        <v>0.0</v>
      </c>
      <c r="J138" s="112">
        <v>0.0</v>
      </c>
      <c r="K138" s="112">
        <v>0.0</v>
      </c>
      <c r="L138" s="112">
        <v>0.0</v>
      </c>
      <c r="M138" s="112">
        <v>4.0</v>
      </c>
      <c r="N138" s="112">
        <v>1.0</v>
      </c>
      <c r="O138" s="112">
        <v>2.0</v>
      </c>
      <c r="P138" s="112">
        <v>0.0</v>
      </c>
      <c r="Q138" s="112">
        <v>5.0</v>
      </c>
      <c r="R138" s="112">
        <v>0.0</v>
      </c>
      <c r="S138" s="112">
        <v>5.0</v>
      </c>
      <c r="T138" s="112">
        <v>0.0</v>
      </c>
      <c r="U138" s="112">
        <v>2.0</v>
      </c>
      <c r="V138" s="112">
        <v>0.0</v>
      </c>
      <c r="W138" s="112">
        <v>1.0</v>
      </c>
      <c r="X138" s="112">
        <v>0.0</v>
      </c>
      <c r="Y138" s="112">
        <v>1.0</v>
      </c>
      <c r="Z138" s="112">
        <v>0.0</v>
      </c>
      <c r="AA138" s="112">
        <v>1.0</v>
      </c>
      <c r="AB138" s="112">
        <v>0.0</v>
      </c>
      <c r="AC138" s="112">
        <v>0.0</v>
      </c>
      <c r="AD138" s="112">
        <v>0.0</v>
      </c>
      <c r="AE138" s="112">
        <v>0.0</v>
      </c>
      <c r="AF138" s="112">
        <v>0.0</v>
      </c>
      <c r="AG138" s="112">
        <v>0.0</v>
      </c>
      <c r="AH138" s="112">
        <v>0.0</v>
      </c>
      <c r="AI138" s="112">
        <v>0.0</v>
      </c>
      <c r="AJ138" s="112">
        <v>0.0</v>
      </c>
      <c r="AK138" s="112">
        <v>0.0</v>
      </c>
      <c r="AL138" s="112">
        <v>1.0</v>
      </c>
      <c r="AM138" s="112">
        <v>0.0</v>
      </c>
      <c r="AN138" s="112">
        <v>23.0</v>
      </c>
    </row>
    <row r="139">
      <c r="A139" s="104"/>
      <c r="B139" s="111" t="s">
        <v>206</v>
      </c>
      <c r="C139" s="112">
        <v>299.0</v>
      </c>
      <c r="D139" s="112">
        <v>52.0</v>
      </c>
      <c r="E139" s="112">
        <v>247.0</v>
      </c>
      <c r="F139" s="112">
        <v>0.0</v>
      </c>
      <c r="G139" s="112">
        <v>0.0</v>
      </c>
      <c r="H139" s="112">
        <v>0.0</v>
      </c>
      <c r="I139" s="112">
        <v>0.0</v>
      </c>
      <c r="J139" s="112">
        <v>0.0</v>
      </c>
      <c r="K139" s="112">
        <v>3.0</v>
      </c>
      <c r="L139" s="112">
        <v>4.0</v>
      </c>
      <c r="M139" s="112">
        <v>18.0</v>
      </c>
      <c r="N139" s="112">
        <v>9.0</v>
      </c>
      <c r="O139" s="112">
        <v>38.0</v>
      </c>
      <c r="P139" s="112">
        <v>12.0</v>
      </c>
      <c r="Q139" s="112">
        <v>50.0</v>
      </c>
      <c r="R139" s="112">
        <v>0.0</v>
      </c>
      <c r="S139" s="112">
        <v>28.0</v>
      </c>
      <c r="T139" s="112">
        <v>12.0</v>
      </c>
      <c r="U139" s="112">
        <v>40.0</v>
      </c>
      <c r="V139" s="112">
        <v>6.0</v>
      </c>
      <c r="W139" s="112">
        <v>19.0</v>
      </c>
      <c r="X139" s="112">
        <v>2.0</v>
      </c>
      <c r="Y139" s="112">
        <v>8.0</v>
      </c>
      <c r="Z139" s="112">
        <v>1.0</v>
      </c>
      <c r="AA139" s="112">
        <v>10.0</v>
      </c>
      <c r="AB139" s="112">
        <v>6.0</v>
      </c>
      <c r="AC139" s="112">
        <v>14.0</v>
      </c>
      <c r="AD139" s="112">
        <v>0.0</v>
      </c>
      <c r="AE139" s="112">
        <v>4.0</v>
      </c>
      <c r="AF139" s="112">
        <v>0.0</v>
      </c>
      <c r="AG139" s="112">
        <v>1.0</v>
      </c>
      <c r="AH139" s="112">
        <v>0.0</v>
      </c>
      <c r="AI139" s="112">
        <v>1.0</v>
      </c>
      <c r="AJ139" s="112">
        <v>0.0</v>
      </c>
      <c r="AK139" s="112">
        <v>11.0</v>
      </c>
      <c r="AL139" s="112">
        <v>0.0</v>
      </c>
      <c r="AM139" s="112">
        <v>2.0</v>
      </c>
      <c r="AN139" s="112">
        <v>259.0</v>
      </c>
    </row>
    <row r="140">
      <c r="A140" s="107" t="s">
        <v>207</v>
      </c>
      <c r="B140" s="111" t="s">
        <v>198</v>
      </c>
      <c r="C140" s="109">
        <v>36653.0</v>
      </c>
      <c r="D140" s="109">
        <v>11812.0</v>
      </c>
      <c r="E140" s="109">
        <v>24841.0</v>
      </c>
      <c r="F140" s="112">
        <v>368.0</v>
      </c>
      <c r="G140" s="112">
        <v>301.0</v>
      </c>
      <c r="H140" s="112">
        <v>305.0</v>
      </c>
      <c r="I140" s="112">
        <v>266.0</v>
      </c>
      <c r="J140" s="112">
        <v>273.0</v>
      </c>
      <c r="K140" s="112">
        <v>237.0</v>
      </c>
      <c r="L140" s="112">
        <v>236.0</v>
      </c>
      <c r="M140" s="112">
        <v>446.0</v>
      </c>
      <c r="N140" s="112">
        <v>185.0</v>
      </c>
      <c r="O140" s="112">
        <v>498.0</v>
      </c>
      <c r="P140" s="112">
        <v>161.0</v>
      </c>
      <c r="Q140" s="112">
        <v>664.0</v>
      </c>
      <c r="R140" s="112">
        <v>272.0</v>
      </c>
      <c r="S140" s="112">
        <v>815.0</v>
      </c>
      <c r="T140" s="112">
        <v>292.0</v>
      </c>
      <c r="U140" s="112">
        <v>996.0</v>
      </c>
      <c r="V140" s="112">
        <v>357.0</v>
      </c>
      <c r="W140" s="109">
        <v>1312.0</v>
      </c>
      <c r="X140" s="112">
        <v>475.0</v>
      </c>
      <c r="Y140" s="109">
        <v>1669.0</v>
      </c>
      <c r="Z140" s="112">
        <v>773.0</v>
      </c>
      <c r="AA140" s="109">
        <v>2428.0</v>
      </c>
      <c r="AB140" s="109">
        <v>1035.0</v>
      </c>
      <c r="AC140" s="109">
        <v>2635.0</v>
      </c>
      <c r="AD140" s="109">
        <v>1183.0</v>
      </c>
      <c r="AE140" s="109">
        <v>2651.0</v>
      </c>
      <c r="AF140" s="109">
        <v>1327.0</v>
      </c>
      <c r="AG140" s="109">
        <v>2736.0</v>
      </c>
      <c r="AH140" s="109">
        <v>1506.0</v>
      </c>
      <c r="AI140" s="109">
        <v>2421.0</v>
      </c>
      <c r="AJ140" s="109">
        <v>1271.0</v>
      </c>
      <c r="AK140" s="109">
        <v>1979.0</v>
      </c>
      <c r="AL140" s="109">
        <v>1793.0</v>
      </c>
      <c r="AM140" s="109">
        <v>2787.0</v>
      </c>
      <c r="AN140" s="109">
        <v>35917.0</v>
      </c>
    </row>
    <row r="141">
      <c r="A141" s="98"/>
      <c r="B141" s="111" t="s">
        <v>199</v>
      </c>
      <c r="C141" s="109">
        <v>4803.0</v>
      </c>
      <c r="D141" s="109">
        <v>1807.0</v>
      </c>
      <c r="E141" s="109">
        <v>2996.0</v>
      </c>
      <c r="F141" s="112">
        <v>51.0</v>
      </c>
      <c r="G141" s="112">
        <v>71.0</v>
      </c>
      <c r="H141" s="112">
        <v>23.0</v>
      </c>
      <c r="I141" s="112">
        <v>15.0</v>
      </c>
      <c r="J141" s="112">
        <v>16.0</v>
      </c>
      <c r="K141" s="112">
        <v>18.0</v>
      </c>
      <c r="L141" s="112">
        <v>26.0</v>
      </c>
      <c r="M141" s="112">
        <v>24.0</v>
      </c>
      <c r="N141" s="112">
        <v>29.0</v>
      </c>
      <c r="O141" s="112">
        <v>30.0</v>
      </c>
      <c r="P141" s="112">
        <v>19.0</v>
      </c>
      <c r="Q141" s="112">
        <v>34.0</v>
      </c>
      <c r="R141" s="112">
        <v>25.0</v>
      </c>
      <c r="S141" s="112">
        <v>68.0</v>
      </c>
      <c r="T141" s="112">
        <v>31.0</v>
      </c>
      <c r="U141" s="112">
        <v>100.0</v>
      </c>
      <c r="V141" s="112">
        <v>44.0</v>
      </c>
      <c r="W141" s="112">
        <v>140.0</v>
      </c>
      <c r="X141" s="112">
        <v>57.0</v>
      </c>
      <c r="Y141" s="112">
        <v>192.0</v>
      </c>
      <c r="Z141" s="112">
        <v>97.0</v>
      </c>
      <c r="AA141" s="112">
        <v>268.0</v>
      </c>
      <c r="AB141" s="112">
        <v>146.0</v>
      </c>
      <c r="AC141" s="112">
        <v>318.0</v>
      </c>
      <c r="AD141" s="112">
        <v>176.0</v>
      </c>
      <c r="AE141" s="112">
        <v>400.0</v>
      </c>
      <c r="AF141" s="112">
        <v>243.0</v>
      </c>
      <c r="AG141" s="112">
        <v>380.0</v>
      </c>
      <c r="AH141" s="112">
        <v>331.0</v>
      </c>
      <c r="AI141" s="112">
        <v>321.0</v>
      </c>
      <c r="AJ141" s="112">
        <v>236.0</v>
      </c>
      <c r="AK141" s="112">
        <v>243.0</v>
      </c>
      <c r="AL141" s="112">
        <v>257.0</v>
      </c>
      <c r="AM141" s="112">
        <v>374.0</v>
      </c>
      <c r="AN141" s="109">
        <v>4706.0</v>
      </c>
    </row>
    <row r="142">
      <c r="A142" s="98"/>
      <c r="B142" s="111" t="s">
        <v>206</v>
      </c>
      <c r="C142" s="112">
        <v>63.0</v>
      </c>
      <c r="D142" s="112">
        <v>14.0</v>
      </c>
      <c r="E142" s="112">
        <v>49.0</v>
      </c>
      <c r="F142" s="112">
        <v>3.0</v>
      </c>
      <c r="G142" s="112">
        <v>4.0</v>
      </c>
      <c r="H142" s="112">
        <v>0.0</v>
      </c>
      <c r="I142" s="112">
        <v>1.0</v>
      </c>
      <c r="J142" s="112">
        <v>0.0</v>
      </c>
      <c r="K142" s="112">
        <v>0.0</v>
      </c>
      <c r="L142" s="112">
        <v>0.0</v>
      </c>
      <c r="M142" s="112">
        <v>7.0</v>
      </c>
      <c r="N142" s="112">
        <v>0.0</v>
      </c>
      <c r="O142" s="112">
        <v>3.0</v>
      </c>
      <c r="P142" s="112">
        <v>0.0</v>
      </c>
      <c r="Q142" s="112">
        <v>5.0</v>
      </c>
      <c r="R142" s="112">
        <v>0.0</v>
      </c>
      <c r="S142" s="112">
        <v>0.0</v>
      </c>
      <c r="T142" s="112">
        <v>0.0</v>
      </c>
      <c r="U142" s="112">
        <v>1.0</v>
      </c>
      <c r="V142" s="112">
        <v>0.0</v>
      </c>
      <c r="W142" s="112">
        <v>1.0</v>
      </c>
      <c r="X142" s="112">
        <v>0.0</v>
      </c>
      <c r="Y142" s="112">
        <v>5.0</v>
      </c>
      <c r="Z142" s="112">
        <v>1.0</v>
      </c>
      <c r="AA142" s="112">
        <v>4.0</v>
      </c>
      <c r="AB142" s="112">
        <v>3.0</v>
      </c>
      <c r="AC142" s="112">
        <v>2.0</v>
      </c>
      <c r="AD142" s="112">
        <v>0.0</v>
      </c>
      <c r="AE142" s="112">
        <v>1.0</v>
      </c>
      <c r="AF142" s="112">
        <v>1.0</v>
      </c>
      <c r="AG142" s="112">
        <v>2.0</v>
      </c>
      <c r="AH142" s="112">
        <v>4.0</v>
      </c>
      <c r="AI142" s="112">
        <v>7.0</v>
      </c>
      <c r="AJ142" s="112">
        <v>0.0</v>
      </c>
      <c r="AK142" s="112">
        <v>1.0</v>
      </c>
      <c r="AL142" s="112">
        <v>2.0</v>
      </c>
      <c r="AM142" s="112">
        <v>5.0</v>
      </c>
      <c r="AN142" s="112">
        <v>63.0</v>
      </c>
    </row>
    <row r="143">
      <c r="A143" s="98"/>
      <c r="B143" s="111" t="s">
        <v>200</v>
      </c>
      <c r="C143" s="109">
        <v>3479.0</v>
      </c>
      <c r="D143" s="109">
        <v>1003.0</v>
      </c>
      <c r="E143" s="109">
        <v>2476.0</v>
      </c>
      <c r="F143" s="112">
        <v>437.0</v>
      </c>
      <c r="G143" s="112">
        <v>394.0</v>
      </c>
      <c r="H143" s="112">
        <v>73.0</v>
      </c>
      <c r="I143" s="112">
        <v>80.0</v>
      </c>
      <c r="J143" s="112">
        <v>21.0</v>
      </c>
      <c r="K143" s="112">
        <v>45.0</v>
      </c>
      <c r="L143" s="112">
        <v>21.0</v>
      </c>
      <c r="M143" s="112">
        <v>82.0</v>
      </c>
      <c r="N143" s="112">
        <v>17.0</v>
      </c>
      <c r="O143" s="112">
        <v>177.0</v>
      </c>
      <c r="P143" s="112">
        <v>29.0</v>
      </c>
      <c r="Q143" s="112">
        <v>201.0</v>
      </c>
      <c r="R143" s="112">
        <v>20.0</v>
      </c>
      <c r="S143" s="112">
        <v>167.0</v>
      </c>
      <c r="T143" s="112">
        <v>16.0</v>
      </c>
      <c r="U143" s="112">
        <v>123.0</v>
      </c>
      <c r="V143" s="112">
        <v>29.0</v>
      </c>
      <c r="W143" s="112">
        <v>139.0</v>
      </c>
      <c r="X143" s="112">
        <v>30.0</v>
      </c>
      <c r="Y143" s="112">
        <v>164.0</v>
      </c>
      <c r="Z143" s="112">
        <v>31.0</v>
      </c>
      <c r="AA143" s="112">
        <v>186.0</v>
      </c>
      <c r="AB143" s="112">
        <v>52.0</v>
      </c>
      <c r="AC143" s="112">
        <v>175.0</v>
      </c>
      <c r="AD143" s="112">
        <v>44.0</v>
      </c>
      <c r="AE143" s="112">
        <v>145.0</v>
      </c>
      <c r="AF143" s="112">
        <v>52.0</v>
      </c>
      <c r="AG143" s="112">
        <v>117.0</v>
      </c>
      <c r="AH143" s="112">
        <v>54.0</v>
      </c>
      <c r="AI143" s="112">
        <v>117.0</v>
      </c>
      <c r="AJ143" s="112">
        <v>40.0</v>
      </c>
      <c r="AK143" s="112">
        <v>66.0</v>
      </c>
      <c r="AL143" s="112">
        <v>37.0</v>
      </c>
      <c r="AM143" s="112">
        <v>98.0</v>
      </c>
      <c r="AN143" s="109">
        <v>3449.0</v>
      </c>
    </row>
    <row r="144">
      <c r="A144" s="104"/>
      <c r="B144" s="111" t="s">
        <v>201</v>
      </c>
      <c r="C144" s="109">
        <v>1450.0</v>
      </c>
      <c r="D144" s="112">
        <v>513.0</v>
      </c>
      <c r="E144" s="112">
        <v>937.0</v>
      </c>
      <c r="F144" s="112">
        <v>12.0</v>
      </c>
      <c r="G144" s="112">
        <v>10.0</v>
      </c>
      <c r="H144" s="112">
        <v>12.0</v>
      </c>
      <c r="I144" s="112">
        <v>5.0</v>
      </c>
      <c r="J144" s="112">
        <v>20.0</v>
      </c>
      <c r="K144" s="112">
        <v>14.0</v>
      </c>
      <c r="L144" s="112">
        <v>17.0</v>
      </c>
      <c r="M144" s="112">
        <v>18.0</v>
      </c>
      <c r="N144" s="112">
        <v>11.0</v>
      </c>
      <c r="O144" s="112">
        <v>29.0</v>
      </c>
      <c r="P144" s="112">
        <v>19.0</v>
      </c>
      <c r="Q144" s="112">
        <v>44.0</v>
      </c>
      <c r="R144" s="112">
        <v>19.0</v>
      </c>
      <c r="S144" s="112">
        <v>71.0</v>
      </c>
      <c r="T144" s="112">
        <v>29.0</v>
      </c>
      <c r="U144" s="112">
        <v>36.0</v>
      </c>
      <c r="V144" s="112">
        <v>18.0</v>
      </c>
      <c r="W144" s="112">
        <v>65.0</v>
      </c>
      <c r="X144" s="112">
        <v>43.0</v>
      </c>
      <c r="Y144" s="112">
        <v>75.0</v>
      </c>
      <c r="Z144" s="112">
        <v>40.0</v>
      </c>
      <c r="AA144" s="112">
        <v>138.0</v>
      </c>
      <c r="AB144" s="112">
        <v>46.0</v>
      </c>
      <c r="AC144" s="112">
        <v>86.0</v>
      </c>
      <c r="AD144" s="112">
        <v>42.0</v>
      </c>
      <c r="AE144" s="112">
        <v>81.0</v>
      </c>
      <c r="AF144" s="112">
        <v>32.0</v>
      </c>
      <c r="AG144" s="112">
        <v>63.0</v>
      </c>
      <c r="AH144" s="112">
        <v>42.0</v>
      </c>
      <c r="AI144" s="112">
        <v>66.0</v>
      </c>
      <c r="AJ144" s="112">
        <v>41.0</v>
      </c>
      <c r="AK144" s="112">
        <v>57.0</v>
      </c>
      <c r="AL144" s="112">
        <v>70.0</v>
      </c>
      <c r="AM144" s="112">
        <v>79.0</v>
      </c>
      <c r="AN144" s="109">
        <v>1415.0</v>
      </c>
    </row>
    <row r="145">
      <c r="A145" s="107" t="s">
        <v>208</v>
      </c>
      <c r="B145" s="111" t="s">
        <v>198</v>
      </c>
      <c r="C145" s="112">
        <v>9.0</v>
      </c>
      <c r="D145" s="112">
        <v>6.0</v>
      </c>
      <c r="E145" s="112">
        <v>3.0</v>
      </c>
      <c r="F145" s="112">
        <v>4.0</v>
      </c>
      <c r="G145" s="112">
        <v>1.0</v>
      </c>
      <c r="H145" s="112">
        <v>1.0</v>
      </c>
      <c r="I145" s="112">
        <v>1.0</v>
      </c>
      <c r="J145" s="112">
        <v>1.0</v>
      </c>
      <c r="K145" s="112">
        <v>1.0</v>
      </c>
      <c r="L145" s="112">
        <v>0.0</v>
      </c>
      <c r="M145" s="112">
        <v>0.0</v>
      </c>
      <c r="N145" s="112">
        <v>0.0</v>
      </c>
      <c r="O145" s="112">
        <v>0.0</v>
      </c>
      <c r="P145" s="110">
        <v>0.0</v>
      </c>
      <c r="Q145" s="110">
        <v>0.0</v>
      </c>
      <c r="R145" s="110">
        <v>0.0</v>
      </c>
      <c r="S145" s="110">
        <v>0.0</v>
      </c>
      <c r="T145" s="110">
        <v>0.0</v>
      </c>
      <c r="U145" s="110">
        <v>0.0</v>
      </c>
      <c r="V145" s="110">
        <v>0.0</v>
      </c>
      <c r="W145" s="110">
        <v>0.0</v>
      </c>
      <c r="X145" s="110">
        <v>0.0</v>
      </c>
      <c r="Y145" s="110">
        <v>0.0</v>
      </c>
      <c r="Z145" s="110">
        <v>0.0</v>
      </c>
      <c r="AA145" s="110">
        <v>0.0</v>
      </c>
      <c r="AB145" s="110">
        <v>0.0</v>
      </c>
      <c r="AC145" s="110">
        <v>0.0</v>
      </c>
      <c r="AD145" s="110">
        <v>0.0</v>
      </c>
      <c r="AE145" s="110">
        <v>0.0</v>
      </c>
      <c r="AF145" s="110">
        <v>0.0</v>
      </c>
      <c r="AG145" s="110">
        <v>0.0</v>
      </c>
      <c r="AH145" s="110">
        <v>0.0</v>
      </c>
      <c r="AI145" s="110">
        <v>0.0</v>
      </c>
      <c r="AJ145" s="110">
        <v>0.0</v>
      </c>
      <c r="AK145" s="110">
        <v>0.0</v>
      </c>
      <c r="AL145" s="110">
        <v>0.0</v>
      </c>
      <c r="AM145" s="110">
        <v>0.0</v>
      </c>
      <c r="AN145" s="112">
        <v>9.0</v>
      </c>
    </row>
    <row r="146">
      <c r="A146" s="98"/>
      <c r="B146" s="111" t="s">
        <v>199</v>
      </c>
      <c r="C146" s="112">
        <v>27.0</v>
      </c>
      <c r="D146" s="112">
        <v>9.0</v>
      </c>
      <c r="E146" s="112">
        <v>18.0</v>
      </c>
      <c r="F146" s="112">
        <v>8.0</v>
      </c>
      <c r="G146" s="112">
        <v>17.0</v>
      </c>
      <c r="H146" s="112">
        <v>1.0</v>
      </c>
      <c r="I146" s="112">
        <v>0.0</v>
      </c>
      <c r="J146" s="112">
        <v>0.0</v>
      </c>
      <c r="K146" s="112">
        <v>1.0</v>
      </c>
      <c r="L146" s="112">
        <v>0.0</v>
      </c>
      <c r="M146" s="112">
        <v>0.0</v>
      </c>
      <c r="N146" s="112">
        <v>0.0</v>
      </c>
      <c r="O146" s="112">
        <v>0.0</v>
      </c>
      <c r="P146" s="110">
        <v>0.0</v>
      </c>
      <c r="Q146" s="110">
        <v>0.0</v>
      </c>
      <c r="R146" s="110">
        <v>0.0</v>
      </c>
      <c r="S146" s="110">
        <v>0.0</v>
      </c>
      <c r="T146" s="110">
        <v>0.0</v>
      </c>
      <c r="U146" s="110">
        <v>0.0</v>
      </c>
      <c r="V146" s="110">
        <v>0.0</v>
      </c>
      <c r="W146" s="110">
        <v>0.0</v>
      </c>
      <c r="X146" s="110">
        <v>0.0</v>
      </c>
      <c r="Y146" s="110">
        <v>0.0</v>
      </c>
      <c r="Z146" s="110">
        <v>0.0</v>
      </c>
      <c r="AA146" s="110">
        <v>0.0</v>
      </c>
      <c r="AB146" s="110">
        <v>0.0</v>
      </c>
      <c r="AC146" s="110">
        <v>0.0</v>
      </c>
      <c r="AD146" s="110">
        <v>0.0</v>
      </c>
      <c r="AE146" s="110">
        <v>0.0</v>
      </c>
      <c r="AF146" s="110">
        <v>0.0</v>
      </c>
      <c r="AG146" s="110">
        <v>0.0</v>
      </c>
      <c r="AH146" s="110">
        <v>0.0</v>
      </c>
      <c r="AI146" s="110">
        <v>0.0</v>
      </c>
      <c r="AJ146" s="110">
        <v>0.0</v>
      </c>
      <c r="AK146" s="110">
        <v>0.0</v>
      </c>
      <c r="AL146" s="110">
        <v>0.0</v>
      </c>
      <c r="AM146" s="110">
        <v>0.0</v>
      </c>
      <c r="AN146" s="112">
        <v>24.0</v>
      </c>
    </row>
    <row r="147">
      <c r="A147" s="98"/>
      <c r="B147" s="111" t="s">
        <v>206</v>
      </c>
      <c r="C147" s="112">
        <v>0.0</v>
      </c>
      <c r="D147" s="112">
        <v>0.0</v>
      </c>
      <c r="E147" s="112">
        <v>0.0</v>
      </c>
      <c r="F147" s="112">
        <v>0.0</v>
      </c>
      <c r="G147" s="112">
        <v>0.0</v>
      </c>
      <c r="H147" s="112">
        <v>0.0</v>
      </c>
      <c r="I147" s="112">
        <v>0.0</v>
      </c>
      <c r="J147" s="112">
        <v>0.0</v>
      </c>
      <c r="K147" s="112">
        <v>0.0</v>
      </c>
      <c r="L147" s="112">
        <v>0.0</v>
      </c>
      <c r="M147" s="112">
        <v>0.0</v>
      </c>
      <c r="N147" s="112">
        <v>0.0</v>
      </c>
      <c r="O147" s="112">
        <v>0.0</v>
      </c>
      <c r="P147" s="110">
        <v>0.0</v>
      </c>
      <c r="Q147" s="110">
        <v>0.0</v>
      </c>
      <c r="R147" s="110">
        <v>0.0</v>
      </c>
      <c r="S147" s="110">
        <v>0.0</v>
      </c>
      <c r="T147" s="110">
        <v>0.0</v>
      </c>
      <c r="U147" s="110">
        <v>0.0</v>
      </c>
      <c r="V147" s="110">
        <v>0.0</v>
      </c>
      <c r="W147" s="110">
        <v>0.0</v>
      </c>
      <c r="X147" s="110">
        <v>0.0</v>
      </c>
      <c r="Y147" s="110">
        <v>0.0</v>
      </c>
      <c r="Z147" s="110">
        <v>0.0</v>
      </c>
      <c r="AA147" s="110">
        <v>0.0</v>
      </c>
      <c r="AB147" s="110">
        <v>0.0</v>
      </c>
      <c r="AC147" s="110">
        <v>0.0</v>
      </c>
      <c r="AD147" s="110">
        <v>0.0</v>
      </c>
      <c r="AE147" s="110">
        <v>0.0</v>
      </c>
      <c r="AF147" s="110">
        <v>0.0</v>
      </c>
      <c r="AG147" s="110">
        <v>0.0</v>
      </c>
      <c r="AH147" s="110">
        <v>0.0</v>
      </c>
      <c r="AI147" s="110">
        <v>0.0</v>
      </c>
      <c r="AJ147" s="110">
        <v>0.0</v>
      </c>
      <c r="AK147" s="110">
        <v>0.0</v>
      </c>
      <c r="AL147" s="110">
        <v>0.0</v>
      </c>
      <c r="AM147" s="110">
        <v>0.0</v>
      </c>
      <c r="AN147" s="112">
        <v>0.0</v>
      </c>
    </row>
    <row r="148">
      <c r="A148" s="98"/>
      <c r="B148" s="111" t="s">
        <v>200</v>
      </c>
      <c r="C148" s="112">
        <v>7.0</v>
      </c>
      <c r="D148" s="112">
        <v>6.0</v>
      </c>
      <c r="E148" s="112">
        <v>1.0</v>
      </c>
      <c r="F148" s="112">
        <v>5.0</v>
      </c>
      <c r="G148" s="112">
        <v>0.0</v>
      </c>
      <c r="H148" s="112">
        <v>1.0</v>
      </c>
      <c r="I148" s="112">
        <v>1.0</v>
      </c>
      <c r="J148" s="112">
        <v>0.0</v>
      </c>
      <c r="K148" s="112">
        <v>0.0</v>
      </c>
      <c r="L148" s="112">
        <v>0.0</v>
      </c>
      <c r="M148" s="112">
        <v>0.0</v>
      </c>
      <c r="N148" s="112">
        <v>0.0</v>
      </c>
      <c r="O148" s="112">
        <v>0.0</v>
      </c>
      <c r="P148" s="110">
        <v>0.0</v>
      </c>
      <c r="Q148" s="110">
        <v>0.0</v>
      </c>
      <c r="R148" s="110">
        <v>0.0</v>
      </c>
      <c r="S148" s="110">
        <v>0.0</v>
      </c>
      <c r="T148" s="110">
        <v>0.0</v>
      </c>
      <c r="U148" s="110">
        <v>0.0</v>
      </c>
      <c r="V148" s="110">
        <v>0.0</v>
      </c>
      <c r="W148" s="110">
        <v>0.0</v>
      </c>
      <c r="X148" s="110">
        <v>0.0</v>
      </c>
      <c r="Y148" s="110">
        <v>0.0</v>
      </c>
      <c r="Z148" s="110">
        <v>0.0</v>
      </c>
      <c r="AA148" s="110">
        <v>0.0</v>
      </c>
      <c r="AB148" s="110">
        <v>0.0</v>
      </c>
      <c r="AC148" s="110">
        <v>0.0</v>
      </c>
      <c r="AD148" s="110">
        <v>0.0</v>
      </c>
      <c r="AE148" s="110">
        <v>0.0</v>
      </c>
      <c r="AF148" s="110">
        <v>0.0</v>
      </c>
      <c r="AG148" s="110">
        <v>0.0</v>
      </c>
      <c r="AH148" s="110">
        <v>0.0</v>
      </c>
      <c r="AI148" s="110">
        <v>0.0</v>
      </c>
      <c r="AJ148" s="110">
        <v>0.0</v>
      </c>
      <c r="AK148" s="110">
        <v>0.0</v>
      </c>
      <c r="AL148" s="110">
        <v>0.0</v>
      </c>
      <c r="AM148" s="110">
        <v>0.0</v>
      </c>
      <c r="AN148" s="112">
        <v>7.0</v>
      </c>
    </row>
    <row r="149">
      <c r="A149" s="104"/>
      <c r="B149" s="111" t="s">
        <v>201</v>
      </c>
      <c r="C149" s="112">
        <v>19.0</v>
      </c>
      <c r="D149" s="112">
        <v>15.0</v>
      </c>
      <c r="E149" s="112">
        <v>4.0</v>
      </c>
      <c r="F149" s="112">
        <v>2.0</v>
      </c>
      <c r="G149" s="112">
        <v>2.0</v>
      </c>
      <c r="H149" s="112">
        <v>11.0</v>
      </c>
      <c r="I149" s="112">
        <v>1.0</v>
      </c>
      <c r="J149" s="112">
        <v>0.0</v>
      </c>
      <c r="K149" s="112">
        <v>0.0</v>
      </c>
      <c r="L149" s="112">
        <v>0.0</v>
      </c>
      <c r="M149" s="112">
        <v>0.0</v>
      </c>
      <c r="N149" s="112">
        <v>2.0</v>
      </c>
      <c r="O149" s="112">
        <v>1.0</v>
      </c>
      <c r="P149" s="110">
        <v>0.0</v>
      </c>
      <c r="Q149" s="110">
        <v>0.0</v>
      </c>
      <c r="R149" s="110">
        <v>0.0</v>
      </c>
      <c r="S149" s="110">
        <v>0.0</v>
      </c>
      <c r="T149" s="110">
        <v>0.0</v>
      </c>
      <c r="U149" s="110">
        <v>0.0</v>
      </c>
      <c r="V149" s="110">
        <v>0.0</v>
      </c>
      <c r="W149" s="110">
        <v>0.0</v>
      </c>
      <c r="X149" s="110">
        <v>0.0</v>
      </c>
      <c r="Y149" s="110">
        <v>0.0</v>
      </c>
      <c r="Z149" s="110">
        <v>0.0</v>
      </c>
      <c r="AA149" s="110">
        <v>0.0</v>
      </c>
      <c r="AB149" s="110">
        <v>0.0</v>
      </c>
      <c r="AC149" s="110">
        <v>0.0</v>
      </c>
      <c r="AD149" s="110">
        <v>0.0</v>
      </c>
      <c r="AE149" s="110">
        <v>0.0</v>
      </c>
      <c r="AF149" s="110">
        <v>0.0</v>
      </c>
      <c r="AG149" s="110">
        <v>0.0</v>
      </c>
      <c r="AH149" s="110">
        <v>0.0</v>
      </c>
      <c r="AI149" s="110">
        <v>0.0</v>
      </c>
      <c r="AJ149" s="110">
        <v>0.0</v>
      </c>
      <c r="AK149" s="110">
        <v>0.0</v>
      </c>
      <c r="AL149" s="110">
        <v>0.0</v>
      </c>
      <c r="AM149" s="110">
        <v>0.0</v>
      </c>
      <c r="AN149" s="112">
        <v>18.0</v>
      </c>
    </row>
    <row r="150">
      <c r="A150" s="113" t="s">
        <v>214</v>
      </c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</row>
    <row r="151">
      <c r="A151" s="107" t="s">
        <v>197</v>
      </c>
      <c r="B151" s="108" t="s">
        <v>198</v>
      </c>
      <c r="C151" s="109">
        <v>113511.0</v>
      </c>
      <c r="D151" s="109">
        <v>43203.0</v>
      </c>
      <c r="E151" s="109">
        <v>70308.0</v>
      </c>
      <c r="F151" s="110">
        <v>0.0</v>
      </c>
      <c r="G151" s="110">
        <v>0.0</v>
      </c>
      <c r="H151" s="110">
        <v>0.0</v>
      </c>
      <c r="I151" s="110">
        <v>0.0</v>
      </c>
      <c r="J151" s="110">
        <v>0.0</v>
      </c>
      <c r="K151" s="110">
        <v>0.0</v>
      </c>
      <c r="L151" s="112">
        <v>119.0</v>
      </c>
      <c r="M151" s="112">
        <v>182.0</v>
      </c>
      <c r="N151" s="112">
        <v>148.0</v>
      </c>
      <c r="O151" s="112">
        <v>366.0</v>
      </c>
      <c r="P151" s="112">
        <v>314.0</v>
      </c>
      <c r="Q151" s="112">
        <v>685.0</v>
      </c>
      <c r="R151" s="112">
        <v>531.0</v>
      </c>
      <c r="S151" s="112">
        <v>981.0</v>
      </c>
      <c r="T151" s="112">
        <v>770.0</v>
      </c>
      <c r="U151" s="109">
        <v>1593.0</v>
      </c>
      <c r="V151" s="109">
        <v>1395.0</v>
      </c>
      <c r="W151" s="109">
        <v>2422.0</v>
      </c>
      <c r="X151" s="109">
        <v>2110.0</v>
      </c>
      <c r="Y151" s="109">
        <v>4099.0</v>
      </c>
      <c r="Z151" s="109">
        <v>3738.0</v>
      </c>
      <c r="AA151" s="109">
        <v>6757.0</v>
      </c>
      <c r="AB151" s="109">
        <v>4936.0</v>
      </c>
      <c r="AC151" s="109">
        <v>8580.0</v>
      </c>
      <c r="AD151" s="109">
        <v>5806.0</v>
      </c>
      <c r="AE151" s="109">
        <v>9565.0</v>
      </c>
      <c r="AF151" s="109">
        <v>6640.0</v>
      </c>
      <c r="AG151" s="109">
        <v>9663.0</v>
      </c>
      <c r="AH151" s="109">
        <v>6560.0</v>
      </c>
      <c r="AI151" s="109">
        <v>9362.0</v>
      </c>
      <c r="AJ151" s="109">
        <v>5097.0</v>
      </c>
      <c r="AK151" s="109">
        <v>7455.0</v>
      </c>
      <c r="AL151" s="109">
        <v>5039.0</v>
      </c>
      <c r="AM151" s="109">
        <v>8598.0</v>
      </c>
      <c r="AN151" s="109">
        <v>112258.0</v>
      </c>
    </row>
    <row r="152">
      <c r="A152" s="98"/>
      <c r="B152" s="111" t="s">
        <v>199</v>
      </c>
      <c r="C152" s="109">
        <v>40015.0</v>
      </c>
      <c r="D152" s="109">
        <v>14996.0</v>
      </c>
      <c r="E152" s="109">
        <v>25019.0</v>
      </c>
      <c r="F152" s="110">
        <v>0.0</v>
      </c>
      <c r="G152" s="110">
        <v>0.0</v>
      </c>
      <c r="H152" s="110">
        <v>0.0</v>
      </c>
      <c r="I152" s="110">
        <v>0.0</v>
      </c>
      <c r="J152" s="110">
        <v>0.0</v>
      </c>
      <c r="K152" s="110">
        <v>0.0</v>
      </c>
      <c r="L152" s="112">
        <v>18.0</v>
      </c>
      <c r="M152" s="112">
        <v>24.0</v>
      </c>
      <c r="N152" s="112">
        <v>37.0</v>
      </c>
      <c r="O152" s="112">
        <v>50.0</v>
      </c>
      <c r="P152" s="112">
        <v>65.0</v>
      </c>
      <c r="Q152" s="112">
        <v>105.0</v>
      </c>
      <c r="R152" s="112">
        <v>91.0</v>
      </c>
      <c r="S152" s="112">
        <v>198.0</v>
      </c>
      <c r="T152" s="112">
        <v>170.0</v>
      </c>
      <c r="U152" s="112">
        <v>329.0</v>
      </c>
      <c r="V152" s="112">
        <v>318.0</v>
      </c>
      <c r="W152" s="112">
        <v>589.0</v>
      </c>
      <c r="X152" s="112">
        <v>563.0</v>
      </c>
      <c r="Y152" s="109">
        <v>1100.0</v>
      </c>
      <c r="Z152" s="109">
        <v>1075.0</v>
      </c>
      <c r="AA152" s="109">
        <v>1858.0</v>
      </c>
      <c r="AB152" s="109">
        <v>1521.0</v>
      </c>
      <c r="AC152" s="109">
        <v>2643.0</v>
      </c>
      <c r="AD152" s="109">
        <v>1741.0</v>
      </c>
      <c r="AE152" s="109">
        <v>3043.0</v>
      </c>
      <c r="AF152" s="109">
        <v>2349.0</v>
      </c>
      <c r="AG152" s="109">
        <v>3793.0</v>
      </c>
      <c r="AH152" s="109">
        <v>2721.0</v>
      </c>
      <c r="AI152" s="109">
        <v>4182.0</v>
      </c>
      <c r="AJ152" s="109">
        <v>2075.0</v>
      </c>
      <c r="AK152" s="109">
        <v>3353.0</v>
      </c>
      <c r="AL152" s="109">
        <v>2252.0</v>
      </c>
      <c r="AM152" s="109">
        <v>3752.0</v>
      </c>
      <c r="AN152" s="109">
        <v>39611.0</v>
      </c>
    </row>
    <row r="153">
      <c r="A153" s="98"/>
      <c r="B153" s="111" t="s">
        <v>200</v>
      </c>
      <c r="C153" s="109">
        <v>25295.0</v>
      </c>
      <c r="D153" s="109">
        <v>8813.0</v>
      </c>
      <c r="E153" s="109">
        <v>16482.0</v>
      </c>
      <c r="F153" s="110">
        <v>0.0</v>
      </c>
      <c r="G153" s="110">
        <v>0.0</v>
      </c>
      <c r="H153" s="110">
        <v>0.0</v>
      </c>
      <c r="I153" s="110">
        <v>0.0</v>
      </c>
      <c r="J153" s="110">
        <v>0.0</v>
      </c>
      <c r="K153" s="110">
        <v>0.0</v>
      </c>
      <c r="L153" s="112">
        <v>55.0</v>
      </c>
      <c r="M153" s="112">
        <v>81.0</v>
      </c>
      <c r="N153" s="112">
        <v>46.0</v>
      </c>
      <c r="O153" s="112">
        <v>102.0</v>
      </c>
      <c r="P153" s="112">
        <v>73.0</v>
      </c>
      <c r="Q153" s="112">
        <v>188.0</v>
      </c>
      <c r="R153" s="112">
        <v>121.0</v>
      </c>
      <c r="S153" s="112">
        <v>295.0</v>
      </c>
      <c r="T153" s="112">
        <v>188.0</v>
      </c>
      <c r="U153" s="112">
        <v>420.0</v>
      </c>
      <c r="V153" s="112">
        <v>311.0</v>
      </c>
      <c r="W153" s="112">
        <v>632.0</v>
      </c>
      <c r="X153" s="112">
        <v>515.0</v>
      </c>
      <c r="Y153" s="109">
        <v>1140.0</v>
      </c>
      <c r="Z153" s="112">
        <v>819.0</v>
      </c>
      <c r="AA153" s="109">
        <v>1753.0</v>
      </c>
      <c r="AB153" s="109">
        <v>1112.0</v>
      </c>
      <c r="AC153" s="109">
        <v>2154.0</v>
      </c>
      <c r="AD153" s="109">
        <v>1154.0</v>
      </c>
      <c r="AE153" s="109">
        <v>2327.0</v>
      </c>
      <c r="AF153" s="109">
        <v>1351.0</v>
      </c>
      <c r="AG153" s="109">
        <v>2255.0</v>
      </c>
      <c r="AH153" s="109">
        <v>1346.0</v>
      </c>
      <c r="AI153" s="109">
        <v>2149.0</v>
      </c>
      <c r="AJ153" s="112">
        <v>902.0</v>
      </c>
      <c r="AK153" s="109">
        <v>1559.0</v>
      </c>
      <c r="AL153" s="112">
        <v>820.0</v>
      </c>
      <c r="AM153" s="109">
        <v>1427.0</v>
      </c>
      <c r="AN153" s="109">
        <v>25172.0</v>
      </c>
    </row>
    <row r="154">
      <c r="A154" s="104"/>
      <c r="B154" s="111" t="s">
        <v>201</v>
      </c>
      <c r="C154" s="109">
        <v>5546.0</v>
      </c>
      <c r="D154" s="109">
        <v>2268.0</v>
      </c>
      <c r="E154" s="109">
        <v>3278.0</v>
      </c>
      <c r="F154" s="110">
        <v>0.0</v>
      </c>
      <c r="G154" s="110">
        <v>0.0</v>
      </c>
      <c r="H154" s="110">
        <v>0.0</v>
      </c>
      <c r="I154" s="110">
        <v>0.0</v>
      </c>
      <c r="J154" s="110">
        <v>0.0</v>
      </c>
      <c r="K154" s="110">
        <v>0.0</v>
      </c>
      <c r="L154" s="112">
        <v>8.0</v>
      </c>
      <c r="M154" s="112">
        <v>0.0</v>
      </c>
      <c r="N154" s="112">
        <v>1.0</v>
      </c>
      <c r="O154" s="112">
        <v>11.0</v>
      </c>
      <c r="P154" s="112">
        <v>9.0</v>
      </c>
      <c r="Q154" s="112">
        <v>17.0</v>
      </c>
      <c r="R154" s="112">
        <v>17.0</v>
      </c>
      <c r="S154" s="112">
        <v>33.0</v>
      </c>
      <c r="T154" s="112">
        <v>48.0</v>
      </c>
      <c r="U154" s="112">
        <v>40.0</v>
      </c>
      <c r="V154" s="112">
        <v>48.0</v>
      </c>
      <c r="W154" s="112">
        <v>122.0</v>
      </c>
      <c r="X154" s="112">
        <v>125.0</v>
      </c>
      <c r="Y154" s="112">
        <v>287.0</v>
      </c>
      <c r="Z154" s="112">
        <v>216.0</v>
      </c>
      <c r="AA154" s="112">
        <v>320.0</v>
      </c>
      <c r="AB154" s="112">
        <v>321.0</v>
      </c>
      <c r="AC154" s="112">
        <v>540.0</v>
      </c>
      <c r="AD154" s="112">
        <v>285.0</v>
      </c>
      <c r="AE154" s="112">
        <v>394.0</v>
      </c>
      <c r="AF154" s="112">
        <v>289.0</v>
      </c>
      <c r="AG154" s="112">
        <v>330.0</v>
      </c>
      <c r="AH154" s="112">
        <v>289.0</v>
      </c>
      <c r="AI154" s="112">
        <v>359.0</v>
      </c>
      <c r="AJ154" s="112">
        <v>228.0</v>
      </c>
      <c r="AK154" s="112">
        <v>401.0</v>
      </c>
      <c r="AL154" s="112">
        <v>384.0</v>
      </c>
      <c r="AM154" s="112">
        <v>424.0</v>
      </c>
      <c r="AN154" s="109">
        <v>5427.0</v>
      </c>
    </row>
    <row r="155">
      <c r="A155" s="107" t="s">
        <v>202</v>
      </c>
      <c r="B155" s="111" t="s">
        <v>198</v>
      </c>
      <c r="C155" s="112">
        <v>131.0</v>
      </c>
      <c r="D155" s="112">
        <v>67.0</v>
      </c>
      <c r="E155" s="112">
        <v>64.0</v>
      </c>
      <c r="F155" s="112">
        <v>1.0</v>
      </c>
      <c r="G155" s="112">
        <v>3.0</v>
      </c>
      <c r="H155" s="112">
        <v>1.0</v>
      </c>
      <c r="I155" s="112">
        <v>1.0</v>
      </c>
      <c r="J155" s="112">
        <v>1.0</v>
      </c>
      <c r="K155" s="112">
        <v>1.0</v>
      </c>
      <c r="L155" s="112">
        <v>0.0</v>
      </c>
      <c r="M155" s="112">
        <v>8.0</v>
      </c>
      <c r="N155" s="112">
        <v>9.0</v>
      </c>
      <c r="O155" s="112">
        <v>3.0</v>
      </c>
      <c r="P155" s="112">
        <v>2.0</v>
      </c>
      <c r="Q155" s="112">
        <v>2.0</v>
      </c>
      <c r="R155" s="112">
        <v>4.0</v>
      </c>
      <c r="S155" s="112">
        <v>4.0</v>
      </c>
      <c r="T155" s="112">
        <v>0.0</v>
      </c>
      <c r="U155" s="112">
        <v>2.0</v>
      </c>
      <c r="V155" s="112">
        <v>6.0</v>
      </c>
      <c r="W155" s="112">
        <v>4.0</v>
      </c>
      <c r="X155" s="112">
        <v>8.0</v>
      </c>
      <c r="Y155" s="112">
        <v>2.0</v>
      </c>
      <c r="Z155" s="112">
        <v>7.0</v>
      </c>
      <c r="AA155" s="112">
        <v>4.0</v>
      </c>
      <c r="AB155" s="112">
        <v>10.0</v>
      </c>
      <c r="AC155" s="112">
        <v>3.0</v>
      </c>
      <c r="AD155" s="112">
        <v>1.0</v>
      </c>
      <c r="AE155" s="112">
        <v>13.0</v>
      </c>
      <c r="AF155" s="112">
        <v>4.0</v>
      </c>
      <c r="AG155" s="112">
        <v>8.0</v>
      </c>
      <c r="AH155" s="112">
        <v>11.0</v>
      </c>
      <c r="AI155" s="112">
        <v>0.0</v>
      </c>
      <c r="AJ155" s="112">
        <v>2.0</v>
      </c>
      <c r="AK155" s="112">
        <v>3.0</v>
      </c>
      <c r="AL155" s="112">
        <v>0.0</v>
      </c>
      <c r="AM155" s="112">
        <v>3.0</v>
      </c>
      <c r="AN155" s="112">
        <v>125.0</v>
      </c>
    </row>
    <row r="156">
      <c r="A156" s="104"/>
      <c r="B156" s="111" t="s">
        <v>199</v>
      </c>
      <c r="C156" s="112">
        <v>101.0</v>
      </c>
      <c r="D156" s="112">
        <v>57.0</v>
      </c>
      <c r="E156" s="112">
        <v>44.0</v>
      </c>
      <c r="F156" s="112">
        <v>4.0</v>
      </c>
      <c r="G156" s="112">
        <v>7.0</v>
      </c>
      <c r="H156" s="112">
        <v>3.0</v>
      </c>
      <c r="I156" s="112">
        <v>4.0</v>
      </c>
      <c r="J156" s="112">
        <v>1.0</v>
      </c>
      <c r="K156" s="112">
        <v>2.0</v>
      </c>
      <c r="L156" s="112">
        <v>1.0</v>
      </c>
      <c r="M156" s="112">
        <v>1.0</v>
      </c>
      <c r="N156" s="112">
        <v>9.0</v>
      </c>
      <c r="O156" s="112">
        <v>2.0</v>
      </c>
      <c r="P156" s="112">
        <v>15.0</v>
      </c>
      <c r="Q156" s="112">
        <v>2.0</v>
      </c>
      <c r="R156" s="112">
        <v>3.0</v>
      </c>
      <c r="S156" s="112">
        <v>0.0</v>
      </c>
      <c r="T156" s="112">
        <v>3.0</v>
      </c>
      <c r="U156" s="112">
        <v>3.0</v>
      </c>
      <c r="V156" s="112">
        <v>7.0</v>
      </c>
      <c r="W156" s="112">
        <v>4.0</v>
      </c>
      <c r="X156" s="112">
        <v>2.0</v>
      </c>
      <c r="Y156" s="112">
        <v>2.0</v>
      </c>
      <c r="Z156" s="112">
        <v>1.0</v>
      </c>
      <c r="AA156" s="112">
        <v>2.0</v>
      </c>
      <c r="AB156" s="112">
        <v>3.0</v>
      </c>
      <c r="AC156" s="112">
        <v>2.0</v>
      </c>
      <c r="AD156" s="112">
        <v>1.0</v>
      </c>
      <c r="AE156" s="112">
        <v>6.0</v>
      </c>
      <c r="AF156" s="112">
        <v>1.0</v>
      </c>
      <c r="AG156" s="112">
        <v>4.0</v>
      </c>
      <c r="AH156" s="112">
        <v>1.0</v>
      </c>
      <c r="AI156" s="112">
        <v>1.0</v>
      </c>
      <c r="AJ156" s="112">
        <v>1.0</v>
      </c>
      <c r="AK156" s="112">
        <v>1.0</v>
      </c>
      <c r="AL156" s="112">
        <v>1.0</v>
      </c>
      <c r="AM156" s="112">
        <v>1.0</v>
      </c>
      <c r="AN156" s="112">
        <v>98.0</v>
      </c>
    </row>
    <row r="157">
      <c r="A157" s="107" t="s">
        <v>203</v>
      </c>
      <c r="B157" s="111" t="s">
        <v>198</v>
      </c>
      <c r="C157" s="112">
        <v>5.0</v>
      </c>
      <c r="D157" s="112">
        <v>1.0</v>
      </c>
      <c r="E157" s="112">
        <v>4.0</v>
      </c>
      <c r="F157" s="110">
        <v>0.0</v>
      </c>
      <c r="G157" s="110">
        <v>0.0</v>
      </c>
      <c r="H157" s="110">
        <v>0.0</v>
      </c>
      <c r="I157" s="110">
        <v>0.0</v>
      </c>
      <c r="J157" s="110">
        <v>0.0</v>
      </c>
      <c r="K157" s="110">
        <v>0.0</v>
      </c>
      <c r="L157" s="110">
        <v>0.0</v>
      </c>
      <c r="M157" s="110">
        <v>0.0</v>
      </c>
      <c r="N157" s="110">
        <v>0.0</v>
      </c>
      <c r="O157" s="110">
        <v>0.0</v>
      </c>
      <c r="P157" s="110">
        <v>0.0</v>
      </c>
      <c r="Q157" s="110">
        <v>0.0</v>
      </c>
      <c r="R157" s="110">
        <v>0.0</v>
      </c>
      <c r="S157" s="110">
        <v>0.0</v>
      </c>
      <c r="T157" s="110">
        <v>0.0</v>
      </c>
      <c r="U157" s="110">
        <v>0.0</v>
      </c>
      <c r="V157" s="110">
        <v>0.0</v>
      </c>
      <c r="W157" s="110">
        <v>0.0</v>
      </c>
      <c r="X157" s="110">
        <v>0.0</v>
      </c>
      <c r="Y157" s="110">
        <v>0.0</v>
      </c>
      <c r="Z157" s="110">
        <v>0.0</v>
      </c>
      <c r="AA157" s="110">
        <v>0.0</v>
      </c>
      <c r="AB157" s="110">
        <v>0.0</v>
      </c>
      <c r="AC157" s="110">
        <v>0.0</v>
      </c>
      <c r="AD157" s="110">
        <v>0.0</v>
      </c>
      <c r="AE157" s="110">
        <v>0.0</v>
      </c>
      <c r="AF157" s="112">
        <v>0.0</v>
      </c>
      <c r="AG157" s="112">
        <v>1.0</v>
      </c>
      <c r="AH157" s="112">
        <v>0.0</v>
      </c>
      <c r="AI157" s="112">
        <v>1.0</v>
      </c>
      <c r="AJ157" s="112">
        <v>0.0</v>
      </c>
      <c r="AK157" s="112">
        <v>1.0</v>
      </c>
      <c r="AL157" s="112">
        <v>1.0</v>
      </c>
      <c r="AM157" s="112">
        <v>1.0</v>
      </c>
      <c r="AN157" s="112">
        <v>5.0</v>
      </c>
    </row>
    <row r="158">
      <c r="A158" s="104"/>
      <c r="B158" s="111" t="s">
        <v>199</v>
      </c>
      <c r="C158" s="112">
        <v>400.0</v>
      </c>
      <c r="D158" s="112">
        <v>149.0</v>
      </c>
      <c r="E158" s="112">
        <v>251.0</v>
      </c>
      <c r="F158" s="110">
        <v>0.0</v>
      </c>
      <c r="G158" s="110">
        <v>0.0</v>
      </c>
      <c r="H158" s="110">
        <v>0.0</v>
      </c>
      <c r="I158" s="110">
        <v>0.0</v>
      </c>
      <c r="J158" s="110">
        <v>0.0</v>
      </c>
      <c r="K158" s="110">
        <v>0.0</v>
      </c>
      <c r="L158" s="110">
        <v>0.0</v>
      </c>
      <c r="M158" s="110">
        <v>0.0</v>
      </c>
      <c r="N158" s="110">
        <v>0.0</v>
      </c>
      <c r="O158" s="110">
        <v>0.0</v>
      </c>
      <c r="P158" s="110">
        <v>0.0</v>
      </c>
      <c r="Q158" s="110">
        <v>0.0</v>
      </c>
      <c r="R158" s="110">
        <v>0.0</v>
      </c>
      <c r="S158" s="110">
        <v>0.0</v>
      </c>
      <c r="T158" s="110">
        <v>0.0</v>
      </c>
      <c r="U158" s="110">
        <v>0.0</v>
      </c>
      <c r="V158" s="110">
        <v>0.0</v>
      </c>
      <c r="W158" s="110">
        <v>0.0</v>
      </c>
      <c r="X158" s="110">
        <v>0.0</v>
      </c>
      <c r="Y158" s="110">
        <v>0.0</v>
      </c>
      <c r="Z158" s="110">
        <v>0.0</v>
      </c>
      <c r="AA158" s="110">
        <v>0.0</v>
      </c>
      <c r="AB158" s="110">
        <v>0.0</v>
      </c>
      <c r="AC158" s="110">
        <v>0.0</v>
      </c>
      <c r="AD158" s="110">
        <v>0.0</v>
      </c>
      <c r="AE158" s="110">
        <v>0.0</v>
      </c>
      <c r="AF158" s="112">
        <v>41.0</v>
      </c>
      <c r="AG158" s="112">
        <v>58.0</v>
      </c>
      <c r="AH158" s="112">
        <v>36.0</v>
      </c>
      <c r="AI158" s="112">
        <v>89.0</v>
      </c>
      <c r="AJ158" s="112">
        <v>30.0</v>
      </c>
      <c r="AK158" s="112">
        <v>54.0</v>
      </c>
      <c r="AL158" s="112">
        <v>42.0</v>
      </c>
      <c r="AM158" s="112">
        <v>50.0</v>
      </c>
      <c r="AN158" s="112">
        <v>392.0</v>
      </c>
    </row>
    <row r="159">
      <c r="A159" s="107" t="s">
        <v>204</v>
      </c>
      <c r="B159" s="111" t="s">
        <v>198</v>
      </c>
      <c r="C159" s="112">
        <v>3.0</v>
      </c>
      <c r="D159" s="112">
        <v>2.0</v>
      </c>
      <c r="E159" s="112">
        <v>1.0</v>
      </c>
      <c r="F159" s="110">
        <v>0.0</v>
      </c>
      <c r="G159" s="110">
        <v>0.0</v>
      </c>
      <c r="H159" s="110">
        <v>0.0</v>
      </c>
      <c r="I159" s="110">
        <v>0.0</v>
      </c>
      <c r="J159" s="110">
        <v>0.0</v>
      </c>
      <c r="K159" s="110">
        <v>0.0</v>
      </c>
      <c r="L159" s="110">
        <v>0.0</v>
      </c>
      <c r="M159" s="110">
        <v>0.0</v>
      </c>
      <c r="N159" s="110">
        <v>0.0</v>
      </c>
      <c r="O159" s="110">
        <v>0.0</v>
      </c>
      <c r="P159" s="110">
        <v>0.0</v>
      </c>
      <c r="Q159" s="110">
        <v>0.0</v>
      </c>
      <c r="R159" s="110">
        <v>0.0</v>
      </c>
      <c r="S159" s="110">
        <v>0.0</v>
      </c>
      <c r="T159" s="110">
        <v>0.0</v>
      </c>
      <c r="U159" s="110">
        <v>0.0</v>
      </c>
      <c r="V159" s="110">
        <v>0.0</v>
      </c>
      <c r="W159" s="110">
        <v>0.0</v>
      </c>
      <c r="X159" s="110">
        <v>0.0</v>
      </c>
      <c r="Y159" s="110">
        <v>0.0</v>
      </c>
      <c r="Z159" s="110">
        <v>0.0</v>
      </c>
      <c r="AA159" s="110">
        <v>0.0</v>
      </c>
      <c r="AB159" s="110">
        <v>0.0</v>
      </c>
      <c r="AC159" s="110">
        <v>0.0</v>
      </c>
      <c r="AD159" s="110">
        <v>0.0</v>
      </c>
      <c r="AE159" s="110">
        <v>0.0</v>
      </c>
      <c r="AF159" s="112">
        <v>2.0</v>
      </c>
      <c r="AG159" s="112">
        <v>0.0</v>
      </c>
      <c r="AH159" s="112">
        <v>0.0</v>
      </c>
      <c r="AI159" s="112">
        <v>0.0</v>
      </c>
      <c r="AJ159" s="112">
        <v>0.0</v>
      </c>
      <c r="AK159" s="112">
        <v>0.0</v>
      </c>
      <c r="AL159" s="112">
        <v>0.0</v>
      </c>
      <c r="AM159" s="112">
        <v>1.0</v>
      </c>
      <c r="AN159" s="112">
        <v>3.0</v>
      </c>
    </row>
    <row r="160">
      <c r="A160" s="104"/>
      <c r="B160" s="111" t="s">
        <v>199</v>
      </c>
      <c r="C160" s="112">
        <v>295.0</v>
      </c>
      <c r="D160" s="112">
        <v>124.0</v>
      </c>
      <c r="E160" s="112">
        <v>171.0</v>
      </c>
      <c r="F160" s="110">
        <v>0.0</v>
      </c>
      <c r="G160" s="110">
        <v>0.0</v>
      </c>
      <c r="H160" s="110">
        <v>0.0</v>
      </c>
      <c r="I160" s="110">
        <v>0.0</v>
      </c>
      <c r="J160" s="110">
        <v>0.0</v>
      </c>
      <c r="K160" s="110">
        <v>0.0</v>
      </c>
      <c r="L160" s="110">
        <v>0.0</v>
      </c>
      <c r="M160" s="110">
        <v>0.0</v>
      </c>
      <c r="N160" s="110">
        <v>0.0</v>
      </c>
      <c r="O160" s="110">
        <v>0.0</v>
      </c>
      <c r="P160" s="110">
        <v>0.0</v>
      </c>
      <c r="Q160" s="110">
        <v>0.0</v>
      </c>
      <c r="R160" s="110">
        <v>0.0</v>
      </c>
      <c r="S160" s="110">
        <v>0.0</v>
      </c>
      <c r="T160" s="110">
        <v>0.0</v>
      </c>
      <c r="U160" s="110">
        <v>0.0</v>
      </c>
      <c r="V160" s="110">
        <v>0.0</v>
      </c>
      <c r="W160" s="110">
        <v>0.0</v>
      </c>
      <c r="X160" s="110">
        <v>0.0</v>
      </c>
      <c r="Y160" s="110">
        <v>0.0</v>
      </c>
      <c r="Z160" s="110">
        <v>0.0</v>
      </c>
      <c r="AA160" s="110">
        <v>0.0</v>
      </c>
      <c r="AB160" s="110">
        <v>0.0</v>
      </c>
      <c r="AC160" s="110">
        <v>0.0</v>
      </c>
      <c r="AD160" s="110">
        <v>0.0</v>
      </c>
      <c r="AE160" s="110">
        <v>0.0</v>
      </c>
      <c r="AF160" s="112">
        <v>15.0</v>
      </c>
      <c r="AG160" s="112">
        <v>25.0</v>
      </c>
      <c r="AH160" s="112">
        <v>26.0</v>
      </c>
      <c r="AI160" s="112">
        <v>21.0</v>
      </c>
      <c r="AJ160" s="112">
        <v>34.0</v>
      </c>
      <c r="AK160" s="112">
        <v>51.0</v>
      </c>
      <c r="AL160" s="112">
        <v>49.0</v>
      </c>
      <c r="AM160" s="112">
        <v>74.0</v>
      </c>
      <c r="AN160" s="112">
        <v>287.0</v>
      </c>
    </row>
    <row r="161">
      <c r="A161" s="107" t="s">
        <v>205</v>
      </c>
      <c r="B161" s="111" t="s">
        <v>198</v>
      </c>
      <c r="C161" s="112">
        <v>174.0</v>
      </c>
      <c r="D161" s="112">
        <v>56.0</v>
      </c>
      <c r="E161" s="112">
        <v>118.0</v>
      </c>
      <c r="F161" s="112">
        <v>0.0</v>
      </c>
      <c r="G161" s="112">
        <v>1.0</v>
      </c>
      <c r="H161" s="112">
        <v>0.0</v>
      </c>
      <c r="I161" s="112">
        <v>0.0</v>
      </c>
      <c r="J161" s="112">
        <v>1.0</v>
      </c>
      <c r="K161" s="112">
        <v>1.0</v>
      </c>
      <c r="L161" s="112">
        <v>1.0</v>
      </c>
      <c r="M161" s="112">
        <v>1.0</v>
      </c>
      <c r="N161" s="112">
        <v>1.0</v>
      </c>
      <c r="O161" s="112">
        <v>3.0</v>
      </c>
      <c r="P161" s="112">
        <v>3.0</v>
      </c>
      <c r="Q161" s="112">
        <v>3.0</v>
      </c>
      <c r="R161" s="112">
        <v>0.0</v>
      </c>
      <c r="S161" s="112">
        <v>4.0</v>
      </c>
      <c r="T161" s="112">
        <v>1.0</v>
      </c>
      <c r="U161" s="112">
        <v>3.0</v>
      </c>
      <c r="V161" s="112">
        <v>0.0</v>
      </c>
      <c r="W161" s="112">
        <v>4.0</v>
      </c>
      <c r="X161" s="112">
        <v>3.0</v>
      </c>
      <c r="Y161" s="112">
        <v>2.0</v>
      </c>
      <c r="Z161" s="112">
        <v>2.0</v>
      </c>
      <c r="AA161" s="112">
        <v>5.0</v>
      </c>
      <c r="AB161" s="112">
        <v>3.0</v>
      </c>
      <c r="AC161" s="112">
        <v>8.0</v>
      </c>
      <c r="AD161" s="112">
        <v>15.0</v>
      </c>
      <c r="AE161" s="112">
        <v>17.0</v>
      </c>
      <c r="AF161" s="112">
        <v>4.0</v>
      </c>
      <c r="AG161" s="112">
        <v>10.0</v>
      </c>
      <c r="AH161" s="112">
        <v>7.0</v>
      </c>
      <c r="AI161" s="112">
        <v>21.0</v>
      </c>
      <c r="AJ161" s="112">
        <v>8.0</v>
      </c>
      <c r="AK161" s="112">
        <v>19.0</v>
      </c>
      <c r="AL161" s="112">
        <v>7.0</v>
      </c>
      <c r="AM161" s="112">
        <v>16.0</v>
      </c>
      <c r="AN161" s="112">
        <v>174.0</v>
      </c>
    </row>
    <row r="162">
      <c r="A162" s="98"/>
      <c r="B162" s="111" t="s">
        <v>199</v>
      </c>
      <c r="C162" s="112">
        <v>4.0</v>
      </c>
      <c r="D162" s="112">
        <v>2.0</v>
      </c>
      <c r="E162" s="112">
        <v>2.0</v>
      </c>
      <c r="F162" s="112">
        <v>0.0</v>
      </c>
      <c r="G162" s="112">
        <v>0.0</v>
      </c>
      <c r="H162" s="112">
        <v>0.0</v>
      </c>
      <c r="I162" s="112">
        <v>0.0</v>
      </c>
      <c r="J162" s="112">
        <v>0.0</v>
      </c>
      <c r="K162" s="112">
        <v>0.0</v>
      </c>
      <c r="L162" s="112">
        <v>0.0</v>
      </c>
      <c r="M162" s="112">
        <v>0.0</v>
      </c>
      <c r="N162" s="112">
        <v>0.0</v>
      </c>
      <c r="O162" s="112">
        <v>0.0</v>
      </c>
      <c r="P162" s="112">
        <v>0.0</v>
      </c>
      <c r="Q162" s="112">
        <v>0.0</v>
      </c>
      <c r="R162" s="112">
        <v>1.0</v>
      </c>
      <c r="S162" s="112">
        <v>0.0</v>
      </c>
      <c r="T162" s="112">
        <v>0.0</v>
      </c>
      <c r="U162" s="112">
        <v>0.0</v>
      </c>
      <c r="V162" s="112">
        <v>0.0</v>
      </c>
      <c r="W162" s="112">
        <v>0.0</v>
      </c>
      <c r="X162" s="112">
        <v>0.0</v>
      </c>
      <c r="Y162" s="112">
        <v>0.0</v>
      </c>
      <c r="Z162" s="112">
        <v>0.0</v>
      </c>
      <c r="AA162" s="112">
        <v>0.0</v>
      </c>
      <c r="AB162" s="112">
        <v>0.0</v>
      </c>
      <c r="AC162" s="112">
        <v>0.0</v>
      </c>
      <c r="AD162" s="112">
        <v>0.0</v>
      </c>
      <c r="AE162" s="112">
        <v>0.0</v>
      </c>
      <c r="AF162" s="112">
        <v>1.0</v>
      </c>
      <c r="AG162" s="112">
        <v>0.0</v>
      </c>
      <c r="AH162" s="112">
        <v>0.0</v>
      </c>
      <c r="AI162" s="112">
        <v>1.0</v>
      </c>
      <c r="AJ162" s="112">
        <v>0.0</v>
      </c>
      <c r="AK162" s="112">
        <v>0.0</v>
      </c>
      <c r="AL162" s="112">
        <v>0.0</v>
      </c>
      <c r="AM162" s="112">
        <v>1.0</v>
      </c>
      <c r="AN162" s="112">
        <v>4.0</v>
      </c>
    </row>
    <row r="163">
      <c r="A163" s="104"/>
      <c r="B163" s="111" t="s">
        <v>206</v>
      </c>
      <c r="C163" s="112">
        <v>9.0</v>
      </c>
      <c r="D163" s="112">
        <v>2.0</v>
      </c>
      <c r="E163" s="112">
        <v>7.0</v>
      </c>
      <c r="F163" s="112">
        <v>0.0</v>
      </c>
      <c r="G163" s="112">
        <v>0.0</v>
      </c>
      <c r="H163" s="112">
        <v>0.0</v>
      </c>
      <c r="I163" s="112">
        <v>0.0</v>
      </c>
      <c r="J163" s="112">
        <v>0.0</v>
      </c>
      <c r="K163" s="112">
        <v>0.0</v>
      </c>
      <c r="L163" s="112">
        <v>0.0</v>
      </c>
      <c r="M163" s="112">
        <v>0.0</v>
      </c>
      <c r="N163" s="112">
        <v>0.0</v>
      </c>
      <c r="O163" s="112">
        <v>1.0</v>
      </c>
      <c r="P163" s="112">
        <v>0.0</v>
      </c>
      <c r="Q163" s="112">
        <v>1.0</v>
      </c>
      <c r="R163" s="112">
        <v>1.0</v>
      </c>
      <c r="S163" s="112">
        <v>0.0</v>
      </c>
      <c r="T163" s="112">
        <v>0.0</v>
      </c>
      <c r="U163" s="112">
        <v>0.0</v>
      </c>
      <c r="V163" s="112">
        <v>0.0</v>
      </c>
      <c r="W163" s="112">
        <v>0.0</v>
      </c>
      <c r="X163" s="112">
        <v>0.0</v>
      </c>
      <c r="Y163" s="112">
        <v>2.0</v>
      </c>
      <c r="Z163" s="112">
        <v>0.0</v>
      </c>
      <c r="AA163" s="112">
        <v>2.0</v>
      </c>
      <c r="AB163" s="112">
        <v>0.0</v>
      </c>
      <c r="AC163" s="112">
        <v>0.0</v>
      </c>
      <c r="AD163" s="112">
        <v>0.0</v>
      </c>
      <c r="AE163" s="112">
        <v>0.0</v>
      </c>
      <c r="AF163" s="112">
        <v>1.0</v>
      </c>
      <c r="AG163" s="112">
        <v>0.0</v>
      </c>
      <c r="AH163" s="112">
        <v>0.0</v>
      </c>
      <c r="AI163" s="112">
        <v>0.0</v>
      </c>
      <c r="AJ163" s="112">
        <v>0.0</v>
      </c>
      <c r="AK163" s="112">
        <v>1.0</v>
      </c>
      <c r="AL163" s="112">
        <v>0.0</v>
      </c>
      <c r="AM163" s="112">
        <v>0.0</v>
      </c>
      <c r="AN163" s="112">
        <v>9.0</v>
      </c>
    </row>
    <row r="164">
      <c r="A164" s="107" t="s">
        <v>207</v>
      </c>
      <c r="B164" s="111" t="s">
        <v>198</v>
      </c>
      <c r="C164" s="109">
        <v>21164.0</v>
      </c>
      <c r="D164" s="109">
        <v>6261.0</v>
      </c>
      <c r="E164" s="109">
        <v>14903.0</v>
      </c>
      <c r="F164" s="112">
        <v>359.0</v>
      </c>
      <c r="G164" s="112">
        <v>283.0</v>
      </c>
      <c r="H164" s="112">
        <v>293.0</v>
      </c>
      <c r="I164" s="112">
        <v>219.0</v>
      </c>
      <c r="J164" s="112">
        <v>211.0</v>
      </c>
      <c r="K164" s="112">
        <v>220.0</v>
      </c>
      <c r="L164" s="112">
        <v>258.0</v>
      </c>
      <c r="M164" s="112">
        <v>395.0</v>
      </c>
      <c r="N164" s="112">
        <v>177.0</v>
      </c>
      <c r="O164" s="112">
        <v>446.0</v>
      </c>
      <c r="P164" s="112">
        <v>203.0</v>
      </c>
      <c r="Q164" s="112">
        <v>557.0</v>
      </c>
      <c r="R164" s="112">
        <v>212.0</v>
      </c>
      <c r="S164" s="112">
        <v>666.0</v>
      </c>
      <c r="T164" s="112">
        <v>202.0</v>
      </c>
      <c r="U164" s="112">
        <v>758.0</v>
      </c>
      <c r="V164" s="112">
        <v>291.0</v>
      </c>
      <c r="W164" s="112">
        <v>838.0</v>
      </c>
      <c r="X164" s="112">
        <v>333.0</v>
      </c>
      <c r="Y164" s="109">
        <v>1086.0</v>
      </c>
      <c r="Z164" s="112">
        <v>460.0</v>
      </c>
      <c r="AA164" s="109">
        <v>1417.0</v>
      </c>
      <c r="AB164" s="112">
        <v>580.0</v>
      </c>
      <c r="AC164" s="109">
        <v>1671.0</v>
      </c>
      <c r="AD164" s="112">
        <v>586.0</v>
      </c>
      <c r="AE164" s="109">
        <v>1617.0</v>
      </c>
      <c r="AF164" s="112">
        <v>551.0</v>
      </c>
      <c r="AG164" s="109">
        <v>1423.0</v>
      </c>
      <c r="AH164" s="112">
        <v>574.0</v>
      </c>
      <c r="AI164" s="109">
        <v>1376.0</v>
      </c>
      <c r="AJ164" s="112">
        <v>457.0</v>
      </c>
      <c r="AK164" s="112">
        <v>893.0</v>
      </c>
      <c r="AL164" s="112">
        <v>514.0</v>
      </c>
      <c r="AM164" s="109">
        <v>1038.0</v>
      </c>
      <c r="AN164" s="109">
        <v>20694.0</v>
      </c>
    </row>
    <row r="165">
      <c r="A165" s="98"/>
      <c r="B165" s="111" t="s">
        <v>199</v>
      </c>
      <c r="C165" s="109">
        <v>2758.0</v>
      </c>
      <c r="D165" s="109">
        <v>1215.0</v>
      </c>
      <c r="E165" s="109">
        <v>1543.0</v>
      </c>
      <c r="F165" s="112">
        <v>40.0</v>
      </c>
      <c r="G165" s="112">
        <v>42.0</v>
      </c>
      <c r="H165" s="112">
        <v>19.0</v>
      </c>
      <c r="I165" s="112">
        <v>24.0</v>
      </c>
      <c r="J165" s="112">
        <v>20.0</v>
      </c>
      <c r="K165" s="112">
        <v>28.0</v>
      </c>
      <c r="L165" s="112">
        <v>21.0</v>
      </c>
      <c r="M165" s="112">
        <v>23.0</v>
      </c>
      <c r="N165" s="112">
        <v>22.0</v>
      </c>
      <c r="O165" s="112">
        <v>18.0</v>
      </c>
      <c r="P165" s="112">
        <v>31.0</v>
      </c>
      <c r="Q165" s="112">
        <v>39.0</v>
      </c>
      <c r="R165" s="112">
        <v>32.0</v>
      </c>
      <c r="S165" s="112">
        <v>42.0</v>
      </c>
      <c r="T165" s="112">
        <v>22.0</v>
      </c>
      <c r="U165" s="112">
        <v>53.0</v>
      </c>
      <c r="V165" s="112">
        <v>79.0</v>
      </c>
      <c r="W165" s="112">
        <v>89.0</v>
      </c>
      <c r="X165" s="112">
        <v>60.0</v>
      </c>
      <c r="Y165" s="112">
        <v>107.0</v>
      </c>
      <c r="Z165" s="112">
        <v>76.0</v>
      </c>
      <c r="AA165" s="112">
        <v>101.0</v>
      </c>
      <c r="AB165" s="112">
        <v>65.0</v>
      </c>
      <c r="AC165" s="112">
        <v>161.0</v>
      </c>
      <c r="AD165" s="112">
        <v>72.0</v>
      </c>
      <c r="AE165" s="112">
        <v>180.0</v>
      </c>
      <c r="AF165" s="112">
        <v>110.0</v>
      </c>
      <c r="AG165" s="112">
        <v>200.0</v>
      </c>
      <c r="AH165" s="112">
        <v>364.0</v>
      </c>
      <c r="AI165" s="112">
        <v>140.0</v>
      </c>
      <c r="AJ165" s="112">
        <v>118.0</v>
      </c>
      <c r="AK165" s="112">
        <v>137.0</v>
      </c>
      <c r="AL165" s="112">
        <v>64.0</v>
      </c>
      <c r="AM165" s="112">
        <v>159.0</v>
      </c>
      <c r="AN165" s="109">
        <v>2675.0</v>
      </c>
    </row>
    <row r="166">
      <c r="A166" s="98"/>
      <c r="B166" s="111" t="s">
        <v>206</v>
      </c>
      <c r="C166" s="112">
        <v>762.0</v>
      </c>
      <c r="D166" s="112">
        <v>213.0</v>
      </c>
      <c r="E166" s="112">
        <v>549.0</v>
      </c>
      <c r="F166" s="112">
        <v>85.0</v>
      </c>
      <c r="G166" s="112">
        <v>87.0</v>
      </c>
      <c r="H166" s="112">
        <v>1.0</v>
      </c>
      <c r="I166" s="112">
        <v>1.0</v>
      </c>
      <c r="J166" s="112">
        <v>38.0</v>
      </c>
      <c r="K166" s="112">
        <v>73.0</v>
      </c>
      <c r="L166" s="112">
        <v>5.0</v>
      </c>
      <c r="M166" s="112">
        <v>28.0</v>
      </c>
      <c r="N166" s="112">
        <v>10.0</v>
      </c>
      <c r="O166" s="112">
        <v>59.0</v>
      </c>
      <c r="P166" s="112">
        <v>21.0</v>
      </c>
      <c r="Q166" s="112">
        <v>53.0</v>
      </c>
      <c r="R166" s="112">
        <v>5.0</v>
      </c>
      <c r="S166" s="112">
        <v>30.0</v>
      </c>
      <c r="T166" s="112">
        <v>6.0</v>
      </c>
      <c r="U166" s="112">
        <v>36.0</v>
      </c>
      <c r="V166" s="112">
        <v>10.0</v>
      </c>
      <c r="W166" s="112">
        <v>27.0</v>
      </c>
      <c r="X166" s="112">
        <v>4.0</v>
      </c>
      <c r="Y166" s="112">
        <v>29.0</v>
      </c>
      <c r="Z166" s="112">
        <v>5.0</v>
      </c>
      <c r="AA166" s="112">
        <v>26.0</v>
      </c>
      <c r="AB166" s="112">
        <v>8.0</v>
      </c>
      <c r="AC166" s="112">
        <v>39.0</v>
      </c>
      <c r="AD166" s="112">
        <v>7.0</v>
      </c>
      <c r="AE166" s="112">
        <v>40.0</v>
      </c>
      <c r="AF166" s="112">
        <v>6.0</v>
      </c>
      <c r="AG166" s="112">
        <v>7.0</v>
      </c>
      <c r="AH166" s="112">
        <v>0.0</v>
      </c>
      <c r="AI166" s="112">
        <v>11.0</v>
      </c>
      <c r="AJ166" s="112">
        <v>2.0</v>
      </c>
      <c r="AK166" s="112">
        <v>3.0</v>
      </c>
      <c r="AL166" s="112">
        <v>0.0</v>
      </c>
      <c r="AM166" s="112">
        <v>0.0</v>
      </c>
      <c r="AN166" s="112">
        <v>756.0</v>
      </c>
    </row>
    <row r="167">
      <c r="A167" s="98"/>
      <c r="B167" s="111" t="s">
        <v>200</v>
      </c>
      <c r="C167" s="109">
        <v>3972.0</v>
      </c>
      <c r="D167" s="109">
        <v>1657.0</v>
      </c>
      <c r="E167" s="109">
        <v>2315.0</v>
      </c>
      <c r="F167" s="112">
        <v>796.0</v>
      </c>
      <c r="G167" s="112">
        <v>778.0</v>
      </c>
      <c r="H167" s="112">
        <v>164.0</v>
      </c>
      <c r="I167" s="112">
        <v>221.0</v>
      </c>
      <c r="J167" s="112">
        <v>103.0</v>
      </c>
      <c r="K167" s="112">
        <v>107.0</v>
      </c>
      <c r="L167" s="112">
        <v>33.0</v>
      </c>
      <c r="M167" s="112">
        <v>95.0</v>
      </c>
      <c r="N167" s="112">
        <v>24.0</v>
      </c>
      <c r="O167" s="112">
        <v>105.0</v>
      </c>
      <c r="P167" s="112">
        <v>58.0</v>
      </c>
      <c r="Q167" s="112">
        <v>154.0</v>
      </c>
      <c r="R167" s="112">
        <v>41.0</v>
      </c>
      <c r="S167" s="112">
        <v>135.0</v>
      </c>
      <c r="T167" s="112">
        <v>30.0</v>
      </c>
      <c r="U167" s="112">
        <v>105.0</v>
      </c>
      <c r="V167" s="112">
        <v>29.0</v>
      </c>
      <c r="W167" s="112">
        <v>63.0</v>
      </c>
      <c r="X167" s="112">
        <v>18.0</v>
      </c>
      <c r="Y167" s="112">
        <v>72.0</v>
      </c>
      <c r="Z167" s="112">
        <v>37.0</v>
      </c>
      <c r="AA167" s="112">
        <v>55.0</v>
      </c>
      <c r="AB167" s="112">
        <v>35.0</v>
      </c>
      <c r="AC167" s="112">
        <v>72.0</v>
      </c>
      <c r="AD167" s="112">
        <v>37.0</v>
      </c>
      <c r="AE167" s="112">
        <v>60.0</v>
      </c>
      <c r="AF167" s="112">
        <v>48.0</v>
      </c>
      <c r="AG167" s="112">
        <v>70.0</v>
      </c>
      <c r="AH167" s="112">
        <v>41.0</v>
      </c>
      <c r="AI167" s="112">
        <v>66.0</v>
      </c>
      <c r="AJ167" s="112">
        <v>32.0</v>
      </c>
      <c r="AK167" s="112">
        <v>33.0</v>
      </c>
      <c r="AL167" s="112">
        <v>131.0</v>
      </c>
      <c r="AM167" s="112">
        <v>124.0</v>
      </c>
      <c r="AN167" s="109">
        <v>3688.0</v>
      </c>
    </row>
    <row r="168">
      <c r="A168" s="104"/>
      <c r="B168" s="111" t="s">
        <v>201</v>
      </c>
      <c r="C168" s="109">
        <v>3753.0</v>
      </c>
      <c r="D168" s="109">
        <v>1083.0</v>
      </c>
      <c r="E168" s="109">
        <v>2670.0</v>
      </c>
      <c r="F168" s="112">
        <v>49.0</v>
      </c>
      <c r="G168" s="112">
        <v>31.0</v>
      </c>
      <c r="H168" s="112">
        <v>37.0</v>
      </c>
      <c r="I168" s="112">
        <v>27.0</v>
      </c>
      <c r="J168" s="112">
        <v>40.0</v>
      </c>
      <c r="K168" s="112">
        <v>50.0</v>
      </c>
      <c r="L168" s="112">
        <v>28.0</v>
      </c>
      <c r="M168" s="112">
        <v>123.0</v>
      </c>
      <c r="N168" s="112">
        <v>18.0</v>
      </c>
      <c r="O168" s="112">
        <v>79.0</v>
      </c>
      <c r="P168" s="112">
        <v>4.0</v>
      </c>
      <c r="Q168" s="112">
        <v>112.0</v>
      </c>
      <c r="R168" s="112">
        <v>22.0</v>
      </c>
      <c r="S168" s="112">
        <v>208.0</v>
      </c>
      <c r="T168" s="112">
        <v>11.0</v>
      </c>
      <c r="U168" s="112">
        <v>108.0</v>
      </c>
      <c r="V168" s="112">
        <v>7.0</v>
      </c>
      <c r="W168" s="112">
        <v>200.0</v>
      </c>
      <c r="X168" s="112">
        <v>59.0</v>
      </c>
      <c r="Y168" s="112">
        <v>231.0</v>
      </c>
      <c r="Z168" s="112">
        <v>56.0</v>
      </c>
      <c r="AA168" s="112">
        <v>213.0</v>
      </c>
      <c r="AB168" s="112">
        <v>125.0</v>
      </c>
      <c r="AC168" s="112">
        <v>329.0</v>
      </c>
      <c r="AD168" s="112">
        <v>117.0</v>
      </c>
      <c r="AE168" s="112">
        <v>236.0</v>
      </c>
      <c r="AF168" s="112">
        <v>160.0</v>
      </c>
      <c r="AG168" s="112">
        <v>147.0</v>
      </c>
      <c r="AH168" s="112">
        <v>96.0</v>
      </c>
      <c r="AI168" s="112">
        <v>133.0</v>
      </c>
      <c r="AJ168" s="112">
        <v>115.0</v>
      </c>
      <c r="AK168" s="112">
        <v>240.0</v>
      </c>
      <c r="AL168" s="112">
        <v>139.0</v>
      </c>
      <c r="AM168" s="112">
        <v>203.0</v>
      </c>
      <c r="AN168" s="109">
        <v>3645.0</v>
      </c>
    </row>
    <row r="169">
      <c r="A169" s="107" t="s">
        <v>208</v>
      </c>
      <c r="B169" s="111" t="s">
        <v>198</v>
      </c>
      <c r="C169" s="112">
        <v>7.0</v>
      </c>
      <c r="D169" s="112">
        <v>5.0</v>
      </c>
      <c r="E169" s="112">
        <v>2.0</v>
      </c>
      <c r="F169" s="112">
        <v>4.0</v>
      </c>
      <c r="G169" s="112">
        <v>1.0</v>
      </c>
      <c r="H169" s="112">
        <v>1.0</v>
      </c>
      <c r="I169" s="112">
        <v>0.0</v>
      </c>
      <c r="J169" s="112">
        <v>0.0</v>
      </c>
      <c r="K169" s="112">
        <v>1.0</v>
      </c>
      <c r="L169" s="112">
        <v>0.0</v>
      </c>
      <c r="M169" s="112">
        <v>0.0</v>
      </c>
      <c r="N169" s="112">
        <v>0.0</v>
      </c>
      <c r="O169" s="112">
        <v>0.0</v>
      </c>
      <c r="P169" s="110">
        <v>0.0</v>
      </c>
      <c r="Q169" s="110">
        <v>0.0</v>
      </c>
      <c r="R169" s="110">
        <v>0.0</v>
      </c>
      <c r="S169" s="110">
        <v>0.0</v>
      </c>
      <c r="T169" s="110">
        <v>0.0</v>
      </c>
      <c r="U169" s="110">
        <v>0.0</v>
      </c>
      <c r="V169" s="110">
        <v>0.0</v>
      </c>
      <c r="W169" s="110">
        <v>0.0</v>
      </c>
      <c r="X169" s="110">
        <v>0.0</v>
      </c>
      <c r="Y169" s="110">
        <v>0.0</v>
      </c>
      <c r="Z169" s="110">
        <v>0.0</v>
      </c>
      <c r="AA169" s="110">
        <v>0.0</v>
      </c>
      <c r="AB169" s="110">
        <v>0.0</v>
      </c>
      <c r="AC169" s="110">
        <v>0.0</v>
      </c>
      <c r="AD169" s="110">
        <v>0.0</v>
      </c>
      <c r="AE169" s="110">
        <v>0.0</v>
      </c>
      <c r="AF169" s="110">
        <v>0.0</v>
      </c>
      <c r="AG169" s="110">
        <v>0.0</v>
      </c>
      <c r="AH169" s="110">
        <v>0.0</v>
      </c>
      <c r="AI169" s="110">
        <v>0.0</v>
      </c>
      <c r="AJ169" s="110">
        <v>0.0</v>
      </c>
      <c r="AK169" s="110">
        <v>0.0</v>
      </c>
      <c r="AL169" s="110">
        <v>0.0</v>
      </c>
      <c r="AM169" s="110">
        <v>0.0</v>
      </c>
      <c r="AN169" s="112">
        <v>7.0</v>
      </c>
    </row>
    <row r="170">
      <c r="A170" s="98"/>
      <c r="B170" s="111" t="s">
        <v>199</v>
      </c>
      <c r="C170" s="112">
        <v>58.0</v>
      </c>
      <c r="D170" s="112">
        <v>42.0</v>
      </c>
      <c r="E170" s="112">
        <v>16.0</v>
      </c>
      <c r="F170" s="112">
        <v>37.0</v>
      </c>
      <c r="G170" s="112">
        <v>16.0</v>
      </c>
      <c r="H170" s="112">
        <v>5.0</v>
      </c>
      <c r="I170" s="112">
        <v>0.0</v>
      </c>
      <c r="J170" s="112">
        <v>0.0</v>
      </c>
      <c r="K170" s="112">
        <v>0.0</v>
      </c>
      <c r="L170" s="112">
        <v>0.0</v>
      </c>
      <c r="M170" s="112">
        <v>0.0</v>
      </c>
      <c r="N170" s="112">
        <v>0.0</v>
      </c>
      <c r="O170" s="112">
        <v>0.0</v>
      </c>
      <c r="P170" s="110">
        <v>0.0</v>
      </c>
      <c r="Q170" s="110">
        <v>0.0</v>
      </c>
      <c r="R170" s="110">
        <v>0.0</v>
      </c>
      <c r="S170" s="110">
        <v>0.0</v>
      </c>
      <c r="T170" s="110">
        <v>0.0</v>
      </c>
      <c r="U170" s="110">
        <v>0.0</v>
      </c>
      <c r="V170" s="110">
        <v>0.0</v>
      </c>
      <c r="W170" s="110">
        <v>0.0</v>
      </c>
      <c r="X170" s="110">
        <v>0.0</v>
      </c>
      <c r="Y170" s="110">
        <v>0.0</v>
      </c>
      <c r="Z170" s="110">
        <v>0.0</v>
      </c>
      <c r="AA170" s="110">
        <v>0.0</v>
      </c>
      <c r="AB170" s="110">
        <v>0.0</v>
      </c>
      <c r="AC170" s="110">
        <v>0.0</v>
      </c>
      <c r="AD170" s="110">
        <v>0.0</v>
      </c>
      <c r="AE170" s="110">
        <v>0.0</v>
      </c>
      <c r="AF170" s="110">
        <v>0.0</v>
      </c>
      <c r="AG170" s="110">
        <v>0.0</v>
      </c>
      <c r="AH170" s="110">
        <v>0.0</v>
      </c>
      <c r="AI170" s="110">
        <v>0.0</v>
      </c>
      <c r="AJ170" s="110">
        <v>0.0</v>
      </c>
      <c r="AK170" s="110">
        <v>0.0</v>
      </c>
      <c r="AL170" s="110">
        <v>0.0</v>
      </c>
      <c r="AM170" s="110">
        <v>0.0</v>
      </c>
      <c r="AN170" s="112">
        <v>49.0</v>
      </c>
    </row>
    <row r="171">
      <c r="A171" s="98"/>
      <c r="B171" s="111" t="s">
        <v>206</v>
      </c>
      <c r="C171" s="112">
        <v>4.0</v>
      </c>
      <c r="D171" s="112">
        <v>1.0</v>
      </c>
      <c r="E171" s="112">
        <v>3.0</v>
      </c>
      <c r="F171" s="112">
        <v>1.0</v>
      </c>
      <c r="G171" s="112">
        <v>2.0</v>
      </c>
      <c r="H171" s="112">
        <v>0.0</v>
      </c>
      <c r="I171" s="112">
        <v>0.0</v>
      </c>
      <c r="J171" s="112">
        <v>0.0</v>
      </c>
      <c r="K171" s="112">
        <v>0.0</v>
      </c>
      <c r="L171" s="112">
        <v>0.0</v>
      </c>
      <c r="M171" s="112">
        <v>1.0</v>
      </c>
      <c r="N171" s="112">
        <v>0.0</v>
      </c>
      <c r="O171" s="112">
        <v>0.0</v>
      </c>
      <c r="P171" s="110">
        <v>0.0</v>
      </c>
      <c r="Q171" s="110">
        <v>0.0</v>
      </c>
      <c r="R171" s="110">
        <v>0.0</v>
      </c>
      <c r="S171" s="110">
        <v>0.0</v>
      </c>
      <c r="T171" s="110">
        <v>0.0</v>
      </c>
      <c r="U171" s="110">
        <v>0.0</v>
      </c>
      <c r="V171" s="110">
        <v>0.0</v>
      </c>
      <c r="W171" s="110">
        <v>0.0</v>
      </c>
      <c r="X171" s="110">
        <v>0.0</v>
      </c>
      <c r="Y171" s="110">
        <v>0.0</v>
      </c>
      <c r="Z171" s="110">
        <v>0.0</v>
      </c>
      <c r="AA171" s="110">
        <v>0.0</v>
      </c>
      <c r="AB171" s="110">
        <v>0.0</v>
      </c>
      <c r="AC171" s="110">
        <v>0.0</v>
      </c>
      <c r="AD171" s="110">
        <v>0.0</v>
      </c>
      <c r="AE171" s="110">
        <v>0.0</v>
      </c>
      <c r="AF171" s="110">
        <v>0.0</v>
      </c>
      <c r="AG171" s="110">
        <v>0.0</v>
      </c>
      <c r="AH171" s="110">
        <v>0.0</v>
      </c>
      <c r="AI171" s="110">
        <v>0.0</v>
      </c>
      <c r="AJ171" s="110">
        <v>0.0</v>
      </c>
      <c r="AK171" s="110">
        <v>0.0</v>
      </c>
      <c r="AL171" s="110">
        <v>0.0</v>
      </c>
      <c r="AM171" s="110">
        <v>0.0</v>
      </c>
      <c r="AN171" s="112">
        <v>4.0</v>
      </c>
    </row>
    <row r="172">
      <c r="A172" s="98"/>
      <c r="B172" s="111" t="s">
        <v>200</v>
      </c>
      <c r="C172" s="112">
        <v>37.0</v>
      </c>
      <c r="D172" s="112">
        <v>21.0</v>
      </c>
      <c r="E172" s="112">
        <v>16.0</v>
      </c>
      <c r="F172" s="112">
        <v>13.0</v>
      </c>
      <c r="G172" s="112">
        <v>14.0</v>
      </c>
      <c r="H172" s="112">
        <v>7.0</v>
      </c>
      <c r="I172" s="112">
        <v>1.0</v>
      </c>
      <c r="J172" s="112">
        <v>1.0</v>
      </c>
      <c r="K172" s="112">
        <v>0.0</v>
      </c>
      <c r="L172" s="112">
        <v>0.0</v>
      </c>
      <c r="M172" s="112">
        <v>0.0</v>
      </c>
      <c r="N172" s="112">
        <v>0.0</v>
      </c>
      <c r="O172" s="112">
        <v>1.0</v>
      </c>
      <c r="P172" s="110">
        <v>0.0</v>
      </c>
      <c r="Q172" s="110">
        <v>0.0</v>
      </c>
      <c r="R172" s="110">
        <v>0.0</v>
      </c>
      <c r="S172" s="110">
        <v>0.0</v>
      </c>
      <c r="T172" s="110">
        <v>0.0</v>
      </c>
      <c r="U172" s="110">
        <v>0.0</v>
      </c>
      <c r="V172" s="110">
        <v>0.0</v>
      </c>
      <c r="W172" s="110">
        <v>0.0</v>
      </c>
      <c r="X172" s="110">
        <v>0.0</v>
      </c>
      <c r="Y172" s="110">
        <v>0.0</v>
      </c>
      <c r="Z172" s="110">
        <v>0.0</v>
      </c>
      <c r="AA172" s="110">
        <v>0.0</v>
      </c>
      <c r="AB172" s="110">
        <v>0.0</v>
      </c>
      <c r="AC172" s="110">
        <v>0.0</v>
      </c>
      <c r="AD172" s="110">
        <v>0.0</v>
      </c>
      <c r="AE172" s="110">
        <v>0.0</v>
      </c>
      <c r="AF172" s="110">
        <v>0.0</v>
      </c>
      <c r="AG172" s="110">
        <v>0.0</v>
      </c>
      <c r="AH172" s="110">
        <v>0.0</v>
      </c>
      <c r="AI172" s="110">
        <v>0.0</v>
      </c>
      <c r="AJ172" s="110">
        <v>0.0</v>
      </c>
      <c r="AK172" s="110">
        <v>0.0</v>
      </c>
      <c r="AL172" s="110">
        <v>0.0</v>
      </c>
      <c r="AM172" s="110">
        <v>0.0</v>
      </c>
      <c r="AN172" s="112">
        <v>34.0</v>
      </c>
    </row>
    <row r="173">
      <c r="A173" s="104"/>
      <c r="B173" s="111" t="s">
        <v>201</v>
      </c>
      <c r="C173" s="112">
        <v>2.0</v>
      </c>
      <c r="D173" s="112">
        <v>2.0</v>
      </c>
      <c r="E173" s="112">
        <v>0.0</v>
      </c>
      <c r="F173" s="112">
        <v>2.0</v>
      </c>
      <c r="G173" s="112">
        <v>0.0</v>
      </c>
      <c r="H173" s="112">
        <v>0.0</v>
      </c>
      <c r="I173" s="112">
        <v>0.0</v>
      </c>
      <c r="J173" s="112">
        <v>0.0</v>
      </c>
      <c r="K173" s="112">
        <v>0.0</v>
      </c>
      <c r="L173" s="112">
        <v>0.0</v>
      </c>
      <c r="M173" s="112">
        <v>0.0</v>
      </c>
      <c r="N173" s="112">
        <v>0.0</v>
      </c>
      <c r="O173" s="112">
        <v>0.0</v>
      </c>
      <c r="P173" s="110">
        <v>0.0</v>
      </c>
      <c r="Q173" s="110">
        <v>0.0</v>
      </c>
      <c r="R173" s="110">
        <v>0.0</v>
      </c>
      <c r="S173" s="110">
        <v>0.0</v>
      </c>
      <c r="T173" s="110">
        <v>0.0</v>
      </c>
      <c r="U173" s="110">
        <v>0.0</v>
      </c>
      <c r="V173" s="110">
        <v>0.0</v>
      </c>
      <c r="W173" s="110">
        <v>0.0</v>
      </c>
      <c r="X173" s="110">
        <v>0.0</v>
      </c>
      <c r="Y173" s="110">
        <v>0.0</v>
      </c>
      <c r="Z173" s="110">
        <v>0.0</v>
      </c>
      <c r="AA173" s="110">
        <v>0.0</v>
      </c>
      <c r="AB173" s="110">
        <v>0.0</v>
      </c>
      <c r="AC173" s="110">
        <v>0.0</v>
      </c>
      <c r="AD173" s="110">
        <v>0.0</v>
      </c>
      <c r="AE173" s="110">
        <v>0.0</v>
      </c>
      <c r="AF173" s="110">
        <v>0.0</v>
      </c>
      <c r="AG173" s="110">
        <v>0.0</v>
      </c>
      <c r="AH173" s="110">
        <v>0.0</v>
      </c>
      <c r="AI173" s="110">
        <v>0.0</v>
      </c>
      <c r="AJ173" s="110">
        <v>0.0</v>
      </c>
      <c r="AK173" s="110">
        <v>0.0</v>
      </c>
      <c r="AL173" s="110">
        <v>0.0</v>
      </c>
      <c r="AM173" s="110">
        <v>0.0</v>
      </c>
      <c r="AN173" s="112">
        <v>2.0</v>
      </c>
    </row>
    <row r="174">
      <c r="A174" s="113" t="s">
        <v>215</v>
      </c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</row>
    <row r="175">
      <c r="A175" s="107" t="s">
        <v>197</v>
      </c>
      <c r="B175" s="108" t="s">
        <v>198</v>
      </c>
      <c r="C175" s="109">
        <v>154271.0</v>
      </c>
      <c r="D175" s="109">
        <v>56310.0</v>
      </c>
      <c r="E175" s="109">
        <v>97961.0</v>
      </c>
      <c r="F175" s="110">
        <v>0.0</v>
      </c>
      <c r="G175" s="110">
        <v>0.0</v>
      </c>
      <c r="H175" s="110">
        <v>0.0</v>
      </c>
      <c r="I175" s="110">
        <v>0.0</v>
      </c>
      <c r="J175" s="110">
        <v>0.0</v>
      </c>
      <c r="K175" s="110">
        <v>0.0</v>
      </c>
      <c r="L175" s="112">
        <v>150.0</v>
      </c>
      <c r="M175" s="112">
        <v>281.0</v>
      </c>
      <c r="N175" s="112">
        <v>191.0</v>
      </c>
      <c r="O175" s="112">
        <v>446.0</v>
      </c>
      <c r="P175" s="112">
        <v>361.0</v>
      </c>
      <c r="Q175" s="112">
        <v>871.0</v>
      </c>
      <c r="R175" s="112">
        <v>582.0</v>
      </c>
      <c r="S175" s="109">
        <v>1304.0</v>
      </c>
      <c r="T175" s="109">
        <v>1032.0</v>
      </c>
      <c r="U175" s="109">
        <v>2141.0</v>
      </c>
      <c r="V175" s="109">
        <v>1620.0</v>
      </c>
      <c r="W175" s="109">
        <v>3469.0</v>
      </c>
      <c r="X175" s="109">
        <v>2635.0</v>
      </c>
      <c r="Y175" s="109">
        <v>5525.0</v>
      </c>
      <c r="Z175" s="109">
        <v>4724.0</v>
      </c>
      <c r="AA175" s="109">
        <v>9594.0</v>
      </c>
      <c r="AB175" s="109">
        <v>6110.0</v>
      </c>
      <c r="AC175" s="109">
        <v>11942.0</v>
      </c>
      <c r="AD175" s="109">
        <v>7333.0</v>
      </c>
      <c r="AE175" s="109">
        <v>12913.0</v>
      </c>
      <c r="AF175" s="109">
        <v>8243.0</v>
      </c>
      <c r="AG175" s="109">
        <v>13017.0</v>
      </c>
      <c r="AH175" s="109">
        <v>8828.0</v>
      </c>
      <c r="AI175" s="109">
        <v>13492.0</v>
      </c>
      <c r="AJ175" s="109">
        <v>6865.0</v>
      </c>
      <c r="AK175" s="109">
        <v>10359.0</v>
      </c>
      <c r="AL175" s="109">
        <v>7636.0</v>
      </c>
      <c r="AM175" s="109">
        <v>12607.0</v>
      </c>
      <c r="AN175" s="109">
        <v>152342.0</v>
      </c>
    </row>
    <row r="176">
      <c r="A176" s="98"/>
      <c r="B176" s="111" t="s">
        <v>199</v>
      </c>
      <c r="C176" s="109">
        <v>63050.0</v>
      </c>
      <c r="D176" s="109">
        <v>22096.0</v>
      </c>
      <c r="E176" s="109">
        <v>40954.0</v>
      </c>
      <c r="F176" s="110">
        <v>0.0</v>
      </c>
      <c r="G176" s="110">
        <v>0.0</v>
      </c>
      <c r="H176" s="110">
        <v>0.0</v>
      </c>
      <c r="I176" s="110">
        <v>0.0</v>
      </c>
      <c r="J176" s="110">
        <v>0.0</v>
      </c>
      <c r="K176" s="110">
        <v>0.0</v>
      </c>
      <c r="L176" s="112">
        <v>36.0</v>
      </c>
      <c r="M176" s="112">
        <v>64.0</v>
      </c>
      <c r="N176" s="112">
        <v>87.0</v>
      </c>
      <c r="O176" s="112">
        <v>116.0</v>
      </c>
      <c r="P176" s="112">
        <v>157.0</v>
      </c>
      <c r="Q176" s="112">
        <v>216.0</v>
      </c>
      <c r="R176" s="112">
        <v>218.0</v>
      </c>
      <c r="S176" s="112">
        <v>425.0</v>
      </c>
      <c r="T176" s="112">
        <v>386.0</v>
      </c>
      <c r="U176" s="112">
        <v>735.0</v>
      </c>
      <c r="V176" s="112">
        <v>574.0</v>
      </c>
      <c r="W176" s="109">
        <v>1268.0</v>
      </c>
      <c r="X176" s="112">
        <v>873.0</v>
      </c>
      <c r="Y176" s="109">
        <v>2147.0</v>
      </c>
      <c r="Z176" s="109">
        <v>1641.0</v>
      </c>
      <c r="AA176" s="109">
        <v>3671.0</v>
      </c>
      <c r="AB176" s="109">
        <v>2160.0</v>
      </c>
      <c r="AC176" s="109">
        <v>4814.0</v>
      </c>
      <c r="AD176" s="109">
        <v>2611.0</v>
      </c>
      <c r="AE176" s="109">
        <v>5357.0</v>
      </c>
      <c r="AF176" s="109">
        <v>3219.0</v>
      </c>
      <c r="AG176" s="109">
        <v>5609.0</v>
      </c>
      <c r="AH176" s="109">
        <v>3749.0</v>
      </c>
      <c r="AI176" s="109">
        <v>6119.0</v>
      </c>
      <c r="AJ176" s="109">
        <v>2874.0</v>
      </c>
      <c r="AK176" s="109">
        <v>4851.0</v>
      </c>
      <c r="AL176" s="109">
        <v>3505.0</v>
      </c>
      <c r="AM176" s="109">
        <v>5554.0</v>
      </c>
      <c r="AN176" s="109">
        <v>62505.0</v>
      </c>
    </row>
    <row r="177">
      <c r="A177" s="98"/>
      <c r="B177" s="111" t="s">
        <v>200</v>
      </c>
      <c r="C177" s="109">
        <v>48706.0</v>
      </c>
      <c r="D177" s="109">
        <v>16058.0</v>
      </c>
      <c r="E177" s="109">
        <v>32648.0</v>
      </c>
      <c r="F177" s="110">
        <v>0.0</v>
      </c>
      <c r="G177" s="110">
        <v>0.0</v>
      </c>
      <c r="H177" s="110">
        <v>0.0</v>
      </c>
      <c r="I177" s="110">
        <v>0.0</v>
      </c>
      <c r="J177" s="110">
        <v>0.0</v>
      </c>
      <c r="K177" s="110">
        <v>0.0</v>
      </c>
      <c r="L177" s="112">
        <v>66.0</v>
      </c>
      <c r="M177" s="112">
        <v>132.0</v>
      </c>
      <c r="N177" s="112">
        <v>71.0</v>
      </c>
      <c r="O177" s="112">
        <v>234.0</v>
      </c>
      <c r="P177" s="112">
        <v>150.0</v>
      </c>
      <c r="Q177" s="112">
        <v>338.0</v>
      </c>
      <c r="R177" s="112">
        <v>186.0</v>
      </c>
      <c r="S177" s="112">
        <v>518.0</v>
      </c>
      <c r="T177" s="112">
        <v>315.0</v>
      </c>
      <c r="U177" s="112">
        <v>759.0</v>
      </c>
      <c r="V177" s="112">
        <v>502.0</v>
      </c>
      <c r="W177" s="109">
        <v>1209.0</v>
      </c>
      <c r="X177" s="112">
        <v>808.0</v>
      </c>
      <c r="Y177" s="109">
        <v>2107.0</v>
      </c>
      <c r="Z177" s="109">
        <v>1343.0</v>
      </c>
      <c r="AA177" s="109">
        <v>3376.0</v>
      </c>
      <c r="AB177" s="109">
        <v>1813.0</v>
      </c>
      <c r="AC177" s="109">
        <v>4119.0</v>
      </c>
      <c r="AD177" s="109">
        <v>2003.0</v>
      </c>
      <c r="AE177" s="109">
        <v>4352.0</v>
      </c>
      <c r="AF177" s="109">
        <v>2361.0</v>
      </c>
      <c r="AG177" s="109">
        <v>4326.0</v>
      </c>
      <c r="AH177" s="109">
        <v>2561.0</v>
      </c>
      <c r="AI177" s="109">
        <v>4400.0</v>
      </c>
      <c r="AJ177" s="109">
        <v>1900.0</v>
      </c>
      <c r="AK177" s="109">
        <v>3339.0</v>
      </c>
      <c r="AL177" s="109">
        <v>1979.0</v>
      </c>
      <c r="AM177" s="109">
        <v>3439.0</v>
      </c>
      <c r="AN177" s="109">
        <v>47281.0</v>
      </c>
    </row>
    <row r="178">
      <c r="A178" s="104"/>
      <c r="B178" s="111" t="s">
        <v>201</v>
      </c>
      <c r="C178" s="109">
        <v>1323.0</v>
      </c>
      <c r="D178" s="112">
        <v>485.0</v>
      </c>
      <c r="E178" s="112">
        <v>838.0</v>
      </c>
      <c r="F178" s="110">
        <v>0.0</v>
      </c>
      <c r="G178" s="110">
        <v>0.0</v>
      </c>
      <c r="H178" s="110">
        <v>0.0</v>
      </c>
      <c r="I178" s="110">
        <v>0.0</v>
      </c>
      <c r="J178" s="110">
        <v>0.0</v>
      </c>
      <c r="K178" s="110">
        <v>0.0</v>
      </c>
      <c r="L178" s="112">
        <v>4.0</v>
      </c>
      <c r="M178" s="112">
        <v>2.0</v>
      </c>
      <c r="N178" s="112">
        <v>3.0</v>
      </c>
      <c r="O178" s="112">
        <v>3.0</v>
      </c>
      <c r="P178" s="112">
        <v>6.0</v>
      </c>
      <c r="Q178" s="112">
        <v>7.0</v>
      </c>
      <c r="R178" s="112">
        <v>9.0</v>
      </c>
      <c r="S178" s="112">
        <v>8.0</v>
      </c>
      <c r="T178" s="112">
        <v>7.0</v>
      </c>
      <c r="U178" s="112">
        <v>16.0</v>
      </c>
      <c r="V178" s="112">
        <v>11.0</v>
      </c>
      <c r="W178" s="112">
        <v>26.0</v>
      </c>
      <c r="X178" s="112">
        <v>30.0</v>
      </c>
      <c r="Y178" s="112">
        <v>55.0</v>
      </c>
      <c r="Z178" s="112">
        <v>38.0</v>
      </c>
      <c r="AA178" s="112">
        <v>95.0</v>
      </c>
      <c r="AB178" s="112">
        <v>54.0</v>
      </c>
      <c r="AC178" s="112">
        <v>119.0</v>
      </c>
      <c r="AD178" s="112">
        <v>60.0</v>
      </c>
      <c r="AE178" s="112">
        <v>104.0</v>
      </c>
      <c r="AF178" s="112">
        <v>77.0</v>
      </c>
      <c r="AG178" s="112">
        <v>112.0</v>
      </c>
      <c r="AH178" s="112">
        <v>73.0</v>
      </c>
      <c r="AI178" s="112">
        <v>101.0</v>
      </c>
      <c r="AJ178" s="112">
        <v>53.0</v>
      </c>
      <c r="AK178" s="112">
        <v>83.0</v>
      </c>
      <c r="AL178" s="112">
        <v>60.0</v>
      </c>
      <c r="AM178" s="112">
        <v>107.0</v>
      </c>
      <c r="AN178" s="109">
        <v>1317.0</v>
      </c>
    </row>
    <row r="179">
      <c r="A179" s="107" t="s">
        <v>202</v>
      </c>
      <c r="B179" s="111" t="s">
        <v>198</v>
      </c>
      <c r="C179" s="112">
        <v>202.0</v>
      </c>
      <c r="D179" s="112">
        <v>129.0</v>
      </c>
      <c r="E179" s="112">
        <v>73.0</v>
      </c>
      <c r="F179" s="112">
        <v>1.0</v>
      </c>
      <c r="G179" s="112">
        <v>2.0</v>
      </c>
      <c r="H179" s="112">
        <v>5.0</v>
      </c>
      <c r="I179" s="112">
        <v>2.0</v>
      </c>
      <c r="J179" s="112">
        <v>4.0</v>
      </c>
      <c r="K179" s="112">
        <v>2.0</v>
      </c>
      <c r="L179" s="112">
        <v>1.0</v>
      </c>
      <c r="M179" s="112">
        <v>2.0</v>
      </c>
      <c r="N179" s="112">
        <v>3.0</v>
      </c>
      <c r="O179" s="112">
        <v>7.0</v>
      </c>
      <c r="P179" s="112">
        <v>15.0</v>
      </c>
      <c r="Q179" s="112">
        <v>6.0</v>
      </c>
      <c r="R179" s="112">
        <v>11.0</v>
      </c>
      <c r="S179" s="112">
        <v>3.0</v>
      </c>
      <c r="T179" s="112">
        <v>5.0</v>
      </c>
      <c r="U179" s="112">
        <v>9.0</v>
      </c>
      <c r="V179" s="112">
        <v>10.0</v>
      </c>
      <c r="W179" s="112">
        <v>7.0</v>
      </c>
      <c r="X179" s="112">
        <v>7.0</v>
      </c>
      <c r="Y179" s="112">
        <v>2.0</v>
      </c>
      <c r="Z179" s="112">
        <v>7.0</v>
      </c>
      <c r="AA179" s="112">
        <v>6.0</v>
      </c>
      <c r="AB179" s="112">
        <v>24.0</v>
      </c>
      <c r="AC179" s="112">
        <v>3.0</v>
      </c>
      <c r="AD179" s="112">
        <v>12.0</v>
      </c>
      <c r="AE179" s="112">
        <v>1.0</v>
      </c>
      <c r="AF179" s="112">
        <v>6.0</v>
      </c>
      <c r="AG179" s="112">
        <v>5.0</v>
      </c>
      <c r="AH179" s="112">
        <v>2.0</v>
      </c>
      <c r="AI179" s="112">
        <v>4.0</v>
      </c>
      <c r="AJ179" s="112">
        <v>9.0</v>
      </c>
      <c r="AK179" s="112">
        <v>1.0</v>
      </c>
      <c r="AL179" s="112">
        <v>7.0</v>
      </c>
      <c r="AM179" s="112">
        <v>11.0</v>
      </c>
      <c r="AN179" s="112">
        <v>202.0</v>
      </c>
    </row>
    <row r="180">
      <c r="A180" s="104"/>
      <c r="B180" s="111" t="s">
        <v>199</v>
      </c>
      <c r="C180" s="112">
        <v>274.0</v>
      </c>
      <c r="D180" s="112">
        <v>164.0</v>
      </c>
      <c r="E180" s="112">
        <v>110.0</v>
      </c>
      <c r="F180" s="112">
        <v>16.0</v>
      </c>
      <c r="G180" s="112">
        <v>11.0</v>
      </c>
      <c r="H180" s="112">
        <v>11.0</v>
      </c>
      <c r="I180" s="112">
        <v>16.0</v>
      </c>
      <c r="J180" s="112">
        <v>3.0</v>
      </c>
      <c r="K180" s="112">
        <v>4.0</v>
      </c>
      <c r="L180" s="112">
        <v>7.0</v>
      </c>
      <c r="M180" s="112">
        <v>4.0</v>
      </c>
      <c r="N180" s="112">
        <v>2.0</v>
      </c>
      <c r="O180" s="112">
        <v>9.0</v>
      </c>
      <c r="P180" s="112">
        <v>26.0</v>
      </c>
      <c r="Q180" s="112">
        <v>5.0</v>
      </c>
      <c r="R180" s="112">
        <v>3.0</v>
      </c>
      <c r="S180" s="112">
        <v>7.0</v>
      </c>
      <c r="T180" s="112">
        <v>6.0</v>
      </c>
      <c r="U180" s="112">
        <v>7.0</v>
      </c>
      <c r="V180" s="112">
        <v>8.0</v>
      </c>
      <c r="W180" s="112">
        <v>10.0</v>
      </c>
      <c r="X180" s="112">
        <v>10.0</v>
      </c>
      <c r="Y180" s="112">
        <v>3.0</v>
      </c>
      <c r="Z180" s="112">
        <v>21.0</v>
      </c>
      <c r="AA180" s="112">
        <v>9.0</v>
      </c>
      <c r="AB180" s="112">
        <v>24.0</v>
      </c>
      <c r="AC180" s="112">
        <v>1.0</v>
      </c>
      <c r="AD180" s="112">
        <v>10.0</v>
      </c>
      <c r="AE180" s="112">
        <v>8.0</v>
      </c>
      <c r="AF180" s="112">
        <v>3.0</v>
      </c>
      <c r="AG180" s="112">
        <v>2.0</v>
      </c>
      <c r="AH180" s="112">
        <v>0.0</v>
      </c>
      <c r="AI180" s="112">
        <v>6.0</v>
      </c>
      <c r="AJ180" s="112">
        <v>6.0</v>
      </c>
      <c r="AK180" s="112">
        <v>2.0</v>
      </c>
      <c r="AL180" s="112">
        <v>8.0</v>
      </c>
      <c r="AM180" s="112">
        <v>6.0</v>
      </c>
      <c r="AN180" s="112">
        <v>270.0</v>
      </c>
    </row>
    <row r="181">
      <c r="A181" s="107" t="s">
        <v>203</v>
      </c>
      <c r="B181" s="111" t="s">
        <v>198</v>
      </c>
      <c r="C181" s="112">
        <v>565.0</v>
      </c>
      <c r="D181" s="112">
        <v>208.0</v>
      </c>
      <c r="E181" s="112">
        <v>357.0</v>
      </c>
      <c r="F181" s="110">
        <v>0.0</v>
      </c>
      <c r="G181" s="110">
        <v>0.0</v>
      </c>
      <c r="H181" s="110">
        <v>0.0</v>
      </c>
      <c r="I181" s="110">
        <v>0.0</v>
      </c>
      <c r="J181" s="110">
        <v>0.0</v>
      </c>
      <c r="K181" s="110">
        <v>0.0</v>
      </c>
      <c r="L181" s="110">
        <v>0.0</v>
      </c>
      <c r="M181" s="110">
        <v>0.0</v>
      </c>
      <c r="N181" s="110">
        <v>0.0</v>
      </c>
      <c r="O181" s="110">
        <v>0.0</v>
      </c>
      <c r="P181" s="110">
        <v>0.0</v>
      </c>
      <c r="Q181" s="110">
        <v>0.0</v>
      </c>
      <c r="R181" s="110">
        <v>0.0</v>
      </c>
      <c r="S181" s="110">
        <v>0.0</v>
      </c>
      <c r="T181" s="110">
        <v>0.0</v>
      </c>
      <c r="U181" s="110">
        <v>0.0</v>
      </c>
      <c r="V181" s="110">
        <v>0.0</v>
      </c>
      <c r="W181" s="110">
        <v>0.0</v>
      </c>
      <c r="X181" s="110">
        <v>0.0</v>
      </c>
      <c r="Y181" s="110">
        <v>0.0</v>
      </c>
      <c r="Z181" s="110">
        <v>0.0</v>
      </c>
      <c r="AA181" s="110">
        <v>0.0</v>
      </c>
      <c r="AB181" s="110">
        <v>0.0</v>
      </c>
      <c r="AC181" s="110">
        <v>0.0</v>
      </c>
      <c r="AD181" s="110">
        <v>0.0</v>
      </c>
      <c r="AE181" s="110">
        <v>0.0</v>
      </c>
      <c r="AF181" s="112">
        <v>61.0</v>
      </c>
      <c r="AG181" s="112">
        <v>83.0</v>
      </c>
      <c r="AH181" s="112">
        <v>47.0</v>
      </c>
      <c r="AI181" s="112">
        <v>76.0</v>
      </c>
      <c r="AJ181" s="112">
        <v>50.0</v>
      </c>
      <c r="AK181" s="112">
        <v>90.0</v>
      </c>
      <c r="AL181" s="112">
        <v>50.0</v>
      </c>
      <c r="AM181" s="112">
        <v>108.0</v>
      </c>
      <c r="AN181" s="112">
        <v>565.0</v>
      </c>
    </row>
    <row r="182">
      <c r="A182" s="104"/>
      <c r="B182" s="111" t="s">
        <v>199</v>
      </c>
      <c r="C182" s="109">
        <v>1137.0</v>
      </c>
      <c r="D182" s="112">
        <v>369.0</v>
      </c>
      <c r="E182" s="112">
        <v>768.0</v>
      </c>
      <c r="F182" s="110">
        <v>0.0</v>
      </c>
      <c r="G182" s="110">
        <v>0.0</v>
      </c>
      <c r="H182" s="110">
        <v>0.0</v>
      </c>
      <c r="I182" s="110">
        <v>0.0</v>
      </c>
      <c r="J182" s="110">
        <v>0.0</v>
      </c>
      <c r="K182" s="110">
        <v>0.0</v>
      </c>
      <c r="L182" s="110">
        <v>0.0</v>
      </c>
      <c r="M182" s="110">
        <v>0.0</v>
      </c>
      <c r="N182" s="110">
        <v>0.0</v>
      </c>
      <c r="O182" s="110">
        <v>0.0</v>
      </c>
      <c r="P182" s="110">
        <v>0.0</v>
      </c>
      <c r="Q182" s="110">
        <v>0.0</v>
      </c>
      <c r="R182" s="110">
        <v>0.0</v>
      </c>
      <c r="S182" s="110">
        <v>0.0</v>
      </c>
      <c r="T182" s="110">
        <v>0.0</v>
      </c>
      <c r="U182" s="110">
        <v>0.0</v>
      </c>
      <c r="V182" s="110">
        <v>0.0</v>
      </c>
      <c r="W182" s="110">
        <v>0.0</v>
      </c>
      <c r="X182" s="110">
        <v>0.0</v>
      </c>
      <c r="Y182" s="110">
        <v>0.0</v>
      </c>
      <c r="Z182" s="110">
        <v>0.0</v>
      </c>
      <c r="AA182" s="110">
        <v>0.0</v>
      </c>
      <c r="AB182" s="110">
        <v>0.0</v>
      </c>
      <c r="AC182" s="110">
        <v>0.0</v>
      </c>
      <c r="AD182" s="110">
        <v>0.0</v>
      </c>
      <c r="AE182" s="110">
        <v>0.0</v>
      </c>
      <c r="AF182" s="112">
        <v>96.0</v>
      </c>
      <c r="AG182" s="112">
        <v>188.0</v>
      </c>
      <c r="AH182" s="112">
        <v>99.0</v>
      </c>
      <c r="AI182" s="112">
        <v>196.0</v>
      </c>
      <c r="AJ182" s="112">
        <v>107.0</v>
      </c>
      <c r="AK182" s="112">
        <v>178.0</v>
      </c>
      <c r="AL182" s="112">
        <v>67.0</v>
      </c>
      <c r="AM182" s="112">
        <v>206.0</v>
      </c>
      <c r="AN182" s="109">
        <v>1116.0</v>
      </c>
    </row>
    <row r="183">
      <c r="A183" s="107" t="s">
        <v>204</v>
      </c>
      <c r="B183" s="111" t="s">
        <v>198</v>
      </c>
      <c r="C183" s="112">
        <v>243.0</v>
      </c>
      <c r="D183" s="112">
        <v>91.0</v>
      </c>
      <c r="E183" s="112">
        <v>152.0</v>
      </c>
      <c r="F183" s="110">
        <v>0.0</v>
      </c>
      <c r="G183" s="110">
        <v>0.0</v>
      </c>
      <c r="H183" s="110">
        <v>0.0</v>
      </c>
      <c r="I183" s="110">
        <v>0.0</v>
      </c>
      <c r="J183" s="110">
        <v>0.0</v>
      </c>
      <c r="K183" s="110">
        <v>0.0</v>
      </c>
      <c r="L183" s="110">
        <v>0.0</v>
      </c>
      <c r="M183" s="110">
        <v>0.0</v>
      </c>
      <c r="N183" s="110">
        <v>0.0</v>
      </c>
      <c r="O183" s="110">
        <v>0.0</v>
      </c>
      <c r="P183" s="110">
        <v>0.0</v>
      </c>
      <c r="Q183" s="110">
        <v>0.0</v>
      </c>
      <c r="R183" s="110">
        <v>0.0</v>
      </c>
      <c r="S183" s="110">
        <v>0.0</v>
      </c>
      <c r="T183" s="110">
        <v>0.0</v>
      </c>
      <c r="U183" s="110">
        <v>0.0</v>
      </c>
      <c r="V183" s="110">
        <v>0.0</v>
      </c>
      <c r="W183" s="110">
        <v>0.0</v>
      </c>
      <c r="X183" s="110">
        <v>0.0</v>
      </c>
      <c r="Y183" s="110">
        <v>0.0</v>
      </c>
      <c r="Z183" s="110">
        <v>0.0</v>
      </c>
      <c r="AA183" s="110">
        <v>0.0</v>
      </c>
      <c r="AB183" s="110">
        <v>0.0</v>
      </c>
      <c r="AC183" s="110">
        <v>0.0</v>
      </c>
      <c r="AD183" s="110">
        <v>0.0</v>
      </c>
      <c r="AE183" s="110">
        <v>0.0</v>
      </c>
      <c r="AF183" s="112">
        <v>15.0</v>
      </c>
      <c r="AG183" s="112">
        <v>31.0</v>
      </c>
      <c r="AH183" s="112">
        <v>18.0</v>
      </c>
      <c r="AI183" s="112">
        <v>27.0</v>
      </c>
      <c r="AJ183" s="112">
        <v>24.0</v>
      </c>
      <c r="AK183" s="112">
        <v>31.0</v>
      </c>
      <c r="AL183" s="112">
        <v>34.0</v>
      </c>
      <c r="AM183" s="112">
        <v>63.0</v>
      </c>
      <c r="AN183" s="112">
        <v>243.0</v>
      </c>
    </row>
    <row r="184">
      <c r="A184" s="104"/>
      <c r="B184" s="111" t="s">
        <v>199</v>
      </c>
      <c r="C184" s="112">
        <v>375.0</v>
      </c>
      <c r="D184" s="112">
        <v>132.0</v>
      </c>
      <c r="E184" s="112">
        <v>243.0</v>
      </c>
      <c r="F184" s="110">
        <v>0.0</v>
      </c>
      <c r="G184" s="110">
        <v>0.0</v>
      </c>
      <c r="H184" s="110">
        <v>0.0</v>
      </c>
      <c r="I184" s="110">
        <v>0.0</v>
      </c>
      <c r="J184" s="110">
        <v>0.0</v>
      </c>
      <c r="K184" s="110">
        <v>0.0</v>
      </c>
      <c r="L184" s="110">
        <v>0.0</v>
      </c>
      <c r="M184" s="110">
        <v>0.0</v>
      </c>
      <c r="N184" s="110">
        <v>0.0</v>
      </c>
      <c r="O184" s="110">
        <v>0.0</v>
      </c>
      <c r="P184" s="110">
        <v>0.0</v>
      </c>
      <c r="Q184" s="110">
        <v>0.0</v>
      </c>
      <c r="R184" s="110">
        <v>0.0</v>
      </c>
      <c r="S184" s="110">
        <v>0.0</v>
      </c>
      <c r="T184" s="110">
        <v>0.0</v>
      </c>
      <c r="U184" s="110">
        <v>0.0</v>
      </c>
      <c r="V184" s="110">
        <v>0.0</v>
      </c>
      <c r="W184" s="110">
        <v>0.0</v>
      </c>
      <c r="X184" s="110">
        <v>0.0</v>
      </c>
      <c r="Y184" s="110">
        <v>0.0</v>
      </c>
      <c r="Z184" s="110">
        <v>0.0</v>
      </c>
      <c r="AA184" s="110">
        <v>0.0</v>
      </c>
      <c r="AB184" s="110">
        <v>0.0</v>
      </c>
      <c r="AC184" s="110">
        <v>0.0</v>
      </c>
      <c r="AD184" s="110">
        <v>0.0</v>
      </c>
      <c r="AE184" s="110">
        <v>0.0</v>
      </c>
      <c r="AF184" s="112">
        <v>17.0</v>
      </c>
      <c r="AG184" s="112">
        <v>46.0</v>
      </c>
      <c r="AH184" s="112">
        <v>28.0</v>
      </c>
      <c r="AI184" s="112">
        <v>50.0</v>
      </c>
      <c r="AJ184" s="112">
        <v>35.0</v>
      </c>
      <c r="AK184" s="112">
        <v>69.0</v>
      </c>
      <c r="AL184" s="112">
        <v>52.0</v>
      </c>
      <c r="AM184" s="112">
        <v>78.0</v>
      </c>
      <c r="AN184" s="112">
        <v>371.0</v>
      </c>
    </row>
    <row r="185">
      <c r="A185" s="107" t="s">
        <v>205</v>
      </c>
      <c r="B185" s="111" t="s">
        <v>198</v>
      </c>
      <c r="C185" s="112">
        <v>418.0</v>
      </c>
      <c r="D185" s="112">
        <v>340.0</v>
      </c>
      <c r="E185" s="112">
        <v>78.0</v>
      </c>
      <c r="F185" s="112">
        <v>0.0</v>
      </c>
      <c r="G185" s="112">
        <v>0.0</v>
      </c>
      <c r="H185" s="112">
        <v>0.0</v>
      </c>
      <c r="I185" s="112">
        <v>0.0</v>
      </c>
      <c r="J185" s="112">
        <v>1.0</v>
      </c>
      <c r="K185" s="112">
        <v>0.0</v>
      </c>
      <c r="L185" s="112">
        <v>8.0</v>
      </c>
      <c r="M185" s="112">
        <v>8.0</v>
      </c>
      <c r="N185" s="112">
        <v>38.0</v>
      </c>
      <c r="O185" s="112">
        <v>14.0</v>
      </c>
      <c r="P185" s="112">
        <v>7.0</v>
      </c>
      <c r="Q185" s="112">
        <v>6.0</v>
      </c>
      <c r="R185" s="112">
        <v>14.0</v>
      </c>
      <c r="S185" s="112">
        <v>3.0</v>
      </c>
      <c r="T185" s="112">
        <v>14.0</v>
      </c>
      <c r="U185" s="112">
        <v>11.0</v>
      </c>
      <c r="V185" s="112">
        <v>9.0</v>
      </c>
      <c r="W185" s="112">
        <v>11.0</v>
      </c>
      <c r="X185" s="112">
        <v>19.0</v>
      </c>
      <c r="Y185" s="112">
        <v>2.0</v>
      </c>
      <c r="Z185" s="112">
        <v>40.0</v>
      </c>
      <c r="AA185" s="112">
        <v>8.0</v>
      </c>
      <c r="AB185" s="112">
        <v>24.0</v>
      </c>
      <c r="AC185" s="112">
        <v>0.0</v>
      </c>
      <c r="AD185" s="112">
        <v>36.0</v>
      </c>
      <c r="AE185" s="112">
        <v>6.0</v>
      </c>
      <c r="AF185" s="112">
        <v>37.0</v>
      </c>
      <c r="AG185" s="112">
        <v>0.0</v>
      </c>
      <c r="AH185" s="112">
        <v>34.0</v>
      </c>
      <c r="AI185" s="112">
        <v>2.0</v>
      </c>
      <c r="AJ185" s="112">
        <v>29.0</v>
      </c>
      <c r="AK185" s="112">
        <v>1.0</v>
      </c>
      <c r="AL185" s="112">
        <v>30.0</v>
      </c>
      <c r="AM185" s="112">
        <v>6.0</v>
      </c>
      <c r="AN185" s="112">
        <v>173.0</v>
      </c>
    </row>
    <row r="186">
      <c r="A186" s="98"/>
      <c r="B186" s="111" t="s">
        <v>199</v>
      </c>
      <c r="C186" s="112">
        <v>247.0</v>
      </c>
      <c r="D186" s="112">
        <v>152.0</v>
      </c>
      <c r="E186" s="112">
        <v>95.0</v>
      </c>
      <c r="F186" s="112">
        <v>0.0</v>
      </c>
      <c r="G186" s="112">
        <v>0.0</v>
      </c>
      <c r="H186" s="112">
        <v>0.0</v>
      </c>
      <c r="I186" s="112">
        <v>0.0</v>
      </c>
      <c r="J186" s="112">
        <v>0.0</v>
      </c>
      <c r="K186" s="112">
        <v>0.0</v>
      </c>
      <c r="L186" s="112">
        <v>6.0</v>
      </c>
      <c r="M186" s="112">
        <v>5.0</v>
      </c>
      <c r="N186" s="112">
        <v>16.0</v>
      </c>
      <c r="O186" s="112">
        <v>4.0</v>
      </c>
      <c r="P186" s="112">
        <v>14.0</v>
      </c>
      <c r="Q186" s="112">
        <v>5.0</v>
      </c>
      <c r="R186" s="112">
        <v>5.0</v>
      </c>
      <c r="S186" s="112">
        <v>2.0</v>
      </c>
      <c r="T186" s="112">
        <v>9.0</v>
      </c>
      <c r="U186" s="112">
        <v>2.0</v>
      </c>
      <c r="V186" s="112">
        <v>3.0</v>
      </c>
      <c r="W186" s="112">
        <v>2.0</v>
      </c>
      <c r="X186" s="112">
        <v>6.0</v>
      </c>
      <c r="Y186" s="112">
        <v>5.0</v>
      </c>
      <c r="Z186" s="112">
        <v>16.0</v>
      </c>
      <c r="AA186" s="112">
        <v>11.0</v>
      </c>
      <c r="AB186" s="112">
        <v>12.0</v>
      </c>
      <c r="AC186" s="112">
        <v>6.0</v>
      </c>
      <c r="AD186" s="112">
        <v>8.0</v>
      </c>
      <c r="AE186" s="112">
        <v>5.0</v>
      </c>
      <c r="AF186" s="112">
        <v>11.0</v>
      </c>
      <c r="AG186" s="112">
        <v>6.0</v>
      </c>
      <c r="AH186" s="112">
        <v>17.0</v>
      </c>
      <c r="AI186" s="112">
        <v>16.0</v>
      </c>
      <c r="AJ186" s="112">
        <v>15.0</v>
      </c>
      <c r="AK186" s="112">
        <v>10.0</v>
      </c>
      <c r="AL186" s="112">
        <v>14.0</v>
      </c>
      <c r="AM186" s="112">
        <v>16.0</v>
      </c>
      <c r="AN186" s="112">
        <v>174.0</v>
      </c>
    </row>
    <row r="187">
      <c r="A187" s="104"/>
      <c r="B187" s="111" t="s">
        <v>206</v>
      </c>
      <c r="C187" s="109">
        <v>1163.0</v>
      </c>
      <c r="D187" s="112">
        <v>391.0</v>
      </c>
      <c r="E187" s="112">
        <v>772.0</v>
      </c>
      <c r="F187" s="112">
        <v>2.0</v>
      </c>
      <c r="G187" s="112">
        <v>7.0</v>
      </c>
      <c r="H187" s="112">
        <v>1.0</v>
      </c>
      <c r="I187" s="112">
        <v>1.0</v>
      </c>
      <c r="J187" s="112">
        <v>2.0</v>
      </c>
      <c r="K187" s="112">
        <v>11.0</v>
      </c>
      <c r="L187" s="112">
        <v>57.0</v>
      </c>
      <c r="M187" s="112">
        <v>138.0</v>
      </c>
      <c r="N187" s="112">
        <v>78.0</v>
      </c>
      <c r="O187" s="112">
        <v>123.0</v>
      </c>
      <c r="P187" s="112">
        <v>19.0</v>
      </c>
      <c r="Q187" s="112">
        <v>84.0</v>
      </c>
      <c r="R187" s="112">
        <v>37.0</v>
      </c>
      <c r="S187" s="112">
        <v>61.0</v>
      </c>
      <c r="T187" s="112">
        <v>22.0</v>
      </c>
      <c r="U187" s="112">
        <v>74.0</v>
      </c>
      <c r="V187" s="112">
        <v>22.0</v>
      </c>
      <c r="W187" s="112">
        <v>87.0</v>
      </c>
      <c r="X187" s="112">
        <v>13.0</v>
      </c>
      <c r="Y187" s="112">
        <v>47.0</v>
      </c>
      <c r="Z187" s="112">
        <v>27.0</v>
      </c>
      <c r="AA187" s="112">
        <v>30.0</v>
      </c>
      <c r="AB187" s="112">
        <v>26.0</v>
      </c>
      <c r="AC187" s="112">
        <v>46.0</v>
      </c>
      <c r="AD187" s="112">
        <v>15.0</v>
      </c>
      <c r="AE187" s="112">
        <v>15.0</v>
      </c>
      <c r="AF187" s="112">
        <v>19.0</v>
      </c>
      <c r="AG187" s="112">
        <v>19.0</v>
      </c>
      <c r="AH187" s="112">
        <v>19.0</v>
      </c>
      <c r="AI187" s="112">
        <v>10.0</v>
      </c>
      <c r="AJ187" s="112">
        <v>10.0</v>
      </c>
      <c r="AK187" s="112">
        <v>9.0</v>
      </c>
      <c r="AL187" s="112">
        <v>22.0</v>
      </c>
      <c r="AM187" s="112">
        <v>10.0</v>
      </c>
      <c r="AN187" s="109">
        <v>1049.0</v>
      </c>
    </row>
    <row r="188">
      <c r="A188" s="107" t="s">
        <v>207</v>
      </c>
      <c r="B188" s="111" t="s">
        <v>198</v>
      </c>
      <c r="C188" s="109">
        <v>28151.0</v>
      </c>
      <c r="D188" s="109">
        <v>7994.0</v>
      </c>
      <c r="E188" s="109">
        <v>20157.0</v>
      </c>
      <c r="F188" s="112">
        <v>402.0</v>
      </c>
      <c r="G188" s="112">
        <v>293.0</v>
      </c>
      <c r="H188" s="112">
        <v>175.0</v>
      </c>
      <c r="I188" s="112">
        <v>177.0</v>
      </c>
      <c r="J188" s="112">
        <v>172.0</v>
      </c>
      <c r="K188" s="112">
        <v>184.0</v>
      </c>
      <c r="L188" s="112">
        <v>217.0</v>
      </c>
      <c r="M188" s="112">
        <v>380.0</v>
      </c>
      <c r="N188" s="112">
        <v>177.0</v>
      </c>
      <c r="O188" s="112">
        <v>387.0</v>
      </c>
      <c r="P188" s="112">
        <v>353.0</v>
      </c>
      <c r="Q188" s="112">
        <v>785.0</v>
      </c>
      <c r="R188" s="112">
        <v>302.0</v>
      </c>
      <c r="S188" s="112">
        <v>810.0</v>
      </c>
      <c r="T188" s="112">
        <v>246.0</v>
      </c>
      <c r="U188" s="112">
        <v>750.0</v>
      </c>
      <c r="V188" s="112">
        <v>382.0</v>
      </c>
      <c r="W188" s="109">
        <v>1208.0</v>
      </c>
      <c r="X188" s="112">
        <v>448.0</v>
      </c>
      <c r="Y188" s="109">
        <v>1421.0</v>
      </c>
      <c r="Z188" s="112">
        <v>447.0</v>
      </c>
      <c r="AA188" s="109">
        <v>1551.0</v>
      </c>
      <c r="AB188" s="112">
        <v>619.0</v>
      </c>
      <c r="AC188" s="109">
        <v>1991.0</v>
      </c>
      <c r="AD188" s="112">
        <v>634.0</v>
      </c>
      <c r="AE188" s="109">
        <v>2091.0</v>
      </c>
      <c r="AF188" s="112">
        <v>771.0</v>
      </c>
      <c r="AG188" s="109">
        <v>2130.0</v>
      </c>
      <c r="AH188" s="112">
        <v>798.0</v>
      </c>
      <c r="AI188" s="109">
        <v>2116.0</v>
      </c>
      <c r="AJ188" s="112">
        <v>767.0</v>
      </c>
      <c r="AK188" s="109">
        <v>1603.0</v>
      </c>
      <c r="AL188" s="109">
        <v>1084.0</v>
      </c>
      <c r="AM188" s="109">
        <v>2280.0</v>
      </c>
      <c r="AN188" s="109">
        <v>27054.0</v>
      </c>
    </row>
    <row r="189">
      <c r="A189" s="98"/>
      <c r="B189" s="111" t="s">
        <v>199</v>
      </c>
      <c r="C189" s="109">
        <v>6765.0</v>
      </c>
      <c r="D189" s="109">
        <v>2049.0</v>
      </c>
      <c r="E189" s="109">
        <v>4716.0</v>
      </c>
      <c r="F189" s="112">
        <v>97.0</v>
      </c>
      <c r="G189" s="112">
        <v>68.0</v>
      </c>
      <c r="H189" s="112">
        <v>22.0</v>
      </c>
      <c r="I189" s="112">
        <v>31.0</v>
      </c>
      <c r="J189" s="112">
        <v>10.0</v>
      </c>
      <c r="K189" s="112">
        <v>18.0</v>
      </c>
      <c r="L189" s="112">
        <v>12.0</v>
      </c>
      <c r="M189" s="112">
        <v>38.0</v>
      </c>
      <c r="N189" s="112">
        <v>17.0</v>
      </c>
      <c r="O189" s="112">
        <v>32.0</v>
      </c>
      <c r="P189" s="112">
        <v>25.0</v>
      </c>
      <c r="Q189" s="112">
        <v>42.0</v>
      </c>
      <c r="R189" s="112">
        <v>25.0</v>
      </c>
      <c r="S189" s="112">
        <v>66.0</v>
      </c>
      <c r="T189" s="112">
        <v>22.0</v>
      </c>
      <c r="U189" s="112">
        <v>119.0</v>
      </c>
      <c r="V189" s="112">
        <v>64.0</v>
      </c>
      <c r="W189" s="112">
        <v>123.0</v>
      </c>
      <c r="X189" s="112">
        <v>88.0</v>
      </c>
      <c r="Y189" s="112">
        <v>224.0</v>
      </c>
      <c r="Z189" s="112">
        <v>138.0</v>
      </c>
      <c r="AA189" s="112">
        <v>329.0</v>
      </c>
      <c r="AB189" s="112">
        <v>175.0</v>
      </c>
      <c r="AC189" s="112">
        <v>524.0</v>
      </c>
      <c r="AD189" s="112">
        <v>204.0</v>
      </c>
      <c r="AE189" s="112">
        <v>555.0</v>
      </c>
      <c r="AF189" s="112">
        <v>235.0</v>
      </c>
      <c r="AG189" s="112">
        <v>601.0</v>
      </c>
      <c r="AH189" s="112">
        <v>303.0</v>
      </c>
      <c r="AI189" s="112">
        <v>679.0</v>
      </c>
      <c r="AJ189" s="112">
        <v>300.0</v>
      </c>
      <c r="AK189" s="112">
        <v>529.0</v>
      </c>
      <c r="AL189" s="112">
        <v>312.0</v>
      </c>
      <c r="AM189" s="112">
        <v>738.0</v>
      </c>
      <c r="AN189" s="109">
        <v>6659.0</v>
      </c>
    </row>
    <row r="190">
      <c r="A190" s="98"/>
      <c r="B190" s="111" t="s">
        <v>206</v>
      </c>
      <c r="C190" s="112">
        <v>610.0</v>
      </c>
      <c r="D190" s="112">
        <v>106.0</v>
      </c>
      <c r="E190" s="112">
        <v>504.0</v>
      </c>
      <c r="F190" s="112">
        <v>52.0</v>
      </c>
      <c r="G190" s="112">
        <v>57.0</v>
      </c>
      <c r="H190" s="112">
        <v>7.0</v>
      </c>
      <c r="I190" s="112">
        <v>5.0</v>
      </c>
      <c r="J190" s="112">
        <v>7.0</v>
      </c>
      <c r="K190" s="112">
        <v>15.0</v>
      </c>
      <c r="L190" s="112">
        <v>6.0</v>
      </c>
      <c r="M190" s="112">
        <v>39.0</v>
      </c>
      <c r="N190" s="112">
        <v>2.0</v>
      </c>
      <c r="O190" s="112">
        <v>52.0</v>
      </c>
      <c r="P190" s="112">
        <v>2.0</v>
      </c>
      <c r="Q190" s="112">
        <v>50.0</v>
      </c>
      <c r="R190" s="112">
        <v>2.0</v>
      </c>
      <c r="S190" s="112">
        <v>60.0</v>
      </c>
      <c r="T190" s="112">
        <v>3.0</v>
      </c>
      <c r="U190" s="112">
        <v>29.0</v>
      </c>
      <c r="V190" s="112">
        <v>4.0</v>
      </c>
      <c r="W190" s="112">
        <v>52.0</v>
      </c>
      <c r="X190" s="112">
        <v>3.0</v>
      </c>
      <c r="Y190" s="112">
        <v>25.0</v>
      </c>
      <c r="Z190" s="112">
        <v>1.0</v>
      </c>
      <c r="AA190" s="112">
        <v>42.0</v>
      </c>
      <c r="AB190" s="112">
        <v>4.0</v>
      </c>
      <c r="AC190" s="112">
        <v>26.0</v>
      </c>
      <c r="AD190" s="112">
        <v>2.0</v>
      </c>
      <c r="AE190" s="112">
        <v>27.0</v>
      </c>
      <c r="AF190" s="112">
        <v>3.0</v>
      </c>
      <c r="AG190" s="112">
        <v>10.0</v>
      </c>
      <c r="AH190" s="112">
        <v>3.0</v>
      </c>
      <c r="AI190" s="112">
        <v>10.0</v>
      </c>
      <c r="AJ190" s="112">
        <v>3.0</v>
      </c>
      <c r="AK190" s="112">
        <v>2.0</v>
      </c>
      <c r="AL190" s="112">
        <v>2.0</v>
      </c>
      <c r="AM190" s="112">
        <v>3.0</v>
      </c>
      <c r="AN190" s="112">
        <v>610.0</v>
      </c>
    </row>
    <row r="191">
      <c r="A191" s="98"/>
      <c r="B191" s="111" t="s">
        <v>200</v>
      </c>
      <c r="C191" s="109">
        <v>13207.0</v>
      </c>
      <c r="D191" s="109">
        <v>4645.0</v>
      </c>
      <c r="E191" s="109">
        <v>8562.0</v>
      </c>
      <c r="F191" s="109">
        <v>2799.0</v>
      </c>
      <c r="G191" s="109">
        <v>2902.0</v>
      </c>
      <c r="H191" s="112">
        <v>510.0</v>
      </c>
      <c r="I191" s="112">
        <v>567.0</v>
      </c>
      <c r="J191" s="112">
        <v>215.0</v>
      </c>
      <c r="K191" s="112">
        <v>313.0</v>
      </c>
      <c r="L191" s="112">
        <v>120.0</v>
      </c>
      <c r="M191" s="112">
        <v>511.0</v>
      </c>
      <c r="N191" s="112">
        <v>82.0</v>
      </c>
      <c r="O191" s="112">
        <v>528.0</v>
      </c>
      <c r="P191" s="112">
        <v>92.0</v>
      </c>
      <c r="Q191" s="112">
        <v>681.0</v>
      </c>
      <c r="R191" s="112">
        <v>83.0</v>
      </c>
      <c r="S191" s="112">
        <v>561.0</v>
      </c>
      <c r="T191" s="112">
        <v>81.0</v>
      </c>
      <c r="U191" s="112">
        <v>434.0</v>
      </c>
      <c r="V191" s="112">
        <v>73.0</v>
      </c>
      <c r="W191" s="112">
        <v>294.0</v>
      </c>
      <c r="X191" s="112">
        <v>92.0</v>
      </c>
      <c r="Y191" s="112">
        <v>363.0</v>
      </c>
      <c r="Z191" s="112">
        <v>79.0</v>
      </c>
      <c r="AA191" s="112">
        <v>328.0</v>
      </c>
      <c r="AB191" s="112">
        <v>107.0</v>
      </c>
      <c r="AC191" s="112">
        <v>321.0</v>
      </c>
      <c r="AD191" s="112">
        <v>60.0</v>
      </c>
      <c r="AE191" s="112">
        <v>216.0</v>
      </c>
      <c r="AF191" s="112">
        <v>67.0</v>
      </c>
      <c r="AG191" s="112">
        <v>172.0</v>
      </c>
      <c r="AH191" s="112">
        <v>73.0</v>
      </c>
      <c r="AI191" s="112">
        <v>149.0</v>
      </c>
      <c r="AJ191" s="112">
        <v>44.0</v>
      </c>
      <c r="AK191" s="112">
        <v>95.0</v>
      </c>
      <c r="AL191" s="112">
        <v>68.0</v>
      </c>
      <c r="AM191" s="112">
        <v>127.0</v>
      </c>
      <c r="AN191" s="109">
        <v>12846.0</v>
      </c>
    </row>
    <row r="192">
      <c r="A192" s="104"/>
      <c r="B192" s="111" t="s">
        <v>201</v>
      </c>
      <c r="C192" s="109">
        <v>2313.0</v>
      </c>
      <c r="D192" s="109">
        <v>1062.0</v>
      </c>
      <c r="E192" s="109">
        <v>1251.0</v>
      </c>
      <c r="F192" s="112">
        <v>358.0</v>
      </c>
      <c r="G192" s="112">
        <v>423.0</v>
      </c>
      <c r="H192" s="112">
        <v>40.0</v>
      </c>
      <c r="I192" s="112">
        <v>43.0</v>
      </c>
      <c r="J192" s="112">
        <v>45.0</v>
      </c>
      <c r="K192" s="112">
        <v>43.0</v>
      </c>
      <c r="L192" s="112">
        <v>42.0</v>
      </c>
      <c r="M192" s="112">
        <v>48.0</v>
      </c>
      <c r="N192" s="112">
        <v>40.0</v>
      </c>
      <c r="O192" s="112">
        <v>38.0</v>
      </c>
      <c r="P192" s="112">
        <v>42.0</v>
      </c>
      <c r="Q192" s="112">
        <v>47.0</v>
      </c>
      <c r="R192" s="112">
        <v>34.0</v>
      </c>
      <c r="S192" s="112">
        <v>39.0</v>
      </c>
      <c r="T192" s="112">
        <v>39.0</v>
      </c>
      <c r="U192" s="112">
        <v>30.0</v>
      </c>
      <c r="V192" s="112">
        <v>35.0</v>
      </c>
      <c r="W192" s="112">
        <v>44.0</v>
      </c>
      <c r="X192" s="112">
        <v>59.0</v>
      </c>
      <c r="Y192" s="112">
        <v>56.0</v>
      </c>
      <c r="Z192" s="112">
        <v>38.0</v>
      </c>
      <c r="AA192" s="112">
        <v>53.0</v>
      </c>
      <c r="AB192" s="112">
        <v>48.0</v>
      </c>
      <c r="AC192" s="112">
        <v>49.0</v>
      </c>
      <c r="AD192" s="112">
        <v>28.0</v>
      </c>
      <c r="AE192" s="112">
        <v>61.0</v>
      </c>
      <c r="AF192" s="112">
        <v>73.0</v>
      </c>
      <c r="AG192" s="112">
        <v>104.0</v>
      </c>
      <c r="AH192" s="112">
        <v>47.0</v>
      </c>
      <c r="AI192" s="112">
        <v>40.0</v>
      </c>
      <c r="AJ192" s="112">
        <v>34.0</v>
      </c>
      <c r="AK192" s="112">
        <v>49.0</v>
      </c>
      <c r="AL192" s="112">
        <v>60.0</v>
      </c>
      <c r="AM192" s="112">
        <v>84.0</v>
      </c>
      <c r="AN192" s="109">
        <v>2307.0</v>
      </c>
    </row>
    <row r="193">
      <c r="A193" s="107" t="s">
        <v>208</v>
      </c>
      <c r="B193" s="111" t="s">
        <v>198</v>
      </c>
      <c r="C193" s="112">
        <v>19.0</v>
      </c>
      <c r="D193" s="112">
        <v>10.0</v>
      </c>
      <c r="E193" s="112">
        <v>9.0</v>
      </c>
      <c r="F193" s="112">
        <v>9.0</v>
      </c>
      <c r="G193" s="112">
        <v>7.0</v>
      </c>
      <c r="H193" s="112">
        <v>1.0</v>
      </c>
      <c r="I193" s="112">
        <v>0.0</v>
      </c>
      <c r="J193" s="112">
        <v>0.0</v>
      </c>
      <c r="K193" s="112">
        <v>1.0</v>
      </c>
      <c r="L193" s="112">
        <v>0.0</v>
      </c>
      <c r="M193" s="112">
        <v>0.0</v>
      </c>
      <c r="N193" s="112">
        <v>0.0</v>
      </c>
      <c r="O193" s="112">
        <v>1.0</v>
      </c>
      <c r="P193" s="110">
        <v>0.0</v>
      </c>
      <c r="Q193" s="110">
        <v>0.0</v>
      </c>
      <c r="R193" s="110">
        <v>0.0</v>
      </c>
      <c r="S193" s="110">
        <v>0.0</v>
      </c>
      <c r="T193" s="110">
        <v>0.0</v>
      </c>
      <c r="U193" s="110">
        <v>0.0</v>
      </c>
      <c r="V193" s="110">
        <v>0.0</v>
      </c>
      <c r="W193" s="110">
        <v>0.0</v>
      </c>
      <c r="X193" s="110">
        <v>0.0</v>
      </c>
      <c r="Y193" s="110">
        <v>0.0</v>
      </c>
      <c r="Z193" s="110">
        <v>0.0</v>
      </c>
      <c r="AA193" s="110">
        <v>0.0</v>
      </c>
      <c r="AB193" s="110">
        <v>0.0</v>
      </c>
      <c r="AC193" s="110">
        <v>0.0</v>
      </c>
      <c r="AD193" s="110">
        <v>0.0</v>
      </c>
      <c r="AE193" s="110">
        <v>0.0</v>
      </c>
      <c r="AF193" s="110">
        <v>0.0</v>
      </c>
      <c r="AG193" s="110">
        <v>0.0</v>
      </c>
      <c r="AH193" s="110">
        <v>0.0</v>
      </c>
      <c r="AI193" s="110">
        <v>0.0</v>
      </c>
      <c r="AJ193" s="110">
        <v>0.0</v>
      </c>
      <c r="AK193" s="110">
        <v>0.0</v>
      </c>
      <c r="AL193" s="110">
        <v>0.0</v>
      </c>
      <c r="AM193" s="110">
        <v>0.0</v>
      </c>
      <c r="AN193" s="112">
        <v>18.0</v>
      </c>
    </row>
    <row r="194">
      <c r="A194" s="98"/>
      <c r="B194" s="111" t="s">
        <v>199</v>
      </c>
      <c r="C194" s="112">
        <v>62.0</v>
      </c>
      <c r="D194" s="112">
        <v>24.0</v>
      </c>
      <c r="E194" s="112">
        <v>38.0</v>
      </c>
      <c r="F194" s="112">
        <v>21.0</v>
      </c>
      <c r="G194" s="112">
        <v>28.0</v>
      </c>
      <c r="H194" s="112">
        <v>3.0</v>
      </c>
      <c r="I194" s="112">
        <v>3.0</v>
      </c>
      <c r="J194" s="112">
        <v>0.0</v>
      </c>
      <c r="K194" s="112">
        <v>1.0</v>
      </c>
      <c r="L194" s="112">
        <v>0.0</v>
      </c>
      <c r="M194" s="112">
        <v>2.0</v>
      </c>
      <c r="N194" s="112">
        <v>0.0</v>
      </c>
      <c r="O194" s="112">
        <v>4.0</v>
      </c>
      <c r="P194" s="110">
        <v>0.0</v>
      </c>
      <c r="Q194" s="110">
        <v>0.0</v>
      </c>
      <c r="R194" s="110">
        <v>0.0</v>
      </c>
      <c r="S194" s="110">
        <v>0.0</v>
      </c>
      <c r="T194" s="110">
        <v>0.0</v>
      </c>
      <c r="U194" s="110">
        <v>0.0</v>
      </c>
      <c r="V194" s="110">
        <v>0.0</v>
      </c>
      <c r="W194" s="110">
        <v>0.0</v>
      </c>
      <c r="X194" s="110">
        <v>0.0</v>
      </c>
      <c r="Y194" s="110">
        <v>0.0</v>
      </c>
      <c r="Z194" s="110">
        <v>0.0</v>
      </c>
      <c r="AA194" s="110">
        <v>0.0</v>
      </c>
      <c r="AB194" s="110">
        <v>0.0</v>
      </c>
      <c r="AC194" s="110">
        <v>0.0</v>
      </c>
      <c r="AD194" s="110">
        <v>0.0</v>
      </c>
      <c r="AE194" s="110">
        <v>0.0</v>
      </c>
      <c r="AF194" s="110">
        <v>0.0</v>
      </c>
      <c r="AG194" s="110">
        <v>0.0</v>
      </c>
      <c r="AH194" s="110">
        <v>0.0</v>
      </c>
      <c r="AI194" s="110">
        <v>0.0</v>
      </c>
      <c r="AJ194" s="110">
        <v>0.0</v>
      </c>
      <c r="AK194" s="110">
        <v>0.0</v>
      </c>
      <c r="AL194" s="110">
        <v>0.0</v>
      </c>
      <c r="AM194" s="110">
        <v>0.0</v>
      </c>
      <c r="AN194" s="112">
        <v>58.0</v>
      </c>
    </row>
    <row r="195">
      <c r="A195" s="98"/>
      <c r="B195" s="111" t="s">
        <v>206</v>
      </c>
      <c r="C195" s="112">
        <v>2.0</v>
      </c>
      <c r="D195" s="112">
        <v>0.0</v>
      </c>
      <c r="E195" s="112">
        <v>2.0</v>
      </c>
      <c r="F195" s="112">
        <v>0.0</v>
      </c>
      <c r="G195" s="112">
        <v>0.0</v>
      </c>
      <c r="H195" s="112">
        <v>0.0</v>
      </c>
      <c r="I195" s="112">
        <v>1.0</v>
      </c>
      <c r="J195" s="112">
        <v>0.0</v>
      </c>
      <c r="K195" s="112">
        <v>1.0</v>
      </c>
      <c r="L195" s="112">
        <v>0.0</v>
      </c>
      <c r="M195" s="112">
        <v>0.0</v>
      </c>
      <c r="N195" s="112">
        <v>0.0</v>
      </c>
      <c r="O195" s="112">
        <v>0.0</v>
      </c>
      <c r="P195" s="110">
        <v>0.0</v>
      </c>
      <c r="Q195" s="110">
        <v>0.0</v>
      </c>
      <c r="R195" s="110">
        <v>0.0</v>
      </c>
      <c r="S195" s="110">
        <v>0.0</v>
      </c>
      <c r="T195" s="110">
        <v>0.0</v>
      </c>
      <c r="U195" s="110">
        <v>0.0</v>
      </c>
      <c r="V195" s="110">
        <v>0.0</v>
      </c>
      <c r="W195" s="110">
        <v>0.0</v>
      </c>
      <c r="X195" s="110">
        <v>0.0</v>
      </c>
      <c r="Y195" s="110">
        <v>0.0</v>
      </c>
      <c r="Z195" s="110">
        <v>0.0</v>
      </c>
      <c r="AA195" s="110">
        <v>0.0</v>
      </c>
      <c r="AB195" s="110">
        <v>0.0</v>
      </c>
      <c r="AC195" s="110">
        <v>0.0</v>
      </c>
      <c r="AD195" s="110">
        <v>0.0</v>
      </c>
      <c r="AE195" s="110">
        <v>0.0</v>
      </c>
      <c r="AF195" s="110">
        <v>0.0</v>
      </c>
      <c r="AG195" s="110">
        <v>0.0</v>
      </c>
      <c r="AH195" s="110">
        <v>0.0</v>
      </c>
      <c r="AI195" s="110">
        <v>0.0</v>
      </c>
      <c r="AJ195" s="110">
        <v>0.0</v>
      </c>
      <c r="AK195" s="110">
        <v>0.0</v>
      </c>
      <c r="AL195" s="110">
        <v>0.0</v>
      </c>
      <c r="AM195" s="110">
        <v>0.0</v>
      </c>
      <c r="AN195" s="112">
        <v>2.0</v>
      </c>
    </row>
    <row r="196">
      <c r="A196" s="98"/>
      <c r="B196" s="111" t="s">
        <v>200</v>
      </c>
      <c r="C196" s="112">
        <v>154.0</v>
      </c>
      <c r="D196" s="112">
        <v>81.0</v>
      </c>
      <c r="E196" s="112">
        <v>73.0</v>
      </c>
      <c r="F196" s="112">
        <v>66.0</v>
      </c>
      <c r="G196" s="112">
        <v>59.0</v>
      </c>
      <c r="H196" s="112">
        <v>1.0</v>
      </c>
      <c r="I196" s="112">
        <v>3.0</v>
      </c>
      <c r="J196" s="112">
        <v>6.0</v>
      </c>
      <c r="K196" s="112">
        <v>3.0</v>
      </c>
      <c r="L196" s="112">
        <v>8.0</v>
      </c>
      <c r="M196" s="112">
        <v>6.0</v>
      </c>
      <c r="N196" s="112">
        <v>0.0</v>
      </c>
      <c r="O196" s="112">
        <v>2.0</v>
      </c>
      <c r="P196" s="110">
        <v>0.0</v>
      </c>
      <c r="Q196" s="110">
        <v>0.0</v>
      </c>
      <c r="R196" s="110">
        <v>0.0</v>
      </c>
      <c r="S196" s="110">
        <v>0.0</v>
      </c>
      <c r="T196" s="110">
        <v>0.0</v>
      </c>
      <c r="U196" s="110">
        <v>0.0</v>
      </c>
      <c r="V196" s="110">
        <v>0.0</v>
      </c>
      <c r="W196" s="110">
        <v>0.0</v>
      </c>
      <c r="X196" s="110">
        <v>0.0</v>
      </c>
      <c r="Y196" s="110">
        <v>0.0</v>
      </c>
      <c r="Z196" s="110">
        <v>0.0</v>
      </c>
      <c r="AA196" s="110">
        <v>0.0</v>
      </c>
      <c r="AB196" s="110">
        <v>0.0</v>
      </c>
      <c r="AC196" s="110">
        <v>0.0</v>
      </c>
      <c r="AD196" s="110">
        <v>0.0</v>
      </c>
      <c r="AE196" s="110">
        <v>0.0</v>
      </c>
      <c r="AF196" s="110">
        <v>0.0</v>
      </c>
      <c r="AG196" s="110">
        <v>0.0</v>
      </c>
      <c r="AH196" s="110">
        <v>0.0</v>
      </c>
      <c r="AI196" s="110">
        <v>0.0</v>
      </c>
      <c r="AJ196" s="110">
        <v>0.0</v>
      </c>
      <c r="AK196" s="110">
        <v>0.0</v>
      </c>
      <c r="AL196" s="110">
        <v>0.0</v>
      </c>
      <c r="AM196" s="110">
        <v>0.0</v>
      </c>
      <c r="AN196" s="112">
        <v>153.0</v>
      </c>
    </row>
    <row r="197">
      <c r="A197" s="104"/>
      <c r="B197" s="111" t="s">
        <v>201</v>
      </c>
      <c r="C197" s="112">
        <v>15.0</v>
      </c>
      <c r="D197" s="112">
        <v>7.0</v>
      </c>
      <c r="E197" s="112">
        <v>8.0</v>
      </c>
      <c r="F197" s="112">
        <v>1.0</v>
      </c>
      <c r="G197" s="112">
        <v>0.0</v>
      </c>
      <c r="H197" s="112">
        <v>0.0</v>
      </c>
      <c r="I197" s="112">
        <v>0.0</v>
      </c>
      <c r="J197" s="112">
        <v>2.0</v>
      </c>
      <c r="K197" s="112">
        <v>2.0</v>
      </c>
      <c r="L197" s="112">
        <v>1.0</v>
      </c>
      <c r="M197" s="112">
        <v>3.0</v>
      </c>
      <c r="N197" s="112">
        <v>3.0</v>
      </c>
      <c r="O197" s="112">
        <v>3.0</v>
      </c>
      <c r="P197" s="110">
        <v>0.0</v>
      </c>
      <c r="Q197" s="110">
        <v>0.0</v>
      </c>
      <c r="R197" s="110">
        <v>0.0</v>
      </c>
      <c r="S197" s="110">
        <v>0.0</v>
      </c>
      <c r="T197" s="110">
        <v>0.0</v>
      </c>
      <c r="U197" s="110">
        <v>0.0</v>
      </c>
      <c r="V197" s="110">
        <v>0.0</v>
      </c>
      <c r="W197" s="110">
        <v>0.0</v>
      </c>
      <c r="X197" s="110">
        <v>0.0</v>
      </c>
      <c r="Y197" s="110">
        <v>0.0</v>
      </c>
      <c r="Z197" s="110">
        <v>0.0</v>
      </c>
      <c r="AA197" s="110">
        <v>0.0</v>
      </c>
      <c r="AB197" s="110">
        <v>0.0</v>
      </c>
      <c r="AC197" s="110">
        <v>0.0</v>
      </c>
      <c r="AD197" s="110">
        <v>0.0</v>
      </c>
      <c r="AE197" s="110">
        <v>0.0</v>
      </c>
      <c r="AF197" s="110">
        <v>0.0</v>
      </c>
      <c r="AG197" s="110">
        <v>0.0</v>
      </c>
      <c r="AH197" s="110">
        <v>0.0</v>
      </c>
      <c r="AI197" s="110">
        <v>0.0</v>
      </c>
      <c r="AJ197" s="110">
        <v>0.0</v>
      </c>
      <c r="AK197" s="110">
        <v>0.0</v>
      </c>
      <c r="AL197" s="110">
        <v>0.0</v>
      </c>
      <c r="AM197" s="110">
        <v>0.0</v>
      </c>
      <c r="AN197" s="112">
        <v>15.0</v>
      </c>
    </row>
    <row r="198">
      <c r="A198" s="113" t="s">
        <v>216</v>
      </c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</row>
    <row r="199">
      <c r="A199" s="107" t="s">
        <v>197</v>
      </c>
      <c r="B199" s="108" t="s">
        <v>198</v>
      </c>
      <c r="C199" s="109">
        <v>34138.0</v>
      </c>
      <c r="D199" s="109">
        <v>12422.0</v>
      </c>
      <c r="E199" s="109">
        <v>21716.0</v>
      </c>
      <c r="F199" s="110">
        <v>0.0</v>
      </c>
      <c r="G199" s="110">
        <v>0.0</v>
      </c>
      <c r="H199" s="110">
        <v>0.0</v>
      </c>
      <c r="I199" s="110">
        <v>0.0</v>
      </c>
      <c r="J199" s="110">
        <v>0.0</v>
      </c>
      <c r="K199" s="110">
        <v>0.0</v>
      </c>
      <c r="L199" s="112">
        <v>12.0</v>
      </c>
      <c r="M199" s="112">
        <v>30.0</v>
      </c>
      <c r="N199" s="112">
        <v>33.0</v>
      </c>
      <c r="O199" s="112">
        <v>59.0</v>
      </c>
      <c r="P199" s="112">
        <v>63.0</v>
      </c>
      <c r="Q199" s="112">
        <v>145.0</v>
      </c>
      <c r="R199" s="112">
        <v>131.0</v>
      </c>
      <c r="S199" s="112">
        <v>257.0</v>
      </c>
      <c r="T199" s="112">
        <v>232.0</v>
      </c>
      <c r="U199" s="112">
        <v>451.0</v>
      </c>
      <c r="V199" s="112">
        <v>367.0</v>
      </c>
      <c r="W199" s="112">
        <v>775.0</v>
      </c>
      <c r="X199" s="112">
        <v>640.0</v>
      </c>
      <c r="Y199" s="109">
        <v>1384.0</v>
      </c>
      <c r="Z199" s="109">
        <v>1081.0</v>
      </c>
      <c r="AA199" s="109">
        <v>2402.0</v>
      </c>
      <c r="AB199" s="109">
        <v>1428.0</v>
      </c>
      <c r="AC199" s="109">
        <v>2826.0</v>
      </c>
      <c r="AD199" s="109">
        <v>1729.0</v>
      </c>
      <c r="AE199" s="109">
        <v>2942.0</v>
      </c>
      <c r="AF199" s="109">
        <v>1918.0</v>
      </c>
      <c r="AG199" s="109">
        <v>3052.0</v>
      </c>
      <c r="AH199" s="109">
        <v>1871.0</v>
      </c>
      <c r="AI199" s="109">
        <v>2794.0</v>
      </c>
      <c r="AJ199" s="109">
        <v>1399.0</v>
      </c>
      <c r="AK199" s="109">
        <v>2110.0</v>
      </c>
      <c r="AL199" s="109">
        <v>1518.0</v>
      </c>
      <c r="AM199" s="109">
        <v>2489.0</v>
      </c>
      <c r="AN199" s="109">
        <v>34057.0</v>
      </c>
    </row>
    <row r="200">
      <c r="A200" s="98"/>
      <c r="B200" s="111" t="s">
        <v>199</v>
      </c>
      <c r="C200" s="109">
        <v>19110.0</v>
      </c>
      <c r="D200" s="109">
        <v>6887.0</v>
      </c>
      <c r="E200" s="109">
        <v>12223.0</v>
      </c>
      <c r="F200" s="110">
        <v>0.0</v>
      </c>
      <c r="G200" s="110">
        <v>0.0</v>
      </c>
      <c r="H200" s="110">
        <v>0.0</v>
      </c>
      <c r="I200" s="110">
        <v>0.0</v>
      </c>
      <c r="J200" s="110">
        <v>0.0</v>
      </c>
      <c r="K200" s="110">
        <v>0.0</v>
      </c>
      <c r="L200" s="112">
        <v>4.0</v>
      </c>
      <c r="M200" s="112">
        <v>5.0</v>
      </c>
      <c r="N200" s="112">
        <v>34.0</v>
      </c>
      <c r="O200" s="112">
        <v>51.0</v>
      </c>
      <c r="P200" s="112">
        <v>44.0</v>
      </c>
      <c r="Q200" s="112">
        <v>70.0</v>
      </c>
      <c r="R200" s="112">
        <v>58.0</v>
      </c>
      <c r="S200" s="112">
        <v>112.0</v>
      </c>
      <c r="T200" s="112">
        <v>116.0</v>
      </c>
      <c r="U200" s="112">
        <v>201.0</v>
      </c>
      <c r="V200" s="112">
        <v>179.0</v>
      </c>
      <c r="W200" s="112">
        <v>381.0</v>
      </c>
      <c r="X200" s="112">
        <v>312.0</v>
      </c>
      <c r="Y200" s="112">
        <v>681.0</v>
      </c>
      <c r="Z200" s="112">
        <v>535.0</v>
      </c>
      <c r="AA200" s="109">
        <v>1211.0</v>
      </c>
      <c r="AB200" s="112">
        <v>682.0</v>
      </c>
      <c r="AC200" s="109">
        <v>1468.0</v>
      </c>
      <c r="AD200" s="112">
        <v>860.0</v>
      </c>
      <c r="AE200" s="109">
        <v>1625.0</v>
      </c>
      <c r="AF200" s="109">
        <v>1079.0</v>
      </c>
      <c r="AG200" s="109">
        <v>1785.0</v>
      </c>
      <c r="AH200" s="109">
        <v>1158.0</v>
      </c>
      <c r="AI200" s="109">
        <v>1760.0</v>
      </c>
      <c r="AJ200" s="112">
        <v>878.0</v>
      </c>
      <c r="AK200" s="109">
        <v>1331.0</v>
      </c>
      <c r="AL200" s="112">
        <v>946.0</v>
      </c>
      <c r="AM200" s="109">
        <v>1542.0</v>
      </c>
      <c r="AN200" s="109">
        <v>18995.0</v>
      </c>
    </row>
    <row r="201">
      <c r="A201" s="98"/>
      <c r="B201" s="111" t="s">
        <v>200</v>
      </c>
      <c r="C201" s="109">
        <v>21866.0</v>
      </c>
      <c r="D201" s="109">
        <v>7637.0</v>
      </c>
      <c r="E201" s="109">
        <v>14229.0</v>
      </c>
      <c r="F201" s="110">
        <v>0.0</v>
      </c>
      <c r="G201" s="110">
        <v>0.0</v>
      </c>
      <c r="H201" s="110">
        <v>0.0</v>
      </c>
      <c r="I201" s="110">
        <v>0.0</v>
      </c>
      <c r="J201" s="110">
        <v>0.0</v>
      </c>
      <c r="K201" s="110">
        <v>0.0</v>
      </c>
      <c r="L201" s="112">
        <v>9.0</v>
      </c>
      <c r="M201" s="112">
        <v>34.0</v>
      </c>
      <c r="N201" s="112">
        <v>42.0</v>
      </c>
      <c r="O201" s="112">
        <v>73.0</v>
      </c>
      <c r="P201" s="112">
        <v>54.0</v>
      </c>
      <c r="Q201" s="112">
        <v>128.0</v>
      </c>
      <c r="R201" s="112">
        <v>84.0</v>
      </c>
      <c r="S201" s="112">
        <v>194.0</v>
      </c>
      <c r="T201" s="112">
        <v>143.0</v>
      </c>
      <c r="U201" s="112">
        <v>313.0</v>
      </c>
      <c r="V201" s="112">
        <v>236.0</v>
      </c>
      <c r="W201" s="112">
        <v>539.0</v>
      </c>
      <c r="X201" s="112">
        <v>398.0</v>
      </c>
      <c r="Y201" s="112">
        <v>910.0</v>
      </c>
      <c r="Z201" s="112">
        <v>677.0</v>
      </c>
      <c r="AA201" s="109">
        <v>1558.0</v>
      </c>
      <c r="AB201" s="112">
        <v>871.0</v>
      </c>
      <c r="AC201" s="109">
        <v>1758.0</v>
      </c>
      <c r="AD201" s="112">
        <v>968.0</v>
      </c>
      <c r="AE201" s="109">
        <v>1858.0</v>
      </c>
      <c r="AF201" s="109">
        <v>1169.0</v>
      </c>
      <c r="AG201" s="109">
        <v>1975.0</v>
      </c>
      <c r="AH201" s="109">
        <v>1203.0</v>
      </c>
      <c r="AI201" s="109">
        <v>1893.0</v>
      </c>
      <c r="AJ201" s="112">
        <v>867.0</v>
      </c>
      <c r="AK201" s="109">
        <v>1399.0</v>
      </c>
      <c r="AL201" s="112">
        <v>916.0</v>
      </c>
      <c r="AM201" s="109">
        <v>1597.0</v>
      </c>
      <c r="AN201" s="109">
        <v>21599.0</v>
      </c>
    </row>
    <row r="202">
      <c r="A202" s="104"/>
      <c r="B202" s="111" t="s">
        <v>201</v>
      </c>
      <c r="C202" s="112">
        <v>419.0</v>
      </c>
      <c r="D202" s="112">
        <v>160.0</v>
      </c>
      <c r="E202" s="112">
        <v>259.0</v>
      </c>
      <c r="F202" s="110">
        <v>0.0</v>
      </c>
      <c r="G202" s="110">
        <v>0.0</v>
      </c>
      <c r="H202" s="110">
        <v>0.0</v>
      </c>
      <c r="I202" s="110">
        <v>0.0</v>
      </c>
      <c r="J202" s="110">
        <v>0.0</v>
      </c>
      <c r="K202" s="110">
        <v>0.0</v>
      </c>
      <c r="L202" s="112">
        <v>0.0</v>
      </c>
      <c r="M202" s="112">
        <v>0.0</v>
      </c>
      <c r="N202" s="112">
        <v>0.0</v>
      </c>
      <c r="O202" s="112">
        <v>3.0</v>
      </c>
      <c r="P202" s="112">
        <v>0.0</v>
      </c>
      <c r="Q202" s="112">
        <v>2.0</v>
      </c>
      <c r="R202" s="112">
        <v>1.0</v>
      </c>
      <c r="S202" s="112">
        <v>5.0</v>
      </c>
      <c r="T202" s="112">
        <v>3.0</v>
      </c>
      <c r="U202" s="112">
        <v>5.0</v>
      </c>
      <c r="V202" s="112">
        <v>3.0</v>
      </c>
      <c r="W202" s="112">
        <v>13.0</v>
      </c>
      <c r="X202" s="112">
        <v>11.0</v>
      </c>
      <c r="Y202" s="112">
        <v>32.0</v>
      </c>
      <c r="Z202" s="112">
        <v>22.0</v>
      </c>
      <c r="AA202" s="112">
        <v>39.0</v>
      </c>
      <c r="AB202" s="112">
        <v>18.0</v>
      </c>
      <c r="AC202" s="112">
        <v>28.0</v>
      </c>
      <c r="AD202" s="112">
        <v>26.0</v>
      </c>
      <c r="AE202" s="112">
        <v>47.0</v>
      </c>
      <c r="AF202" s="112">
        <v>22.0</v>
      </c>
      <c r="AG202" s="112">
        <v>22.0</v>
      </c>
      <c r="AH202" s="112">
        <v>16.0</v>
      </c>
      <c r="AI202" s="112">
        <v>18.0</v>
      </c>
      <c r="AJ202" s="112">
        <v>20.0</v>
      </c>
      <c r="AK202" s="112">
        <v>26.0</v>
      </c>
      <c r="AL202" s="112">
        <v>18.0</v>
      </c>
      <c r="AM202" s="112">
        <v>19.0</v>
      </c>
      <c r="AN202" s="112">
        <v>418.0</v>
      </c>
    </row>
    <row r="203">
      <c r="A203" s="107" t="s">
        <v>202</v>
      </c>
      <c r="B203" s="111" t="s">
        <v>198</v>
      </c>
      <c r="C203" s="112">
        <v>114.0</v>
      </c>
      <c r="D203" s="112">
        <v>66.0</v>
      </c>
      <c r="E203" s="112">
        <v>48.0</v>
      </c>
      <c r="F203" s="112">
        <v>4.0</v>
      </c>
      <c r="G203" s="112">
        <v>0.0</v>
      </c>
      <c r="H203" s="112">
        <v>3.0</v>
      </c>
      <c r="I203" s="112">
        <v>2.0</v>
      </c>
      <c r="J203" s="112">
        <v>0.0</v>
      </c>
      <c r="K203" s="112">
        <v>2.0</v>
      </c>
      <c r="L203" s="112">
        <v>2.0</v>
      </c>
      <c r="M203" s="112">
        <v>2.0</v>
      </c>
      <c r="N203" s="112">
        <v>3.0</v>
      </c>
      <c r="O203" s="112">
        <v>5.0</v>
      </c>
      <c r="P203" s="112">
        <v>6.0</v>
      </c>
      <c r="Q203" s="112">
        <v>3.0</v>
      </c>
      <c r="R203" s="112">
        <v>12.0</v>
      </c>
      <c r="S203" s="112">
        <v>4.0</v>
      </c>
      <c r="T203" s="112">
        <v>6.0</v>
      </c>
      <c r="U203" s="112">
        <v>2.0</v>
      </c>
      <c r="V203" s="112">
        <v>7.0</v>
      </c>
      <c r="W203" s="112">
        <v>3.0</v>
      </c>
      <c r="X203" s="112">
        <v>4.0</v>
      </c>
      <c r="Y203" s="112">
        <v>6.0</v>
      </c>
      <c r="Z203" s="112">
        <v>5.0</v>
      </c>
      <c r="AA203" s="112">
        <v>2.0</v>
      </c>
      <c r="AB203" s="112">
        <v>3.0</v>
      </c>
      <c r="AC203" s="112">
        <v>4.0</v>
      </c>
      <c r="AD203" s="112">
        <v>2.0</v>
      </c>
      <c r="AE203" s="112">
        <v>6.0</v>
      </c>
      <c r="AF203" s="112">
        <v>6.0</v>
      </c>
      <c r="AG203" s="112">
        <v>2.0</v>
      </c>
      <c r="AH203" s="112">
        <v>0.0</v>
      </c>
      <c r="AI203" s="112">
        <v>2.0</v>
      </c>
      <c r="AJ203" s="112">
        <v>0.0</v>
      </c>
      <c r="AK203" s="112">
        <v>0.0</v>
      </c>
      <c r="AL203" s="112">
        <v>3.0</v>
      </c>
      <c r="AM203" s="112">
        <v>3.0</v>
      </c>
      <c r="AN203" s="112">
        <v>114.0</v>
      </c>
    </row>
    <row r="204">
      <c r="A204" s="104"/>
      <c r="B204" s="111" t="s">
        <v>199</v>
      </c>
      <c r="C204" s="112">
        <v>13.0</v>
      </c>
      <c r="D204" s="112">
        <v>6.0</v>
      </c>
      <c r="E204" s="112">
        <v>7.0</v>
      </c>
      <c r="F204" s="112">
        <v>0.0</v>
      </c>
      <c r="G204" s="112">
        <v>0.0</v>
      </c>
      <c r="H204" s="112">
        <v>0.0</v>
      </c>
      <c r="I204" s="112">
        <v>0.0</v>
      </c>
      <c r="J204" s="112">
        <v>0.0</v>
      </c>
      <c r="K204" s="112">
        <v>0.0</v>
      </c>
      <c r="L204" s="112">
        <v>0.0</v>
      </c>
      <c r="M204" s="112">
        <v>0.0</v>
      </c>
      <c r="N204" s="112">
        <v>0.0</v>
      </c>
      <c r="O204" s="112">
        <v>3.0</v>
      </c>
      <c r="P204" s="112">
        <v>0.0</v>
      </c>
      <c r="Q204" s="112">
        <v>0.0</v>
      </c>
      <c r="R204" s="112">
        <v>1.0</v>
      </c>
      <c r="S204" s="112">
        <v>0.0</v>
      </c>
      <c r="T204" s="112">
        <v>1.0</v>
      </c>
      <c r="U204" s="112">
        <v>1.0</v>
      </c>
      <c r="V204" s="112">
        <v>1.0</v>
      </c>
      <c r="W204" s="112">
        <v>2.0</v>
      </c>
      <c r="X204" s="112">
        <v>0.0</v>
      </c>
      <c r="Y204" s="112">
        <v>0.0</v>
      </c>
      <c r="Z204" s="112">
        <v>1.0</v>
      </c>
      <c r="AA204" s="112">
        <v>1.0</v>
      </c>
      <c r="AB204" s="112">
        <v>0.0</v>
      </c>
      <c r="AC204" s="112">
        <v>0.0</v>
      </c>
      <c r="AD204" s="112">
        <v>2.0</v>
      </c>
      <c r="AE204" s="112">
        <v>0.0</v>
      </c>
      <c r="AF204" s="112">
        <v>0.0</v>
      </c>
      <c r="AG204" s="112">
        <v>0.0</v>
      </c>
      <c r="AH204" s="112">
        <v>0.0</v>
      </c>
      <c r="AI204" s="112">
        <v>0.0</v>
      </c>
      <c r="AJ204" s="112">
        <v>0.0</v>
      </c>
      <c r="AK204" s="112">
        <v>0.0</v>
      </c>
      <c r="AL204" s="112">
        <v>0.0</v>
      </c>
      <c r="AM204" s="112">
        <v>0.0</v>
      </c>
      <c r="AN204" s="112">
        <v>13.0</v>
      </c>
    </row>
    <row r="205">
      <c r="A205" s="107" t="s">
        <v>203</v>
      </c>
      <c r="B205" s="111" t="s">
        <v>198</v>
      </c>
      <c r="C205" s="112">
        <v>103.0</v>
      </c>
      <c r="D205" s="112">
        <v>38.0</v>
      </c>
      <c r="E205" s="112">
        <v>65.0</v>
      </c>
      <c r="F205" s="110">
        <v>0.0</v>
      </c>
      <c r="G205" s="110">
        <v>0.0</v>
      </c>
      <c r="H205" s="110">
        <v>0.0</v>
      </c>
      <c r="I205" s="110">
        <v>0.0</v>
      </c>
      <c r="J205" s="110">
        <v>0.0</v>
      </c>
      <c r="K205" s="110">
        <v>0.0</v>
      </c>
      <c r="L205" s="110">
        <v>0.0</v>
      </c>
      <c r="M205" s="110">
        <v>0.0</v>
      </c>
      <c r="N205" s="110">
        <v>0.0</v>
      </c>
      <c r="O205" s="110">
        <v>0.0</v>
      </c>
      <c r="P205" s="110">
        <v>0.0</v>
      </c>
      <c r="Q205" s="110">
        <v>0.0</v>
      </c>
      <c r="R205" s="110">
        <v>0.0</v>
      </c>
      <c r="S205" s="110">
        <v>0.0</v>
      </c>
      <c r="T205" s="110">
        <v>0.0</v>
      </c>
      <c r="U205" s="110">
        <v>0.0</v>
      </c>
      <c r="V205" s="110">
        <v>0.0</v>
      </c>
      <c r="W205" s="110">
        <v>0.0</v>
      </c>
      <c r="X205" s="110">
        <v>0.0</v>
      </c>
      <c r="Y205" s="110">
        <v>0.0</v>
      </c>
      <c r="Z205" s="110">
        <v>0.0</v>
      </c>
      <c r="AA205" s="110">
        <v>0.0</v>
      </c>
      <c r="AB205" s="110">
        <v>0.0</v>
      </c>
      <c r="AC205" s="110">
        <v>0.0</v>
      </c>
      <c r="AD205" s="110">
        <v>0.0</v>
      </c>
      <c r="AE205" s="110">
        <v>0.0</v>
      </c>
      <c r="AF205" s="112">
        <v>13.0</v>
      </c>
      <c r="AG205" s="112">
        <v>18.0</v>
      </c>
      <c r="AH205" s="112">
        <v>12.0</v>
      </c>
      <c r="AI205" s="112">
        <v>15.0</v>
      </c>
      <c r="AJ205" s="112">
        <v>7.0</v>
      </c>
      <c r="AK205" s="112">
        <v>23.0</v>
      </c>
      <c r="AL205" s="112">
        <v>6.0</v>
      </c>
      <c r="AM205" s="112">
        <v>9.0</v>
      </c>
      <c r="AN205" s="112">
        <v>103.0</v>
      </c>
    </row>
    <row r="206">
      <c r="A206" s="104"/>
      <c r="B206" s="111" t="s">
        <v>199</v>
      </c>
      <c r="C206" s="112">
        <v>54.0</v>
      </c>
      <c r="D206" s="112">
        <v>15.0</v>
      </c>
      <c r="E206" s="112">
        <v>39.0</v>
      </c>
      <c r="F206" s="110">
        <v>0.0</v>
      </c>
      <c r="G206" s="110">
        <v>0.0</v>
      </c>
      <c r="H206" s="110">
        <v>0.0</v>
      </c>
      <c r="I206" s="110">
        <v>0.0</v>
      </c>
      <c r="J206" s="110">
        <v>0.0</v>
      </c>
      <c r="K206" s="110">
        <v>0.0</v>
      </c>
      <c r="L206" s="110">
        <v>0.0</v>
      </c>
      <c r="M206" s="110">
        <v>0.0</v>
      </c>
      <c r="N206" s="110">
        <v>0.0</v>
      </c>
      <c r="O206" s="110">
        <v>0.0</v>
      </c>
      <c r="P206" s="110">
        <v>0.0</v>
      </c>
      <c r="Q206" s="110">
        <v>0.0</v>
      </c>
      <c r="R206" s="110">
        <v>0.0</v>
      </c>
      <c r="S206" s="110">
        <v>0.0</v>
      </c>
      <c r="T206" s="110">
        <v>0.0</v>
      </c>
      <c r="U206" s="110">
        <v>0.0</v>
      </c>
      <c r="V206" s="110">
        <v>0.0</v>
      </c>
      <c r="W206" s="110">
        <v>0.0</v>
      </c>
      <c r="X206" s="110">
        <v>0.0</v>
      </c>
      <c r="Y206" s="110">
        <v>0.0</v>
      </c>
      <c r="Z206" s="110">
        <v>0.0</v>
      </c>
      <c r="AA206" s="110">
        <v>0.0</v>
      </c>
      <c r="AB206" s="110">
        <v>0.0</v>
      </c>
      <c r="AC206" s="110">
        <v>0.0</v>
      </c>
      <c r="AD206" s="110">
        <v>0.0</v>
      </c>
      <c r="AE206" s="110">
        <v>0.0</v>
      </c>
      <c r="AF206" s="112">
        <v>6.0</v>
      </c>
      <c r="AG206" s="112">
        <v>5.0</v>
      </c>
      <c r="AH206" s="112">
        <v>5.0</v>
      </c>
      <c r="AI206" s="112">
        <v>15.0</v>
      </c>
      <c r="AJ206" s="112">
        <v>2.0</v>
      </c>
      <c r="AK206" s="112">
        <v>7.0</v>
      </c>
      <c r="AL206" s="112">
        <v>2.0</v>
      </c>
      <c r="AM206" s="112">
        <v>12.0</v>
      </c>
      <c r="AN206" s="112">
        <v>41.0</v>
      </c>
    </row>
    <row r="207">
      <c r="A207" s="107" t="s">
        <v>204</v>
      </c>
      <c r="B207" s="111" t="s">
        <v>198</v>
      </c>
      <c r="C207" s="112">
        <v>114.0</v>
      </c>
      <c r="D207" s="112">
        <v>43.0</v>
      </c>
      <c r="E207" s="112">
        <v>71.0</v>
      </c>
      <c r="F207" s="110">
        <v>0.0</v>
      </c>
      <c r="G207" s="110">
        <v>0.0</v>
      </c>
      <c r="H207" s="110">
        <v>0.0</v>
      </c>
      <c r="I207" s="110">
        <v>0.0</v>
      </c>
      <c r="J207" s="110">
        <v>0.0</v>
      </c>
      <c r="K207" s="110">
        <v>0.0</v>
      </c>
      <c r="L207" s="110">
        <v>0.0</v>
      </c>
      <c r="M207" s="110">
        <v>0.0</v>
      </c>
      <c r="N207" s="110">
        <v>0.0</v>
      </c>
      <c r="O207" s="110">
        <v>0.0</v>
      </c>
      <c r="P207" s="110">
        <v>0.0</v>
      </c>
      <c r="Q207" s="110">
        <v>0.0</v>
      </c>
      <c r="R207" s="110">
        <v>0.0</v>
      </c>
      <c r="S207" s="110">
        <v>0.0</v>
      </c>
      <c r="T207" s="110">
        <v>0.0</v>
      </c>
      <c r="U207" s="110">
        <v>0.0</v>
      </c>
      <c r="V207" s="110">
        <v>0.0</v>
      </c>
      <c r="W207" s="110">
        <v>0.0</v>
      </c>
      <c r="X207" s="110">
        <v>0.0</v>
      </c>
      <c r="Y207" s="110">
        <v>0.0</v>
      </c>
      <c r="Z207" s="110">
        <v>0.0</v>
      </c>
      <c r="AA207" s="110">
        <v>0.0</v>
      </c>
      <c r="AB207" s="110">
        <v>0.0</v>
      </c>
      <c r="AC207" s="110">
        <v>0.0</v>
      </c>
      <c r="AD207" s="110">
        <v>0.0</v>
      </c>
      <c r="AE207" s="110">
        <v>0.0</v>
      </c>
      <c r="AF207" s="112">
        <v>6.0</v>
      </c>
      <c r="AG207" s="112">
        <v>13.0</v>
      </c>
      <c r="AH207" s="112">
        <v>5.0</v>
      </c>
      <c r="AI207" s="112">
        <v>15.0</v>
      </c>
      <c r="AJ207" s="112">
        <v>7.0</v>
      </c>
      <c r="AK207" s="112">
        <v>15.0</v>
      </c>
      <c r="AL207" s="112">
        <v>25.0</v>
      </c>
      <c r="AM207" s="112">
        <v>28.0</v>
      </c>
      <c r="AN207" s="112">
        <v>114.0</v>
      </c>
    </row>
    <row r="208">
      <c r="A208" s="104"/>
      <c r="B208" s="111" t="s">
        <v>199</v>
      </c>
      <c r="C208" s="112">
        <v>36.0</v>
      </c>
      <c r="D208" s="112">
        <v>6.0</v>
      </c>
      <c r="E208" s="112">
        <v>30.0</v>
      </c>
      <c r="F208" s="110">
        <v>0.0</v>
      </c>
      <c r="G208" s="110">
        <v>0.0</v>
      </c>
      <c r="H208" s="110">
        <v>0.0</v>
      </c>
      <c r="I208" s="110">
        <v>0.0</v>
      </c>
      <c r="J208" s="110">
        <v>0.0</v>
      </c>
      <c r="K208" s="110">
        <v>0.0</v>
      </c>
      <c r="L208" s="110">
        <v>0.0</v>
      </c>
      <c r="M208" s="110">
        <v>0.0</v>
      </c>
      <c r="N208" s="110">
        <v>0.0</v>
      </c>
      <c r="O208" s="110">
        <v>0.0</v>
      </c>
      <c r="P208" s="110">
        <v>0.0</v>
      </c>
      <c r="Q208" s="110">
        <v>0.0</v>
      </c>
      <c r="R208" s="110">
        <v>0.0</v>
      </c>
      <c r="S208" s="110">
        <v>0.0</v>
      </c>
      <c r="T208" s="110">
        <v>0.0</v>
      </c>
      <c r="U208" s="110">
        <v>0.0</v>
      </c>
      <c r="V208" s="110">
        <v>0.0</v>
      </c>
      <c r="W208" s="110">
        <v>0.0</v>
      </c>
      <c r="X208" s="110">
        <v>0.0</v>
      </c>
      <c r="Y208" s="110">
        <v>0.0</v>
      </c>
      <c r="Z208" s="110">
        <v>0.0</v>
      </c>
      <c r="AA208" s="110">
        <v>0.0</v>
      </c>
      <c r="AB208" s="110">
        <v>0.0</v>
      </c>
      <c r="AC208" s="110">
        <v>0.0</v>
      </c>
      <c r="AD208" s="110">
        <v>0.0</v>
      </c>
      <c r="AE208" s="110">
        <v>0.0</v>
      </c>
      <c r="AF208" s="112">
        <v>0.0</v>
      </c>
      <c r="AG208" s="112">
        <v>3.0</v>
      </c>
      <c r="AH208" s="112">
        <v>2.0</v>
      </c>
      <c r="AI208" s="112">
        <v>9.0</v>
      </c>
      <c r="AJ208" s="112">
        <v>2.0</v>
      </c>
      <c r="AK208" s="112">
        <v>3.0</v>
      </c>
      <c r="AL208" s="112">
        <v>2.0</v>
      </c>
      <c r="AM208" s="112">
        <v>15.0</v>
      </c>
      <c r="AN208" s="112">
        <v>36.0</v>
      </c>
    </row>
    <row r="209">
      <c r="A209" s="107" t="s">
        <v>205</v>
      </c>
      <c r="B209" s="111" t="s">
        <v>198</v>
      </c>
      <c r="C209" s="112">
        <v>268.0</v>
      </c>
      <c r="D209" s="112">
        <v>81.0</v>
      </c>
      <c r="E209" s="112">
        <v>187.0</v>
      </c>
      <c r="F209" s="112">
        <v>0.0</v>
      </c>
      <c r="G209" s="112">
        <v>0.0</v>
      </c>
      <c r="H209" s="112">
        <v>0.0</v>
      </c>
      <c r="I209" s="112">
        <v>0.0</v>
      </c>
      <c r="J209" s="112">
        <v>0.0</v>
      </c>
      <c r="K209" s="112">
        <v>0.0</v>
      </c>
      <c r="L209" s="112">
        <v>7.0</v>
      </c>
      <c r="M209" s="112">
        <v>28.0</v>
      </c>
      <c r="N209" s="112">
        <v>27.0</v>
      </c>
      <c r="O209" s="112">
        <v>39.0</v>
      </c>
      <c r="P209" s="112">
        <v>9.0</v>
      </c>
      <c r="Q209" s="112">
        <v>9.0</v>
      </c>
      <c r="R209" s="112">
        <v>3.0</v>
      </c>
      <c r="S209" s="112">
        <v>18.0</v>
      </c>
      <c r="T209" s="112">
        <v>1.0</v>
      </c>
      <c r="U209" s="112">
        <v>13.0</v>
      </c>
      <c r="V209" s="112">
        <v>5.0</v>
      </c>
      <c r="W209" s="112">
        <v>11.0</v>
      </c>
      <c r="X209" s="112">
        <v>1.0</v>
      </c>
      <c r="Y209" s="112">
        <v>34.0</v>
      </c>
      <c r="Z209" s="112">
        <v>7.0</v>
      </c>
      <c r="AA209" s="112">
        <v>8.0</v>
      </c>
      <c r="AB209" s="112">
        <v>2.0</v>
      </c>
      <c r="AC209" s="112">
        <v>9.0</v>
      </c>
      <c r="AD209" s="112">
        <v>15.0</v>
      </c>
      <c r="AE209" s="112">
        <v>5.0</v>
      </c>
      <c r="AF209" s="112">
        <v>1.0</v>
      </c>
      <c r="AG209" s="112">
        <v>4.0</v>
      </c>
      <c r="AH209" s="112">
        <v>0.0</v>
      </c>
      <c r="AI209" s="112">
        <v>7.0</v>
      </c>
      <c r="AJ209" s="112">
        <v>1.0</v>
      </c>
      <c r="AK209" s="112">
        <v>0.0</v>
      </c>
      <c r="AL209" s="112">
        <v>2.0</v>
      </c>
      <c r="AM209" s="112">
        <v>2.0</v>
      </c>
      <c r="AN209" s="112">
        <v>266.0</v>
      </c>
    </row>
    <row r="210">
      <c r="A210" s="98"/>
      <c r="B210" s="111" t="s">
        <v>199</v>
      </c>
      <c r="C210" s="112">
        <v>9.0</v>
      </c>
      <c r="D210" s="112">
        <v>3.0</v>
      </c>
      <c r="E210" s="112">
        <v>6.0</v>
      </c>
      <c r="F210" s="112">
        <v>2.0</v>
      </c>
      <c r="G210" s="112">
        <v>0.0</v>
      </c>
      <c r="H210" s="112">
        <v>0.0</v>
      </c>
      <c r="I210" s="112">
        <v>0.0</v>
      </c>
      <c r="J210" s="112">
        <v>0.0</v>
      </c>
      <c r="K210" s="112">
        <v>0.0</v>
      </c>
      <c r="L210" s="112">
        <v>0.0</v>
      </c>
      <c r="M210" s="112">
        <v>0.0</v>
      </c>
      <c r="N210" s="112">
        <v>0.0</v>
      </c>
      <c r="O210" s="112">
        <v>0.0</v>
      </c>
      <c r="P210" s="112">
        <v>0.0</v>
      </c>
      <c r="Q210" s="112">
        <v>0.0</v>
      </c>
      <c r="R210" s="112">
        <v>0.0</v>
      </c>
      <c r="S210" s="112">
        <v>1.0</v>
      </c>
      <c r="T210" s="112">
        <v>0.0</v>
      </c>
      <c r="U210" s="112">
        <v>0.0</v>
      </c>
      <c r="V210" s="112">
        <v>0.0</v>
      </c>
      <c r="W210" s="112">
        <v>0.0</v>
      </c>
      <c r="X210" s="112">
        <v>0.0</v>
      </c>
      <c r="Y210" s="112">
        <v>0.0</v>
      </c>
      <c r="Z210" s="112">
        <v>0.0</v>
      </c>
      <c r="AA210" s="112">
        <v>0.0</v>
      </c>
      <c r="AB210" s="112">
        <v>0.0</v>
      </c>
      <c r="AC210" s="112">
        <v>2.0</v>
      </c>
      <c r="AD210" s="112">
        <v>0.0</v>
      </c>
      <c r="AE210" s="112">
        <v>0.0</v>
      </c>
      <c r="AF210" s="112">
        <v>1.0</v>
      </c>
      <c r="AG210" s="112">
        <v>1.0</v>
      </c>
      <c r="AH210" s="112">
        <v>0.0</v>
      </c>
      <c r="AI210" s="112">
        <v>0.0</v>
      </c>
      <c r="AJ210" s="112">
        <v>0.0</v>
      </c>
      <c r="AK210" s="112">
        <v>1.0</v>
      </c>
      <c r="AL210" s="112">
        <v>0.0</v>
      </c>
      <c r="AM210" s="112">
        <v>1.0</v>
      </c>
      <c r="AN210" s="112">
        <v>8.0</v>
      </c>
    </row>
    <row r="211">
      <c r="A211" s="104"/>
      <c r="B211" s="111" t="s">
        <v>206</v>
      </c>
      <c r="C211" s="112">
        <v>363.0</v>
      </c>
      <c r="D211" s="112">
        <v>69.0</v>
      </c>
      <c r="E211" s="112">
        <v>294.0</v>
      </c>
      <c r="F211" s="112">
        <v>0.0</v>
      </c>
      <c r="G211" s="112">
        <v>0.0</v>
      </c>
      <c r="H211" s="112">
        <v>0.0</v>
      </c>
      <c r="I211" s="112">
        <v>1.0</v>
      </c>
      <c r="J211" s="112">
        <v>0.0</v>
      </c>
      <c r="K211" s="112">
        <v>1.0</v>
      </c>
      <c r="L211" s="112">
        <v>9.0</v>
      </c>
      <c r="M211" s="112">
        <v>36.0</v>
      </c>
      <c r="N211" s="112">
        <v>16.0</v>
      </c>
      <c r="O211" s="112">
        <v>66.0</v>
      </c>
      <c r="P211" s="112">
        <v>3.0</v>
      </c>
      <c r="Q211" s="112">
        <v>46.0</v>
      </c>
      <c r="R211" s="112">
        <v>3.0</v>
      </c>
      <c r="S211" s="112">
        <v>26.0</v>
      </c>
      <c r="T211" s="112">
        <v>11.0</v>
      </c>
      <c r="U211" s="112">
        <v>37.0</v>
      </c>
      <c r="V211" s="112">
        <v>16.0</v>
      </c>
      <c r="W211" s="112">
        <v>26.0</v>
      </c>
      <c r="X211" s="112">
        <v>0.0</v>
      </c>
      <c r="Y211" s="112">
        <v>19.0</v>
      </c>
      <c r="Z211" s="112">
        <v>8.0</v>
      </c>
      <c r="AA211" s="112">
        <v>15.0</v>
      </c>
      <c r="AB211" s="112">
        <v>2.0</v>
      </c>
      <c r="AC211" s="112">
        <v>19.0</v>
      </c>
      <c r="AD211" s="112">
        <v>0.0</v>
      </c>
      <c r="AE211" s="112">
        <v>0.0</v>
      </c>
      <c r="AF211" s="112">
        <v>0.0</v>
      </c>
      <c r="AG211" s="112">
        <v>0.0</v>
      </c>
      <c r="AH211" s="112">
        <v>0.0</v>
      </c>
      <c r="AI211" s="112">
        <v>0.0</v>
      </c>
      <c r="AJ211" s="112">
        <v>1.0</v>
      </c>
      <c r="AK211" s="112">
        <v>0.0</v>
      </c>
      <c r="AL211" s="112">
        <v>0.0</v>
      </c>
      <c r="AM211" s="112">
        <v>2.0</v>
      </c>
      <c r="AN211" s="112">
        <v>330.0</v>
      </c>
    </row>
    <row r="212">
      <c r="A212" s="107" t="s">
        <v>207</v>
      </c>
      <c r="B212" s="111" t="s">
        <v>198</v>
      </c>
      <c r="C212" s="109">
        <v>12054.0</v>
      </c>
      <c r="D212" s="109">
        <v>2729.0</v>
      </c>
      <c r="E212" s="109">
        <v>9325.0</v>
      </c>
      <c r="F212" s="112">
        <v>104.0</v>
      </c>
      <c r="G212" s="112">
        <v>74.0</v>
      </c>
      <c r="H212" s="112">
        <v>69.0</v>
      </c>
      <c r="I212" s="112">
        <v>61.0</v>
      </c>
      <c r="J212" s="112">
        <v>44.0</v>
      </c>
      <c r="K212" s="112">
        <v>51.0</v>
      </c>
      <c r="L212" s="112">
        <v>65.0</v>
      </c>
      <c r="M212" s="112">
        <v>126.0</v>
      </c>
      <c r="N212" s="112">
        <v>65.0</v>
      </c>
      <c r="O212" s="112">
        <v>190.0</v>
      </c>
      <c r="P212" s="112">
        <v>62.0</v>
      </c>
      <c r="Q212" s="112">
        <v>267.0</v>
      </c>
      <c r="R212" s="112">
        <v>71.0</v>
      </c>
      <c r="S212" s="112">
        <v>329.0</v>
      </c>
      <c r="T212" s="112">
        <v>75.0</v>
      </c>
      <c r="U212" s="112">
        <v>346.0</v>
      </c>
      <c r="V212" s="112">
        <v>87.0</v>
      </c>
      <c r="W212" s="112">
        <v>448.0</v>
      </c>
      <c r="X212" s="112">
        <v>151.0</v>
      </c>
      <c r="Y212" s="112">
        <v>578.0</v>
      </c>
      <c r="Z212" s="112">
        <v>190.0</v>
      </c>
      <c r="AA212" s="112">
        <v>952.0</v>
      </c>
      <c r="AB212" s="112">
        <v>276.0</v>
      </c>
      <c r="AC212" s="109">
        <v>1069.0</v>
      </c>
      <c r="AD212" s="112">
        <v>240.0</v>
      </c>
      <c r="AE212" s="109">
        <v>1219.0</v>
      </c>
      <c r="AF212" s="112">
        <v>299.0</v>
      </c>
      <c r="AG212" s="109">
        <v>1153.0</v>
      </c>
      <c r="AH212" s="112">
        <v>348.0</v>
      </c>
      <c r="AI212" s="109">
        <v>1014.0</v>
      </c>
      <c r="AJ212" s="112">
        <v>257.0</v>
      </c>
      <c r="AK212" s="112">
        <v>689.0</v>
      </c>
      <c r="AL212" s="112">
        <v>326.0</v>
      </c>
      <c r="AM212" s="112">
        <v>759.0</v>
      </c>
      <c r="AN212" s="109">
        <v>11673.0</v>
      </c>
    </row>
    <row r="213">
      <c r="A213" s="98"/>
      <c r="B213" s="111" t="s">
        <v>199</v>
      </c>
      <c r="C213" s="112">
        <v>866.0</v>
      </c>
      <c r="D213" s="112">
        <v>208.0</v>
      </c>
      <c r="E213" s="112">
        <v>658.0</v>
      </c>
      <c r="F213" s="112">
        <v>0.0</v>
      </c>
      <c r="G213" s="112">
        <v>0.0</v>
      </c>
      <c r="H213" s="112">
        <v>0.0</v>
      </c>
      <c r="I213" s="112">
        <v>0.0</v>
      </c>
      <c r="J213" s="112">
        <v>0.0</v>
      </c>
      <c r="K213" s="112">
        <v>0.0</v>
      </c>
      <c r="L213" s="112">
        <v>0.0</v>
      </c>
      <c r="M213" s="112">
        <v>1.0</v>
      </c>
      <c r="N213" s="112">
        <v>0.0</v>
      </c>
      <c r="O213" s="112">
        <v>2.0</v>
      </c>
      <c r="P213" s="112">
        <v>0.0</v>
      </c>
      <c r="Q213" s="112">
        <v>2.0</v>
      </c>
      <c r="R213" s="112">
        <v>0.0</v>
      </c>
      <c r="S213" s="112">
        <v>6.0</v>
      </c>
      <c r="T213" s="112">
        <v>3.0</v>
      </c>
      <c r="U213" s="112">
        <v>10.0</v>
      </c>
      <c r="V213" s="112">
        <v>2.0</v>
      </c>
      <c r="W213" s="112">
        <v>13.0</v>
      </c>
      <c r="X213" s="112">
        <v>2.0</v>
      </c>
      <c r="Y213" s="112">
        <v>20.0</v>
      </c>
      <c r="Z213" s="112">
        <v>14.0</v>
      </c>
      <c r="AA213" s="112">
        <v>47.0</v>
      </c>
      <c r="AB213" s="112">
        <v>19.0</v>
      </c>
      <c r="AC213" s="112">
        <v>62.0</v>
      </c>
      <c r="AD213" s="112">
        <v>24.0</v>
      </c>
      <c r="AE213" s="112">
        <v>82.0</v>
      </c>
      <c r="AF213" s="112">
        <v>49.0</v>
      </c>
      <c r="AG213" s="112">
        <v>115.0</v>
      </c>
      <c r="AH213" s="112">
        <v>32.0</v>
      </c>
      <c r="AI213" s="112">
        <v>117.0</v>
      </c>
      <c r="AJ213" s="112">
        <v>19.0</v>
      </c>
      <c r="AK213" s="112">
        <v>91.0</v>
      </c>
      <c r="AL213" s="112">
        <v>44.0</v>
      </c>
      <c r="AM213" s="112">
        <v>90.0</v>
      </c>
      <c r="AN213" s="112">
        <v>847.0</v>
      </c>
    </row>
    <row r="214">
      <c r="A214" s="98"/>
      <c r="B214" s="111" t="s">
        <v>206</v>
      </c>
      <c r="C214" s="112">
        <v>125.0</v>
      </c>
      <c r="D214" s="112">
        <v>18.0</v>
      </c>
      <c r="E214" s="112">
        <v>107.0</v>
      </c>
      <c r="F214" s="112">
        <v>14.0</v>
      </c>
      <c r="G214" s="112">
        <v>11.0</v>
      </c>
      <c r="H214" s="112">
        <v>0.0</v>
      </c>
      <c r="I214" s="112">
        <v>0.0</v>
      </c>
      <c r="J214" s="112">
        <v>0.0</v>
      </c>
      <c r="K214" s="112">
        <v>2.0</v>
      </c>
      <c r="L214" s="112">
        <v>0.0</v>
      </c>
      <c r="M214" s="112">
        <v>0.0</v>
      </c>
      <c r="N214" s="112">
        <v>1.0</v>
      </c>
      <c r="O214" s="112">
        <v>8.0</v>
      </c>
      <c r="P214" s="112">
        <v>0.0</v>
      </c>
      <c r="Q214" s="112">
        <v>10.0</v>
      </c>
      <c r="R214" s="112">
        <v>2.0</v>
      </c>
      <c r="S214" s="112">
        <v>9.0</v>
      </c>
      <c r="T214" s="112">
        <v>1.0</v>
      </c>
      <c r="U214" s="112">
        <v>16.0</v>
      </c>
      <c r="V214" s="112">
        <v>0.0</v>
      </c>
      <c r="W214" s="112">
        <v>21.0</v>
      </c>
      <c r="X214" s="112">
        <v>0.0</v>
      </c>
      <c r="Y214" s="112">
        <v>14.0</v>
      </c>
      <c r="Z214" s="112">
        <v>0.0</v>
      </c>
      <c r="AA214" s="112">
        <v>12.0</v>
      </c>
      <c r="AB214" s="112">
        <v>0.0</v>
      </c>
      <c r="AC214" s="112">
        <v>4.0</v>
      </c>
      <c r="AD214" s="112">
        <v>0.0</v>
      </c>
      <c r="AE214" s="112">
        <v>0.0</v>
      </c>
      <c r="AF214" s="112">
        <v>0.0</v>
      </c>
      <c r="AG214" s="112">
        <v>0.0</v>
      </c>
      <c r="AH214" s="112">
        <v>0.0</v>
      </c>
      <c r="AI214" s="112">
        <v>0.0</v>
      </c>
      <c r="AJ214" s="112">
        <v>0.0</v>
      </c>
      <c r="AK214" s="112">
        <v>0.0</v>
      </c>
      <c r="AL214" s="112">
        <v>0.0</v>
      </c>
      <c r="AM214" s="112">
        <v>0.0</v>
      </c>
      <c r="AN214" s="112">
        <v>125.0</v>
      </c>
    </row>
    <row r="215">
      <c r="A215" s="98"/>
      <c r="B215" s="111" t="s">
        <v>200</v>
      </c>
      <c r="C215" s="109">
        <v>1274.0</v>
      </c>
      <c r="D215" s="112">
        <v>381.0</v>
      </c>
      <c r="E215" s="112">
        <v>893.0</v>
      </c>
      <c r="F215" s="112">
        <v>159.0</v>
      </c>
      <c r="G215" s="112">
        <v>158.0</v>
      </c>
      <c r="H215" s="112">
        <v>12.0</v>
      </c>
      <c r="I215" s="112">
        <v>9.0</v>
      </c>
      <c r="J215" s="112">
        <v>5.0</v>
      </c>
      <c r="K215" s="112">
        <v>6.0</v>
      </c>
      <c r="L215" s="112">
        <v>4.0</v>
      </c>
      <c r="M215" s="112">
        <v>26.0</v>
      </c>
      <c r="N215" s="112">
        <v>9.0</v>
      </c>
      <c r="O215" s="112">
        <v>47.0</v>
      </c>
      <c r="P215" s="112">
        <v>7.0</v>
      </c>
      <c r="Q215" s="112">
        <v>39.0</v>
      </c>
      <c r="R215" s="112">
        <v>15.0</v>
      </c>
      <c r="S215" s="112">
        <v>58.0</v>
      </c>
      <c r="T215" s="112">
        <v>12.0</v>
      </c>
      <c r="U215" s="112">
        <v>48.0</v>
      </c>
      <c r="V215" s="112">
        <v>16.0</v>
      </c>
      <c r="W215" s="112">
        <v>39.0</v>
      </c>
      <c r="X215" s="112">
        <v>8.0</v>
      </c>
      <c r="Y215" s="112">
        <v>51.0</v>
      </c>
      <c r="Z215" s="112">
        <v>16.0</v>
      </c>
      <c r="AA215" s="112">
        <v>71.0</v>
      </c>
      <c r="AB215" s="112">
        <v>21.0</v>
      </c>
      <c r="AC215" s="112">
        <v>58.0</v>
      </c>
      <c r="AD215" s="112">
        <v>24.0</v>
      </c>
      <c r="AE215" s="112">
        <v>72.0</v>
      </c>
      <c r="AF215" s="112">
        <v>22.0</v>
      </c>
      <c r="AG215" s="112">
        <v>66.0</v>
      </c>
      <c r="AH215" s="112">
        <v>18.0</v>
      </c>
      <c r="AI215" s="112">
        <v>37.0</v>
      </c>
      <c r="AJ215" s="112">
        <v>12.0</v>
      </c>
      <c r="AK215" s="112">
        <v>52.0</v>
      </c>
      <c r="AL215" s="112">
        <v>21.0</v>
      </c>
      <c r="AM215" s="112">
        <v>56.0</v>
      </c>
      <c r="AN215" s="109">
        <v>1139.0</v>
      </c>
    </row>
    <row r="216">
      <c r="A216" s="104"/>
      <c r="B216" s="111" t="s">
        <v>201</v>
      </c>
      <c r="C216" s="112">
        <v>8.0</v>
      </c>
      <c r="D216" s="112">
        <v>4.0</v>
      </c>
      <c r="E216" s="112">
        <v>4.0</v>
      </c>
      <c r="F216" s="112">
        <v>1.0</v>
      </c>
      <c r="G216" s="112">
        <v>0.0</v>
      </c>
      <c r="H216" s="112">
        <v>0.0</v>
      </c>
      <c r="I216" s="112">
        <v>0.0</v>
      </c>
      <c r="J216" s="112">
        <v>0.0</v>
      </c>
      <c r="K216" s="112">
        <v>0.0</v>
      </c>
      <c r="L216" s="112">
        <v>0.0</v>
      </c>
      <c r="M216" s="112">
        <v>0.0</v>
      </c>
      <c r="N216" s="112">
        <v>0.0</v>
      </c>
      <c r="O216" s="112">
        <v>1.0</v>
      </c>
      <c r="P216" s="112">
        <v>0.0</v>
      </c>
      <c r="Q216" s="112">
        <v>0.0</v>
      </c>
      <c r="R216" s="112">
        <v>0.0</v>
      </c>
      <c r="S216" s="112">
        <v>0.0</v>
      </c>
      <c r="T216" s="112">
        <v>0.0</v>
      </c>
      <c r="U216" s="112">
        <v>0.0</v>
      </c>
      <c r="V216" s="112">
        <v>0.0</v>
      </c>
      <c r="W216" s="112">
        <v>0.0</v>
      </c>
      <c r="X216" s="112">
        <v>0.0</v>
      </c>
      <c r="Y216" s="112">
        <v>0.0</v>
      </c>
      <c r="Z216" s="112">
        <v>0.0</v>
      </c>
      <c r="AA216" s="112">
        <v>1.0</v>
      </c>
      <c r="AB216" s="112">
        <v>0.0</v>
      </c>
      <c r="AC216" s="112">
        <v>0.0</v>
      </c>
      <c r="AD216" s="112">
        <v>1.0</v>
      </c>
      <c r="AE216" s="112">
        <v>0.0</v>
      </c>
      <c r="AF216" s="112">
        <v>0.0</v>
      </c>
      <c r="AG216" s="112">
        <v>0.0</v>
      </c>
      <c r="AH216" s="112">
        <v>0.0</v>
      </c>
      <c r="AI216" s="112">
        <v>0.0</v>
      </c>
      <c r="AJ216" s="112">
        <v>1.0</v>
      </c>
      <c r="AK216" s="112">
        <v>0.0</v>
      </c>
      <c r="AL216" s="112">
        <v>1.0</v>
      </c>
      <c r="AM216" s="112">
        <v>2.0</v>
      </c>
      <c r="AN216" s="112">
        <v>8.0</v>
      </c>
    </row>
    <row r="217">
      <c r="A217" s="107" t="s">
        <v>208</v>
      </c>
      <c r="B217" s="111" t="s">
        <v>198</v>
      </c>
      <c r="C217" s="112">
        <v>0.0</v>
      </c>
      <c r="D217" s="112">
        <v>0.0</v>
      </c>
      <c r="E217" s="112">
        <v>0.0</v>
      </c>
      <c r="F217" s="112">
        <v>0.0</v>
      </c>
      <c r="G217" s="112">
        <v>0.0</v>
      </c>
      <c r="H217" s="112">
        <v>0.0</v>
      </c>
      <c r="I217" s="112">
        <v>0.0</v>
      </c>
      <c r="J217" s="112">
        <v>0.0</v>
      </c>
      <c r="K217" s="112">
        <v>0.0</v>
      </c>
      <c r="L217" s="112">
        <v>0.0</v>
      </c>
      <c r="M217" s="112">
        <v>0.0</v>
      </c>
      <c r="N217" s="112">
        <v>0.0</v>
      </c>
      <c r="O217" s="112">
        <v>0.0</v>
      </c>
      <c r="P217" s="110">
        <v>0.0</v>
      </c>
      <c r="Q217" s="110">
        <v>0.0</v>
      </c>
      <c r="R217" s="110">
        <v>0.0</v>
      </c>
      <c r="S217" s="110">
        <v>0.0</v>
      </c>
      <c r="T217" s="110">
        <v>0.0</v>
      </c>
      <c r="U217" s="110">
        <v>0.0</v>
      </c>
      <c r="V217" s="110">
        <v>0.0</v>
      </c>
      <c r="W217" s="110">
        <v>0.0</v>
      </c>
      <c r="X217" s="110">
        <v>0.0</v>
      </c>
      <c r="Y217" s="110">
        <v>0.0</v>
      </c>
      <c r="Z217" s="110">
        <v>0.0</v>
      </c>
      <c r="AA217" s="110">
        <v>0.0</v>
      </c>
      <c r="AB217" s="110">
        <v>0.0</v>
      </c>
      <c r="AC217" s="110">
        <v>0.0</v>
      </c>
      <c r="AD217" s="110">
        <v>0.0</v>
      </c>
      <c r="AE217" s="110">
        <v>0.0</v>
      </c>
      <c r="AF217" s="110">
        <v>0.0</v>
      </c>
      <c r="AG217" s="110">
        <v>0.0</v>
      </c>
      <c r="AH217" s="110">
        <v>0.0</v>
      </c>
      <c r="AI217" s="110">
        <v>0.0</v>
      </c>
      <c r="AJ217" s="110">
        <v>0.0</v>
      </c>
      <c r="AK217" s="110">
        <v>0.0</v>
      </c>
      <c r="AL217" s="110">
        <v>0.0</v>
      </c>
      <c r="AM217" s="110">
        <v>0.0</v>
      </c>
      <c r="AN217" s="112">
        <v>0.0</v>
      </c>
    </row>
    <row r="218">
      <c r="A218" s="98"/>
      <c r="B218" s="111" t="s">
        <v>199</v>
      </c>
      <c r="C218" s="112">
        <v>2.0</v>
      </c>
      <c r="D218" s="112">
        <v>2.0</v>
      </c>
      <c r="E218" s="112">
        <v>0.0</v>
      </c>
      <c r="F218" s="112">
        <v>2.0</v>
      </c>
      <c r="G218" s="112">
        <v>0.0</v>
      </c>
      <c r="H218" s="112">
        <v>0.0</v>
      </c>
      <c r="I218" s="112">
        <v>0.0</v>
      </c>
      <c r="J218" s="112">
        <v>0.0</v>
      </c>
      <c r="K218" s="112">
        <v>0.0</v>
      </c>
      <c r="L218" s="112">
        <v>0.0</v>
      </c>
      <c r="M218" s="112">
        <v>0.0</v>
      </c>
      <c r="N218" s="112">
        <v>0.0</v>
      </c>
      <c r="O218" s="112">
        <v>0.0</v>
      </c>
      <c r="P218" s="110">
        <v>0.0</v>
      </c>
      <c r="Q218" s="110">
        <v>0.0</v>
      </c>
      <c r="R218" s="110">
        <v>0.0</v>
      </c>
      <c r="S218" s="110">
        <v>0.0</v>
      </c>
      <c r="T218" s="110">
        <v>0.0</v>
      </c>
      <c r="U218" s="110">
        <v>0.0</v>
      </c>
      <c r="V218" s="110">
        <v>0.0</v>
      </c>
      <c r="W218" s="110">
        <v>0.0</v>
      </c>
      <c r="X218" s="110">
        <v>0.0</v>
      </c>
      <c r="Y218" s="110">
        <v>0.0</v>
      </c>
      <c r="Z218" s="110">
        <v>0.0</v>
      </c>
      <c r="AA218" s="110">
        <v>0.0</v>
      </c>
      <c r="AB218" s="110">
        <v>0.0</v>
      </c>
      <c r="AC218" s="110">
        <v>0.0</v>
      </c>
      <c r="AD218" s="110">
        <v>0.0</v>
      </c>
      <c r="AE218" s="110">
        <v>0.0</v>
      </c>
      <c r="AF218" s="110">
        <v>0.0</v>
      </c>
      <c r="AG218" s="110">
        <v>0.0</v>
      </c>
      <c r="AH218" s="110">
        <v>0.0</v>
      </c>
      <c r="AI218" s="110">
        <v>0.0</v>
      </c>
      <c r="AJ218" s="110">
        <v>0.0</v>
      </c>
      <c r="AK218" s="110">
        <v>0.0</v>
      </c>
      <c r="AL218" s="110">
        <v>0.0</v>
      </c>
      <c r="AM218" s="110">
        <v>0.0</v>
      </c>
      <c r="AN218" s="112">
        <v>0.0</v>
      </c>
    </row>
    <row r="219">
      <c r="A219" s="98"/>
      <c r="B219" s="111" t="s">
        <v>206</v>
      </c>
      <c r="C219" s="112">
        <v>2.0</v>
      </c>
      <c r="D219" s="112">
        <v>0.0</v>
      </c>
      <c r="E219" s="112">
        <v>2.0</v>
      </c>
      <c r="F219" s="112">
        <v>0.0</v>
      </c>
      <c r="G219" s="112">
        <v>1.0</v>
      </c>
      <c r="H219" s="112">
        <v>0.0</v>
      </c>
      <c r="I219" s="112">
        <v>0.0</v>
      </c>
      <c r="J219" s="112">
        <v>0.0</v>
      </c>
      <c r="K219" s="112">
        <v>0.0</v>
      </c>
      <c r="L219" s="112">
        <v>0.0</v>
      </c>
      <c r="M219" s="112">
        <v>0.0</v>
      </c>
      <c r="N219" s="112">
        <v>0.0</v>
      </c>
      <c r="O219" s="112">
        <v>1.0</v>
      </c>
      <c r="P219" s="110">
        <v>0.0</v>
      </c>
      <c r="Q219" s="110">
        <v>0.0</v>
      </c>
      <c r="R219" s="110">
        <v>0.0</v>
      </c>
      <c r="S219" s="110">
        <v>0.0</v>
      </c>
      <c r="T219" s="110">
        <v>0.0</v>
      </c>
      <c r="U219" s="110">
        <v>0.0</v>
      </c>
      <c r="V219" s="110">
        <v>0.0</v>
      </c>
      <c r="W219" s="110">
        <v>0.0</v>
      </c>
      <c r="X219" s="110">
        <v>0.0</v>
      </c>
      <c r="Y219" s="110">
        <v>0.0</v>
      </c>
      <c r="Z219" s="110">
        <v>0.0</v>
      </c>
      <c r="AA219" s="110">
        <v>0.0</v>
      </c>
      <c r="AB219" s="110">
        <v>0.0</v>
      </c>
      <c r="AC219" s="110">
        <v>0.0</v>
      </c>
      <c r="AD219" s="110">
        <v>0.0</v>
      </c>
      <c r="AE219" s="110">
        <v>0.0</v>
      </c>
      <c r="AF219" s="110">
        <v>0.0</v>
      </c>
      <c r="AG219" s="110">
        <v>0.0</v>
      </c>
      <c r="AH219" s="110">
        <v>0.0</v>
      </c>
      <c r="AI219" s="110">
        <v>0.0</v>
      </c>
      <c r="AJ219" s="110">
        <v>0.0</v>
      </c>
      <c r="AK219" s="110">
        <v>0.0</v>
      </c>
      <c r="AL219" s="110">
        <v>0.0</v>
      </c>
      <c r="AM219" s="110">
        <v>0.0</v>
      </c>
      <c r="AN219" s="112">
        <v>1.0</v>
      </c>
    </row>
    <row r="220">
      <c r="A220" s="98"/>
      <c r="B220" s="111" t="s">
        <v>200</v>
      </c>
      <c r="C220" s="112">
        <v>0.0</v>
      </c>
      <c r="D220" s="112">
        <v>0.0</v>
      </c>
      <c r="E220" s="112">
        <v>0.0</v>
      </c>
      <c r="F220" s="112">
        <v>0.0</v>
      </c>
      <c r="G220" s="112">
        <v>0.0</v>
      </c>
      <c r="H220" s="112">
        <v>0.0</v>
      </c>
      <c r="I220" s="112">
        <v>0.0</v>
      </c>
      <c r="J220" s="112">
        <v>0.0</v>
      </c>
      <c r="K220" s="112">
        <v>0.0</v>
      </c>
      <c r="L220" s="112">
        <v>0.0</v>
      </c>
      <c r="M220" s="112">
        <v>0.0</v>
      </c>
      <c r="N220" s="112">
        <v>0.0</v>
      </c>
      <c r="O220" s="112">
        <v>0.0</v>
      </c>
      <c r="P220" s="110">
        <v>0.0</v>
      </c>
      <c r="Q220" s="110">
        <v>0.0</v>
      </c>
      <c r="R220" s="110">
        <v>0.0</v>
      </c>
      <c r="S220" s="110">
        <v>0.0</v>
      </c>
      <c r="T220" s="110">
        <v>0.0</v>
      </c>
      <c r="U220" s="110">
        <v>0.0</v>
      </c>
      <c r="V220" s="110">
        <v>0.0</v>
      </c>
      <c r="W220" s="110">
        <v>0.0</v>
      </c>
      <c r="X220" s="110">
        <v>0.0</v>
      </c>
      <c r="Y220" s="110">
        <v>0.0</v>
      </c>
      <c r="Z220" s="110">
        <v>0.0</v>
      </c>
      <c r="AA220" s="110">
        <v>0.0</v>
      </c>
      <c r="AB220" s="110">
        <v>0.0</v>
      </c>
      <c r="AC220" s="110">
        <v>0.0</v>
      </c>
      <c r="AD220" s="110">
        <v>0.0</v>
      </c>
      <c r="AE220" s="110">
        <v>0.0</v>
      </c>
      <c r="AF220" s="110">
        <v>0.0</v>
      </c>
      <c r="AG220" s="110">
        <v>0.0</v>
      </c>
      <c r="AH220" s="110">
        <v>0.0</v>
      </c>
      <c r="AI220" s="110">
        <v>0.0</v>
      </c>
      <c r="AJ220" s="110">
        <v>0.0</v>
      </c>
      <c r="AK220" s="110">
        <v>0.0</v>
      </c>
      <c r="AL220" s="110">
        <v>0.0</v>
      </c>
      <c r="AM220" s="110">
        <v>0.0</v>
      </c>
      <c r="AN220" s="112">
        <v>0.0</v>
      </c>
    </row>
    <row r="221">
      <c r="A221" s="104"/>
      <c r="B221" s="111" t="s">
        <v>201</v>
      </c>
      <c r="C221" s="112">
        <v>1.0</v>
      </c>
      <c r="D221" s="112">
        <v>0.0</v>
      </c>
      <c r="E221" s="112">
        <v>1.0</v>
      </c>
      <c r="F221" s="112">
        <v>0.0</v>
      </c>
      <c r="G221" s="112">
        <v>1.0</v>
      </c>
      <c r="H221" s="112">
        <v>0.0</v>
      </c>
      <c r="I221" s="112">
        <v>0.0</v>
      </c>
      <c r="J221" s="112">
        <v>0.0</v>
      </c>
      <c r="K221" s="112">
        <v>0.0</v>
      </c>
      <c r="L221" s="112">
        <v>0.0</v>
      </c>
      <c r="M221" s="112">
        <v>0.0</v>
      </c>
      <c r="N221" s="112">
        <v>0.0</v>
      </c>
      <c r="O221" s="112">
        <v>0.0</v>
      </c>
      <c r="P221" s="110">
        <v>0.0</v>
      </c>
      <c r="Q221" s="110">
        <v>0.0</v>
      </c>
      <c r="R221" s="110">
        <v>0.0</v>
      </c>
      <c r="S221" s="110">
        <v>0.0</v>
      </c>
      <c r="T221" s="110">
        <v>0.0</v>
      </c>
      <c r="U221" s="110">
        <v>0.0</v>
      </c>
      <c r="V221" s="110">
        <v>0.0</v>
      </c>
      <c r="W221" s="110">
        <v>0.0</v>
      </c>
      <c r="X221" s="110">
        <v>0.0</v>
      </c>
      <c r="Y221" s="110">
        <v>0.0</v>
      </c>
      <c r="Z221" s="110">
        <v>0.0</v>
      </c>
      <c r="AA221" s="110">
        <v>0.0</v>
      </c>
      <c r="AB221" s="110">
        <v>0.0</v>
      </c>
      <c r="AC221" s="110">
        <v>0.0</v>
      </c>
      <c r="AD221" s="110">
        <v>0.0</v>
      </c>
      <c r="AE221" s="110">
        <v>0.0</v>
      </c>
      <c r="AF221" s="110">
        <v>0.0</v>
      </c>
      <c r="AG221" s="110">
        <v>0.0</v>
      </c>
      <c r="AH221" s="110">
        <v>0.0</v>
      </c>
      <c r="AI221" s="110">
        <v>0.0</v>
      </c>
      <c r="AJ221" s="110">
        <v>0.0</v>
      </c>
      <c r="AK221" s="110">
        <v>0.0</v>
      </c>
      <c r="AL221" s="110">
        <v>0.0</v>
      </c>
      <c r="AM221" s="110">
        <v>0.0</v>
      </c>
      <c r="AN221" s="112">
        <v>0.0</v>
      </c>
    </row>
    <row r="222">
      <c r="A222" s="113" t="s">
        <v>217</v>
      </c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</row>
    <row r="223">
      <c r="A223" s="107" t="s">
        <v>197</v>
      </c>
      <c r="B223" s="108" t="s">
        <v>198</v>
      </c>
      <c r="C223" s="109">
        <v>113857.0</v>
      </c>
      <c r="D223" s="109">
        <v>41010.0</v>
      </c>
      <c r="E223" s="109">
        <v>72847.0</v>
      </c>
      <c r="F223" s="110">
        <v>0.0</v>
      </c>
      <c r="G223" s="110">
        <v>0.0</v>
      </c>
      <c r="H223" s="110">
        <v>0.0</v>
      </c>
      <c r="I223" s="110">
        <v>0.0</v>
      </c>
      <c r="J223" s="110">
        <v>0.0</v>
      </c>
      <c r="K223" s="110">
        <v>0.0</v>
      </c>
      <c r="L223" s="112">
        <v>85.0</v>
      </c>
      <c r="M223" s="112">
        <v>144.0</v>
      </c>
      <c r="N223" s="112">
        <v>121.0</v>
      </c>
      <c r="O223" s="112">
        <v>356.0</v>
      </c>
      <c r="P223" s="112">
        <v>275.0</v>
      </c>
      <c r="Q223" s="112">
        <v>593.0</v>
      </c>
      <c r="R223" s="112">
        <v>424.0</v>
      </c>
      <c r="S223" s="112">
        <v>880.0</v>
      </c>
      <c r="T223" s="112">
        <v>813.0</v>
      </c>
      <c r="U223" s="109">
        <v>1517.0</v>
      </c>
      <c r="V223" s="109">
        <v>1447.0</v>
      </c>
      <c r="W223" s="109">
        <v>2906.0</v>
      </c>
      <c r="X223" s="109">
        <v>2604.0</v>
      </c>
      <c r="Y223" s="109">
        <v>5222.0</v>
      </c>
      <c r="Z223" s="109">
        <v>4113.0</v>
      </c>
      <c r="AA223" s="109">
        <v>8013.0</v>
      </c>
      <c r="AB223" s="109">
        <v>5015.0</v>
      </c>
      <c r="AC223" s="109">
        <v>9152.0</v>
      </c>
      <c r="AD223" s="109">
        <v>5643.0</v>
      </c>
      <c r="AE223" s="109">
        <v>9557.0</v>
      </c>
      <c r="AF223" s="109">
        <v>5855.0</v>
      </c>
      <c r="AG223" s="109">
        <v>9791.0</v>
      </c>
      <c r="AH223" s="109">
        <v>5817.0</v>
      </c>
      <c r="AI223" s="109">
        <v>9118.0</v>
      </c>
      <c r="AJ223" s="109">
        <v>4398.0</v>
      </c>
      <c r="AK223" s="109">
        <v>7081.0</v>
      </c>
      <c r="AL223" s="109">
        <v>4400.0</v>
      </c>
      <c r="AM223" s="109">
        <v>8517.0</v>
      </c>
      <c r="AN223" s="109">
        <v>112800.0</v>
      </c>
    </row>
    <row r="224">
      <c r="A224" s="98"/>
      <c r="B224" s="111" t="s">
        <v>199</v>
      </c>
      <c r="C224" s="109">
        <v>63605.0</v>
      </c>
      <c r="D224" s="109">
        <v>23256.0</v>
      </c>
      <c r="E224" s="109">
        <v>40349.0</v>
      </c>
      <c r="F224" s="110">
        <v>0.0</v>
      </c>
      <c r="G224" s="110">
        <v>0.0</v>
      </c>
      <c r="H224" s="110">
        <v>0.0</v>
      </c>
      <c r="I224" s="110">
        <v>0.0</v>
      </c>
      <c r="J224" s="110">
        <v>0.0</v>
      </c>
      <c r="K224" s="110">
        <v>0.0</v>
      </c>
      <c r="L224" s="112">
        <v>41.0</v>
      </c>
      <c r="M224" s="112">
        <v>53.0</v>
      </c>
      <c r="N224" s="112">
        <v>69.0</v>
      </c>
      <c r="O224" s="112">
        <v>143.0</v>
      </c>
      <c r="P224" s="112">
        <v>139.0</v>
      </c>
      <c r="Q224" s="112">
        <v>259.0</v>
      </c>
      <c r="R224" s="112">
        <v>227.0</v>
      </c>
      <c r="S224" s="112">
        <v>417.0</v>
      </c>
      <c r="T224" s="112">
        <v>394.0</v>
      </c>
      <c r="U224" s="112">
        <v>765.0</v>
      </c>
      <c r="V224" s="112">
        <v>791.0</v>
      </c>
      <c r="W224" s="109">
        <v>1513.0</v>
      </c>
      <c r="X224" s="109">
        <v>1430.0</v>
      </c>
      <c r="Y224" s="109">
        <v>2686.0</v>
      </c>
      <c r="Z224" s="109">
        <v>2451.0</v>
      </c>
      <c r="AA224" s="109">
        <v>4456.0</v>
      </c>
      <c r="AB224" s="109">
        <v>2907.0</v>
      </c>
      <c r="AC224" s="109">
        <v>5208.0</v>
      </c>
      <c r="AD224" s="109">
        <v>3297.0</v>
      </c>
      <c r="AE224" s="109">
        <v>5547.0</v>
      </c>
      <c r="AF224" s="109">
        <v>3204.0</v>
      </c>
      <c r="AG224" s="109">
        <v>5599.0</v>
      </c>
      <c r="AH224" s="109">
        <v>3366.0</v>
      </c>
      <c r="AI224" s="109">
        <v>5078.0</v>
      </c>
      <c r="AJ224" s="109">
        <v>2497.0</v>
      </c>
      <c r="AK224" s="109">
        <v>3962.0</v>
      </c>
      <c r="AL224" s="109">
        <v>2443.0</v>
      </c>
      <c r="AM224" s="109">
        <v>4663.0</v>
      </c>
      <c r="AN224" s="109">
        <v>63011.0</v>
      </c>
    </row>
    <row r="225">
      <c r="A225" s="98"/>
      <c r="B225" s="111" t="s">
        <v>200</v>
      </c>
      <c r="C225" s="109">
        <v>57736.0</v>
      </c>
      <c r="D225" s="109">
        <v>20442.0</v>
      </c>
      <c r="E225" s="109">
        <v>37294.0</v>
      </c>
      <c r="F225" s="110">
        <v>0.0</v>
      </c>
      <c r="G225" s="110">
        <v>0.0</v>
      </c>
      <c r="H225" s="110">
        <v>0.0</v>
      </c>
      <c r="I225" s="110">
        <v>0.0</v>
      </c>
      <c r="J225" s="110">
        <v>0.0</v>
      </c>
      <c r="K225" s="110">
        <v>0.0</v>
      </c>
      <c r="L225" s="112">
        <v>39.0</v>
      </c>
      <c r="M225" s="112">
        <v>91.0</v>
      </c>
      <c r="N225" s="112">
        <v>69.0</v>
      </c>
      <c r="O225" s="112">
        <v>203.0</v>
      </c>
      <c r="P225" s="112">
        <v>143.0</v>
      </c>
      <c r="Q225" s="112">
        <v>335.0</v>
      </c>
      <c r="R225" s="112">
        <v>224.0</v>
      </c>
      <c r="S225" s="112">
        <v>471.0</v>
      </c>
      <c r="T225" s="112">
        <v>449.0</v>
      </c>
      <c r="U225" s="112">
        <v>826.0</v>
      </c>
      <c r="V225" s="112">
        <v>752.0</v>
      </c>
      <c r="W225" s="109">
        <v>1477.0</v>
      </c>
      <c r="X225" s="109">
        <v>1396.0</v>
      </c>
      <c r="Y225" s="109">
        <v>2740.0</v>
      </c>
      <c r="Z225" s="109">
        <v>2123.0</v>
      </c>
      <c r="AA225" s="109">
        <v>4278.0</v>
      </c>
      <c r="AB225" s="109">
        <v>2537.0</v>
      </c>
      <c r="AC225" s="109">
        <v>4772.0</v>
      </c>
      <c r="AD225" s="109">
        <v>2796.0</v>
      </c>
      <c r="AE225" s="109">
        <v>4942.0</v>
      </c>
      <c r="AF225" s="109">
        <v>2859.0</v>
      </c>
      <c r="AG225" s="109">
        <v>4909.0</v>
      </c>
      <c r="AH225" s="109">
        <v>2903.0</v>
      </c>
      <c r="AI225" s="109">
        <v>4744.0</v>
      </c>
      <c r="AJ225" s="109">
        <v>2185.0</v>
      </c>
      <c r="AK225" s="109">
        <v>3580.0</v>
      </c>
      <c r="AL225" s="109">
        <v>1967.0</v>
      </c>
      <c r="AM225" s="109">
        <v>3926.0</v>
      </c>
      <c r="AN225" s="109">
        <v>56874.0</v>
      </c>
    </row>
    <row r="226">
      <c r="A226" s="104"/>
      <c r="B226" s="111" t="s">
        <v>201</v>
      </c>
      <c r="C226" s="109">
        <v>2094.0</v>
      </c>
      <c r="D226" s="112">
        <v>707.0</v>
      </c>
      <c r="E226" s="109">
        <v>1387.0</v>
      </c>
      <c r="F226" s="110">
        <v>0.0</v>
      </c>
      <c r="G226" s="110">
        <v>0.0</v>
      </c>
      <c r="H226" s="110">
        <v>0.0</v>
      </c>
      <c r="I226" s="110">
        <v>0.0</v>
      </c>
      <c r="J226" s="110">
        <v>0.0</v>
      </c>
      <c r="K226" s="110">
        <v>0.0</v>
      </c>
      <c r="L226" s="112">
        <v>0.0</v>
      </c>
      <c r="M226" s="112">
        <v>1.0</v>
      </c>
      <c r="N226" s="112">
        <v>4.0</v>
      </c>
      <c r="O226" s="112">
        <v>2.0</v>
      </c>
      <c r="P226" s="112">
        <v>4.0</v>
      </c>
      <c r="Q226" s="112">
        <v>15.0</v>
      </c>
      <c r="R226" s="112">
        <v>3.0</v>
      </c>
      <c r="S226" s="112">
        <v>14.0</v>
      </c>
      <c r="T226" s="112">
        <v>7.0</v>
      </c>
      <c r="U226" s="112">
        <v>29.0</v>
      </c>
      <c r="V226" s="112">
        <v>25.0</v>
      </c>
      <c r="W226" s="112">
        <v>51.0</v>
      </c>
      <c r="X226" s="112">
        <v>43.0</v>
      </c>
      <c r="Y226" s="112">
        <v>114.0</v>
      </c>
      <c r="Z226" s="112">
        <v>81.0</v>
      </c>
      <c r="AA226" s="112">
        <v>163.0</v>
      </c>
      <c r="AB226" s="112">
        <v>99.0</v>
      </c>
      <c r="AC226" s="112">
        <v>165.0</v>
      </c>
      <c r="AD226" s="112">
        <v>104.0</v>
      </c>
      <c r="AE226" s="112">
        <v>210.0</v>
      </c>
      <c r="AF226" s="112">
        <v>103.0</v>
      </c>
      <c r="AG226" s="112">
        <v>165.0</v>
      </c>
      <c r="AH226" s="112">
        <v>92.0</v>
      </c>
      <c r="AI226" s="112">
        <v>181.0</v>
      </c>
      <c r="AJ226" s="112">
        <v>72.0</v>
      </c>
      <c r="AK226" s="112">
        <v>154.0</v>
      </c>
      <c r="AL226" s="112">
        <v>70.0</v>
      </c>
      <c r="AM226" s="112">
        <v>123.0</v>
      </c>
      <c r="AN226" s="109">
        <v>2033.0</v>
      </c>
    </row>
    <row r="227">
      <c r="A227" s="107" t="s">
        <v>202</v>
      </c>
      <c r="B227" s="111" t="s">
        <v>198</v>
      </c>
      <c r="C227" s="112">
        <v>585.0</v>
      </c>
      <c r="D227" s="112">
        <v>345.0</v>
      </c>
      <c r="E227" s="112">
        <v>240.0</v>
      </c>
      <c r="F227" s="112">
        <v>1.0</v>
      </c>
      <c r="G227" s="112">
        <v>1.0</v>
      </c>
      <c r="H227" s="112">
        <v>3.0</v>
      </c>
      <c r="I227" s="112">
        <v>0.0</v>
      </c>
      <c r="J227" s="112">
        <v>3.0</v>
      </c>
      <c r="K227" s="112">
        <v>1.0</v>
      </c>
      <c r="L227" s="112">
        <v>19.0</v>
      </c>
      <c r="M227" s="112">
        <v>23.0</v>
      </c>
      <c r="N227" s="112">
        <v>38.0</v>
      </c>
      <c r="O227" s="112">
        <v>30.0</v>
      </c>
      <c r="P227" s="112">
        <v>28.0</v>
      </c>
      <c r="Q227" s="112">
        <v>25.0</v>
      </c>
      <c r="R227" s="112">
        <v>33.0</v>
      </c>
      <c r="S227" s="112">
        <v>36.0</v>
      </c>
      <c r="T227" s="112">
        <v>33.0</v>
      </c>
      <c r="U227" s="112">
        <v>25.0</v>
      </c>
      <c r="V227" s="112">
        <v>26.0</v>
      </c>
      <c r="W227" s="112">
        <v>9.0</v>
      </c>
      <c r="X227" s="112">
        <v>27.0</v>
      </c>
      <c r="Y227" s="112">
        <v>16.0</v>
      </c>
      <c r="Z227" s="112">
        <v>41.0</v>
      </c>
      <c r="AA227" s="112">
        <v>8.0</v>
      </c>
      <c r="AB227" s="112">
        <v>22.0</v>
      </c>
      <c r="AC227" s="112">
        <v>23.0</v>
      </c>
      <c r="AD227" s="112">
        <v>28.0</v>
      </c>
      <c r="AE227" s="112">
        <v>9.0</v>
      </c>
      <c r="AF227" s="112">
        <v>12.0</v>
      </c>
      <c r="AG227" s="112">
        <v>7.0</v>
      </c>
      <c r="AH227" s="112">
        <v>6.0</v>
      </c>
      <c r="AI227" s="112">
        <v>7.0</v>
      </c>
      <c r="AJ227" s="112">
        <v>15.0</v>
      </c>
      <c r="AK227" s="112">
        <v>3.0</v>
      </c>
      <c r="AL227" s="112">
        <v>10.0</v>
      </c>
      <c r="AM227" s="112">
        <v>17.0</v>
      </c>
      <c r="AN227" s="112">
        <v>566.0</v>
      </c>
    </row>
    <row r="228">
      <c r="A228" s="104"/>
      <c r="B228" s="111" t="s">
        <v>199</v>
      </c>
      <c r="C228" s="112">
        <v>498.0</v>
      </c>
      <c r="D228" s="112">
        <v>264.0</v>
      </c>
      <c r="E228" s="112">
        <v>234.0</v>
      </c>
      <c r="F228" s="112">
        <v>8.0</v>
      </c>
      <c r="G228" s="112">
        <v>4.0</v>
      </c>
      <c r="H228" s="112">
        <v>5.0</v>
      </c>
      <c r="I228" s="112">
        <v>10.0</v>
      </c>
      <c r="J228" s="112">
        <v>7.0</v>
      </c>
      <c r="K228" s="112">
        <v>6.0</v>
      </c>
      <c r="L228" s="112">
        <v>17.0</v>
      </c>
      <c r="M228" s="112">
        <v>22.0</v>
      </c>
      <c r="N228" s="112">
        <v>23.0</v>
      </c>
      <c r="O228" s="112">
        <v>21.0</v>
      </c>
      <c r="P228" s="112">
        <v>24.0</v>
      </c>
      <c r="Q228" s="112">
        <v>29.0</v>
      </c>
      <c r="R228" s="112">
        <v>24.0</v>
      </c>
      <c r="S228" s="112">
        <v>48.0</v>
      </c>
      <c r="T228" s="112">
        <v>23.0</v>
      </c>
      <c r="U228" s="112">
        <v>18.0</v>
      </c>
      <c r="V228" s="112">
        <v>16.0</v>
      </c>
      <c r="W228" s="112">
        <v>8.0</v>
      </c>
      <c r="X228" s="112">
        <v>18.0</v>
      </c>
      <c r="Y228" s="112">
        <v>14.0</v>
      </c>
      <c r="Z228" s="112">
        <v>40.0</v>
      </c>
      <c r="AA228" s="112">
        <v>10.0</v>
      </c>
      <c r="AB228" s="112">
        <v>15.0</v>
      </c>
      <c r="AC228" s="112">
        <v>10.0</v>
      </c>
      <c r="AD228" s="112">
        <v>12.0</v>
      </c>
      <c r="AE228" s="112">
        <v>5.0</v>
      </c>
      <c r="AF228" s="112">
        <v>13.0</v>
      </c>
      <c r="AG228" s="112">
        <v>11.0</v>
      </c>
      <c r="AH228" s="112">
        <v>3.0</v>
      </c>
      <c r="AI228" s="112">
        <v>8.0</v>
      </c>
      <c r="AJ228" s="112">
        <v>8.0</v>
      </c>
      <c r="AK228" s="112">
        <v>3.0</v>
      </c>
      <c r="AL228" s="112">
        <v>8.0</v>
      </c>
      <c r="AM228" s="112">
        <v>7.0</v>
      </c>
      <c r="AN228" s="112">
        <v>477.0</v>
      </c>
    </row>
    <row r="229">
      <c r="A229" s="107" t="s">
        <v>203</v>
      </c>
      <c r="B229" s="111" t="s">
        <v>198</v>
      </c>
      <c r="C229" s="112">
        <v>420.0</v>
      </c>
      <c r="D229" s="112">
        <v>145.0</v>
      </c>
      <c r="E229" s="112">
        <v>275.0</v>
      </c>
      <c r="F229" s="110">
        <v>0.0</v>
      </c>
      <c r="G229" s="110">
        <v>0.0</v>
      </c>
      <c r="H229" s="110">
        <v>0.0</v>
      </c>
      <c r="I229" s="110">
        <v>0.0</v>
      </c>
      <c r="J229" s="110">
        <v>0.0</v>
      </c>
      <c r="K229" s="110">
        <v>0.0</v>
      </c>
      <c r="L229" s="110">
        <v>0.0</v>
      </c>
      <c r="M229" s="110">
        <v>0.0</v>
      </c>
      <c r="N229" s="110">
        <v>0.0</v>
      </c>
      <c r="O229" s="110">
        <v>0.0</v>
      </c>
      <c r="P229" s="110">
        <v>0.0</v>
      </c>
      <c r="Q229" s="110">
        <v>0.0</v>
      </c>
      <c r="R229" s="110">
        <v>0.0</v>
      </c>
      <c r="S229" s="110">
        <v>0.0</v>
      </c>
      <c r="T229" s="110">
        <v>0.0</v>
      </c>
      <c r="U229" s="110">
        <v>0.0</v>
      </c>
      <c r="V229" s="110">
        <v>0.0</v>
      </c>
      <c r="W229" s="110">
        <v>0.0</v>
      </c>
      <c r="X229" s="110">
        <v>0.0</v>
      </c>
      <c r="Y229" s="110">
        <v>0.0</v>
      </c>
      <c r="Z229" s="110">
        <v>0.0</v>
      </c>
      <c r="AA229" s="110">
        <v>0.0</v>
      </c>
      <c r="AB229" s="110">
        <v>0.0</v>
      </c>
      <c r="AC229" s="110">
        <v>0.0</v>
      </c>
      <c r="AD229" s="110">
        <v>0.0</v>
      </c>
      <c r="AE229" s="110">
        <v>0.0</v>
      </c>
      <c r="AF229" s="112">
        <v>28.0</v>
      </c>
      <c r="AG229" s="112">
        <v>97.0</v>
      </c>
      <c r="AH229" s="112">
        <v>68.0</v>
      </c>
      <c r="AI229" s="112">
        <v>91.0</v>
      </c>
      <c r="AJ229" s="112">
        <v>38.0</v>
      </c>
      <c r="AK229" s="112">
        <v>50.0</v>
      </c>
      <c r="AL229" s="112">
        <v>11.0</v>
      </c>
      <c r="AM229" s="112">
        <v>37.0</v>
      </c>
      <c r="AN229" s="112">
        <v>420.0</v>
      </c>
    </row>
    <row r="230">
      <c r="A230" s="104"/>
      <c r="B230" s="111" t="s">
        <v>199</v>
      </c>
      <c r="C230" s="109">
        <v>1737.0</v>
      </c>
      <c r="D230" s="112">
        <v>586.0</v>
      </c>
      <c r="E230" s="109">
        <v>1151.0</v>
      </c>
      <c r="F230" s="110">
        <v>0.0</v>
      </c>
      <c r="G230" s="110">
        <v>0.0</v>
      </c>
      <c r="H230" s="110">
        <v>0.0</v>
      </c>
      <c r="I230" s="110">
        <v>0.0</v>
      </c>
      <c r="J230" s="110">
        <v>0.0</v>
      </c>
      <c r="K230" s="110">
        <v>0.0</v>
      </c>
      <c r="L230" s="110">
        <v>0.0</v>
      </c>
      <c r="M230" s="110">
        <v>0.0</v>
      </c>
      <c r="N230" s="110">
        <v>0.0</v>
      </c>
      <c r="O230" s="110">
        <v>0.0</v>
      </c>
      <c r="P230" s="110">
        <v>0.0</v>
      </c>
      <c r="Q230" s="110">
        <v>0.0</v>
      </c>
      <c r="R230" s="110">
        <v>0.0</v>
      </c>
      <c r="S230" s="110">
        <v>0.0</v>
      </c>
      <c r="T230" s="110">
        <v>0.0</v>
      </c>
      <c r="U230" s="110">
        <v>0.0</v>
      </c>
      <c r="V230" s="110">
        <v>0.0</v>
      </c>
      <c r="W230" s="110">
        <v>0.0</v>
      </c>
      <c r="X230" s="110">
        <v>0.0</v>
      </c>
      <c r="Y230" s="110">
        <v>0.0</v>
      </c>
      <c r="Z230" s="110">
        <v>0.0</v>
      </c>
      <c r="AA230" s="110">
        <v>0.0</v>
      </c>
      <c r="AB230" s="110">
        <v>0.0</v>
      </c>
      <c r="AC230" s="110">
        <v>0.0</v>
      </c>
      <c r="AD230" s="110">
        <v>0.0</v>
      </c>
      <c r="AE230" s="110">
        <v>0.0</v>
      </c>
      <c r="AF230" s="112">
        <v>129.0</v>
      </c>
      <c r="AG230" s="112">
        <v>322.0</v>
      </c>
      <c r="AH230" s="112">
        <v>184.0</v>
      </c>
      <c r="AI230" s="112">
        <v>332.0</v>
      </c>
      <c r="AJ230" s="112">
        <v>155.0</v>
      </c>
      <c r="AK230" s="112">
        <v>280.0</v>
      </c>
      <c r="AL230" s="112">
        <v>118.0</v>
      </c>
      <c r="AM230" s="112">
        <v>217.0</v>
      </c>
      <c r="AN230" s="109">
        <v>1737.0</v>
      </c>
    </row>
    <row r="231">
      <c r="A231" s="107" t="s">
        <v>204</v>
      </c>
      <c r="B231" s="111" t="s">
        <v>198</v>
      </c>
      <c r="C231" s="112">
        <v>87.0</v>
      </c>
      <c r="D231" s="112">
        <v>31.0</v>
      </c>
      <c r="E231" s="112">
        <v>56.0</v>
      </c>
      <c r="F231" s="110">
        <v>0.0</v>
      </c>
      <c r="G231" s="110">
        <v>0.0</v>
      </c>
      <c r="H231" s="110">
        <v>0.0</v>
      </c>
      <c r="I231" s="110">
        <v>0.0</v>
      </c>
      <c r="J231" s="110">
        <v>0.0</v>
      </c>
      <c r="K231" s="110">
        <v>0.0</v>
      </c>
      <c r="L231" s="110">
        <v>0.0</v>
      </c>
      <c r="M231" s="110">
        <v>0.0</v>
      </c>
      <c r="N231" s="110">
        <v>0.0</v>
      </c>
      <c r="O231" s="110">
        <v>0.0</v>
      </c>
      <c r="P231" s="110">
        <v>0.0</v>
      </c>
      <c r="Q231" s="110">
        <v>0.0</v>
      </c>
      <c r="R231" s="110">
        <v>0.0</v>
      </c>
      <c r="S231" s="110">
        <v>0.0</v>
      </c>
      <c r="T231" s="110">
        <v>0.0</v>
      </c>
      <c r="U231" s="110">
        <v>0.0</v>
      </c>
      <c r="V231" s="110">
        <v>0.0</v>
      </c>
      <c r="W231" s="110">
        <v>0.0</v>
      </c>
      <c r="X231" s="110">
        <v>0.0</v>
      </c>
      <c r="Y231" s="110">
        <v>0.0</v>
      </c>
      <c r="Z231" s="110">
        <v>0.0</v>
      </c>
      <c r="AA231" s="110">
        <v>0.0</v>
      </c>
      <c r="AB231" s="110">
        <v>0.0</v>
      </c>
      <c r="AC231" s="110">
        <v>0.0</v>
      </c>
      <c r="AD231" s="110">
        <v>0.0</v>
      </c>
      <c r="AE231" s="110">
        <v>0.0</v>
      </c>
      <c r="AF231" s="112">
        <v>8.0</v>
      </c>
      <c r="AG231" s="112">
        <v>13.0</v>
      </c>
      <c r="AH231" s="112">
        <v>9.0</v>
      </c>
      <c r="AI231" s="112">
        <v>16.0</v>
      </c>
      <c r="AJ231" s="112">
        <v>7.0</v>
      </c>
      <c r="AK231" s="112">
        <v>15.0</v>
      </c>
      <c r="AL231" s="112">
        <v>7.0</v>
      </c>
      <c r="AM231" s="112">
        <v>12.0</v>
      </c>
      <c r="AN231" s="112">
        <v>87.0</v>
      </c>
    </row>
    <row r="232">
      <c r="A232" s="104"/>
      <c r="B232" s="111" t="s">
        <v>199</v>
      </c>
      <c r="C232" s="112">
        <v>966.0</v>
      </c>
      <c r="D232" s="112">
        <v>273.0</v>
      </c>
      <c r="E232" s="112">
        <v>693.0</v>
      </c>
      <c r="F232" s="110">
        <v>0.0</v>
      </c>
      <c r="G232" s="110">
        <v>0.0</v>
      </c>
      <c r="H232" s="110">
        <v>0.0</v>
      </c>
      <c r="I232" s="110">
        <v>0.0</v>
      </c>
      <c r="J232" s="110">
        <v>0.0</v>
      </c>
      <c r="K232" s="110">
        <v>0.0</v>
      </c>
      <c r="L232" s="110">
        <v>0.0</v>
      </c>
      <c r="M232" s="110">
        <v>0.0</v>
      </c>
      <c r="N232" s="110">
        <v>0.0</v>
      </c>
      <c r="O232" s="110">
        <v>0.0</v>
      </c>
      <c r="P232" s="110">
        <v>0.0</v>
      </c>
      <c r="Q232" s="110">
        <v>0.0</v>
      </c>
      <c r="R232" s="110">
        <v>0.0</v>
      </c>
      <c r="S232" s="110">
        <v>0.0</v>
      </c>
      <c r="T232" s="110">
        <v>0.0</v>
      </c>
      <c r="U232" s="110">
        <v>0.0</v>
      </c>
      <c r="V232" s="110">
        <v>0.0</v>
      </c>
      <c r="W232" s="110">
        <v>0.0</v>
      </c>
      <c r="X232" s="110">
        <v>0.0</v>
      </c>
      <c r="Y232" s="110">
        <v>0.0</v>
      </c>
      <c r="Z232" s="110">
        <v>0.0</v>
      </c>
      <c r="AA232" s="110">
        <v>0.0</v>
      </c>
      <c r="AB232" s="110">
        <v>0.0</v>
      </c>
      <c r="AC232" s="110">
        <v>0.0</v>
      </c>
      <c r="AD232" s="110">
        <v>0.0</v>
      </c>
      <c r="AE232" s="110">
        <v>0.0</v>
      </c>
      <c r="AF232" s="112">
        <v>22.0</v>
      </c>
      <c r="AG232" s="112">
        <v>77.0</v>
      </c>
      <c r="AH232" s="112">
        <v>53.0</v>
      </c>
      <c r="AI232" s="112">
        <v>106.0</v>
      </c>
      <c r="AJ232" s="112">
        <v>72.0</v>
      </c>
      <c r="AK232" s="112">
        <v>147.0</v>
      </c>
      <c r="AL232" s="112">
        <v>126.0</v>
      </c>
      <c r="AM232" s="112">
        <v>363.0</v>
      </c>
      <c r="AN232" s="112">
        <v>966.0</v>
      </c>
    </row>
    <row r="233">
      <c r="A233" s="107" t="s">
        <v>205</v>
      </c>
      <c r="B233" s="111" t="s">
        <v>198</v>
      </c>
      <c r="C233" s="112">
        <v>43.0</v>
      </c>
      <c r="D233" s="112">
        <v>10.0</v>
      </c>
      <c r="E233" s="112">
        <v>33.0</v>
      </c>
      <c r="F233" s="112">
        <v>0.0</v>
      </c>
      <c r="G233" s="112">
        <v>0.0</v>
      </c>
      <c r="H233" s="112">
        <v>0.0</v>
      </c>
      <c r="I233" s="112">
        <v>0.0</v>
      </c>
      <c r="J233" s="112">
        <v>0.0</v>
      </c>
      <c r="K233" s="112">
        <v>0.0</v>
      </c>
      <c r="L233" s="112">
        <v>2.0</v>
      </c>
      <c r="M233" s="112">
        <v>3.0</v>
      </c>
      <c r="N233" s="112">
        <v>0.0</v>
      </c>
      <c r="O233" s="112">
        <v>3.0</v>
      </c>
      <c r="P233" s="112">
        <v>1.0</v>
      </c>
      <c r="Q233" s="112">
        <v>0.0</v>
      </c>
      <c r="R233" s="112">
        <v>2.0</v>
      </c>
      <c r="S233" s="112">
        <v>1.0</v>
      </c>
      <c r="T233" s="112">
        <v>0.0</v>
      </c>
      <c r="U233" s="112">
        <v>4.0</v>
      </c>
      <c r="V233" s="112">
        <v>0.0</v>
      </c>
      <c r="W233" s="112">
        <v>3.0</v>
      </c>
      <c r="X233" s="112">
        <v>0.0</v>
      </c>
      <c r="Y233" s="112">
        <v>1.0</v>
      </c>
      <c r="Z233" s="112">
        <v>1.0</v>
      </c>
      <c r="AA233" s="112">
        <v>0.0</v>
      </c>
      <c r="AB233" s="112">
        <v>2.0</v>
      </c>
      <c r="AC233" s="112">
        <v>5.0</v>
      </c>
      <c r="AD233" s="112">
        <v>0.0</v>
      </c>
      <c r="AE233" s="112">
        <v>0.0</v>
      </c>
      <c r="AF233" s="112">
        <v>0.0</v>
      </c>
      <c r="AG233" s="112">
        <v>1.0</v>
      </c>
      <c r="AH233" s="112">
        <v>0.0</v>
      </c>
      <c r="AI233" s="112">
        <v>4.0</v>
      </c>
      <c r="AJ233" s="112">
        <v>2.0</v>
      </c>
      <c r="AK233" s="112">
        <v>4.0</v>
      </c>
      <c r="AL233" s="112">
        <v>0.0</v>
      </c>
      <c r="AM233" s="112">
        <v>4.0</v>
      </c>
      <c r="AN233" s="112">
        <v>43.0</v>
      </c>
    </row>
    <row r="234">
      <c r="A234" s="98"/>
      <c r="B234" s="111" t="s">
        <v>199</v>
      </c>
      <c r="C234" s="112">
        <v>0.0</v>
      </c>
      <c r="D234" s="112">
        <v>0.0</v>
      </c>
      <c r="E234" s="112">
        <v>0.0</v>
      </c>
      <c r="F234" s="112">
        <v>0.0</v>
      </c>
      <c r="G234" s="112">
        <v>0.0</v>
      </c>
      <c r="H234" s="112">
        <v>0.0</v>
      </c>
      <c r="I234" s="112">
        <v>0.0</v>
      </c>
      <c r="J234" s="112">
        <v>0.0</v>
      </c>
      <c r="K234" s="112">
        <v>0.0</v>
      </c>
      <c r="L234" s="112">
        <v>0.0</v>
      </c>
      <c r="M234" s="112">
        <v>0.0</v>
      </c>
      <c r="N234" s="112">
        <v>0.0</v>
      </c>
      <c r="O234" s="112">
        <v>0.0</v>
      </c>
      <c r="P234" s="112">
        <v>0.0</v>
      </c>
      <c r="Q234" s="112">
        <v>0.0</v>
      </c>
      <c r="R234" s="112">
        <v>0.0</v>
      </c>
      <c r="S234" s="112">
        <v>0.0</v>
      </c>
      <c r="T234" s="112">
        <v>0.0</v>
      </c>
      <c r="U234" s="112">
        <v>0.0</v>
      </c>
      <c r="V234" s="112">
        <v>0.0</v>
      </c>
      <c r="W234" s="112">
        <v>0.0</v>
      </c>
      <c r="X234" s="112">
        <v>0.0</v>
      </c>
      <c r="Y234" s="112">
        <v>0.0</v>
      </c>
      <c r="Z234" s="112">
        <v>0.0</v>
      </c>
      <c r="AA234" s="112">
        <v>0.0</v>
      </c>
      <c r="AB234" s="112">
        <v>0.0</v>
      </c>
      <c r="AC234" s="112">
        <v>0.0</v>
      </c>
      <c r="AD234" s="112">
        <v>0.0</v>
      </c>
      <c r="AE234" s="112">
        <v>0.0</v>
      </c>
      <c r="AF234" s="112">
        <v>0.0</v>
      </c>
      <c r="AG234" s="112">
        <v>0.0</v>
      </c>
      <c r="AH234" s="112">
        <v>0.0</v>
      </c>
      <c r="AI234" s="112">
        <v>0.0</v>
      </c>
      <c r="AJ234" s="112">
        <v>0.0</v>
      </c>
      <c r="AK234" s="112">
        <v>0.0</v>
      </c>
      <c r="AL234" s="112">
        <v>0.0</v>
      </c>
      <c r="AM234" s="112">
        <v>0.0</v>
      </c>
      <c r="AN234" s="112">
        <v>0.0</v>
      </c>
    </row>
    <row r="235">
      <c r="A235" s="104"/>
      <c r="B235" s="111" t="s">
        <v>206</v>
      </c>
      <c r="C235" s="112">
        <v>35.0</v>
      </c>
      <c r="D235" s="112">
        <v>5.0</v>
      </c>
      <c r="E235" s="112">
        <v>30.0</v>
      </c>
      <c r="F235" s="112">
        <v>0.0</v>
      </c>
      <c r="G235" s="112">
        <v>0.0</v>
      </c>
      <c r="H235" s="112">
        <v>0.0</v>
      </c>
      <c r="I235" s="112">
        <v>0.0</v>
      </c>
      <c r="J235" s="112">
        <v>0.0</v>
      </c>
      <c r="K235" s="112">
        <v>0.0</v>
      </c>
      <c r="L235" s="112">
        <v>1.0</v>
      </c>
      <c r="M235" s="112">
        <v>6.0</v>
      </c>
      <c r="N235" s="112">
        <v>0.0</v>
      </c>
      <c r="O235" s="112">
        <v>7.0</v>
      </c>
      <c r="P235" s="112">
        <v>3.0</v>
      </c>
      <c r="Q235" s="112">
        <v>5.0</v>
      </c>
      <c r="R235" s="112">
        <v>0.0</v>
      </c>
      <c r="S235" s="112">
        <v>4.0</v>
      </c>
      <c r="T235" s="112">
        <v>1.0</v>
      </c>
      <c r="U235" s="112">
        <v>4.0</v>
      </c>
      <c r="V235" s="112">
        <v>0.0</v>
      </c>
      <c r="W235" s="112">
        <v>2.0</v>
      </c>
      <c r="X235" s="112">
        <v>0.0</v>
      </c>
      <c r="Y235" s="112">
        <v>2.0</v>
      </c>
      <c r="Z235" s="112">
        <v>0.0</v>
      </c>
      <c r="AA235" s="112">
        <v>0.0</v>
      </c>
      <c r="AB235" s="112">
        <v>0.0</v>
      </c>
      <c r="AC235" s="112">
        <v>0.0</v>
      </c>
      <c r="AD235" s="112">
        <v>0.0</v>
      </c>
      <c r="AE235" s="112">
        <v>0.0</v>
      </c>
      <c r="AF235" s="112">
        <v>0.0</v>
      </c>
      <c r="AG235" s="112">
        <v>0.0</v>
      </c>
      <c r="AH235" s="112">
        <v>0.0</v>
      </c>
      <c r="AI235" s="112">
        <v>0.0</v>
      </c>
      <c r="AJ235" s="112">
        <v>0.0</v>
      </c>
      <c r="AK235" s="112">
        <v>0.0</v>
      </c>
      <c r="AL235" s="112">
        <v>0.0</v>
      </c>
      <c r="AM235" s="112">
        <v>0.0</v>
      </c>
      <c r="AN235" s="112">
        <v>35.0</v>
      </c>
    </row>
    <row r="236">
      <c r="A236" s="107" t="s">
        <v>207</v>
      </c>
      <c r="B236" s="111" t="s">
        <v>198</v>
      </c>
      <c r="C236" s="109">
        <v>33060.0</v>
      </c>
      <c r="D236" s="109">
        <v>8640.0</v>
      </c>
      <c r="E236" s="109">
        <v>24420.0</v>
      </c>
      <c r="F236" s="112">
        <v>933.0</v>
      </c>
      <c r="G236" s="112">
        <v>764.0</v>
      </c>
      <c r="H236" s="112">
        <v>444.0</v>
      </c>
      <c r="I236" s="112">
        <v>334.0</v>
      </c>
      <c r="J236" s="112">
        <v>414.0</v>
      </c>
      <c r="K236" s="112">
        <v>294.0</v>
      </c>
      <c r="L236" s="112">
        <v>192.0</v>
      </c>
      <c r="M236" s="112">
        <v>342.0</v>
      </c>
      <c r="N236" s="112">
        <v>214.0</v>
      </c>
      <c r="O236" s="112">
        <v>532.0</v>
      </c>
      <c r="P236" s="112">
        <v>262.0</v>
      </c>
      <c r="Q236" s="112">
        <v>666.0</v>
      </c>
      <c r="R236" s="112">
        <v>250.0</v>
      </c>
      <c r="S236" s="112">
        <v>749.0</v>
      </c>
      <c r="T236" s="112">
        <v>267.0</v>
      </c>
      <c r="U236" s="112">
        <v>944.0</v>
      </c>
      <c r="V236" s="112">
        <v>280.0</v>
      </c>
      <c r="W236" s="109">
        <v>1232.0</v>
      </c>
      <c r="X236" s="112">
        <v>452.0</v>
      </c>
      <c r="Y236" s="109">
        <v>1774.0</v>
      </c>
      <c r="Z236" s="112">
        <v>601.0</v>
      </c>
      <c r="AA236" s="109">
        <v>2345.0</v>
      </c>
      <c r="AB236" s="112">
        <v>610.0</v>
      </c>
      <c r="AC236" s="109">
        <v>2827.0</v>
      </c>
      <c r="AD236" s="112">
        <v>767.0</v>
      </c>
      <c r="AE236" s="109">
        <v>2760.0</v>
      </c>
      <c r="AF236" s="112">
        <v>779.0</v>
      </c>
      <c r="AG236" s="109">
        <v>2686.0</v>
      </c>
      <c r="AH236" s="112">
        <v>824.0</v>
      </c>
      <c r="AI236" s="109">
        <v>2386.0</v>
      </c>
      <c r="AJ236" s="112">
        <v>679.0</v>
      </c>
      <c r="AK236" s="109">
        <v>1844.0</v>
      </c>
      <c r="AL236" s="112">
        <v>672.0</v>
      </c>
      <c r="AM236" s="109">
        <v>1941.0</v>
      </c>
      <c r="AN236" s="109">
        <v>32610.0</v>
      </c>
    </row>
    <row r="237">
      <c r="A237" s="98"/>
      <c r="B237" s="111" t="s">
        <v>199</v>
      </c>
      <c r="C237" s="109">
        <v>5478.0</v>
      </c>
      <c r="D237" s="109">
        <v>2002.0</v>
      </c>
      <c r="E237" s="109">
        <v>3476.0</v>
      </c>
      <c r="F237" s="112">
        <v>54.0</v>
      </c>
      <c r="G237" s="112">
        <v>45.0</v>
      </c>
      <c r="H237" s="112">
        <v>12.0</v>
      </c>
      <c r="I237" s="112">
        <v>14.0</v>
      </c>
      <c r="J237" s="112">
        <v>6.0</v>
      </c>
      <c r="K237" s="112">
        <v>14.0</v>
      </c>
      <c r="L237" s="112">
        <v>24.0</v>
      </c>
      <c r="M237" s="112">
        <v>21.0</v>
      </c>
      <c r="N237" s="112">
        <v>23.0</v>
      </c>
      <c r="O237" s="112">
        <v>50.0</v>
      </c>
      <c r="P237" s="112">
        <v>48.0</v>
      </c>
      <c r="Q237" s="112">
        <v>83.0</v>
      </c>
      <c r="R237" s="112">
        <v>59.0</v>
      </c>
      <c r="S237" s="112">
        <v>85.0</v>
      </c>
      <c r="T237" s="112">
        <v>86.0</v>
      </c>
      <c r="U237" s="112">
        <v>139.0</v>
      </c>
      <c r="V237" s="112">
        <v>117.0</v>
      </c>
      <c r="W237" s="112">
        <v>244.0</v>
      </c>
      <c r="X237" s="112">
        <v>147.0</v>
      </c>
      <c r="Y237" s="112">
        <v>295.0</v>
      </c>
      <c r="Z237" s="112">
        <v>196.0</v>
      </c>
      <c r="AA237" s="112">
        <v>359.0</v>
      </c>
      <c r="AB237" s="112">
        <v>166.0</v>
      </c>
      <c r="AC237" s="112">
        <v>337.0</v>
      </c>
      <c r="AD237" s="112">
        <v>226.0</v>
      </c>
      <c r="AE237" s="112">
        <v>408.0</v>
      </c>
      <c r="AF237" s="112">
        <v>287.0</v>
      </c>
      <c r="AG237" s="112">
        <v>475.0</v>
      </c>
      <c r="AH237" s="112">
        <v>229.0</v>
      </c>
      <c r="AI237" s="112">
        <v>386.0</v>
      </c>
      <c r="AJ237" s="112">
        <v>170.0</v>
      </c>
      <c r="AK237" s="112">
        <v>275.0</v>
      </c>
      <c r="AL237" s="112">
        <v>152.0</v>
      </c>
      <c r="AM237" s="112">
        <v>246.0</v>
      </c>
      <c r="AN237" s="109">
        <v>5444.0</v>
      </c>
    </row>
    <row r="238">
      <c r="A238" s="98"/>
      <c r="B238" s="111" t="s">
        <v>206</v>
      </c>
      <c r="C238" s="112">
        <v>43.0</v>
      </c>
      <c r="D238" s="112">
        <v>4.0</v>
      </c>
      <c r="E238" s="112">
        <v>39.0</v>
      </c>
      <c r="F238" s="112">
        <v>4.0</v>
      </c>
      <c r="G238" s="112">
        <v>7.0</v>
      </c>
      <c r="H238" s="112">
        <v>0.0</v>
      </c>
      <c r="I238" s="112">
        <v>0.0</v>
      </c>
      <c r="J238" s="112">
        <v>0.0</v>
      </c>
      <c r="K238" s="112">
        <v>0.0</v>
      </c>
      <c r="L238" s="112">
        <v>0.0</v>
      </c>
      <c r="M238" s="112">
        <v>2.0</v>
      </c>
      <c r="N238" s="112">
        <v>0.0</v>
      </c>
      <c r="O238" s="112">
        <v>9.0</v>
      </c>
      <c r="P238" s="112">
        <v>0.0</v>
      </c>
      <c r="Q238" s="112">
        <v>7.0</v>
      </c>
      <c r="R238" s="112">
        <v>0.0</v>
      </c>
      <c r="S238" s="112">
        <v>6.0</v>
      </c>
      <c r="T238" s="112">
        <v>0.0</v>
      </c>
      <c r="U238" s="112">
        <v>5.0</v>
      </c>
      <c r="V238" s="112">
        <v>0.0</v>
      </c>
      <c r="W238" s="112">
        <v>2.0</v>
      </c>
      <c r="X238" s="112">
        <v>0.0</v>
      </c>
      <c r="Y238" s="112">
        <v>0.0</v>
      </c>
      <c r="Z238" s="112">
        <v>0.0</v>
      </c>
      <c r="AA238" s="112">
        <v>0.0</v>
      </c>
      <c r="AB238" s="112">
        <v>0.0</v>
      </c>
      <c r="AC238" s="112">
        <v>0.0</v>
      </c>
      <c r="AD238" s="112">
        <v>0.0</v>
      </c>
      <c r="AE238" s="112">
        <v>0.0</v>
      </c>
      <c r="AF238" s="112">
        <v>0.0</v>
      </c>
      <c r="AG238" s="112">
        <v>0.0</v>
      </c>
      <c r="AH238" s="112">
        <v>0.0</v>
      </c>
      <c r="AI238" s="112">
        <v>0.0</v>
      </c>
      <c r="AJ238" s="112">
        <v>0.0</v>
      </c>
      <c r="AK238" s="112">
        <v>0.0</v>
      </c>
      <c r="AL238" s="112">
        <v>0.0</v>
      </c>
      <c r="AM238" s="112">
        <v>1.0</v>
      </c>
      <c r="AN238" s="112">
        <v>41.0</v>
      </c>
    </row>
    <row r="239">
      <c r="A239" s="98"/>
      <c r="B239" s="111" t="s">
        <v>200</v>
      </c>
      <c r="C239" s="109">
        <v>6524.0</v>
      </c>
      <c r="D239" s="109">
        <v>2131.0</v>
      </c>
      <c r="E239" s="109">
        <v>4393.0</v>
      </c>
      <c r="F239" s="112">
        <v>831.0</v>
      </c>
      <c r="G239" s="112">
        <v>891.0</v>
      </c>
      <c r="H239" s="112">
        <v>253.0</v>
      </c>
      <c r="I239" s="112">
        <v>249.0</v>
      </c>
      <c r="J239" s="112">
        <v>97.0</v>
      </c>
      <c r="K239" s="112">
        <v>148.0</v>
      </c>
      <c r="L239" s="112">
        <v>63.0</v>
      </c>
      <c r="M239" s="112">
        <v>197.0</v>
      </c>
      <c r="N239" s="112">
        <v>53.0</v>
      </c>
      <c r="O239" s="112">
        <v>244.0</v>
      </c>
      <c r="P239" s="112">
        <v>69.0</v>
      </c>
      <c r="Q239" s="112">
        <v>221.0</v>
      </c>
      <c r="R239" s="112">
        <v>45.0</v>
      </c>
      <c r="S239" s="112">
        <v>197.0</v>
      </c>
      <c r="T239" s="112">
        <v>52.0</v>
      </c>
      <c r="U239" s="112">
        <v>191.0</v>
      </c>
      <c r="V239" s="112">
        <v>47.0</v>
      </c>
      <c r="W239" s="112">
        <v>154.0</v>
      </c>
      <c r="X239" s="112">
        <v>63.0</v>
      </c>
      <c r="Y239" s="112">
        <v>227.0</v>
      </c>
      <c r="Z239" s="112">
        <v>60.0</v>
      </c>
      <c r="AA239" s="112">
        <v>282.0</v>
      </c>
      <c r="AB239" s="112">
        <v>72.0</v>
      </c>
      <c r="AC239" s="112">
        <v>288.0</v>
      </c>
      <c r="AD239" s="112">
        <v>80.0</v>
      </c>
      <c r="AE239" s="112">
        <v>273.0</v>
      </c>
      <c r="AF239" s="112">
        <v>85.0</v>
      </c>
      <c r="AG239" s="112">
        <v>248.0</v>
      </c>
      <c r="AH239" s="112">
        <v>106.0</v>
      </c>
      <c r="AI239" s="112">
        <v>257.0</v>
      </c>
      <c r="AJ239" s="112">
        <v>76.0</v>
      </c>
      <c r="AK239" s="112">
        <v>168.0</v>
      </c>
      <c r="AL239" s="112">
        <v>79.0</v>
      </c>
      <c r="AM239" s="112">
        <v>158.0</v>
      </c>
      <c r="AN239" s="109">
        <v>6205.0</v>
      </c>
    </row>
    <row r="240">
      <c r="A240" s="104"/>
      <c r="B240" s="111" t="s">
        <v>201</v>
      </c>
      <c r="C240" s="109">
        <v>1088.0</v>
      </c>
      <c r="D240" s="112">
        <v>434.0</v>
      </c>
      <c r="E240" s="112">
        <v>657.0</v>
      </c>
      <c r="F240" s="112">
        <v>22.0</v>
      </c>
      <c r="G240" s="112">
        <v>29.0</v>
      </c>
      <c r="H240" s="112">
        <v>0.0</v>
      </c>
      <c r="I240" s="112">
        <v>1.0</v>
      </c>
      <c r="J240" s="112">
        <v>8.0</v>
      </c>
      <c r="K240" s="112">
        <v>9.0</v>
      </c>
      <c r="L240" s="112">
        <v>0.0</v>
      </c>
      <c r="M240" s="112">
        <v>0.0</v>
      </c>
      <c r="N240" s="112">
        <v>0.0</v>
      </c>
      <c r="O240" s="112">
        <v>0.0</v>
      </c>
      <c r="P240" s="112">
        <v>2.0</v>
      </c>
      <c r="Q240" s="112">
        <v>5.0</v>
      </c>
      <c r="R240" s="112">
        <v>3.0</v>
      </c>
      <c r="S240" s="112">
        <v>9.0</v>
      </c>
      <c r="T240" s="112">
        <v>8.0</v>
      </c>
      <c r="U240" s="112">
        <v>4.0</v>
      </c>
      <c r="V240" s="112">
        <v>10.0</v>
      </c>
      <c r="W240" s="112">
        <v>6.0</v>
      </c>
      <c r="X240" s="112">
        <v>8.0</v>
      </c>
      <c r="Y240" s="112">
        <v>22.0</v>
      </c>
      <c r="Z240" s="112">
        <v>23.0</v>
      </c>
      <c r="AA240" s="112">
        <v>33.0</v>
      </c>
      <c r="AB240" s="112">
        <v>44.0</v>
      </c>
      <c r="AC240" s="112">
        <v>49.0</v>
      </c>
      <c r="AD240" s="112">
        <v>42.0</v>
      </c>
      <c r="AE240" s="112">
        <v>59.0</v>
      </c>
      <c r="AF240" s="112">
        <v>68.0</v>
      </c>
      <c r="AG240" s="112">
        <v>73.0</v>
      </c>
      <c r="AH240" s="112">
        <v>82.0</v>
      </c>
      <c r="AI240" s="112">
        <v>112.0</v>
      </c>
      <c r="AJ240" s="112">
        <v>54.0</v>
      </c>
      <c r="AK240" s="112">
        <v>129.0</v>
      </c>
      <c r="AL240" s="112">
        <v>60.0</v>
      </c>
      <c r="AM240" s="112">
        <v>117.0</v>
      </c>
      <c r="AN240" s="109">
        <v>1091.0</v>
      </c>
    </row>
    <row r="241">
      <c r="A241" s="107" t="s">
        <v>208</v>
      </c>
      <c r="B241" s="111" t="s">
        <v>198</v>
      </c>
      <c r="C241" s="112">
        <v>21.0</v>
      </c>
      <c r="D241" s="112">
        <v>9.0</v>
      </c>
      <c r="E241" s="112">
        <v>12.0</v>
      </c>
      <c r="F241" s="112">
        <v>7.0</v>
      </c>
      <c r="G241" s="112">
        <v>9.0</v>
      </c>
      <c r="H241" s="112">
        <v>1.0</v>
      </c>
      <c r="I241" s="112">
        <v>3.0</v>
      </c>
      <c r="J241" s="112">
        <v>0.0</v>
      </c>
      <c r="K241" s="112">
        <v>0.0</v>
      </c>
      <c r="L241" s="112">
        <v>0.0</v>
      </c>
      <c r="M241" s="112">
        <v>0.0</v>
      </c>
      <c r="N241" s="112">
        <v>1.0</v>
      </c>
      <c r="O241" s="112">
        <v>0.0</v>
      </c>
      <c r="P241" s="110">
        <v>0.0</v>
      </c>
      <c r="Q241" s="110">
        <v>0.0</v>
      </c>
      <c r="R241" s="110">
        <v>0.0</v>
      </c>
      <c r="S241" s="110">
        <v>0.0</v>
      </c>
      <c r="T241" s="110">
        <v>0.0</v>
      </c>
      <c r="U241" s="110">
        <v>0.0</v>
      </c>
      <c r="V241" s="110">
        <v>0.0</v>
      </c>
      <c r="W241" s="110">
        <v>0.0</v>
      </c>
      <c r="X241" s="110">
        <v>0.0</v>
      </c>
      <c r="Y241" s="110">
        <v>0.0</v>
      </c>
      <c r="Z241" s="110">
        <v>0.0</v>
      </c>
      <c r="AA241" s="110">
        <v>0.0</v>
      </c>
      <c r="AB241" s="110">
        <v>0.0</v>
      </c>
      <c r="AC241" s="110">
        <v>0.0</v>
      </c>
      <c r="AD241" s="110">
        <v>0.0</v>
      </c>
      <c r="AE241" s="110">
        <v>0.0</v>
      </c>
      <c r="AF241" s="110">
        <v>0.0</v>
      </c>
      <c r="AG241" s="110">
        <v>0.0</v>
      </c>
      <c r="AH241" s="110">
        <v>0.0</v>
      </c>
      <c r="AI241" s="110">
        <v>0.0</v>
      </c>
      <c r="AJ241" s="110">
        <v>0.0</v>
      </c>
      <c r="AK241" s="110">
        <v>0.0</v>
      </c>
      <c r="AL241" s="110">
        <v>0.0</v>
      </c>
      <c r="AM241" s="110">
        <v>0.0</v>
      </c>
      <c r="AN241" s="112">
        <v>21.0</v>
      </c>
    </row>
    <row r="242">
      <c r="A242" s="98"/>
      <c r="B242" s="111" t="s">
        <v>199</v>
      </c>
      <c r="C242" s="112">
        <v>31.0</v>
      </c>
      <c r="D242" s="112">
        <v>21.0</v>
      </c>
      <c r="E242" s="112">
        <v>10.0</v>
      </c>
      <c r="F242" s="112">
        <v>17.0</v>
      </c>
      <c r="G242" s="112">
        <v>6.0</v>
      </c>
      <c r="H242" s="112">
        <v>3.0</v>
      </c>
      <c r="I242" s="112">
        <v>3.0</v>
      </c>
      <c r="J242" s="112">
        <v>0.0</v>
      </c>
      <c r="K242" s="112">
        <v>0.0</v>
      </c>
      <c r="L242" s="112">
        <v>1.0</v>
      </c>
      <c r="M242" s="112">
        <v>0.0</v>
      </c>
      <c r="N242" s="112">
        <v>0.0</v>
      </c>
      <c r="O242" s="112">
        <v>1.0</v>
      </c>
      <c r="P242" s="110">
        <v>0.0</v>
      </c>
      <c r="Q242" s="110">
        <v>0.0</v>
      </c>
      <c r="R242" s="110">
        <v>0.0</v>
      </c>
      <c r="S242" s="110">
        <v>0.0</v>
      </c>
      <c r="T242" s="110">
        <v>0.0</v>
      </c>
      <c r="U242" s="110">
        <v>0.0</v>
      </c>
      <c r="V242" s="110">
        <v>0.0</v>
      </c>
      <c r="W242" s="110">
        <v>0.0</v>
      </c>
      <c r="X242" s="110">
        <v>0.0</v>
      </c>
      <c r="Y242" s="110">
        <v>0.0</v>
      </c>
      <c r="Z242" s="110">
        <v>0.0</v>
      </c>
      <c r="AA242" s="110">
        <v>0.0</v>
      </c>
      <c r="AB242" s="110">
        <v>0.0</v>
      </c>
      <c r="AC242" s="110">
        <v>0.0</v>
      </c>
      <c r="AD242" s="110">
        <v>0.0</v>
      </c>
      <c r="AE242" s="110">
        <v>0.0</v>
      </c>
      <c r="AF242" s="110">
        <v>0.0</v>
      </c>
      <c r="AG242" s="110">
        <v>0.0</v>
      </c>
      <c r="AH242" s="110">
        <v>0.0</v>
      </c>
      <c r="AI242" s="110">
        <v>0.0</v>
      </c>
      <c r="AJ242" s="110">
        <v>0.0</v>
      </c>
      <c r="AK242" s="110">
        <v>0.0</v>
      </c>
      <c r="AL242" s="110">
        <v>0.0</v>
      </c>
      <c r="AM242" s="110">
        <v>0.0</v>
      </c>
      <c r="AN242" s="112">
        <v>27.0</v>
      </c>
    </row>
    <row r="243">
      <c r="A243" s="98"/>
      <c r="B243" s="111" t="s">
        <v>206</v>
      </c>
      <c r="C243" s="112">
        <v>0.0</v>
      </c>
      <c r="D243" s="112">
        <v>0.0</v>
      </c>
      <c r="E243" s="112">
        <v>0.0</v>
      </c>
      <c r="F243" s="112">
        <v>0.0</v>
      </c>
      <c r="G243" s="112">
        <v>0.0</v>
      </c>
      <c r="H243" s="112">
        <v>0.0</v>
      </c>
      <c r="I243" s="112">
        <v>0.0</v>
      </c>
      <c r="J243" s="112">
        <v>0.0</v>
      </c>
      <c r="K243" s="112">
        <v>0.0</v>
      </c>
      <c r="L243" s="112">
        <v>0.0</v>
      </c>
      <c r="M243" s="112">
        <v>0.0</v>
      </c>
      <c r="N243" s="112">
        <v>0.0</v>
      </c>
      <c r="O243" s="112">
        <v>0.0</v>
      </c>
      <c r="P243" s="110">
        <v>0.0</v>
      </c>
      <c r="Q243" s="110">
        <v>0.0</v>
      </c>
      <c r="R243" s="110">
        <v>0.0</v>
      </c>
      <c r="S243" s="110">
        <v>0.0</v>
      </c>
      <c r="T243" s="110">
        <v>0.0</v>
      </c>
      <c r="U243" s="110">
        <v>0.0</v>
      </c>
      <c r="V243" s="110">
        <v>0.0</v>
      </c>
      <c r="W243" s="110">
        <v>0.0</v>
      </c>
      <c r="X243" s="110">
        <v>0.0</v>
      </c>
      <c r="Y243" s="110">
        <v>0.0</v>
      </c>
      <c r="Z243" s="110">
        <v>0.0</v>
      </c>
      <c r="AA243" s="110">
        <v>0.0</v>
      </c>
      <c r="AB243" s="110">
        <v>0.0</v>
      </c>
      <c r="AC243" s="110">
        <v>0.0</v>
      </c>
      <c r="AD243" s="110">
        <v>0.0</v>
      </c>
      <c r="AE243" s="110">
        <v>0.0</v>
      </c>
      <c r="AF243" s="110">
        <v>0.0</v>
      </c>
      <c r="AG243" s="110">
        <v>0.0</v>
      </c>
      <c r="AH243" s="110">
        <v>0.0</v>
      </c>
      <c r="AI243" s="110">
        <v>0.0</v>
      </c>
      <c r="AJ243" s="110">
        <v>0.0</v>
      </c>
      <c r="AK243" s="110">
        <v>0.0</v>
      </c>
      <c r="AL243" s="110">
        <v>0.0</v>
      </c>
      <c r="AM243" s="110">
        <v>0.0</v>
      </c>
      <c r="AN243" s="112">
        <v>0.0</v>
      </c>
    </row>
    <row r="244">
      <c r="A244" s="98"/>
      <c r="B244" s="111" t="s">
        <v>200</v>
      </c>
      <c r="C244" s="112">
        <v>31.0</v>
      </c>
      <c r="D244" s="112">
        <v>11.0</v>
      </c>
      <c r="E244" s="112">
        <v>20.0</v>
      </c>
      <c r="F244" s="112">
        <v>8.0</v>
      </c>
      <c r="G244" s="112">
        <v>13.0</v>
      </c>
      <c r="H244" s="112">
        <v>3.0</v>
      </c>
      <c r="I244" s="112">
        <v>1.0</v>
      </c>
      <c r="J244" s="112">
        <v>0.0</v>
      </c>
      <c r="K244" s="112">
        <v>3.0</v>
      </c>
      <c r="L244" s="112">
        <v>0.0</v>
      </c>
      <c r="M244" s="112">
        <v>1.0</v>
      </c>
      <c r="N244" s="112">
        <v>0.0</v>
      </c>
      <c r="O244" s="112">
        <v>2.0</v>
      </c>
      <c r="P244" s="110">
        <v>0.0</v>
      </c>
      <c r="Q244" s="110">
        <v>0.0</v>
      </c>
      <c r="R244" s="110">
        <v>0.0</v>
      </c>
      <c r="S244" s="110">
        <v>0.0</v>
      </c>
      <c r="T244" s="110">
        <v>0.0</v>
      </c>
      <c r="U244" s="110">
        <v>0.0</v>
      </c>
      <c r="V244" s="110">
        <v>0.0</v>
      </c>
      <c r="W244" s="110">
        <v>0.0</v>
      </c>
      <c r="X244" s="110">
        <v>0.0</v>
      </c>
      <c r="Y244" s="110">
        <v>0.0</v>
      </c>
      <c r="Z244" s="110">
        <v>0.0</v>
      </c>
      <c r="AA244" s="110">
        <v>0.0</v>
      </c>
      <c r="AB244" s="110">
        <v>0.0</v>
      </c>
      <c r="AC244" s="110">
        <v>0.0</v>
      </c>
      <c r="AD244" s="110">
        <v>0.0</v>
      </c>
      <c r="AE244" s="110">
        <v>0.0</v>
      </c>
      <c r="AF244" s="110">
        <v>0.0</v>
      </c>
      <c r="AG244" s="110">
        <v>0.0</v>
      </c>
      <c r="AH244" s="110">
        <v>0.0</v>
      </c>
      <c r="AI244" s="110">
        <v>0.0</v>
      </c>
      <c r="AJ244" s="110">
        <v>0.0</v>
      </c>
      <c r="AK244" s="110">
        <v>0.0</v>
      </c>
      <c r="AL244" s="110">
        <v>0.0</v>
      </c>
      <c r="AM244" s="110">
        <v>0.0</v>
      </c>
      <c r="AN244" s="112">
        <v>30.0</v>
      </c>
    </row>
    <row r="245">
      <c r="A245" s="104"/>
      <c r="B245" s="111" t="s">
        <v>201</v>
      </c>
      <c r="C245" s="112">
        <v>0.0</v>
      </c>
      <c r="D245" s="112">
        <v>0.0</v>
      </c>
      <c r="E245" s="112">
        <v>0.0</v>
      </c>
      <c r="F245" s="112">
        <v>0.0</v>
      </c>
      <c r="G245" s="112">
        <v>0.0</v>
      </c>
      <c r="H245" s="112">
        <v>0.0</v>
      </c>
      <c r="I245" s="112">
        <v>0.0</v>
      </c>
      <c r="J245" s="112">
        <v>0.0</v>
      </c>
      <c r="K245" s="112">
        <v>0.0</v>
      </c>
      <c r="L245" s="112">
        <v>0.0</v>
      </c>
      <c r="M245" s="112">
        <v>0.0</v>
      </c>
      <c r="N245" s="112">
        <v>0.0</v>
      </c>
      <c r="O245" s="112">
        <v>0.0</v>
      </c>
      <c r="P245" s="110">
        <v>0.0</v>
      </c>
      <c r="Q245" s="110">
        <v>0.0</v>
      </c>
      <c r="R245" s="110">
        <v>0.0</v>
      </c>
      <c r="S245" s="110">
        <v>0.0</v>
      </c>
      <c r="T245" s="110">
        <v>0.0</v>
      </c>
      <c r="U245" s="110">
        <v>0.0</v>
      </c>
      <c r="V245" s="110">
        <v>0.0</v>
      </c>
      <c r="W245" s="110">
        <v>0.0</v>
      </c>
      <c r="X245" s="110">
        <v>0.0</v>
      </c>
      <c r="Y245" s="110">
        <v>0.0</v>
      </c>
      <c r="Z245" s="110">
        <v>0.0</v>
      </c>
      <c r="AA245" s="110">
        <v>0.0</v>
      </c>
      <c r="AB245" s="110">
        <v>0.0</v>
      </c>
      <c r="AC245" s="110">
        <v>0.0</v>
      </c>
      <c r="AD245" s="110">
        <v>0.0</v>
      </c>
      <c r="AE245" s="110">
        <v>0.0</v>
      </c>
      <c r="AF245" s="110">
        <v>0.0</v>
      </c>
      <c r="AG245" s="110">
        <v>0.0</v>
      </c>
      <c r="AH245" s="110">
        <v>0.0</v>
      </c>
      <c r="AI245" s="110">
        <v>0.0</v>
      </c>
      <c r="AJ245" s="110">
        <v>0.0</v>
      </c>
      <c r="AK245" s="110">
        <v>0.0</v>
      </c>
      <c r="AL245" s="110">
        <v>0.0</v>
      </c>
      <c r="AM245" s="110">
        <v>0.0</v>
      </c>
      <c r="AN245" s="112">
        <v>0.0</v>
      </c>
    </row>
    <row r="246">
      <c r="A246" s="113" t="s">
        <v>218</v>
      </c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</row>
    <row r="247">
      <c r="A247" s="107" t="s">
        <v>197</v>
      </c>
      <c r="B247" s="108" t="s">
        <v>198</v>
      </c>
      <c r="C247" s="109">
        <v>184768.0</v>
      </c>
      <c r="D247" s="109">
        <v>67771.0</v>
      </c>
      <c r="E247" s="109">
        <v>116997.0</v>
      </c>
      <c r="F247" s="110">
        <v>0.0</v>
      </c>
      <c r="G247" s="110">
        <v>0.0</v>
      </c>
      <c r="H247" s="110">
        <v>0.0</v>
      </c>
      <c r="I247" s="110">
        <v>0.0</v>
      </c>
      <c r="J247" s="110">
        <v>0.0</v>
      </c>
      <c r="K247" s="110">
        <v>0.0</v>
      </c>
      <c r="L247" s="112">
        <v>132.0</v>
      </c>
      <c r="M247" s="112">
        <v>150.0</v>
      </c>
      <c r="N247" s="112">
        <v>182.0</v>
      </c>
      <c r="O247" s="112">
        <v>361.0</v>
      </c>
      <c r="P247" s="112">
        <v>373.0</v>
      </c>
      <c r="Q247" s="112">
        <v>740.0</v>
      </c>
      <c r="R247" s="112">
        <v>575.0</v>
      </c>
      <c r="S247" s="109">
        <v>1289.0</v>
      </c>
      <c r="T247" s="109">
        <v>1097.0</v>
      </c>
      <c r="U247" s="109">
        <v>2352.0</v>
      </c>
      <c r="V247" s="109">
        <v>2106.0</v>
      </c>
      <c r="W247" s="109">
        <v>4216.0</v>
      </c>
      <c r="X247" s="109">
        <v>3615.0</v>
      </c>
      <c r="Y247" s="109">
        <v>7036.0</v>
      </c>
      <c r="Z247" s="109">
        <v>6168.0</v>
      </c>
      <c r="AA247" s="109">
        <v>12294.0</v>
      </c>
      <c r="AB247" s="109">
        <v>8220.0</v>
      </c>
      <c r="AC247" s="109">
        <v>14698.0</v>
      </c>
      <c r="AD247" s="109">
        <v>8914.0</v>
      </c>
      <c r="AE247" s="109">
        <v>16112.0</v>
      </c>
      <c r="AF247" s="109">
        <v>10594.0</v>
      </c>
      <c r="AG247" s="109">
        <v>16819.0</v>
      </c>
      <c r="AH247" s="109">
        <v>10204.0</v>
      </c>
      <c r="AI247" s="109">
        <v>15524.0</v>
      </c>
      <c r="AJ247" s="109">
        <v>7904.0</v>
      </c>
      <c r="AK247" s="109">
        <v>11999.0</v>
      </c>
      <c r="AL247" s="109">
        <v>7661.0</v>
      </c>
      <c r="AM247" s="109">
        <v>13433.0</v>
      </c>
      <c r="AN247" s="109">
        <v>182186.0</v>
      </c>
    </row>
    <row r="248">
      <c r="A248" s="98"/>
      <c r="B248" s="111" t="s">
        <v>199</v>
      </c>
      <c r="C248" s="109">
        <v>90061.0</v>
      </c>
      <c r="D248" s="109">
        <v>31951.0</v>
      </c>
      <c r="E248" s="109">
        <v>58110.0</v>
      </c>
      <c r="F248" s="110">
        <v>0.0</v>
      </c>
      <c r="G248" s="110">
        <v>0.0</v>
      </c>
      <c r="H248" s="110">
        <v>0.0</v>
      </c>
      <c r="I248" s="110">
        <v>0.0</v>
      </c>
      <c r="J248" s="110">
        <v>0.0</v>
      </c>
      <c r="K248" s="110">
        <v>0.0</v>
      </c>
      <c r="L248" s="112">
        <v>42.0</v>
      </c>
      <c r="M248" s="112">
        <v>39.0</v>
      </c>
      <c r="N248" s="112">
        <v>70.0</v>
      </c>
      <c r="O248" s="112">
        <v>131.0</v>
      </c>
      <c r="P248" s="112">
        <v>129.0</v>
      </c>
      <c r="Q248" s="112">
        <v>204.0</v>
      </c>
      <c r="R248" s="112">
        <v>196.0</v>
      </c>
      <c r="S248" s="112">
        <v>405.0</v>
      </c>
      <c r="T248" s="112">
        <v>415.0</v>
      </c>
      <c r="U248" s="112">
        <v>828.0</v>
      </c>
      <c r="V248" s="112">
        <v>795.0</v>
      </c>
      <c r="W248" s="109">
        <v>1610.0</v>
      </c>
      <c r="X248" s="109">
        <v>1361.0</v>
      </c>
      <c r="Y248" s="109">
        <v>2951.0</v>
      </c>
      <c r="Z248" s="109">
        <v>2534.0</v>
      </c>
      <c r="AA248" s="109">
        <v>5342.0</v>
      </c>
      <c r="AB248" s="109">
        <v>3410.0</v>
      </c>
      <c r="AC248" s="109">
        <v>6680.0</v>
      </c>
      <c r="AD248" s="109">
        <v>3794.0</v>
      </c>
      <c r="AE248" s="109">
        <v>7556.0</v>
      </c>
      <c r="AF248" s="109">
        <v>5382.0</v>
      </c>
      <c r="AG248" s="109">
        <v>9317.0</v>
      </c>
      <c r="AH248" s="109">
        <v>5416.0</v>
      </c>
      <c r="AI248" s="109">
        <v>8649.0</v>
      </c>
      <c r="AJ248" s="109">
        <v>4354.0</v>
      </c>
      <c r="AK248" s="109">
        <v>6891.0</v>
      </c>
      <c r="AL248" s="109">
        <v>4045.0</v>
      </c>
      <c r="AM248" s="109">
        <v>7515.0</v>
      </c>
      <c r="AN248" s="109">
        <v>89172.0</v>
      </c>
    </row>
    <row r="249">
      <c r="A249" s="98"/>
      <c r="B249" s="111" t="s">
        <v>200</v>
      </c>
      <c r="C249" s="109">
        <v>81600.0</v>
      </c>
      <c r="D249" s="109">
        <v>27473.0</v>
      </c>
      <c r="E249" s="109">
        <v>54127.0</v>
      </c>
      <c r="F249" s="110">
        <v>0.0</v>
      </c>
      <c r="G249" s="110">
        <v>0.0</v>
      </c>
      <c r="H249" s="110">
        <v>0.0</v>
      </c>
      <c r="I249" s="110">
        <v>0.0</v>
      </c>
      <c r="J249" s="110">
        <v>0.0</v>
      </c>
      <c r="K249" s="110">
        <v>0.0</v>
      </c>
      <c r="L249" s="112">
        <v>65.0</v>
      </c>
      <c r="M249" s="112">
        <v>120.0</v>
      </c>
      <c r="N249" s="112">
        <v>98.0</v>
      </c>
      <c r="O249" s="112">
        <v>256.0</v>
      </c>
      <c r="P249" s="112">
        <v>145.0</v>
      </c>
      <c r="Q249" s="112">
        <v>481.0</v>
      </c>
      <c r="R249" s="112">
        <v>267.0</v>
      </c>
      <c r="S249" s="112">
        <v>653.0</v>
      </c>
      <c r="T249" s="112">
        <v>488.0</v>
      </c>
      <c r="U249" s="109">
        <v>1144.0</v>
      </c>
      <c r="V249" s="112">
        <v>926.0</v>
      </c>
      <c r="W249" s="109">
        <v>2070.0</v>
      </c>
      <c r="X249" s="109">
        <v>1403.0</v>
      </c>
      <c r="Y249" s="109">
        <v>3590.0</v>
      </c>
      <c r="Z249" s="109">
        <v>2592.0</v>
      </c>
      <c r="AA249" s="109">
        <v>5884.0</v>
      </c>
      <c r="AB249" s="109">
        <v>3367.0</v>
      </c>
      <c r="AC249" s="109">
        <v>7123.0</v>
      </c>
      <c r="AD249" s="109">
        <v>3536.0</v>
      </c>
      <c r="AE249" s="109">
        <v>7349.0</v>
      </c>
      <c r="AF249" s="109">
        <v>4202.0</v>
      </c>
      <c r="AG249" s="109">
        <v>7564.0</v>
      </c>
      <c r="AH249" s="109">
        <v>4156.0</v>
      </c>
      <c r="AI249" s="109">
        <v>7054.0</v>
      </c>
      <c r="AJ249" s="109">
        <v>3148.0</v>
      </c>
      <c r="AK249" s="109">
        <v>5125.0</v>
      </c>
      <c r="AL249" s="109">
        <v>3071.0</v>
      </c>
      <c r="AM249" s="109">
        <v>5723.0</v>
      </c>
      <c r="AN249" s="109">
        <v>80040.0</v>
      </c>
    </row>
    <row r="250">
      <c r="A250" s="104"/>
      <c r="B250" s="111" t="s">
        <v>201</v>
      </c>
      <c r="C250" s="109">
        <v>4586.0</v>
      </c>
      <c r="D250" s="109">
        <v>1688.0</v>
      </c>
      <c r="E250" s="109">
        <v>2898.0</v>
      </c>
      <c r="F250" s="110">
        <v>0.0</v>
      </c>
      <c r="G250" s="110">
        <v>0.0</v>
      </c>
      <c r="H250" s="110">
        <v>0.0</v>
      </c>
      <c r="I250" s="110">
        <v>0.0</v>
      </c>
      <c r="J250" s="110">
        <v>0.0</v>
      </c>
      <c r="K250" s="110">
        <v>0.0</v>
      </c>
      <c r="L250" s="112">
        <v>20.0</v>
      </c>
      <c r="M250" s="112">
        <v>34.0</v>
      </c>
      <c r="N250" s="112">
        <v>31.0</v>
      </c>
      <c r="O250" s="112">
        <v>30.0</v>
      </c>
      <c r="P250" s="112">
        <v>20.0</v>
      </c>
      <c r="Q250" s="112">
        <v>28.0</v>
      </c>
      <c r="R250" s="112">
        <v>17.0</v>
      </c>
      <c r="S250" s="112">
        <v>32.0</v>
      </c>
      <c r="T250" s="112">
        <v>48.0</v>
      </c>
      <c r="U250" s="112">
        <v>80.0</v>
      </c>
      <c r="V250" s="112">
        <v>62.0</v>
      </c>
      <c r="W250" s="112">
        <v>160.0</v>
      </c>
      <c r="X250" s="112">
        <v>99.0</v>
      </c>
      <c r="Y250" s="112">
        <v>197.0</v>
      </c>
      <c r="Z250" s="112">
        <v>156.0</v>
      </c>
      <c r="AA250" s="112">
        <v>246.0</v>
      </c>
      <c r="AB250" s="112">
        <v>138.0</v>
      </c>
      <c r="AC250" s="112">
        <v>278.0</v>
      </c>
      <c r="AD250" s="112">
        <v>201.0</v>
      </c>
      <c r="AE250" s="112">
        <v>404.0</v>
      </c>
      <c r="AF250" s="112">
        <v>314.0</v>
      </c>
      <c r="AG250" s="112">
        <v>421.0</v>
      </c>
      <c r="AH250" s="112">
        <v>258.0</v>
      </c>
      <c r="AI250" s="112">
        <v>453.0</v>
      </c>
      <c r="AJ250" s="112">
        <v>168.0</v>
      </c>
      <c r="AK250" s="112">
        <v>238.0</v>
      </c>
      <c r="AL250" s="112">
        <v>151.0</v>
      </c>
      <c r="AM250" s="112">
        <v>302.0</v>
      </c>
      <c r="AN250" s="109">
        <v>4582.0</v>
      </c>
    </row>
    <row r="251">
      <c r="A251" s="107" t="s">
        <v>202</v>
      </c>
      <c r="B251" s="111" t="s">
        <v>198</v>
      </c>
      <c r="C251" s="112">
        <v>760.0</v>
      </c>
      <c r="D251" s="112">
        <v>416.0</v>
      </c>
      <c r="E251" s="112">
        <v>344.0</v>
      </c>
      <c r="F251" s="112">
        <v>22.0</v>
      </c>
      <c r="G251" s="112">
        <v>26.0</v>
      </c>
      <c r="H251" s="112">
        <v>13.0</v>
      </c>
      <c r="I251" s="112">
        <v>20.0</v>
      </c>
      <c r="J251" s="112">
        <v>22.0</v>
      </c>
      <c r="K251" s="112">
        <v>22.0</v>
      </c>
      <c r="L251" s="112">
        <v>9.0</v>
      </c>
      <c r="M251" s="112">
        <v>13.0</v>
      </c>
      <c r="N251" s="112">
        <v>15.0</v>
      </c>
      <c r="O251" s="112">
        <v>23.0</v>
      </c>
      <c r="P251" s="112">
        <v>41.0</v>
      </c>
      <c r="Q251" s="112">
        <v>24.0</v>
      </c>
      <c r="R251" s="112">
        <v>37.0</v>
      </c>
      <c r="S251" s="112">
        <v>30.0</v>
      </c>
      <c r="T251" s="112">
        <v>39.0</v>
      </c>
      <c r="U251" s="112">
        <v>21.0</v>
      </c>
      <c r="V251" s="112">
        <v>53.0</v>
      </c>
      <c r="W251" s="112">
        <v>12.0</v>
      </c>
      <c r="X251" s="112">
        <v>25.0</v>
      </c>
      <c r="Y251" s="112">
        <v>12.0</v>
      </c>
      <c r="Z251" s="112">
        <v>30.0</v>
      </c>
      <c r="AA251" s="112">
        <v>39.0</v>
      </c>
      <c r="AB251" s="112">
        <v>41.0</v>
      </c>
      <c r="AC251" s="112">
        <v>19.0</v>
      </c>
      <c r="AD251" s="112">
        <v>16.0</v>
      </c>
      <c r="AE251" s="112">
        <v>19.0</v>
      </c>
      <c r="AF251" s="112">
        <v>12.0</v>
      </c>
      <c r="AG251" s="112">
        <v>23.0</v>
      </c>
      <c r="AH251" s="112">
        <v>19.0</v>
      </c>
      <c r="AI251" s="112">
        <v>28.0</v>
      </c>
      <c r="AJ251" s="112">
        <v>10.0</v>
      </c>
      <c r="AK251" s="112">
        <v>11.0</v>
      </c>
      <c r="AL251" s="112">
        <v>12.0</v>
      </c>
      <c r="AM251" s="112">
        <v>2.0</v>
      </c>
      <c r="AN251" s="112">
        <v>740.0</v>
      </c>
    </row>
    <row r="252">
      <c r="A252" s="104"/>
      <c r="B252" s="111" t="s">
        <v>199</v>
      </c>
      <c r="C252" s="112">
        <v>946.0</v>
      </c>
      <c r="D252" s="112">
        <v>481.0</v>
      </c>
      <c r="E252" s="112">
        <v>465.0</v>
      </c>
      <c r="F252" s="112">
        <v>14.0</v>
      </c>
      <c r="G252" s="112">
        <v>10.0</v>
      </c>
      <c r="H252" s="112">
        <v>19.0</v>
      </c>
      <c r="I252" s="112">
        <v>8.0</v>
      </c>
      <c r="J252" s="112">
        <v>18.0</v>
      </c>
      <c r="K252" s="112">
        <v>27.0</v>
      </c>
      <c r="L252" s="112">
        <v>6.0</v>
      </c>
      <c r="M252" s="112">
        <v>21.0</v>
      </c>
      <c r="N252" s="112">
        <v>63.0</v>
      </c>
      <c r="O252" s="112">
        <v>80.0</v>
      </c>
      <c r="P252" s="112">
        <v>31.0</v>
      </c>
      <c r="Q252" s="112">
        <v>22.0</v>
      </c>
      <c r="R252" s="112">
        <v>27.0</v>
      </c>
      <c r="S252" s="112">
        <v>48.0</v>
      </c>
      <c r="T252" s="112">
        <v>48.0</v>
      </c>
      <c r="U252" s="112">
        <v>10.0</v>
      </c>
      <c r="V252" s="112">
        <v>48.0</v>
      </c>
      <c r="W252" s="112">
        <v>6.0</v>
      </c>
      <c r="X252" s="112">
        <v>82.0</v>
      </c>
      <c r="Y252" s="112">
        <v>15.0</v>
      </c>
      <c r="Z252" s="112">
        <v>15.0</v>
      </c>
      <c r="AA252" s="112">
        <v>17.0</v>
      </c>
      <c r="AB252" s="112">
        <v>28.0</v>
      </c>
      <c r="AC252" s="112">
        <v>16.0</v>
      </c>
      <c r="AD252" s="112">
        <v>25.0</v>
      </c>
      <c r="AE252" s="112">
        <v>72.0</v>
      </c>
      <c r="AF252" s="112">
        <v>17.0</v>
      </c>
      <c r="AG252" s="112">
        <v>25.0</v>
      </c>
      <c r="AH252" s="112">
        <v>16.0</v>
      </c>
      <c r="AI252" s="112">
        <v>41.0</v>
      </c>
      <c r="AJ252" s="112">
        <v>7.0</v>
      </c>
      <c r="AK252" s="112">
        <v>42.0</v>
      </c>
      <c r="AL252" s="112">
        <v>17.0</v>
      </c>
      <c r="AM252" s="112">
        <v>5.0</v>
      </c>
      <c r="AN252" s="112">
        <v>919.0</v>
      </c>
    </row>
    <row r="253">
      <c r="A253" s="107" t="s">
        <v>203</v>
      </c>
      <c r="B253" s="111" t="s">
        <v>198</v>
      </c>
      <c r="C253" s="112">
        <v>65.0</v>
      </c>
      <c r="D253" s="112">
        <v>24.0</v>
      </c>
      <c r="E253" s="112">
        <v>41.0</v>
      </c>
      <c r="F253" s="110">
        <v>0.0</v>
      </c>
      <c r="G253" s="110">
        <v>0.0</v>
      </c>
      <c r="H253" s="110">
        <v>0.0</v>
      </c>
      <c r="I253" s="110">
        <v>0.0</v>
      </c>
      <c r="J253" s="110">
        <v>0.0</v>
      </c>
      <c r="K253" s="110">
        <v>0.0</v>
      </c>
      <c r="L253" s="110">
        <v>0.0</v>
      </c>
      <c r="M253" s="110">
        <v>0.0</v>
      </c>
      <c r="N253" s="110">
        <v>0.0</v>
      </c>
      <c r="O253" s="110">
        <v>0.0</v>
      </c>
      <c r="P253" s="110">
        <v>0.0</v>
      </c>
      <c r="Q253" s="110">
        <v>0.0</v>
      </c>
      <c r="R253" s="110">
        <v>0.0</v>
      </c>
      <c r="S253" s="110">
        <v>0.0</v>
      </c>
      <c r="T253" s="110">
        <v>0.0</v>
      </c>
      <c r="U253" s="110">
        <v>0.0</v>
      </c>
      <c r="V253" s="110">
        <v>0.0</v>
      </c>
      <c r="W253" s="110">
        <v>0.0</v>
      </c>
      <c r="X253" s="110">
        <v>0.0</v>
      </c>
      <c r="Y253" s="110">
        <v>0.0</v>
      </c>
      <c r="Z253" s="110">
        <v>0.0</v>
      </c>
      <c r="AA253" s="110">
        <v>0.0</v>
      </c>
      <c r="AB253" s="110">
        <v>0.0</v>
      </c>
      <c r="AC253" s="110">
        <v>0.0</v>
      </c>
      <c r="AD253" s="110">
        <v>0.0</v>
      </c>
      <c r="AE253" s="110">
        <v>0.0</v>
      </c>
      <c r="AF253" s="112">
        <v>11.0</v>
      </c>
      <c r="AG253" s="112">
        <v>19.0</v>
      </c>
      <c r="AH253" s="112">
        <v>4.0</v>
      </c>
      <c r="AI253" s="112">
        <v>6.0</v>
      </c>
      <c r="AJ253" s="112">
        <v>3.0</v>
      </c>
      <c r="AK253" s="112">
        <v>5.0</v>
      </c>
      <c r="AL253" s="112">
        <v>6.0</v>
      </c>
      <c r="AM253" s="112">
        <v>11.0</v>
      </c>
      <c r="AN253" s="112">
        <v>65.0</v>
      </c>
    </row>
    <row r="254">
      <c r="A254" s="104"/>
      <c r="B254" s="111" t="s">
        <v>199</v>
      </c>
      <c r="C254" s="109">
        <v>1849.0</v>
      </c>
      <c r="D254" s="112">
        <v>710.0</v>
      </c>
      <c r="E254" s="109">
        <v>1139.0</v>
      </c>
      <c r="F254" s="110">
        <v>0.0</v>
      </c>
      <c r="G254" s="110">
        <v>0.0</v>
      </c>
      <c r="H254" s="110">
        <v>0.0</v>
      </c>
      <c r="I254" s="110">
        <v>0.0</v>
      </c>
      <c r="J254" s="110">
        <v>0.0</v>
      </c>
      <c r="K254" s="110">
        <v>0.0</v>
      </c>
      <c r="L254" s="110">
        <v>0.0</v>
      </c>
      <c r="M254" s="110">
        <v>0.0</v>
      </c>
      <c r="N254" s="110">
        <v>0.0</v>
      </c>
      <c r="O254" s="110">
        <v>0.0</v>
      </c>
      <c r="P254" s="110">
        <v>0.0</v>
      </c>
      <c r="Q254" s="110">
        <v>0.0</v>
      </c>
      <c r="R254" s="110">
        <v>0.0</v>
      </c>
      <c r="S254" s="110">
        <v>0.0</v>
      </c>
      <c r="T254" s="110">
        <v>0.0</v>
      </c>
      <c r="U254" s="110">
        <v>0.0</v>
      </c>
      <c r="V254" s="110">
        <v>0.0</v>
      </c>
      <c r="W254" s="110">
        <v>0.0</v>
      </c>
      <c r="X254" s="110">
        <v>0.0</v>
      </c>
      <c r="Y254" s="110">
        <v>0.0</v>
      </c>
      <c r="Z254" s="110">
        <v>0.0</v>
      </c>
      <c r="AA254" s="110">
        <v>0.0</v>
      </c>
      <c r="AB254" s="110">
        <v>0.0</v>
      </c>
      <c r="AC254" s="110">
        <v>0.0</v>
      </c>
      <c r="AD254" s="110">
        <v>0.0</v>
      </c>
      <c r="AE254" s="110">
        <v>0.0</v>
      </c>
      <c r="AF254" s="112">
        <v>232.0</v>
      </c>
      <c r="AG254" s="112">
        <v>394.0</v>
      </c>
      <c r="AH254" s="112">
        <v>193.0</v>
      </c>
      <c r="AI254" s="112">
        <v>367.0</v>
      </c>
      <c r="AJ254" s="112">
        <v>160.0</v>
      </c>
      <c r="AK254" s="112">
        <v>224.0</v>
      </c>
      <c r="AL254" s="112">
        <v>125.0</v>
      </c>
      <c r="AM254" s="112">
        <v>154.0</v>
      </c>
      <c r="AN254" s="109">
        <v>1820.0</v>
      </c>
    </row>
    <row r="255">
      <c r="A255" s="107" t="s">
        <v>204</v>
      </c>
      <c r="B255" s="111" t="s">
        <v>198</v>
      </c>
      <c r="C255" s="112">
        <v>17.0</v>
      </c>
      <c r="D255" s="112">
        <v>3.0</v>
      </c>
      <c r="E255" s="112">
        <v>14.0</v>
      </c>
      <c r="F255" s="110">
        <v>0.0</v>
      </c>
      <c r="G255" s="110">
        <v>0.0</v>
      </c>
      <c r="H255" s="110">
        <v>0.0</v>
      </c>
      <c r="I255" s="110">
        <v>0.0</v>
      </c>
      <c r="J255" s="110">
        <v>0.0</v>
      </c>
      <c r="K255" s="110">
        <v>0.0</v>
      </c>
      <c r="L255" s="110">
        <v>0.0</v>
      </c>
      <c r="M255" s="110">
        <v>0.0</v>
      </c>
      <c r="N255" s="110">
        <v>0.0</v>
      </c>
      <c r="O255" s="110">
        <v>0.0</v>
      </c>
      <c r="P255" s="110">
        <v>0.0</v>
      </c>
      <c r="Q255" s="110">
        <v>0.0</v>
      </c>
      <c r="R255" s="110">
        <v>0.0</v>
      </c>
      <c r="S255" s="110">
        <v>0.0</v>
      </c>
      <c r="T255" s="110">
        <v>0.0</v>
      </c>
      <c r="U255" s="110">
        <v>0.0</v>
      </c>
      <c r="V255" s="110">
        <v>0.0</v>
      </c>
      <c r="W255" s="110">
        <v>0.0</v>
      </c>
      <c r="X255" s="110">
        <v>0.0</v>
      </c>
      <c r="Y255" s="110">
        <v>0.0</v>
      </c>
      <c r="Z255" s="110">
        <v>0.0</v>
      </c>
      <c r="AA255" s="110">
        <v>0.0</v>
      </c>
      <c r="AB255" s="110">
        <v>0.0</v>
      </c>
      <c r="AC255" s="110">
        <v>0.0</v>
      </c>
      <c r="AD255" s="110">
        <v>0.0</v>
      </c>
      <c r="AE255" s="110">
        <v>0.0</v>
      </c>
      <c r="AF255" s="112">
        <v>1.0</v>
      </c>
      <c r="AG255" s="112">
        <v>3.0</v>
      </c>
      <c r="AH255" s="112">
        <v>1.0</v>
      </c>
      <c r="AI255" s="112">
        <v>1.0</v>
      </c>
      <c r="AJ255" s="112">
        <v>0.0</v>
      </c>
      <c r="AK255" s="112">
        <v>3.0</v>
      </c>
      <c r="AL255" s="112">
        <v>1.0</v>
      </c>
      <c r="AM255" s="112">
        <v>7.0</v>
      </c>
      <c r="AN255" s="112">
        <v>14.0</v>
      </c>
    </row>
    <row r="256">
      <c r="A256" s="104"/>
      <c r="B256" s="111" t="s">
        <v>199</v>
      </c>
      <c r="C256" s="109">
        <v>1151.0</v>
      </c>
      <c r="D256" s="112">
        <v>395.0</v>
      </c>
      <c r="E256" s="112">
        <v>756.0</v>
      </c>
      <c r="F256" s="110">
        <v>0.0</v>
      </c>
      <c r="G256" s="110">
        <v>0.0</v>
      </c>
      <c r="H256" s="110">
        <v>0.0</v>
      </c>
      <c r="I256" s="110">
        <v>0.0</v>
      </c>
      <c r="J256" s="110">
        <v>0.0</v>
      </c>
      <c r="K256" s="110">
        <v>0.0</v>
      </c>
      <c r="L256" s="110">
        <v>0.0</v>
      </c>
      <c r="M256" s="110">
        <v>0.0</v>
      </c>
      <c r="N256" s="110">
        <v>0.0</v>
      </c>
      <c r="O256" s="110">
        <v>0.0</v>
      </c>
      <c r="P256" s="110">
        <v>0.0</v>
      </c>
      <c r="Q256" s="110">
        <v>0.0</v>
      </c>
      <c r="R256" s="110">
        <v>0.0</v>
      </c>
      <c r="S256" s="110">
        <v>0.0</v>
      </c>
      <c r="T256" s="110">
        <v>0.0</v>
      </c>
      <c r="U256" s="110">
        <v>0.0</v>
      </c>
      <c r="V256" s="110">
        <v>0.0</v>
      </c>
      <c r="W256" s="110">
        <v>0.0</v>
      </c>
      <c r="X256" s="110">
        <v>0.0</v>
      </c>
      <c r="Y256" s="110">
        <v>0.0</v>
      </c>
      <c r="Z256" s="110">
        <v>0.0</v>
      </c>
      <c r="AA256" s="110">
        <v>0.0</v>
      </c>
      <c r="AB256" s="110">
        <v>0.0</v>
      </c>
      <c r="AC256" s="110">
        <v>0.0</v>
      </c>
      <c r="AD256" s="110">
        <v>0.0</v>
      </c>
      <c r="AE256" s="110">
        <v>0.0</v>
      </c>
      <c r="AF256" s="112">
        <v>52.0</v>
      </c>
      <c r="AG256" s="112">
        <v>101.0</v>
      </c>
      <c r="AH256" s="112">
        <v>97.0</v>
      </c>
      <c r="AI256" s="112">
        <v>156.0</v>
      </c>
      <c r="AJ256" s="112">
        <v>88.0</v>
      </c>
      <c r="AK256" s="112">
        <v>175.0</v>
      </c>
      <c r="AL256" s="112">
        <v>158.0</v>
      </c>
      <c r="AM256" s="112">
        <v>324.0</v>
      </c>
      <c r="AN256" s="109">
        <v>1135.0</v>
      </c>
    </row>
    <row r="257">
      <c r="A257" s="107" t="s">
        <v>205</v>
      </c>
      <c r="B257" s="111" t="s">
        <v>198</v>
      </c>
      <c r="C257" s="112">
        <v>32.0</v>
      </c>
      <c r="D257" s="112">
        <v>18.0</v>
      </c>
      <c r="E257" s="112">
        <v>14.0</v>
      </c>
      <c r="F257" s="112">
        <v>0.0</v>
      </c>
      <c r="G257" s="112">
        <v>0.0</v>
      </c>
      <c r="H257" s="112">
        <v>0.0</v>
      </c>
      <c r="I257" s="112">
        <v>0.0</v>
      </c>
      <c r="J257" s="112">
        <v>0.0</v>
      </c>
      <c r="K257" s="112">
        <v>0.0</v>
      </c>
      <c r="L257" s="112">
        <v>6.0</v>
      </c>
      <c r="M257" s="112">
        <v>4.0</v>
      </c>
      <c r="N257" s="112">
        <v>2.0</v>
      </c>
      <c r="O257" s="112">
        <v>3.0</v>
      </c>
      <c r="P257" s="112">
        <v>3.0</v>
      </c>
      <c r="Q257" s="112">
        <v>3.0</v>
      </c>
      <c r="R257" s="112">
        <v>1.0</v>
      </c>
      <c r="S257" s="112">
        <v>1.0</v>
      </c>
      <c r="T257" s="112">
        <v>3.0</v>
      </c>
      <c r="U257" s="112">
        <v>1.0</v>
      </c>
      <c r="V257" s="112">
        <v>0.0</v>
      </c>
      <c r="W257" s="112">
        <v>0.0</v>
      </c>
      <c r="X257" s="112">
        <v>0.0</v>
      </c>
      <c r="Y257" s="112">
        <v>0.0</v>
      </c>
      <c r="Z257" s="112">
        <v>2.0</v>
      </c>
      <c r="AA257" s="112">
        <v>1.0</v>
      </c>
      <c r="AB257" s="112">
        <v>0.0</v>
      </c>
      <c r="AC257" s="112">
        <v>0.0</v>
      </c>
      <c r="AD257" s="112">
        <v>1.0</v>
      </c>
      <c r="AE257" s="112">
        <v>1.0</v>
      </c>
      <c r="AF257" s="112">
        <v>0.0</v>
      </c>
      <c r="AG257" s="112">
        <v>0.0</v>
      </c>
      <c r="AH257" s="112">
        <v>0.0</v>
      </c>
      <c r="AI257" s="112">
        <v>0.0</v>
      </c>
      <c r="AJ257" s="112">
        <v>0.0</v>
      </c>
      <c r="AK257" s="112">
        <v>0.0</v>
      </c>
      <c r="AL257" s="112">
        <v>0.0</v>
      </c>
      <c r="AM257" s="112">
        <v>0.0</v>
      </c>
      <c r="AN257" s="112">
        <v>26.0</v>
      </c>
    </row>
    <row r="258">
      <c r="A258" s="98"/>
      <c r="B258" s="111" t="s">
        <v>199</v>
      </c>
      <c r="C258" s="112">
        <v>6.0</v>
      </c>
      <c r="D258" s="112">
        <v>0.0</v>
      </c>
      <c r="E258" s="112">
        <v>6.0</v>
      </c>
      <c r="F258" s="112">
        <v>0.0</v>
      </c>
      <c r="G258" s="112">
        <v>0.0</v>
      </c>
      <c r="H258" s="112">
        <v>0.0</v>
      </c>
      <c r="I258" s="112">
        <v>0.0</v>
      </c>
      <c r="J258" s="112">
        <v>0.0</v>
      </c>
      <c r="K258" s="112">
        <v>0.0</v>
      </c>
      <c r="L258" s="112">
        <v>0.0</v>
      </c>
      <c r="M258" s="112">
        <v>0.0</v>
      </c>
      <c r="N258" s="112">
        <v>0.0</v>
      </c>
      <c r="O258" s="112">
        <v>1.0</v>
      </c>
      <c r="P258" s="112">
        <v>0.0</v>
      </c>
      <c r="Q258" s="112">
        <v>0.0</v>
      </c>
      <c r="R258" s="112">
        <v>0.0</v>
      </c>
      <c r="S258" s="112">
        <v>2.0</v>
      </c>
      <c r="T258" s="112">
        <v>0.0</v>
      </c>
      <c r="U258" s="112">
        <v>0.0</v>
      </c>
      <c r="V258" s="112">
        <v>0.0</v>
      </c>
      <c r="W258" s="112">
        <v>0.0</v>
      </c>
      <c r="X258" s="112">
        <v>0.0</v>
      </c>
      <c r="Y258" s="112">
        <v>1.0</v>
      </c>
      <c r="Z258" s="112">
        <v>0.0</v>
      </c>
      <c r="AA258" s="112">
        <v>0.0</v>
      </c>
      <c r="AB258" s="112">
        <v>0.0</v>
      </c>
      <c r="AC258" s="112">
        <v>0.0</v>
      </c>
      <c r="AD258" s="112">
        <v>0.0</v>
      </c>
      <c r="AE258" s="112">
        <v>0.0</v>
      </c>
      <c r="AF258" s="112">
        <v>0.0</v>
      </c>
      <c r="AG258" s="112">
        <v>0.0</v>
      </c>
      <c r="AH258" s="112">
        <v>0.0</v>
      </c>
      <c r="AI258" s="112">
        <v>1.0</v>
      </c>
      <c r="AJ258" s="112">
        <v>0.0</v>
      </c>
      <c r="AK258" s="112">
        <v>0.0</v>
      </c>
      <c r="AL258" s="112">
        <v>0.0</v>
      </c>
      <c r="AM258" s="112">
        <v>1.0</v>
      </c>
      <c r="AN258" s="112">
        <v>6.0</v>
      </c>
    </row>
    <row r="259">
      <c r="A259" s="104"/>
      <c r="B259" s="111" t="s">
        <v>206</v>
      </c>
      <c r="C259" s="112">
        <v>822.0</v>
      </c>
      <c r="D259" s="112">
        <v>236.0</v>
      </c>
      <c r="E259" s="112">
        <v>586.0</v>
      </c>
      <c r="F259" s="112">
        <v>0.0</v>
      </c>
      <c r="G259" s="112">
        <v>0.0</v>
      </c>
      <c r="H259" s="112">
        <v>0.0</v>
      </c>
      <c r="I259" s="112">
        <v>0.0</v>
      </c>
      <c r="J259" s="112">
        <v>1.0</v>
      </c>
      <c r="K259" s="112">
        <v>1.0</v>
      </c>
      <c r="L259" s="112">
        <v>18.0</v>
      </c>
      <c r="M259" s="112">
        <v>66.0</v>
      </c>
      <c r="N259" s="112">
        <v>46.0</v>
      </c>
      <c r="O259" s="112">
        <v>118.0</v>
      </c>
      <c r="P259" s="112">
        <v>35.0</v>
      </c>
      <c r="Q259" s="112">
        <v>81.0</v>
      </c>
      <c r="R259" s="112">
        <v>30.0</v>
      </c>
      <c r="S259" s="112">
        <v>90.0</v>
      </c>
      <c r="T259" s="112">
        <v>18.0</v>
      </c>
      <c r="U259" s="112">
        <v>54.0</v>
      </c>
      <c r="V259" s="112">
        <v>10.0</v>
      </c>
      <c r="W259" s="112">
        <v>37.0</v>
      </c>
      <c r="X259" s="112">
        <v>21.0</v>
      </c>
      <c r="Y259" s="112">
        <v>39.0</v>
      </c>
      <c r="Z259" s="112">
        <v>21.0</v>
      </c>
      <c r="AA259" s="112">
        <v>47.0</v>
      </c>
      <c r="AB259" s="112">
        <v>8.0</v>
      </c>
      <c r="AC259" s="112">
        <v>7.0</v>
      </c>
      <c r="AD259" s="112">
        <v>7.0</v>
      </c>
      <c r="AE259" s="112">
        <v>11.0</v>
      </c>
      <c r="AF259" s="112">
        <v>7.0</v>
      </c>
      <c r="AG259" s="112">
        <v>6.0</v>
      </c>
      <c r="AH259" s="112">
        <v>4.0</v>
      </c>
      <c r="AI259" s="112">
        <v>11.0</v>
      </c>
      <c r="AJ259" s="112">
        <v>4.0</v>
      </c>
      <c r="AK259" s="112">
        <v>1.0</v>
      </c>
      <c r="AL259" s="112">
        <v>6.0</v>
      </c>
      <c r="AM259" s="112">
        <v>17.0</v>
      </c>
      <c r="AN259" s="112">
        <v>797.0</v>
      </c>
    </row>
    <row r="260">
      <c r="A260" s="107" t="s">
        <v>207</v>
      </c>
      <c r="B260" s="111" t="s">
        <v>198</v>
      </c>
      <c r="C260" s="109">
        <v>22818.0</v>
      </c>
      <c r="D260" s="109">
        <v>6144.0</v>
      </c>
      <c r="E260" s="109">
        <v>16674.0</v>
      </c>
      <c r="F260" s="112">
        <v>287.0</v>
      </c>
      <c r="G260" s="112">
        <v>256.0</v>
      </c>
      <c r="H260" s="112">
        <v>191.0</v>
      </c>
      <c r="I260" s="112">
        <v>199.0</v>
      </c>
      <c r="J260" s="112">
        <v>196.0</v>
      </c>
      <c r="K260" s="112">
        <v>192.0</v>
      </c>
      <c r="L260" s="112">
        <v>165.0</v>
      </c>
      <c r="M260" s="112">
        <v>242.0</v>
      </c>
      <c r="N260" s="112">
        <v>149.0</v>
      </c>
      <c r="O260" s="112">
        <v>242.0</v>
      </c>
      <c r="P260" s="112">
        <v>154.0</v>
      </c>
      <c r="Q260" s="112">
        <v>360.0</v>
      </c>
      <c r="R260" s="112">
        <v>194.0</v>
      </c>
      <c r="S260" s="112">
        <v>486.0</v>
      </c>
      <c r="T260" s="112">
        <v>183.0</v>
      </c>
      <c r="U260" s="112">
        <v>535.0</v>
      </c>
      <c r="V260" s="112">
        <v>248.0</v>
      </c>
      <c r="W260" s="112">
        <v>722.0</v>
      </c>
      <c r="X260" s="112">
        <v>358.0</v>
      </c>
      <c r="Y260" s="112">
        <v>991.0</v>
      </c>
      <c r="Z260" s="112">
        <v>532.0</v>
      </c>
      <c r="AA260" s="109">
        <v>1581.0</v>
      </c>
      <c r="AB260" s="112">
        <v>582.0</v>
      </c>
      <c r="AC260" s="109">
        <v>1939.0</v>
      </c>
      <c r="AD260" s="112">
        <v>579.0</v>
      </c>
      <c r="AE260" s="109">
        <v>2152.0</v>
      </c>
      <c r="AF260" s="112">
        <v>632.0</v>
      </c>
      <c r="AG260" s="109">
        <v>2196.0</v>
      </c>
      <c r="AH260" s="112">
        <v>630.0</v>
      </c>
      <c r="AI260" s="109">
        <v>1928.0</v>
      </c>
      <c r="AJ260" s="112">
        <v>558.0</v>
      </c>
      <c r="AK260" s="109">
        <v>1368.0</v>
      </c>
      <c r="AL260" s="112">
        <v>506.0</v>
      </c>
      <c r="AM260" s="109">
        <v>1285.0</v>
      </c>
      <c r="AN260" s="109">
        <v>22283.0</v>
      </c>
    </row>
    <row r="261">
      <c r="A261" s="98"/>
      <c r="B261" s="111" t="s">
        <v>199</v>
      </c>
      <c r="C261" s="109">
        <v>1197.0</v>
      </c>
      <c r="D261" s="112">
        <v>491.0</v>
      </c>
      <c r="E261" s="112">
        <v>706.0</v>
      </c>
      <c r="F261" s="112">
        <v>110.0</v>
      </c>
      <c r="G261" s="112">
        <v>110.0</v>
      </c>
      <c r="H261" s="112">
        <v>72.0</v>
      </c>
      <c r="I261" s="112">
        <v>69.0</v>
      </c>
      <c r="J261" s="112">
        <v>4.0</v>
      </c>
      <c r="K261" s="112">
        <v>4.0</v>
      </c>
      <c r="L261" s="112">
        <v>9.0</v>
      </c>
      <c r="M261" s="112">
        <v>10.0</v>
      </c>
      <c r="N261" s="112">
        <v>6.0</v>
      </c>
      <c r="O261" s="112">
        <v>10.0</v>
      </c>
      <c r="P261" s="112">
        <v>2.0</v>
      </c>
      <c r="Q261" s="112">
        <v>13.0</v>
      </c>
      <c r="R261" s="112">
        <v>6.0</v>
      </c>
      <c r="S261" s="112">
        <v>17.0</v>
      </c>
      <c r="T261" s="112">
        <v>8.0</v>
      </c>
      <c r="U261" s="112">
        <v>28.0</v>
      </c>
      <c r="V261" s="112">
        <v>22.0</v>
      </c>
      <c r="W261" s="112">
        <v>24.0</v>
      </c>
      <c r="X261" s="112">
        <v>20.0</v>
      </c>
      <c r="Y261" s="112">
        <v>35.0</v>
      </c>
      <c r="Z261" s="112">
        <v>25.0</v>
      </c>
      <c r="AA261" s="112">
        <v>39.0</v>
      </c>
      <c r="AB261" s="112">
        <v>21.0</v>
      </c>
      <c r="AC261" s="112">
        <v>37.0</v>
      </c>
      <c r="AD261" s="112">
        <v>27.0</v>
      </c>
      <c r="AE261" s="112">
        <v>37.0</v>
      </c>
      <c r="AF261" s="112">
        <v>45.0</v>
      </c>
      <c r="AG261" s="112">
        <v>81.0</v>
      </c>
      <c r="AH261" s="112">
        <v>54.0</v>
      </c>
      <c r="AI261" s="112">
        <v>77.0</v>
      </c>
      <c r="AJ261" s="112">
        <v>33.0</v>
      </c>
      <c r="AK261" s="112">
        <v>62.0</v>
      </c>
      <c r="AL261" s="112">
        <v>27.0</v>
      </c>
      <c r="AM261" s="112">
        <v>53.0</v>
      </c>
      <c r="AN261" s="109">
        <v>1181.0</v>
      </c>
    </row>
    <row r="262">
      <c r="A262" s="98"/>
      <c r="B262" s="111" t="s">
        <v>206</v>
      </c>
      <c r="C262" s="112">
        <v>41.0</v>
      </c>
      <c r="D262" s="112">
        <v>8.0</v>
      </c>
      <c r="E262" s="112">
        <v>33.0</v>
      </c>
      <c r="F262" s="112">
        <v>2.0</v>
      </c>
      <c r="G262" s="112">
        <v>4.0</v>
      </c>
      <c r="H262" s="112">
        <v>0.0</v>
      </c>
      <c r="I262" s="112">
        <v>0.0</v>
      </c>
      <c r="J262" s="112">
        <v>0.0</v>
      </c>
      <c r="K262" s="112">
        <v>0.0</v>
      </c>
      <c r="L262" s="112">
        <v>0.0</v>
      </c>
      <c r="M262" s="112">
        <v>4.0</v>
      </c>
      <c r="N262" s="112">
        <v>0.0</v>
      </c>
      <c r="O262" s="112">
        <v>4.0</v>
      </c>
      <c r="P262" s="112">
        <v>0.0</v>
      </c>
      <c r="Q262" s="112">
        <v>4.0</v>
      </c>
      <c r="R262" s="112">
        <v>1.0</v>
      </c>
      <c r="S262" s="112">
        <v>4.0</v>
      </c>
      <c r="T262" s="112">
        <v>2.0</v>
      </c>
      <c r="U262" s="112">
        <v>4.0</v>
      </c>
      <c r="V262" s="112">
        <v>1.0</v>
      </c>
      <c r="W262" s="112">
        <v>1.0</v>
      </c>
      <c r="X262" s="112">
        <v>0.0</v>
      </c>
      <c r="Y262" s="112">
        <v>0.0</v>
      </c>
      <c r="Z262" s="112">
        <v>0.0</v>
      </c>
      <c r="AA262" s="112">
        <v>5.0</v>
      </c>
      <c r="AB262" s="112">
        <v>0.0</v>
      </c>
      <c r="AC262" s="112">
        <v>0.0</v>
      </c>
      <c r="AD262" s="112">
        <v>0.0</v>
      </c>
      <c r="AE262" s="112">
        <v>0.0</v>
      </c>
      <c r="AF262" s="112">
        <v>0.0</v>
      </c>
      <c r="AG262" s="112">
        <v>1.0</v>
      </c>
      <c r="AH262" s="112">
        <v>1.0</v>
      </c>
      <c r="AI262" s="112">
        <v>0.0</v>
      </c>
      <c r="AJ262" s="112">
        <v>0.0</v>
      </c>
      <c r="AK262" s="112">
        <v>1.0</v>
      </c>
      <c r="AL262" s="112">
        <v>1.0</v>
      </c>
      <c r="AM262" s="112">
        <v>1.0</v>
      </c>
      <c r="AN262" s="112">
        <v>38.0</v>
      </c>
    </row>
    <row r="263">
      <c r="A263" s="98"/>
      <c r="B263" s="111" t="s">
        <v>200</v>
      </c>
      <c r="C263" s="109">
        <v>11161.0</v>
      </c>
      <c r="D263" s="109">
        <v>3947.0</v>
      </c>
      <c r="E263" s="109">
        <v>7214.0</v>
      </c>
      <c r="F263" s="109">
        <v>2077.0</v>
      </c>
      <c r="G263" s="109">
        <v>2212.0</v>
      </c>
      <c r="H263" s="112">
        <v>605.0</v>
      </c>
      <c r="I263" s="112">
        <v>750.0</v>
      </c>
      <c r="J263" s="112">
        <v>265.0</v>
      </c>
      <c r="K263" s="112">
        <v>287.0</v>
      </c>
      <c r="L263" s="112">
        <v>93.0</v>
      </c>
      <c r="M263" s="112">
        <v>335.0</v>
      </c>
      <c r="N263" s="112">
        <v>89.0</v>
      </c>
      <c r="O263" s="112">
        <v>454.0</v>
      </c>
      <c r="P263" s="112">
        <v>90.0</v>
      </c>
      <c r="Q263" s="112">
        <v>525.0</v>
      </c>
      <c r="R263" s="112">
        <v>95.0</v>
      </c>
      <c r="S263" s="112">
        <v>454.0</v>
      </c>
      <c r="T263" s="112">
        <v>77.0</v>
      </c>
      <c r="U263" s="112">
        <v>386.0</v>
      </c>
      <c r="V263" s="112">
        <v>67.0</v>
      </c>
      <c r="W263" s="112">
        <v>305.0</v>
      </c>
      <c r="X263" s="112">
        <v>70.0</v>
      </c>
      <c r="Y263" s="112">
        <v>296.0</v>
      </c>
      <c r="Z263" s="112">
        <v>61.0</v>
      </c>
      <c r="AA263" s="112">
        <v>308.0</v>
      </c>
      <c r="AB263" s="112">
        <v>97.0</v>
      </c>
      <c r="AC263" s="112">
        <v>256.0</v>
      </c>
      <c r="AD263" s="112">
        <v>66.0</v>
      </c>
      <c r="AE263" s="112">
        <v>214.0</v>
      </c>
      <c r="AF263" s="112">
        <v>60.0</v>
      </c>
      <c r="AG263" s="112">
        <v>184.0</v>
      </c>
      <c r="AH263" s="112">
        <v>50.0</v>
      </c>
      <c r="AI263" s="112">
        <v>126.0</v>
      </c>
      <c r="AJ263" s="112">
        <v>46.0</v>
      </c>
      <c r="AK263" s="112">
        <v>66.0</v>
      </c>
      <c r="AL263" s="112">
        <v>39.0</v>
      </c>
      <c r="AM263" s="112">
        <v>56.0</v>
      </c>
      <c r="AN263" s="109">
        <v>10917.0</v>
      </c>
    </row>
    <row r="264">
      <c r="A264" s="104"/>
      <c r="B264" s="111" t="s">
        <v>201</v>
      </c>
      <c r="C264" s="112">
        <v>729.0</v>
      </c>
      <c r="D264" s="112">
        <v>331.0</v>
      </c>
      <c r="E264" s="112">
        <v>398.0</v>
      </c>
      <c r="F264" s="112">
        <v>64.0</v>
      </c>
      <c r="G264" s="112">
        <v>47.0</v>
      </c>
      <c r="H264" s="112">
        <v>13.0</v>
      </c>
      <c r="I264" s="112">
        <v>5.0</v>
      </c>
      <c r="J264" s="112">
        <v>13.0</v>
      </c>
      <c r="K264" s="112">
        <v>7.0</v>
      </c>
      <c r="L264" s="112">
        <v>4.0</v>
      </c>
      <c r="M264" s="112">
        <v>6.0</v>
      </c>
      <c r="N264" s="112">
        <v>8.0</v>
      </c>
      <c r="O264" s="112">
        <v>11.0</v>
      </c>
      <c r="P264" s="112">
        <v>8.0</v>
      </c>
      <c r="Q264" s="112">
        <v>12.0</v>
      </c>
      <c r="R264" s="112">
        <v>8.0</v>
      </c>
      <c r="S264" s="112">
        <v>18.0</v>
      </c>
      <c r="T264" s="112">
        <v>7.0</v>
      </c>
      <c r="U264" s="112">
        <v>20.0</v>
      </c>
      <c r="V264" s="112">
        <v>23.0</v>
      </c>
      <c r="W264" s="112">
        <v>27.0</v>
      </c>
      <c r="X264" s="112">
        <v>13.0</v>
      </c>
      <c r="Y264" s="112">
        <v>36.0</v>
      </c>
      <c r="Z264" s="112">
        <v>26.0</v>
      </c>
      <c r="AA264" s="112">
        <v>23.0</v>
      </c>
      <c r="AB264" s="112">
        <v>24.0</v>
      </c>
      <c r="AC264" s="112">
        <v>38.0</v>
      </c>
      <c r="AD264" s="112">
        <v>22.0</v>
      </c>
      <c r="AE264" s="112">
        <v>40.0</v>
      </c>
      <c r="AF264" s="112">
        <v>54.0</v>
      </c>
      <c r="AG264" s="112">
        <v>37.0</v>
      </c>
      <c r="AH264" s="112">
        <v>23.0</v>
      </c>
      <c r="AI264" s="112">
        <v>23.0</v>
      </c>
      <c r="AJ264" s="112">
        <v>13.0</v>
      </c>
      <c r="AK264" s="112">
        <v>27.0</v>
      </c>
      <c r="AL264" s="112">
        <v>8.0</v>
      </c>
      <c r="AM264" s="112">
        <v>21.0</v>
      </c>
      <c r="AN264" s="112">
        <v>723.0</v>
      </c>
    </row>
    <row r="265">
      <c r="A265" s="107" t="s">
        <v>208</v>
      </c>
      <c r="B265" s="111" t="s">
        <v>198</v>
      </c>
      <c r="C265" s="112">
        <v>49.0</v>
      </c>
      <c r="D265" s="112">
        <v>24.0</v>
      </c>
      <c r="E265" s="112">
        <v>25.0</v>
      </c>
      <c r="F265" s="112">
        <v>16.0</v>
      </c>
      <c r="G265" s="112">
        <v>21.0</v>
      </c>
      <c r="H265" s="112">
        <v>2.0</v>
      </c>
      <c r="I265" s="112">
        <v>3.0</v>
      </c>
      <c r="J265" s="112">
        <v>1.0</v>
      </c>
      <c r="K265" s="112">
        <v>1.0</v>
      </c>
      <c r="L265" s="112">
        <v>5.0</v>
      </c>
      <c r="M265" s="112">
        <v>0.0</v>
      </c>
      <c r="N265" s="112">
        <v>0.0</v>
      </c>
      <c r="O265" s="112">
        <v>0.0</v>
      </c>
      <c r="P265" s="110">
        <v>0.0</v>
      </c>
      <c r="Q265" s="110">
        <v>0.0</v>
      </c>
      <c r="R265" s="110">
        <v>0.0</v>
      </c>
      <c r="S265" s="110">
        <v>0.0</v>
      </c>
      <c r="T265" s="110">
        <v>0.0</v>
      </c>
      <c r="U265" s="110">
        <v>0.0</v>
      </c>
      <c r="V265" s="110">
        <v>0.0</v>
      </c>
      <c r="W265" s="110">
        <v>0.0</v>
      </c>
      <c r="X265" s="110">
        <v>0.0</v>
      </c>
      <c r="Y265" s="110">
        <v>0.0</v>
      </c>
      <c r="Z265" s="110">
        <v>0.0</v>
      </c>
      <c r="AA265" s="110">
        <v>0.0</v>
      </c>
      <c r="AB265" s="110">
        <v>0.0</v>
      </c>
      <c r="AC265" s="110">
        <v>0.0</v>
      </c>
      <c r="AD265" s="110">
        <v>0.0</v>
      </c>
      <c r="AE265" s="110">
        <v>0.0</v>
      </c>
      <c r="AF265" s="110">
        <v>0.0</v>
      </c>
      <c r="AG265" s="110">
        <v>0.0</v>
      </c>
      <c r="AH265" s="110">
        <v>0.0</v>
      </c>
      <c r="AI265" s="110">
        <v>0.0</v>
      </c>
      <c r="AJ265" s="110">
        <v>0.0</v>
      </c>
      <c r="AK265" s="110">
        <v>0.0</v>
      </c>
      <c r="AL265" s="110">
        <v>0.0</v>
      </c>
      <c r="AM265" s="110">
        <v>0.0</v>
      </c>
      <c r="AN265" s="112">
        <v>29.0</v>
      </c>
    </row>
    <row r="266">
      <c r="A266" s="98"/>
      <c r="B266" s="111" t="s">
        <v>199</v>
      </c>
      <c r="C266" s="112">
        <v>130.0</v>
      </c>
      <c r="D266" s="112">
        <v>48.0</v>
      </c>
      <c r="E266" s="112">
        <v>82.0</v>
      </c>
      <c r="F266" s="112">
        <v>44.0</v>
      </c>
      <c r="G266" s="112">
        <v>77.0</v>
      </c>
      <c r="H266" s="112">
        <v>4.0</v>
      </c>
      <c r="I266" s="112">
        <v>5.0</v>
      </c>
      <c r="J266" s="112">
        <v>0.0</v>
      </c>
      <c r="K266" s="112">
        <v>0.0</v>
      </c>
      <c r="L266" s="112">
        <v>0.0</v>
      </c>
      <c r="M266" s="112">
        <v>0.0</v>
      </c>
      <c r="N266" s="112">
        <v>0.0</v>
      </c>
      <c r="O266" s="112">
        <v>0.0</v>
      </c>
      <c r="P266" s="110">
        <v>0.0</v>
      </c>
      <c r="Q266" s="110">
        <v>0.0</v>
      </c>
      <c r="R266" s="110">
        <v>0.0</v>
      </c>
      <c r="S266" s="110">
        <v>0.0</v>
      </c>
      <c r="T266" s="110">
        <v>0.0</v>
      </c>
      <c r="U266" s="110">
        <v>0.0</v>
      </c>
      <c r="V266" s="110">
        <v>0.0</v>
      </c>
      <c r="W266" s="110">
        <v>0.0</v>
      </c>
      <c r="X266" s="110">
        <v>0.0</v>
      </c>
      <c r="Y266" s="110">
        <v>0.0</v>
      </c>
      <c r="Z266" s="110">
        <v>0.0</v>
      </c>
      <c r="AA266" s="110">
        <v>0.0</v>
      </c>
      <c r="AB266" s="110">
        <v>0.0</v>
      </c>
      <c r="AC266" s="110">
        <v>0.0</v>
      </c>
      <c r="AD266" s="110">
        <v>0.0</v>
      </c>
      <c r="AE266" s="110">
        <v>0.0</v>
      </c>
      <c r="AF266" s="110">
        <v>0.0</v>
      </c>
      <c r="AG266" s="110">
        <v>0.0</v>
      </c>
      <c r="AH266" s="110">
        <v>0.0</v>
      </c>
      <c r="AI266" s="110">
        <v>0.0</v>
      </c>
      <c r="AJ266" s="110">
        <v>0.0</v>
      </c>
      <c r="AK266" s="110">
        <v>0.0</v>
      </c>
      <c r="AL266" s="110">
        <v>0.0</v>
      </c>
      <c r="AM266" s="110">
        <v>0.0</v>
      </c>
      <c r="AN266" s="112">
        <v>90.0</v>
      </c>
    </row>
    <row r="267">
      <c r="A267" s="98"/>
      <c r="B267" s="111" t="s">
        <v>206</v>
      </c>
      <c r="C267" s="112">
        <v>4.0</v>
      </c>
      <c r="D267" s="112">
        <v>1.0</v>
      </c>
      <c r="E267" s="112">
        <v>3.0</v>
      </c>
      <c r="F267" s="112">
        <v>1.0</v>
      </c>
      <c r="G267" s="112">
        <v>3.0</v>
      </c>
      <c r="H267" s="112">
        <v>0.0</v>
      </c>
      <c r="I267" s="112">
        <v>0.0</v>
      </c>
      <c r="J267" s="112">
        <v>0.0</v>
      </c>
      <c r="K267" s="112">
        <v>0.0</v>
      </c>
      <c r="L267" s="112">
        <v>0.0</v>
      </c>
      <c r="M267" s="112">
        <v>0.0</v>
      </c>
      <c r="N267" s="112">
        <v>0.0</v>
      </c>
      <c r="O267" s="112">
        <v>0.0</v>
      </c>
      <c r="P267" s="110">
        <v>0.0</v>
      </c>
      <c r="Q267" s="110">
        <v>0.0</v>
      </c>
      <c r="R267" s="110">
        <v>0.0</v>
      </c>
      <c r="S267" s="110">
        <v>0.0</v>
      </c>
      <c r="T267" s="110">
        <v>0.0</v>
      </c>
      <c r="U267" s="110">
        <v>0.0</v>
      </c>
      <c r="V267" s="110">
        <v>0.0</v>
      </c>
      <c r="W267" s="110">
        <v>0.0</v>
      </c>
      <c r="X267" s="110">
        <v>0.0</v>
      </c>
      <c r="Y267" s="110">
        <v>0.0</v>
      </c>
      <c r="Z267" s="110">
        <v>0.0</v>
      </c>
      <c r="AA267" s="110">
        <v>0.0</v>
      </c>
      <c r="AB267" s="110">
        <v>0.0</v>
      </c>
      <c r="AC267" s="110">
        <v>0.0</v>
      </c>
      <c r="AD267" s="110">
        <v>0.0</v>
      </c>
      <c r="AE267" s="110">
        <v>0.0</v>
      </c>
      <c r="AF267" s="110">
        <v>0.0</v>
      </c>
      <c r="AG267" s="110">
        <v>0.0</v>
      </c>
      <c r="AH267" s="110">
        <v>0.0</v>
      </c>
      <c r="AI267" s="110">
        <v>0.0</v>
      </c>
      <c r="AJ267" s="110">
        <v>0.0</v>
      </c>
      <c r="AK267" s="110">
        <v>0.0</v>
      </c>
      <c r="AL267" s="110">
        <v>0.0</v>
      </c>
      <c r="AM267" s="110">
        <v>0.0</v>
      </c>
      <c r="AN267" s="112">
        <v>3.0</v>
      </c>
    </row>
    <row r="268">
      <c r="A268" s="98"/>
      <c r="B268" s="111" t="s">
        <v>200</v>
      </c>
      <c r="C268" s="112">
        <v>51.0</v>
      </c>
      <c r="D268" s="112">
        <v>23.0</v>
      </c>
      <c r="E268" s="112">
        <v>28.0</v>
      </c>
      <c r="F268" s="112">
        <v>16.0</v>
      </c>
      <c r="G268" s="112">
        <v>21.0</v>
      </c>
      <c r="H268" s="112">
        <v>4.0</v>
      </c>
      <c r="I268" s="112">
        <v>7.0</v>
      </c>
      <c r="J268" s="112">
        <v>3.0</v>
      </c>
      <c r="K268" s="112">
        <v>0.0</v>
      </c>
      <c r="L268" s="112">
        <v>0.0</v>
      </c>
      <c r="M268" s="112">
        <v>0.0</v>
      </c>
      <c r="N268" s="112">
        <v>0.0</v>
      </c>
      <c r="O268" s="112">
        <v>0.0</v>
      </c>
      <c r="P268" s="110">
        <v>0.0</v>
      </c>
      <c r="Q268" s="110">
        <v>0.0</v>
      </c>
      <c r="R268" s="110">
        <v>0.0</v>
      </c>
      <c r="S268" s="110">
        <v>0.0</v>
      </c>
      <c r="T268" s="110">
        <v>0.0</v>
      </c>
      <c r="U268" s="110">
        <v>0.0</v>
      </c>
      <c r="V268" s="110">
        <v>0.0</v>
      </c>
      <c r="W268" s="110">
        <v>0.0</v>
      </c>
      <c r="X268" s="110">
        <v>0.0</v>
      </c>
      <c r="Y268" s="110">
        <v>0.0</v>
      </c>
      <c r="Z268" s="110">
        <v>0.0</v>
      </c>
      <c r="AA268" s="110">
        <v>0.0</v>
      </c>
      <c r="AB268" s="110">
        <v>0.0</v>
      </c>
      <c r="AC268" s="110">
        <v>0.0</v>
      </c>
      <c r="AD268" s="110">
        <v>0.0</v>
      </c>
      <c r="AE268" s="110">
        <v>0.0</v>
      </c>
      <c r="AF268" s="110">
        <v>0.0</v>
      </c>
      <c r="AG268" s="110">
        <v>0.0</v>
      </c>
      <c r="AH268" s="110">
        <v>0.0</v>
      </c>
      <c r="AI268" s="110">
        <v>0.0</v>
      </c>
      <c r="AJ268" s="110">
        <v>0.0</v>
      </c>
      <c r="AK268" s="110">
        <v>0.0</v>
      </c>
      <c r="AL268" s="110">
        <v>0.0</v>
      </c>
      <c r="AM268" s="110">
        <v>0.0</v>
      </c>
      <c r="AN268" s="112">
        <v>30.0</v>
      </c>
    </row>
    <row r="269">
      <c r="A269" s="104"/>
      <c r="B269" s="111" t="s">
        <v>201</v>
      </c>
      <c r="C269" s="112">
        <v>0.0</v>
      </c>
      <c r="D269" s="112">
        <v>0.0</v>
      </c>
      <c r="E269" s="112">
        <v>0.0</v>
      </c>
      <c r="F269" s="112">
        <v>0.0</v>
      </c>
      <c r="G269" s="112">
        <v>0.0</v>
      </c>
      <c r="H269" s="112">
        <v>0.0</v>
      </c>
      <c r="I269" s="112">
        <v>0.0</v>
      </c>
      <c r="J269" s="112">
        <v>0.0</v>
      </c>
      <c r="K269" s="112">
        <v>0.0</v>
      </c>
      <c r="L269" s="112">
        <v>0.0</v>
      </c>
      <c r="M269" s="112">
        <v>0.0</v>
      </c>
      <c r="N269" s="112">
        <v>0.0</v>
      </c>
      <c r="O269" s="112">
        <v>0.0</v>
      </c>
      <c r="P269" s="110">
        <v>0.0</v>
      </c>
      <c r="Q269" s="110">
        <v>0.0</v>
      </c>
      <c r="R269" s="110">
        <v>0.0</v>
      </c>
      <c r="S269" s="110">
        <v>0.0</v>
      </c>
      <c r="T269" s="110">
        <v>0.0</v>
      </c>
      <c r="U269" s="110">
        <v>0.0</v>
      </c>
      <c r="V269" s="110">
        <v>0.0</v>
      </c>
      <c r="W269" s="110">
        <v>0.0</v>
      </c>
      <c r="X269" s="110">
        <v>0.0</v>
      </c>
      <c r="Y269" s="110">
        <v>0.0</v>
      </c>
      <c r="Z269" s="110">
        <v>0.0</v>
      </c>
      <c r="AA269" s="110">
        <v>0.0</v>
      </c>
      <c r="AB269" s="110">
        <v>0.0</v>
      </c>
      <c r="AC269" s="110">
        <v>0.0</v>
      </c>
      <c r="AD269" s="110">
        <v>0.0</v>
      </c>
      <c r="AE269" s="110">
        <v>0.0</v>
      </c>
      <c r="AF269" s="110">
        <v>0.0</v>
      </c>
      <c r="AG269" s="110">
        <v>0.0</v>
      </c>
      <c r="AH269" s="110">
        <v>0.0</v>
      </c>
      <c r="AI269" s="110">
        <v>0.0</v>
      </c>
      <c r="AJ269" s="110">
        <v>0.0</v>
      </c>
      <c r="AK269" s="110">
        <v>0.0</v>
      </c>
      <c r="AL269" s="110">
        <v>0.0</v>
      </c>
      <c r="AM269" s="110">
        <v>0.0</v>
      </c>
      <c r="AN269" s="112">
        <v>0.0</v>
      </c>
    </row>
    <row r="270">
      <c r="A270" s="113" t="s">
        <v>219</v>
      </c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</row>
    <row r="271">
      <c r="A271" s="107" t="s">
        <v>197</v>
      </c>
      <c r="B271" s="108" t="s">
        <v>198</v>
      </c>
      <c r="C271" s="109">
        <v>84808.0</v>
      </c>
      <c r="D271" s="109">
        <v>30702.0</v>
      </c>
      <c r="E271" s="109">
        <v>54106.0</v>
      </c>
      <c r="F271" s="110">
        <v>0.0</v>
      </c>
      <c r="G271" s="110">
        <v>0.0</v>
      </c>
      <c r="H271" s="110">
        <v>0.0</v>
      </c>
      <c r="I271" s="110">
        <v>0.0</v>
      </c>
      <c r="J271" s="110">
        <v>0.0</v>
      </c>
      <c r="K271" s="110">
        <v>0.0</v>
      </c>
      <c r="L271" s="112">
        <v>52.0</v>
      </c>
      <c r="M271" s="112">
        <v>71.0</v>
      </c>
      <c r="N271" s="112">
        <v>52.0</v>
      </c>
      <c r="O271" s="112">
        <v>106.0</v>
      </c>
      <c r="P271" s="112">
        <v>112.0</v>
      </c>
      <c r="Q271" s="112">
        <v>204.0</v>
      </c>
      <c r="R271" s="112">
        <v>247.0</v>
      </c>
      <c r="S271" s="112">
        <v>386.0</v>
      </c>
      <c r="T271" s="112">
        <v>436.0</v>
      </c>
      <c r="U271" s="112">
        <v>772.0</v>
      </c>
      <c r="V271" s="112">
        <v>779.0</v>
      </c>
      <c r="W271" s="109">
        <v>1304.0</v>
      </c>
      <c r="X271" s="109">
        <v>1373.0</v>
      </c>
      <c r="Y271" s="109">
        <v>2516.0</v>
      </c>
      <c r="Z271" s="109">
        <v>2669.0</v>
      </c>
      <c r="AA271" s="109">
        <v>5002.0</v>
      </c>
      <c r="AB271" s="109">
        <v>3585.0</v>
      </c>
      <c r="AC271" s="109">
        <v>6295.0</v>
      </c>
      <c r="AD271" s="109">
        <v>4165.0</v>
      </c>
      <c r="AE271" s="109">
        <v>7445.0</v>
      </c>
      <c r="AF271" s="109">
        <v>4824.0</v>
      </c>
      <c r="AG271" s="109">
        <v>8066.0</v>
      </c>
      <c r="AH271" s="109">
        <v>4961.0</v>
      </c>
      <c r="AI271" s="109">
        <v>8045.0</v>
      </c>
      <c r="AJ271" s="109">
        <v>3834.0</v>
      </c>
      <c r="AK271" s="109">
        <v>6245.0</v>
      </c>
      <c r="AL271" s="109">
        <v>3613.0</v>
      </c>
      <c r="AM271" s="109">
        <v>7649.0</v>
      </c>
      <c r="AN271" s="109">
        <v>84204.0</v>
      </c>
    </row>
    <row r="272">
      <c r="A272" s="98"/>
      <c r="B272" s="111" t="s">
        <v>199</v>
      </c>
      <c r="C272" s="109">
        <v>43725.0</v>
      </c>
      <c r="D272" s="109">
        <v>15425.0</v>
      </c>
      <c r="E272" s="109">
        <v>28300.0</v>
      </c>
      <c r="F272" s="110">
        <v>0.0</v>
      </c>
      <c r="G272" s="110">
        <v>0.0</v>
      </c>
      <c r="H272" s="110">
        <v>0.0</v>
      </c>
      <c r="I272" s="110">
        <v>0.0</v>
      </c>
      <c r="J272" s="110">
        <v>0.0</v>
      </c>
      <c r="K272" s="110">
        <v>0.0</v>
      </c>
      <c r="L272" s="112">
        <v>7.0</v>
      </c>
      <c r="M272" s="112">
        <v>7.0</v>
      </c>
      <c r="N272" s="112">
        <v>15.0</v>
      </c>
      <c r="O272" s="112">
        <v>23.0</v>
      </c>
      <c r="P272" s="112">
        <v>20.0</v>
      </c>
      <c r="Q272" s="112">
        <v>67.0</v>
      </c>
      <c r="R272" s="112">
        <v>65.0</v>
      </c>
      <c r="S272" s="112">
        <v>133.0</v>
      </c>
      <c r="T272" s="112">
        <v>135.0</v>
      </c>
      <c r="U272" s="112">
        <v>293.0</v>
      </c>
      <c r="V272" s="112">
        <v>311.0</v>
      </c>
      <c r="W272" s="112">
        <v>516.0</v>
      </c>
      <c r="X272" s="112">
        <v>596.0</v>
      </c>
      <c r="Y272" s="109">
        <v>1090.0</v>
      </c>
      <c r="Z272" s="109">
        <v>1237.0</v>
      </c>
      <c r="AA272" s="109">
        <v>2397.0</v>
      </c>
      <c r="AB272" s="109">
        <v>1747.0</v>
      </c>
      <c r="AC272" s="109">
        <v>3255.0</v>
      </c>
      <c r="AD272" s="109">
        <v>2087.0</v>
      </c>
      <c r="AE272" s="109">
        <v>3861.0</v>
      </c>
      <c r="AF272" s="109">
        <v>2532.0</v>
      </c>
      <c r="AG272" s="109">
        <v>4407.0</v>
      </c>
      <c r="AH272" s="109">
        <v>2579.0</v>
      </c>
      <c r="AI272" s="109">
        <v>4566.0</v>
      </c>
      <c r="AJ272" s="109">
        <v>2147.0</v>
      </c>
      <c r="AK272" s="109">
        <v>3539.0</v>
      </c>
      <c r="AL272" s="109">
        <v>1947.0</v>
      </c>
      <c r="AM272" s="109">
        <v>4146.0</v>
      </c>
      <c r="AN272" s="109">
        <v>43412.0</v>
      </c>
    </row>
    <row r="273">
      <c r="A273" s="98"/>
      <c r="B273" s="111" t="s">
        <v>200</v>
      </c>
      <c r="C273" s="109">
        <v>44768.0</v>
      </c>
      <c r="D273" s="109">
        <v>15410.0</v>
      </c>
      <c r="E273" s="109">
        <v>29358.0</v>
      </c>
      <c r="F273" s="110">
        <v>0.0</v>
      </c>
      <c r="G273" s="110">
        <v>0.0</v>
      </c>
      <c r="H273" s="110">
        <v>0.0</v>
      </c>
      <c r="I273" s="110">
        <v>0.0</v>
      </c>
      <c r="J273" s="110">
        <v>0.0</v>
      </c>
      <c r="K273" s="110">
        <v>0.0</v>
      </c>
      <c r="L273" s="112">
        <v>11.0</v>
      </c>
      <c r="M273" s="112">
        <v>16.0</v>
      </c>
      <c r="N273" s="112">
        <v>16.0</v>
      </c>
      <c r="O273" s="112">
        <v>40.0</v>
      </c>
      <c r="P273" s="112">
        <v>46.0</v>
      </c>
      <c r="Q273" s="112">
        <v>94.0</v>
      </c>
      <c r="R273" s="112">
        <v>99.0</v>
      </c>
      <c r="S273" s="112">
        <v>191.0</v>
      </c>
      <c r="T273" s="112">
        <v>197.0</v>
      </c>
      <c r="U273" s="112">
        <v>367.0</v>
      </c>
      <c r="V273" s="112">
        <v>342.0</v>
      </c>
      <c r="W273" s="112">
        <v>630.0</v>
      </c>
      <c r="X273" s="112">
        <v>679.0</v>
      </c>
      <c r="Y273" s="109">
        <v>1380.0</v>
      </c>
      <c r="Z273" s="109">
        <v>1319.0</v>
      </c>
      <c r="AA273" s="109">
        <v>2702.0</v>
      </c>
      <c r="AB273" s="109">
        <v>1874.0</v>
      </c>
      <c r="AC273" s="109">
        <v>3586.0</v>
      </c>
      <c r="AD273" s="109">
        <v>2119.0</v>
      </c>
      <c r="AE273" s="109">
        <v>4121.0</v>
      </c>
      <c r="AF273" s="109">
        <v>2440.0</v>
      </c>
      <c r="AG273" s="109">
        <v>4544.0</v>
      </c>
      <c r="AH273" s="109">
        <v>2503.0</v>
      </c>
      <c r="AI273" s="109">
        <v>4515.0</v>
      </c>
      <c r="AJ273" s="109">
        <v>1963.0</v>
      </c>
      <c r="AK273" s="109">
        <v>3415.0</v>
      </c>
      <c r="AL273" s="109">
        <v>1802.0</v>
      </c>
      <c r="AM273" s="109">
        <v>3757.0</v>
      </c>
      <c r="AN273" s="109">
        <v>43945.0</v>
      </c>
    </row>
    <row r="274">
      <c r="A274" s="104"/>
      <c r="B274" s="111" t="s">
        <v>201</v>
      </c>
      <c r="C274" s="112">
        <v>6.0</v>
      </c>
      <c r="D274" s="112">
        <v>3.0</v>
      </c>
      <c r="E274" s="112">
        <v>3.0</v>
      </c>
      <c r="F274" s="110">
        <v>0.0</v>
      </c>
      <c r="G274" s="110">
        <v>0.0</v>
      </c>
      <c r="H274" s="110">
        <v>0.0</v>
      </c>
      <c r="I274" s="110">
        <v>0.0</v>
      </c>
      <c r="J274" s="110">
        <v>0.0</v>
      </c>
      <c r="K274" s="110">
        <v>0.0</v>
      </c>
      <c r="L274" s="112">
        <v>0.0</v>
      </c>
      <c r="M274" s="112">
        <v>0.0</v>
      </c>
      <c r="N274" s="112">
        <v>0.0</v>
      </c>
      <c r="O274" s="112">
        <v>0.0</v>
      </c>
      <c r="P274" s="112">
        <v>0.0</v>
      </c>
      <c r="Q274" s="112">
        <v>0.0</v>
      </c>
      <c r="R274" s="112">
        <v>0.0</v>
      </c>
      <c r="S274" s="112">
        <v>0.0</v>
      </c>
      <c r="T274" s="112">
        <v>0.0</v>
      </c>
      <c r="U274" s="112">
        <v>0.0</v>
      </c>
      <c r="V274" s="112">
        <v>0.0</v>
      </c>
      <c r="W274" s="112">
        <v>0.0</v>
      </c>
      <c r="X274" s="112">
        <v>0.0</v>
      </c>
      <c r="Y274" s="112">
        <v>0.0</v>
      </c>
      <c r="Z274" s="112">
        <v>0.0</v>
      </c>
      <c r="AA274" s="112">
        <v>1.0</v>
      </c>
      <c r="AB274" s="112">
        <v>0.0</v>
      </c>
      <c r="AC274" s="112">
        <v>0.0</v>
      </c>
      <c r="AD274" s="112">
        <v>2.0</v>
      </c>
      <c r="AE274" s="112">
        <v>0.0</v>
      </c>
      <c r="AF274" s="112">
        <v>0.0</v>
      </c>
      <c r="AG274" s="112">
        <v>0.0</v>
      </c>
      <c r="AH274" s="112">
        <v>0.0</v>
      </c>
      <c r="AI274" s="112">
        <v>1.0</v>
      </c>
      <c r="AJ274" s="112">
        <v>0.0</v>
      </c>
      <c r="AK274" s="112">
        <v>0.0</v>
      </c>
      <c r="AL274" s="112">
        <v>1.0</v>
      </c>
      <c r="AM274" s="112">
        <v>1.0</v>
      </c>
      <c r="AN274" s="112">
        <v>6.0</v>
      </c>
    </row>
    <row r="275">
      <c r="A275" s="107" t="s">
        <v>202</v>
      </c>
      <c r="B275" s="111" t="s">
        <v>198</v>
      </c>
      <c r="C275" s="112">
        <v>831.0</v>
      </c>
      <c r="D275" s="112">
        <v>469.0</v>
      </c>
      <c r="E275" s="112">
        <v>362.0</v>
      </c>
      <c r="F275" s="112">
        <v>2.0</v>
      </c>
      <c r="G275" s="112">
        <v>3.0</v>
      </c>
      <c r="H275" s="112">
        <v>2.0</v>
      </c>
      <c r="I275" s="112">
        <v>4.0</v>
      </c>
      <c r="J275" s="112">
        <v>5.0</v>
      </c>
      <c r="K275" s="112">
        <v>6.0</v>
      </c>
      <c r="L275" s="112">
        <v>32.0</v>
      </c>
      <c r="M275" s="112">
        <v>10.0</v>
      </c>
      <c r="N275" s="112">
        <v>33.0</v>
      </c>
      <c r="O275" s="112">
        <v>26.0</v>
      </c>
      <c r="P275" s="112">
        <v>80.0</v>
      </c>
      <c r="Q275" s="112">
        <v>63.0</v>
      </c>
      <c r="R275" s="112">
        <v>67.0</v>
      </c>
      <c r="S275" s="112">
        <v>29.0</v>
      </c>
      <c r="T275" s="112">
        <v>47.0</v>
      </c>
      <c r="U275" s="112">
        <v>31.0</v>
      </c>
      <c r="V275" s="112">
        <v>28.0</v>
      </c>
      <c r="W275" s="112">
        <v>25.0</v>
      </c>
      <c r="X275" s="112">
        <v>38.0</v>
      </c>
      <c r="Y275" s="112">
        <v>20.0</v>
      </c>
      <c r="Z275" s="112">
        <v>58.0</v>
      </c>
      <c r="AA275" s="112">
        <v>20.0</v>
      </c>
      <c r="AB275" s="112">
        <v>18.0</v>
      </c>
      <c r="AC275" s="112">
        <v>29.0</v>
      </c>
      <c r="AD275" s="112">
        <v>20.0</v>
      </c>
      <c r="AE275" s="112">
        <v>19.0</v>
      </c>
      <c r="AF275" s="112">
        <v>16.0</v>
      </c>
      <c r="AG275" s="112">
        <v>16.0</v>
      </c>
      <c r="AH275" s="112">
        <v>14.0</v>
      </c>
      <c r="AI275" s="112">
        <v>25.0</v>
      </c>
      <c r="AJ275" s="112">
        <v>4.0</v>
      </c>
      <c r="AK275" s="112">
        <v>11.0</v>
      </c>
      <c r="AL275" s="112">
        <v>5.0</v>
      </c>
      <c r="AM275" s="112">
        <v>25.0</v>
      </c>
      <c r="AN275" s="112">
        <v>801.0</v>
      </c>
    </row>
    <row r="276">
      <c r="A276" s="104"/>
      <c r="B276" s="111" t="s">
        <v>199</v>
      </c>
      <c r="C276" s="112">
        <v>322.0</v>
      </c>
      <c r="D276" s="112">
        <v>168.0</v>
      </c>
      <c r="E276" s="112">
        <v>154.0</v>
      </c>
      <c r="F276" s="112">
        <v>3.0</v>
      </c>
      <c r="G276" s="112">
        <v>1.0</v>
      </c>
      <c r="H276" s="112">
        <v>0.0</v>
      </c>
      <c r="I276" s="112">
        <v>4.0</v>
      </c>
      <c r="J276" s="112">
        <v>6.0</v>
      </c>
      <c r="K276" s="112">
        <v>3.0</v>
      </c>
      <c r="L276" s="112">
        <v>11.0</v>
      </c>
      <c r="M276" s="112">
        <v>0.0</v>
      </c>
      <c r="N276" s="112">
        <v>13.0</v>
      </c>
      <c r="O276" s="112">
        <v>7.0</v>
      </c>
      <c r="P276" s="112">
        <v>22.0</v>
      </c>
      <c r="Q276" s="112">
        <v>17.0</v>
      </c>
      <c r="R276" s="112">
        <v>10.0</v>
      </c>
      <c r="S276" s="112">
        <v>12.0</v>
      </c>
      <c r="T276" s="112">
        <v>17.0</v>
      </c>
      <c r="U276" s="112">
        <v>11.0</v>
      </c>
      <c r="V276" s="112">
        <v>17.0</v>
      </c>
      <c r="W276" s="112">
        <v>48.0</v>
      </c>
      <c r="X276" s="112">
        <v>6.0</v>
      </c>
      <c r="Y276" s="112">
        <v>5.0</v>
      </c>
      <c r="Z276" s="112">
        <v>21.0</v>
      </c>
      <c r="AA276" s="112">
        <v>7.0</v>
      </c>
      <c r="AB276" s="112">
        <v>9.0</v>
      </c>
      <c r="AC276" s="112">
        <v>13.0</v>
      </c>
      <c r="AD276" s="112">
        <v>13.0</v>
      </c>
      <c r="AE276" s="112">
        <v>5.0</v>
      </c>
      <c r="AF276" s="112">
        <v>2.0</v>
      </c>
      <c r="AG276" s="112">
        <v>2.0</v>
      </c>
      <c r="AH276" s="112">
        <v>9.0</v>
      </c>
      <c r="AI276" s="112">
        <v>6.0</v>
      </c>
      <c r="AJ276" s="112">
        <v>1.0</v>
      </c>
      <c r="AK276" s="112">
        <v>4.0</v>
      </c>
      <c r="AL276" s="112">
        <v>8.0</v>
      </c>
      <c r="AM276" s="112">
        <v>9.0</v>
      </c>
      <c r="AN276" s="112">
        <v>293.0</v>
      </c>
    </row>
    <row r="277">
      <c r="A277" s="107" t="s">
        <v>203</v>
      </c>
      <c r="B277" s="111" t="s">
        <v>198</v>
      </c>
      <c r="C277" s="112">
        <v>84.0</v>
      </c>
      <c r="D277" s="112">
        <v>24.0</v>
      </c>
      <c r="E277" s="112">
        <v>60.0</v>
      </c>
      <c r="F277" s="110">
        <v>0.0</v>
      </c>
      <c r="G277" s="110">
        <v>0.0</v>
      </c>
      <c r="H277" s="110">
        <v>0.0</v>
      </c>
      <c r="I277" s="110">
        <v>0.0</v>
      </c>
      <c r="J277" s="110">
        <v>0.0</v>
      </c>
      <c r="K277" s="110">
        <v>0.0</v>
      </c>
      <c r="L277" s="110">
        <v>0.0</v>
      </c>
      <c r="M277" s="110">
        <v>0.0</v>
      </c>
      <c r="N277" s="110">
        <v>0.0</v>
      </c>
      <c r="O277" s="110">
        <v>0.0</v>
      </c>
      <c r="P277" s="110">
        <v>0.0</v>
      </c>
      <c r="Q277" s="110">
        <v>0.0</v>
      </c>
      <c r="R277" s="110">
        <v>0.0</v>
      </c>
      <c r="S277" s="110">
        <v>0.0</v>
      </c>
      <c r="T277" s="110">
        <v>0.0</v>
      </c>
      <c r="U277" s="110">
        <v>0.0</v>
      </c>
      <c r="V277" s="110">
        <v>0.0</v>
      </c>
      <c r="W277" s="110">
        <v>0.0</v>
      </c>
      <c r="X277" s="110">
        <v>0.0</v>
      </c>
      <c r="Y277" s="110">
        <v>0.0</v>
      </c>
      <c r="Z277" s="110">
        <v>0.0</v>
      </c>
      <c r="AA277" s="110">
        <v>0.0</v>
      </c>
      <c r="AB277" s="110">
        <v>0.0</v>
      </c>
      <c r="AC277" s="110">
        <v>0.0</v>
      </c>
      <c r="AD277" s="110">
        <v>0.0</v>
      </c>
      <c r="AE277" s="110">
        <v>0.0</v>
      </c>
      <c r="AF277" s="112">
        <v>6.0</v>
      </c>
      <c r="AG277" s="112">
        <v>16.0</v>
      </c>
      <c r="AH277" s="112">
        <v>6.0</v>
      </c>
      <c r="AI277" s="112">
        <v>13.0</v>
      </c>
      <c r="AJ277" s="112">
        <v>6.0</v>
      </c>
      <c r="AK277" s="112">
        <v>17.0</v>
      </c>
      <c r="AL277" s="112">
        <v>6.0</v>
      </c>
      <c r="AM277" s="112">
        <v>14.0</v>
      </c>
      <c r="AN277" s="112">
        <v>84.0</v>
      </c>
    </row>
    <row r="278">
      <c r="A278" s="104"/>
      <c r="B278" s="111" t="s">
        <v>199</v>
      </c>
      <c r="C278" s="112">
        <v>304.0</v>
      </c>
      <c r="D278" s="112">
        <v>89.0</v>
      </c>
      <c r="E278" s="112">
        <v>215.0</v>
      </c>
      <c r="F278" s="110">
        <v>0.0</v>
      </c>
      <c r="G278" s="110">
        <v>0.0</v>
      </c>
      <c r="H278" s="110">
        <v>0.0</v>
      </c>
      <c r="I278" s="110">
        <v>0.0</v>
      </c>
      <c r="J278" s="110">
        <v>0.0</v>
      </c>
      <c r="K278" s="110">
        <v>0.0</v>
      </c>
      <c r="L278" s="110">
        <v>0.0</v>
      </c>
      <c r="M278" s="110">
        <v>0.0</v>
      </c>
      <c r="N278" s="110">
        <v>0.0</v>
      </c>
      <c r="O278" s="110">
        <v>0.0</v>
      </c>
      <c r="P278" s="110">
        <v>0.0</v>
      </c>
      <c r="Q278" s="110">
        <v>0.0</v>
      </c>
      <c r="R278" s="110">
        <v>0.0</v>
      </c>
      <c r="S278" s="110">
        <v>0.0</v>
      </c>
      <c r="T278" s="110">
        <v>0.0</v>
      </c>
      <c r="U278" s="110">
        <v>0.0</v>
      </c>
      <c r="V278" s="110">
        <v>0.0</v>
      </c>
      <c r="W278" s="110">
        <v>0.0</v>
      </c>
      <c r="X278" s="110">
        <v>0.0</v>
      </c>
      <c r="Y278" s="110">
        <v>0.0</v>
      </c>
      <c r="Z278" s="110">
        <v>0.0</v>
      </c>
      <c r="AA278" s="110">
        <v>0.0</v>
      </c>
      <c r="AB278" s="110">
        <v>0.0</v>
      </c>
      <c r="AC278" s="110">
        <v>0.0</v>
      </c>
      <c r="AD278" s="110">
        <v>0.0</v>
      </c>
      <c r="AE278" s="110">
        <v>0.0</v>
      </c>
      <c r="AF278" s="112">
        <v>30.0</v>
      </c>
      <c r="AG278" s="112">
        <v>43.0</v>
      </c>
      <c r="AH278" s="112">
        <v>27.0</v>
      </c>
      <c r="AI278" s="112">
        <v>73.0</v>
      </c>
      <c r="AJ278" s="112">
        <v>24.0</v>
      </c>
      <c r="AK278" s="112">
        <v>52.0</v>
      </c>
      <c r="AL278" s="112">
        <v>8.0</v>
      </c>
      <c r="AM278" s="112">
        <v>47.0</v>
      </c>
      <c r="AN278" s="112">
        <v>304.0</v>
      </c>
    </row>
    <row r="279">
      <c r="A279" s="107" t="s">
        <v>204</v>
      </c>
      <c r="B279" s="111" t="s">
        <v>198</v>
      </c>
      <c r="C279" s="112">
        <v>26.0</v>
      </c>
      <c r="D279" s="112">
        <v>6.0</v>
      </c>
      <c r="E279" s="112">
        <v>20.0</v>
      </c>
      <c r="F279" s="110">
        <v>0.0</v>
      </c>
      <c r="G279" s="110">
        <v>0.0</v>
      </c>
      <c r="H279" s="110">
        <v>0.0</v>
      </c>
      <c r="I279" s="110">
        <v>0.0</v>
      </c>
      <c r="J279" s="110">
        <v>0.0</v>
      </c>
      <c r="K279" s="110">
        <v>0.0</v>
      </c>
      <c r="L279" s="110">
        <v>0.0</v>
      </c>
      <c r="M279" s="110">
        <v>0.0</v>
      </c>
      <c r="N279" s="110">
        <v>0.0</v>
      </c>
      <c r="O279" s="110">
        <v>0.0</v>
      </c>
      <c r="P279" s="110">
        <v>0.0</v>
      </c>
      <c r="Q279" s="110">
        <v>0.0</v>
      </c>
      <c r="R279" s="110">
        <v>0.0</v>
      </c>
      <c r="S279" s="110">
        <v>0.0</v>
      </c>
      <c r="T279" s="110">
        <v>0.0</v>
      </c>
      <c r="U279" s="110">
        <v>0.0</v>
      </c>
      <c r="V279" s="110">
        <v>0.0</v>
      </c>
      <c r="W279" s="110">
        <v>0.0</v>
      </c>
      <c r="X279" s="110">
        <v>0.0</v>
      </c>
      <c r="Y279" s="110">
        <v>0.0</v>
      </c>
      <c r="Z279" s="110">
        <v>0.0</v>
      </c>
      <c r="AA279" s="110">
        <v>0.0</v>
      </c>
      <c r="AB279" s="110">
        <v>0.0</v>
      </c>
      <c r="AC279" s="110">
        <v>0.0</v>
      </c>
      <c r="AD279" s="110">
        <v>0.0</v>
      </c>
      <c r="AE279" s="110">
        <v>0.0</v>
      </c>
      <c r="AF279" s="112">
        <v>0.0</v>
      </c>
      <c r="AG279" s="112">
        <v>0.0</v>
      </c>
      <c r="AH279" s="112">
        <v>1.0</v>
      </c>
      <c r="AI279" s="112">
        <v>3.0</v>
      </c>
      <c r="AJ279" s="112">
        <v>1.0</v>
      </c>
      <c r="AK279" s="112">
        <v>3.0</v>
      </c>
      <c r="AL279" s="112">
        <v>4.0</v>
      </c>
      <c r="AM279" s="112">
        <v>14.0</v>
      </c>
      <c r="AN279" s="112">
        <v>26.0</v>
      </c>
    </row>
    <row r="280">
      <c r="A280" s="104"/>
      <c r="B280" s="111" t="s">
        <v>199</v>
      </c>
      <c r="C280" s="112">
        <v>152.0</v>
      </c>
      <c r="D280" s="112">
        <v>39.0</v>
      </c>
      <c r="E280" s="112">
        <v>113.0</v>
      </c>
      <c r="F280" s="110">
        <v>0.0</v>
      </c>
      <c r="G280" s="110">
        <v>0.0</v>
      </c>
      <c r="H280" s="110">
        <v>0.0</v>
      </c>
      <c r="I280" s="110">
        <v>0.0</v>
      </c>
      <c r="J280" s="110">
        <v>0.0</v>
      </c>
      <c r="K280" s="110">
        <v>0.0</v>
      </c>
      <c r="L280" s="110">
        <v>0.0</v>
      </c>
      <c r="M280" s="110">
        <v>0.0</v>
      </c>
      <c r="N280" s="110">
        <v>0.0</v>
      </c>
      <c r="O280" s="110">
        <v>0.0</v>
      </c>
      <c r="P280" s="110">
        <v>0.0</v>
      </c>
      <c r="Q280" s="110">
        <v>0.0</v>
      </c>
      <c r="R280" s="110">
        <v>0.0</v>
      </c>
      <c r="S280" s="110">
        <v>0.0</v>
      </c>
      <c r="T280" s="110">
        <v>0.0</v>
      </c>
      <c r="U280" s="110">
        <v>0.0</v>
      </c>
      <c r="V280" s="110">
        <v>0.0</v>
      </c>
      <c r="W280" s="110">
        <v>0.0</v>
      </c>
      <c r="X280" s="110">
        <v>0.0</v>
      </c>
      <c r="Y280" s="110">
        <v>0.0</v>
      </c>
      <c r="Z280" s="110">
        <v>0.0</v>
      </c>
      <c r="AA280" s="110">
        <v>0.0</v>
      </c>
      <c r="AB280" s="110">
        <v>0.0</v>
      </c>
      <c r="AC280" s="110">
        <v>0.0</v>
      </c>
      <c r="AD280" s="110">
        <v>0.0</v>
      </c>
      <c r="AE280" s="110">
        <v>0.0</v>
      </c>
      <c r="AF280" s="112">
        <v>4.0</v>
      </c>
      <c r="AG280" s="112">
        <v>5.0</v>
      </c>
      <c r="AH280" s="112">
        <v>6.0</v>
      </c>
      <c r="AI280" s="112">
        <v>9.0</v>
      </c>
      <c r="AJ280" s="112">
        <v>8.0</v>
      </c>
      <c r="AK280" s="112">
        <v>29.0</v>
      </c>
      <c r="AL280" s="112">
        <v>21.0</v>
      </c>
      <c r="AM280" s="112">
        <v>70.0</v>
      </c>
      <c r="AN280" s="112">
        <v>152.0</v>
      </c>
    </row>
    <row r="281">
      <c r="A281" s="107" t="s">
        <v>205</v>
      </c>
      <c r="B281" s="111" t="s">
        <v>198</v>
      </c>
      <c r="C281" s="112">
        <v>86.0</v>
      </c>
      <c r="D281" s="112">
        <v>44.0</v>
      </c>
      <c r="E281" s="112">
        <v>42.0</v>
      </c>
      <c r="F281" s="112">
        <v>13.0</v>
      </c>
      <c r="G281" s="112">
        <v>11.0</v>
      </c>
      <c r="H281" s="112">
        <v>15.0</v>
      </c>
      <c r="I281" s="112">
        <v>7.0</v>
      </c>
      <c r="J281" s="112">
        <v>8.0</v>
      </c>
      <c r="K281" s="112">
        <v>2.0</v>
      </c>
      <c r="L281" s="112">
        <v>1.0</v>
      </c>
      <c r="M281" s="112">
        <v>1.0</v>
      </c>
      <c r="N281" s="112">
        <v>1.0</v>
      </c>
      <c r="O281" s="112">
        <v>1.0</v>
      </c>
      <c r="P281" s="112">
        <v>0.0</v>
      </c>
      <c r="Q281" s="112">
        <v>1.0</v>
      </c>
      <c r="R281" s="112">
        <v>0.0</v>
      </c>
      <c r="S281" s="112">
        <v>1.0</v>
      </c>
      <c r="T281" s="112">
        <v>0.0</v>
      </c>
      <c r="U281" s="112">
        <v>1.0</v>
      </c>
      <c r="V281" s="112">
        <v>0.0</v>
      </c>
      <c r="W281" s="112">
        <v>1.0</v>
      </c>
      <c r="X281" s="112">
        <v>0.0</v>
      </c>
      <c r="Y281" s="112">
        <v>1.0</v>
      </c>
      <c r="Z281" s="112">
        <v>1.0</v>
      </c>
      <c r="AA281" s="112">
        <v>2.0</v>
      </c>
      <c r="AB281" s="112">
        <v>1.0</v>
      </c>
      <c r="AC281" s="112">
        <v>2.0</v>
      </c>
      <c r="AD281" s="112">
        <v>0.0</v>
      </c>
      <c r="AE281" s="112">
        <v>2.0</v>
      </c>
      <c r="AF281" s="112">
        <v>3.0</v>
      </c>
      <c r="AG281" s="112">
        <v>2.0</v>
      </c>
      <c r="AH281" s="112">
        <v>0.0</v>
      </c>
      <c r="AI281" s="112">
        <v>3.0</v>
      </c>
      <c r="AJ281" s="112">
        <v>1.0</v>
      </c>
      <c r="AK281" s="112">
        <v>2.0</v>
      </c>
      <c r="AL281" s="112">
        <v>0.0</v>
      </c>
      <c r="AM281" s="112">
        <v>2.0</v>
      </c>
      <c r="AN281" s="112">
        <v>85.0</v>
      </c>
    </row>
    <row r="282">
      <c r="A282" s="98"/>
      <c r="B282" s="111" t="s">
        <v>199</v>
      </c>
      <c r="C282" s="112">
        <v>6.0</v>
      </c>
      <c r="D282" s="112">
        <v>3.0</v>
      </c>
      <c r="E282" s="112">
        <v>3.0</v>
      </c>
      <c r="F282" s="112">
        <v>0.0</v>
      </c>
      <c r="G282" s="112">
        <v>0.0</v>
      </c>
      <c r="H282" s="112">
        <v>0.0</v>
      </c>
      <c r="I282" s="112">
        <v>0.0</v>
      </c>
      <c r="J282" s="112">
        <v>0.0</v>
      </c>
      <c r="K282" s="112">
        <v>0.0</v>
      </c>
      <c r="L282" s="112">
        <v>0.0</v>
      </c>
      <c r="M282" s="112">
        <v>0.0</v>
      </c>
      <c r="N282" s="112">
        <v>0.0</v>
      </c>
      <c r="O282" s="112">
        <v>0.0</v>
      </c>
      <c r="P282" s="112">
        <v>0.0</v>
      </c>
      <c r="Q282" s="112">
        <v>1.0</v>
      </c>
      <c r="R282" s="112">
        <v>0.0</v>
      </c>
      <c r="S282" s="112">
        <v>1.0</v>
      </c>
      <c r="T282" s="112">
        <v>0.0</v>
      </c>
      <c r="U282" s="112">
        <v>0.0</v>
      </c>
      <c r="V282" s="112">
        <v>0.0</v>
      </c>
      <c r="W282" s="112">
        <v>0.0</v>
      </c>
      <c r="X282" s="112">
        <v>0.0</v>
      </c>
      <c r="Y282" s="112">
        <v>0.0</v>
      </c>
      <c r="Z282" s="112">
        <v>0.0</v>
      </c>
      <c r="AA282" s="112">
        <v>0.0</v>
      </c>
      <c r="AB282" s="112">
        <v>0.0</v>
      </c>
      <c r="AC282" s="112">
        <v>0.0</v>
      </c>
      <c r="AD282" s="112">
        <v>0.0</v>
      </c>
      <c r="AE282" s="112">
        <v>0.0</v>
      </c>
      <c r="AF282" s="112">
        <v>2.0</v>
      </c>
      <c r="AG282" s="112">
        <v>0.0</v>
      </c>
      <c r="AH282" s="112">
        <v>1.0</v>
      </c>
      <c r="AI282" s="112">
        <v>0.0</v>
      </c>
      <c r="AJ282" s="112">
        <v>0.0</v>
      </c>
      <c r="AK282" s="112">
        <v>1.0</v>
      </c>
      <c r="AL282" s="112">
        <v>0.0</v>
      </c>
      <c r="AM282" s="112">
        <v>0.0</v>
      </c>
      <c r="AN282" s="112">
        <v>6.0</v>
      </c>
    </row>
    <row r="283">
      <c r="A283" s="104"/>
      <c r="B283" s="111" t="s">
        <v>206</v>
      </c>
      <c r="C283" s="112">
        <v>13.0</v>
      </c>
      <c r="D283" s="112">
        <v>2.0</v>
      </c>
      <c r="E283" s="112">
        <v>11.0</v>
      </c>
      <c r="F283" s="112">
        <v>1.0</v>
      </c>
      <c r="G283" s="112">
        <v>0.0</v>
      </c>
      <c r="H283" s="112">
        <v>0.0</v>
      </c>
      <c r="I283" s="112">
        <v>1.0</v>
      </c>
      <c r="J283" s="112">
        <v>0.0</v>
      </c>
      <c r="K283" s="112">
        <v>0.0</v>
      </c>
      <c r="L283" s="112">
        <v>0.0</v>
      </c>
      <c r="M283" s="112">
        <v>1.0</v>
      </c>
      <c r="N283" s="112">
        <v>1.0</v>
      </c>
      <c r="O283" s="112">
        <v>2.0</v>
      </c>
      <c r="P283" s="112">
        <v>0.0</v>
      </c>
      <c r="Q283" s="112">
        <v>4.0</v>
      </c>
      <c r="R283" s="112">
        <v>0.0</v>
      </c>
      <c r="S283" s="112">
        <v>2.0</v>
      </c>
      <c r="T283" s="112">
        <v>0.0</v>
      </c>
      <c r="U283" s="112">
        <v>0.0</v>
      </c>
      <c r="V283" s="112">
        <v>0.0</v>
      </c>
      <c r="W283" s="112">
        <v>0.0</v>
      </c>
      <c r="X283" s="112">
        <v>0.0</v>
      </c>
      <c r="Y283" s="112">
        <v>1.0</v>
      </c>
      <c r="Z283" s="112">
        <v>0.0</v>
      </c>
      <c r="AA283" s="112">
        <v>0.0</v>
      </c>
      <c r="AB283" s="112">
        <v>0.0</v>
      </c>
      <c r="AC283" s="112">
        <v>0.0</v>
      </c>
      <c r="AD283" s="112">
        <v>0.0</v>
      </c>
      <c r="AE283" s="112">
        <v>0.0</v>
      </c>
      <c r="AF283" s="112">
        <v>0.0</v>
      </c>
      <c r="AG283" s="112">
        <v>0.0</v>
      </c>
      <c r="AH283" s="112">
        <v>0.0</v>
      </c>
      <c r="AI283" s="112">
        <v>0.0</v>
      </c>
      <c r="AJ283" s="112">
        <v>0.0</v>
      </c>
      <c r="AK283" s="112">
        <v>0.0</v>
      </c>
      <c r="AL283" s="112">
        <v>0.0</v>
      </c>
      <c r="AM283" s="112">
        <v>0.0</v>
      </c>
      <c r="AN283" s="112">
        <v>13.0</v>
      </c>
    </row>
    <row r="284">
      <c r="A284" s="107" t="s">
        <v>207</v>
      </c>
      <c r="B284" s="111" t="s">
        <v>198</v>
      </c>
      <c r="C284" s="109">
        <v>19618.0</v>
      </c>
      <c r="D284" s="109">
        <v>4528.0</v>
      </c>
      <c r="E284" s="109">
        <v>15090.0</v>
      </c>
      <c r="F284" s="112">
        <v>574.0</v>
      </c>
      <c r="G284" s="112">
        <v>497.0</v>
      </c>
      <c r="H284" s="112">
        <v>340.0</v>
      </c>
      <c r="I284" s="112">
        <v>232.0</v>
      </c>
      <c r="J284" s="112">
        <v>191.0</v>
      </c>
      <c r="K284" s="112">
        <v>132.0</v>
      </c>
      <c r="L284" s="112">
        <v>96.0</v>
      </c>
      <c r="M284" s="112">
        <v>129.0</v>
      </c>
      <c r="N284" s="112">
        <v>57.0</v>
      </c>
      <c r="O284" s="112">
        <v>164.0</v>
      </c>
      <c r="P284" s="112">
        <v>59.0</v>
      </c>
      <c r="Q284" s="112">
        <v>264.0</v>
      </c>
      <c r="R284" s="112">
        <v>68.0</v>
      </c>
      <c r="S284" s="112">
        <v>325.0</v>
      </c>
      <c r="T284" s="112">
        <v>82.0</v>
      </c>
      <c r="U284" s="112">
        <v>378.0</v>
      </c>
      <c r="V284" s="112">
        <v>88.0</v>
      </c>
      <c r="W284" s="112">
        <v>431.0</v>
      </c>
      <c r="X284" s="112">
        <v>144.0</v>
      </c>
      <c r="Y284" s="112">
        <v>676.0</v>
      </c>
      <c r="Z284" s="112">
        <v>208.0</v>
      </c>
      <c r="AA284" s="109">
        <v>1121.0</v>
      </c>
      <c r="AB284" s="112">
        <v>345.0</v>
      </c>
      <c r="AC284" s="109">
        <v>1587.0</v>
      </c>
      <c r="AD284" s="112">
        <v>408.0</v>
      </c>
      <c r="AE284" s="109">
        <v>1919.0</v>
      </c>
      <c r="AF284" s="112">
        <v>478.0</v>
      </c>
      <c r="AG284" s="109">
        <v>2087.0</v>
      </c>
      <c r="AH284" s="112">
        <v>569.0</v>
      </c>
      <c r="AI284" s="109">
        <v>2054.0</v>
      </c>
      <c r="AJ284" s="112">
        <v>416.0</v>
      </c>
      <c r="AK284" s="109">
        <v>1426.0</v>
      </c>
      <c r="AL284" s="112">
        <v>405.0</v>
      </c>
      <c r="AM284" s="109">
        <v>1668.0</v>
      </c>
      <c r="AN284" s="109">
        <v>19235.0</v>
      </c>
    </row>
    <row r="285">
      <c r="A285" s="98"/>
      <c r="B285" s="111" t="s">
        <v>199</v>
      </c>
      <c r="C285" s="112">
        <v>211.0</v>
      </c>
      <c r="D285" s="112">
        <v>92.0</v>
      </c>
      <c r="E285" s="112">
        <v>119.0</v>
      </c>
      <c r="F285" s="112">
        <v>1.0</v>
      </c>
      <c r="G285" s="112">
        <v>3.0</v>
      </c>
      <c r="H285" s="112">
        <v>0.0</v>
      </c>
      <c r="I285" s="112">
        <v>0.0</v>
      </c>
      <c r="J285" s="112">
        <v>0.0</v>
      </c>
      <c r="K285" s="112">
        <v>2.0</v>
      </c>
      <c r="L285" s="112">
        <v>2.0</v>
      </c>
      <c r="M285" s="112">
        <v>4.0</v>
      </c>
      <c r="N285" s="112">
        <v>3.0</v>
      </c>
      <c r="O285" s="112">
        <v>6.0</v>
      </c>
      <c r="P285" s="112">
        <v>4.0</v>
      </c>
      <c r="Q285" s="112">
        <v>8.0</v>
      </c>
      <c r="R285" s="112">
        <v>2.0</v>
      </c>
      <c r="S285" s="112">
        <v>8.0</v>
      </c>
      <c r="T285" s="112">
        <v>4.0</v>
      </c>
      <c r="U285" s="112">
        <v>5.0</v>
      </c>
      <c r="V285" s="112">
        <v>4.0</v>
      </c>
      <c r="W285" s="112">
        <v>9.0</v>
      </c>
      <c r="X285" s="112">
        <v>7.0</v>
      </c>
      <c r="Y285" s="112">
        <v>6.0</v>
      </c>
      <c r="Z285" s="112">
        <v>9.0</v>
      </c>
      <c r="AA285" s="112">
        <v>9.0</v>
      </c>
      <c r="AB285" s="112">
        <v>12.0</v>
      </c>
      <c r="AC285" s="112">
        <v>12.0</v>
      </c>
      <c r="AD285" s="112">
        <v>16.0</v>
      </c>
      <c r="AE285" s="112">
        <v>18.0</v>
      </c>
      <c r="AF285" s="112">
        <v>13.0</v>
      </c>
      <c r="AG285" s="112">
        <v>10.0</v>
      </c>
      <c r="AH285" s="112">
        <v>6.0</v>
      </c>
      <c r="AI285" s="112">
        <v>5.0</v>
      </c>
      <c r="AJ285" s="112">
        <v>4.0</v>
      </c>
      <c r="AK285" s="112">
        <v>7.0</v>
      </c>
      <c r="AL285" s="112">
        <v>5.0</v>
      </c>
      <c r="AM285" s="112">
        <v>7.0</v>
      </c>
      <c r="AN285" s="112">
        <v>204.0</v>
      </c>
    </row>
    <row r="286">
      <c r="A286" s="98"/>
      <c r="B286" s="111" t="s">
        <v>206</v>
      </c>
      <c r="C286" s="112">
        <v>103.0</v>
      </c>
      <c r="D286" s="112">
        <v>22.0</v>
      </c>
      <c r="E286" s="112">
        <v>81.0</v>
      </c>
      <c r="F286" s="112">
        <v>7.0</v>
      </c>
      <c r="G286" s="112">
        <v>3.0</v>
      </c>
      <c r="H286" s="112">
        <v>0.0</v>
      </c>
      <c r="I286" s="112">
        <v>0.0</v>
      </c>
      <c r="J286" s="112">
        <v>0.0</v>
      </c>
      <c r="K286" s="112">
        <v>2.0</v>
      </c>
      <c r="L286" s="112">
        <v>0.0</v>
      </c>
      <c r="M286" s="112">
        <v>4.0</v>
      </c>
      <c r="N286" s="112">
        <v>0.0</v>
      </c>
      <c r="O286" s="112">
        <v>9.0</v>
      </c>
      <c r="P286" s="112">
        <v>1.0</v>
      </c>
      <c r="Q286" s="112">
        <v>5.0</v>
      </c>
      <c r="R286" s="112">
        <v>0.0</v>
      </c>
      <c r="S286" s="112">
        <v>5.0</v>
      </c>
      <c r="T286" s="112">
        <v>1.0</v>
      </c>
      <c r="U286" s="112">
        <v>8.0</v>
      </c>
      <c r="V286" s="112">
        <v>2.0</v>
      </c>
      <c r="W286" s="112">
        <v>12.0</v>
      </c>
      <c r="X286" s="112">
        <v>4.0</v>
      </c>
      <c r="Y286" s="112">
        <v>13.0</v>
      </c>
      <c r="Z286" s="112">
        <v>1.0</v>
      </c>
      <c r="AA286" s="112">
        <v>7.0</v>
      </c>
      <c r="AB286" s="112">
        <v>2.0</v>
      </c>
      <c r="AC286" s="112">
        <v>9.0</v>
      </c>
      <c r="AD286" s="112">
        <v>1.0</v>
      </c>
      <c r="AE286" s="112">
        <v>2.0</v>
      </c>
      <c r="AF286" s="112">
        <v>1.0</v>
      </c>
      <c r="AG286" s="112">
        <v>0.0</v>
      </c>
      <c r="AH286" s="112">
        <v>0.0</v>
      </c>
      <c r="AI286" s="112">
        <v>1.0</v>
      </c>
      <c r="AJ286" s="112">
        <v>1.0</v>
      </c>
      <c r="AK286" s="112">
        <v>1.0</v>
      </c>
      <c r="AL286" s="112">
        <v>1.0</v>
      </c>
      <c r="AM286" s="112">
        <v>0.0</v>
      </c>
      <c r="AN286" s="112">
        <v>97.0</v>
      </c>
    </row>
    <row r="287">
      <c r="A287" s="98"/>
      <c r="B287" s="111" t="s">
        <v>200</v>
      </c>
      <c r="C287" s="109">
        <v>2632.0</v>
      </c>
      <c r="D287" s="109">
        <v>1120.0</v>
      </c>
      <c r="E287" s="109">
        <v>1512.0</v>
      </c>
      <c r="F287" s="112">
        <v>910.0</v>
      </c>
      <c r="G287" s="112">
        <v>998.0</v>
      </c>
      <c r="H287" s="112">
        <v>62.0</v>
      </c>
      <c r="I287" s="112">
        <v>34.0</v>
      </c>
      <c r="J287" s="112">
        <v>23.0</v>
      </c>
      <c r="K287" s="112">
        <v>13.0</v>
      </c>
      <c r="L287" s="112">
        <v>3.0</v>
      </c>
      <c r="M287" s="112">
        <v>32.0</v>
      </c>
      <c r="N287" s="112">
        <v>9.0</v>
      </c>
      <c r="O287" s="112">
        <v>35.0</v>
      </c>
      <c r="P287" s="112">
        <v>20.0</v>
      </c>
      <c r="Q287" s="112">
        <v>41.0</v>
      </c>
      <c r="R287" s="112">
        <v>13.0</v>
      </c>
      <c r="S287" s="112">
        <v>45.0</v>
      </c>
      <c r="T287" s="112">
        <v>10.0</v>
      </c>
      <c r="U287" s="112">
        <v>40.0</v>
      </c>
      <c r="V287" s="112">
        <v>11.0</v>
      </c>
      <c r="W287" s="112">
        <v>33.0</v>
      </c>
      <c r="X287" s="112">
        <v>5.0</v>
      </c>
      <c r="Y287" s="112">
        <v>46.0</v>
      </c>
      <c r="Z287" s="112">
        <v>14.0</v>
      </c>
      <c r="AA287" s="112">
        <v>54.0</v>
      </c>
      <c r="AB287" s="112">
        <v>16.0</v>
      </c>
      <c r="AC287" s="112">
        <v>49.0</v>
      </c>
      <c r="AD287" s="112">
        <v>8.0</v>
      </c>
      <c r="AE287" s="112">
        <v>31.0</v>
      </c>
      <c r="AF287" s="112">
        <v>5.0</v>
      </c>
      <c r="AG287" s="112">
        <v>24.0</v>
      </c>
      <c r="AH287" s="112">
        <v>5.0</v>
      </c>
      <c r="AI287" s="112">
        <v>20.0</v>
      </c>
      <c r="AJ287" s="112">
        <v>3.0</v>
      </c>
      <c r="AK287" s="112">
        <v>6.0</v>
      </c>
      <c r="AL287" s="112">
        <v>3.0</v>
      </c>
      <c r="AM287" s="112">
        <v>11.0</v>
      </c>
      <c r="AN287" s="109">
        <v>2596.0</v>
      </c>
    </row>
    <row r="288">
      <c r="A288" s="104"/>
      <c r="B288" s="111" t="s">
        <v>201</v>
      </c>
      <c r="C288" s="112">
        <v>261.0</v>
      </c>
      <c r="D288" s="112">
        <v>92.0</v>
      </c>
      <c r="E288" s="112">
        <v>169.0</v>
      </c>
      <c r="F288" s="112">
        <v>0.0</v>
      </c>
      <c r="G288" s="112">
        <v>0.0</v>
      </c>
      <c r="H288" s="112">
        <v>0.0</v>
      </c>
      <c r="I288" s="112">
        <v>0.0</v>
      </c>
      <c r="J288" s="112">
        <v>0.0</v>
      </c>
      <c r="K288" s="112">
        <v>0.0</v>
      </c>
      <c r="L288" s="112">
        <v>0.0</v>
      </c>
      <c r="M288" s="112">
        <v>0.0</v>
      </c>
      <c r="N288" s="112">
        <v>24.0</v>
      </c>
      <c r="O288" s="112">
        <v>2.0</v>
      </c>
      <c r="P288" s="112">
        <v>8.0</v>
      </c>
      <c r="Q288" s="112">
        <v>5.0</v>
      </c>
      <c r="R288" s="112">
        <v>9.0</v>
      </c>
      <c r="S288" s="112">
        <v>3.0</v>
      </c>
      <c r="T288" s="112">
        <v>11.0</v>
      </c>
      <c r="U288" s="112">
        <v>6.0</v>
      </c>
      <c r="V288" s="112">
        <v>9.0</v>
      </c>
      <c r="W288" s="112">
        <v>14.0</v>
      </c>
      <c r="X288" s="112">
        <v>9.0</v>
      </c>
      <c r="Y288" s="112">
        <v>40.0</v>
      </c>
      <c r="Z288" s="112">
        <v>8.0</v>
      </c>
      <c r="AA288" s="112">
        <v>34.0</v>
      </c>
      <c r="AB288" s="112">
        <v>6.0</v>
      </c>
      <c r="AC288" s="112">
        <v>31.0</v>
      </c>
      <c r="AD288" s="112">
        <v>8.0</v>
      </c>
      <c r="AE288" s="112">
        <v>29.0</v>
      </c>
      <c r="AF288" s="112">
        <v>0.0</v>
      </c>
      <c r="AG288" s="112">
        <v>1.0</v>
      </c>
      <c r="AH288" s="112">
        <v>0.0</v>
      </c>
      <c r="AI288" s="112">
        <v>0.0</v>
      </c>
      <c r="AJ288" s="112">
        <v>0.0</v>
      </c>
      <c r="AK288" s="112">
        <v>0.0</v>
      </c>
      <c r="AL288" s="112">
        <v>0.0</v>
      </c>
      <c r="AM288" s="112">
        <v>4.0</v>
      </c>
      <c r="AN288" s="112">
        <v>230.0</v>
      </c>
    </row>
    <row r="289">
      <c r="A289" s="107" t="s">
        <v>208</v>
      </c>
      <c r="B289" s="111" t="s">
        <v>198</v>
      </c>
      <c r="C289" s="112">
        <v>6.0</v>
      </c>
      <c r="D289" s="112">
        <v>3.0</v>
      </c>
      <c r="E289" s="112">
        <v>3.0</v>
      </c>
      <c r="F289" s="112">
        <v>3.0</v>
      </c>
      <c r="G289" s="112">
        <v>3.0</v>
      </c>
      <c r="H289" s="112">
        <v>0.0</v>
      </c>
      <c r="I289" s="112">
        <v>0.0</v>
      </c>
      <c r="J289" s="112">
        <v>0.0</v>
      </c>
      <c r="K289" s="112">
        <v>0.0</v>
      </c>
      <c r="L289" s="112">
        <v>0.0</v>
      </c>
      <c r="M289" s="112">
        <v>0.0</v>
      </c>
      <c r="N289" s="112">
        <v>0.0</v>
      </c>
      <c r="O289" s="112">
        <v>0.0</v>
      </c>
      <c r="P289" s="110">
        <v>0.0</v>
      </c>
      <c r="Q289" s="110">
        <v>0.0</v>
      </c>
      <c r="R289" s="110">
        <v>0.0</v>
      </c>
      <c r="S289" s="110">
        <v>0.0</v>
      </c>
      <c r="T289" s="110">
        <v>0.0</v>
      </c>
      <c r="U289" s="110">
        <v>0.0</v>
      </c>
      <c r="V289" s="110">
        <v>0.0</v>
      </c>
      <c r="W289" s="110">
        <v>0.0</v>
      </c>
      <c r="X289" s="110">
        <v>0.0</v>
      </c>
      <c r="Y289" s="110">
        <v>0.0</v>
      </c>
      <c r="Z289" s="110">
        <v>0.0</v>
      </c>
      <c r="AA289" s="110">
        <v>0.0</v>
      </c>
      <c r="AB289" s="110">
        <v>0.0</v>
      </c>
      <c r="AC289" s="110">
        <v>0.0</v>
      </c>
      <c r="AD289" s="110">
        <v>0.0</v>
      </c>
      <c r="AE289" s="110">
        <v>0.0</v>
      </c>
      <c r="AF289" s="110">
        <v>0.0</v>
      </c>
      <c r="AG289" s="110">
        <v>0.0</v>
      </c>
      <c r="AH289" s="110">
        <v>0.0</v>
      </c>
      <c r="AI289" s="110">
        <v>0.0</v>
      </c>
      <c r="AJ289" s="110">
        <v>0.0</v>
      </c>
      <c r="AK289" s="110">
        <v>0.0</v>
      </c>
      <c r="AL289" s="110">
        <v>0.0</v>
      </c>
      <c r="AM289" s="110">
        <v>0.0</v>
      </c>
      <c r="AN289" s="112">
        <v>6.0</v>
      </c>
    </row>
    <row r="290">
      <c r="A290" s="98"/>
      <c r="B290" s="111" t="s">
        <v>199</v>
      </c>
      <c r="C290" s="112">
        <v>1.0</v>
      </c>
      <c r="D290" s="112">
        <v>0.0</v>
      </c>
      <c r="E290" s="112">
        <v>1.0</v>
      </c>
      <c r="F290" s="112">
        <v>0.0</v>
      </c>
      <c r="G290" s="112">
        <v>1.0</v>
      </c>
      <c r="H290" s="112">
        <v>0.0</v>
      </c>
      <c r="I290" s="112">
        <v>0.0</v>
      </c>
      <c r="J290" s="112">
        <v>0.0</v>
      </c>
      <c r="K290" s="112">
        <v>0.0</v>
      </c>
      <c r="L290" s="112">
        <v>0.0</v>
      </c>
      <c r="M290" s="112">
        <v>0.0</v>
      </c>
      <c r="N290" s="112">
        <v>0.0</v>
      </c>
      <c r="O290" s="112">
        <v>0.0</v>
      </c>
      <c r="P290" s="110">
        <v>0.0</v>
      </c>
      <c r="Q290" s="110">
        <v>0.0</v>
      </c>
      <c r="R290" s="110">
        <v>0.0</v>
      </c>
      <c r="S290" s="110">
        <v>0.0</v>
      </c>
      <c r="T290" s="110">
        <v>0.0</v>
      </c>
      <c r="U290" s="110">
        <v>0.0</v>
      </c>
      <c r="V290" s="110">
        <v>0.0</v>
      </c>
      <c r="W290" s="110">
        <v>0.0</v>
      </c>
      <c r="X290" s="110">
        <v>0.0</v>
      </c>
      <c r="Y290" s="110">
        <v>0.0</v>
      </c>
      <c r="Z290" s="110">
        <v>0.0</v>
      </c>
      <c r="AA290" s="110">
        <v>0.0</v>
      </c>
      <c r="AB290" s="110">
        <v>0.0</v>
      </c>
      <c r="AC290" s="110">
        <v>0.0</v>
      </c>
      <c r="AD290" s="110">
        <v>0.0</v>
      </c>
      <c r="AE290" s="110">
        <v>0.0</v>
      </c>
      <c r="AF290" s="110">
        <v>0.0</v>
      </c>
      <c r="AG290" s="110">
        <v>0.0</v>
      </c>
      <c r="AH290" s="110">
        <v>0.0</v>
      </c>
      <c r="AI290" s="110">
        <v>0.0</v>
      </c>
      <c r="AJ290" s="110">
        <v>0.0</v>
      </c>
      <c r="AK290" s="110">
        <v>0.0</v>
      </c>
      <c r="AL290" s="110">
        <v>0.0</v>
      </c>
      <c r="AM290" s="110">
        <v>0.0</v>
      </c>
      <c r="AN290" s="112">
        <v>1.0</v>
      </c>
    </row>
    <row r="291">
      <c r="A291" s="98"/>
      <c r="B291" s="111" t="s">
        <v>206</v>
      </c>
      <c r="C291" s="112">
        <v>0.0</v>
      </c>
      <c r="D291" s="112">
        <v>0.0</v>
      </c>
      <c r="E291" s="112">
        <v>0.0</v>
      </c>
      <c r="F291" s="112">
        <v>0.0</v>
      </c>
      <c r="G291" s="112">
        <v>0.0</v>
      </c>
      <c r="H291" s="112">
        <v>0.0</v>
      </c>
      <c r="I291" s="112">
        <v>0.0</v>
      </c>
      <c r="J291" s="112">
        <v>0.0</v>
      </c>
      <c r="K291" s="112">
        <v>0.0</v>
      </c>
      <c r="L291" s="112">
        <v>0.0</v>
      </c>
      <c r="M291" s="112">
        <v>0.0</v>
      </c>
      <c r="N291" s="112">
        <v>0.0</v>
      </c>
      <c r="O291" s="112">
        <v>0.0</v>
      </c>
      <c r="P291" s="110">
        <v>0.0</v>
      </c>
      <c r="Q291" s="110">
        <v>0.0</v>
      </c>
      <c r="R291" s="110">
        <v>0.0</v>
      </c>
      <c r="S291" s="110">
        <v>0.0</v>
      </c>
      <c r="T291" s="110">
        <v>0.0</v>
      </c>
      <c r="U291" s="110">
        <v>0.0</v>
      </c>
      <c r="V291" s="110">
        <v>0.0</v>
      </c>
      <c r="W291" s="110">
        <v>0.0</v>
      </c>
      <c r="X291" s="110">
        <v>0.0</v>
      </c>
      <c r="Y291" s="110">
        <v>0.0</v>
      </c>
      <c r="Z291" s="110">
        <v>0.0</v>
      </c>
      <c r="AA291" s="110">
        <v>0.0</v>
      </c>
      <c r="AB291" s="110">
        <v>0.0</v>
      </c>
      <c r="AC291" s="110">
        <v>0.0</v>
      </c>
      <c r="AD291" s="110">
        <v>0.0</v>
      </c>
      <c r="AE291" s="110">
        <v>0.0</v>
      </c>
      <c r="AF291" s="110">
        <v>0.0</v>
      </c>
      <c r="AG291" s="110">
        <v>0.0</v>
      </c>
      <c r="AH291" s="110">
        <v>0.0</v>
      </c>
      <c r="AI291" s="110">
        <v>0.0</v>
      </c>
      <c r="AJ291" s="110">
        <v>0.0</v>
      </c>
      <c r="AK291" s="110">
        <v>0.0</v>
      </c>
      <c r="AL291" s="110">
        <v>0.0</v>
      </c>
      <c r="AM291" s="110">
        <v>0.0</v>
      </c>
      <c r="AN291" s="112">
        <v>0.0</v>
      </c>
    </row>
    <row r="292">
      <c r="A292" s="98"/>
      <c r="B292" s="111" t="s">
        <v>200</v>
      </c>
      <c r="C292" s="112">
        <v>0.0</v>
      </c>
      <c r="D292" s="112">
        <v>0.0</v>
      </c>
      <c r="E292" s="112">
        <v>0.0</v>
      </c>
      <c r="F292" s="112">
        <v>0.0</v>
      </c>
      <c r="G292" s="112">
        <v>0.0</v>
      </c>
      <c r="H292" s="112">
        <v>0.0</v>
      </c>
      <c r="I292" s="112">
        <v>0.0</v>
      </c>
      <c r="J292" s="112">
        <v>0.0</v>
      </c>
      <c r="K292" s="112">
        <v>0.0</v>
      </c>
      <c r="L292" s="112">
        <v>0.0</v>
      </c>
      <c r="M292" s="112">
        <v>0.0</v>
      </c>
      <c r="N292" s="112">
        <v>0.0</v>
      </c>
      <c r="O292" s="112">
        <v>0.0</v>
      </c>
      <c r="P292" s="110">
        <v>0.0</v>
      </c>
      <c r="Q292" s="110">
        <v>0.0</v>
      </c>
      <c r="R292" s="110">
        <v>0.0</v>
      </c>
      <c r="S292" s="110">
        <v>0.0</v>
      </c>
      <c r="T292" s="110">
        <v>0.0</v>
      </c>
      <c r="U292" s="110">
        <v>0.0</v>
      </c>
      <c r="V292" s="110">
        <v>0.0</v>
      </c>
      <c r="W292" s="110">
        <v>0.0</v>
      </c>
      <c r="X292" s="110">
        <v>0.0</v>
      </c>
      <c r="Y292" s="110">
        <v>0.0</v>
      </c>
      <c r="Z292" s="110">
        <v>0.0</v>
      </c>
      <c r="AA292" s="110">
        <v>0.0</v>
      </c>
      <c r="AB292" s="110">
        <v>0.0</v>
      </c>
      <c r="AC292" s="110">
        <v>0.0</v>
      </c>
      <c r="AD292" s="110">
        <v>0.0</v>
      </c>
      <c r="AE292" s="110">
        <v>0.0</v>
      </c>
      <c r="AF292" s="110">
        <v>0.0</v>
      </c>
      <c r="AG292" s="110">
        <v>0.0</v>
      </c>
      <c r="AH292" s="110">
        <v>0.0</v>
      </c>
      <c r="AI292" s="110">
        <v>0.0</v>
      </c>
      <c r="AJ292" s="110">
        <v>0.0</v>
      </c>
      <c r="AK292" s="110">
        <v>0.0</v>
      </c>
      <c r="AL292" s="110">
        <v>0.0</v>
      </c>
      <c r="AM292" s="110">
        <v>0.0</v>
      </c>
      <c r="AN292" s="112">
        <v>0.0</v>
      </c>
    </row>
    <row r="293">
      <c r="A293" s="104"/>
      <c r="B293" s="111" t="s">
        <v>201</v>
      </c>
      <c r="C293" s="112">
        <v>0.0</v>
      </c>
      <c r="D293" s="112">
        <v>0.0</v>
      </c>
      <c r="E293" s="112">
        <v>0.0</v>
      </c>
      <c r="F293" s="112">
        <v>0.0</v>
      </c>
      <c r="G293" s="112">
        <v>0.0</v>
      </c>
      <c r="H293" s="112">
        <v>0.0</v>
      </c>
      <c r="I293" s="112">
        <v>0.0</v>
      </c>
      <c r="J293" s="112">
        <v>0.0</v>
      </c>
      <c r="K293" s="112">
        <v>0.0</v>
      </c>
      <c r="L293" s="112">
        <v>0.0</v>
      </c>
      <c r="M293" s="112">
        <v>0.0</v>
      </c>
      <c r="N293" s="112">
        <v>0.0</v>
      </c>
      <c r="O293" s="112">
        <v>0.0</v>
      </c>
      <c r="P293" s="110">
        <v>0.0</v>
      </c>
      <c r="Q293" s="110">
        <v>0.0</v>
      </c>
      <c r="R293" s="110">
        <v>0.0</v>
      </c>
      <c r="S293" s="110">
        <v>0.0</v>
      </c>
      <c r="T293" s="110">
        <v>0.0</v>
      </c>
      <c r="U293" s="110">
        <v>0.0</v>
      </c>
      <c r="V293" s="110">
        <v>0.0</v>
      </c>
      <c r="W293" s="110">
        <v>0.0</v>
      </c>
      <c r="X293" s="110">
        <v>0.0</v>
      </c>
      <c r="Y293" s="110">
        <v>0.0</v>
      </c>
      <c r="Z293" s="110">
        <v>0.0</v>
      </c>
      <c r="AA293" s="110">
        <v>0.0</v>
      </c>
      <c r="AB293" s="110">
        <v>0.0</v>
      </c>
      <c r="AC293" s="110">
        <v>0.0</v>
      </c>
      <c r="AD293" s="110">
        <v>0.0</v>
      </c>
      <c r="AE293" s="110">
        <v>0.0</v>
      </c>
      <c r="AF293" s="110">
        <v>0.0</v>
      </c>
      <c r="AG293" s="110">
        <v>0.0</v>
      </c>
      <c r="AH293" s="110">
        <v>0.0</v>
      </c>
      <c r="AI293" s="110">
        <v>0.0</v>
      </c>
      <c r="AJ293" s="110">
        <v>0.0</v>
      </c>
      <c r="AK293" s="110">
        <v>0.0</v>
      </c>
      <c r="AL293" s="110">
        <v>0.0</v>
      </c>
      <c r="AM293" s="110">
        <v>0.0</v>
      </c>
      <c r="AN293" s="112">
        <v>0.0</v>
      </c>
    </row>
    <row r="294">
      <c r="A294" s="113" t="s">
        <v>220</v>
      </c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</row>
    <row r="295">
      <c r="A295" s="107" t="s">
        <v>197</v>
      </c>
      <c r="B295" s="108" t="s">
        <v>198</v>
      </c>
      <c r="C295" s="109">
        <v>123356.0</v>
      </c>
      <c r="D295" s="109">
        <v>42957.0</v>
      </c>
      <c r="E295" s="109">
        <v>80399.0</v>
      </c>
      <c r="F295" s="110">
        <v>0.0</v>
      </c>
      <c r="G295" s="110">
        <v>0.0</v>
      </c>
      <c r="H295" s="110">
        <v>0.0</v>
      </c>
      <c r="I295" s="110">
        <v>0.0</v>
      </c>
      <c r="J295" s="110">
        <v>0.0</v>
      </c>
      <c r="K295" s="110">
        <v>0.0</v>
      </c>
      <c r="L295" s="112">
        <v>41.0</v>
      </c>
      <c r="M295" s="112">
        <v>52.0</v>
      </c>
      <c r="N295" s="112">
        <v>86.0</v>
      </c>
      <c r="O295" s="112">
        <v>163.0</v>
      </c>
      <c r="P295" s="112">
        <v>203.0</v>
      </c>
      <c r="Q295" s="112">
        <v>335.0</v>
      </c>
      <c r="R295" s="112">
        <v>283.0</v>
      </c>
      <c r="S295" s="112">
        <v>544.0</v>
      </c>
      <c r="T295" s="112">
        <v>557.0</v>
      </c>
      <c r="U295" s="109">
        <v>1017.0</v>
      </c>
      <c r="V295" s="109">
        <v>1171.0</v>
      </c>
      <c r="W295" s="109">
        <v>2121.0</v>
      </c>
      <c r="X295" s="109">
        <v>1957.0</v>
      </c>
      <c r="Y295" s="109">
        <v>4095.0</v>
      </c>
      <c r="Z295" s="109">
        <v>3438.0</v>
      </c>
      <c r="AA295" s="109">
        <v>6970.0</v>
      </c>
      <c r="AB295" s="109">
        <v>4304.0</v>
      </c>
      <c r="AC295" s="109">
        <v>8406.0</v>
      </c>
      <c r="AD295" s="109">
        <v>5171.0</v>
      </c>
      <c r="AE295" s="109">
        <v>9915.0</v>
      </c>
      <c r="AF295" s="109">
        <v>6054.0</v>
      </c>
      <c r="AG295" s="109">
        <v>10879.0</v>
      </c>
      <c r="AH295" s="109">
        <v>6935.0</v>
      </c>
      <c r="AI295" s="109">
        <v>11763.0</v>
      </c>
      <c r="AJ295" s="109">
        <v>6060.0</v>
      </c>
      <c r="AK295" s="109">
        <v>10313.0</v>
      </c>
      <c r="AL295" s="109">
        <v>6697.0</v>
      </c>
      <c r="AM295" s="109">
        <v>13826.0</v>
      </c>
      <c r="AN295" s="109">
        <v>122273.0</v>
      </c>
    </row>
    <row r="296">
      <c r="A296" s="98"/>
      <c r="B296" s="111" t="s">
        <v>199</v>
      </c>
      <c r="C296" s="109">
        <v>60158.0</v>
      </c>
      <c r="D296" s="109">
        <v>20746.0</v>
      </c>
      <c r="E296" s="109">
        <v>39412.0</v>
      </c>
      <c r="F296" s="110">
        <v>0.0</v>
      </c>
      <c r="G296" s="110">
        <v>0.0</v>
      </c>
      <c r="H296" s="110">
        <v>0.0</v>
      </c>
      <c r="I296" s="110">
        <v>0.0</v>
      </c>
      <c r="J296" s="110">
        <v>0.0</v>
      </c>
      <c r="K296" s="110">
        <v>0.0</v>
      </c>
      <c r="L296" s="112">
        <v>15.0</v>
      </c>
      <c r="M296" s="112">
        <v>8.0</v>
      </c>
      <c r="N296" s="112">
        <v>42.0</v>
      </c>
      <c r="O296" s="112">
        <v>48.0</v>
      </c>
      <c r="P296" s="112">
        <v>83.0</v>
      </c>
      <c r="Q296" s="112">
        <v>117.0</v>
      </c>
      <c r="R296" s="112">
        <v>98.0</v>
      </c>
      <c r="S296" s="112">
        <v>203.0</v>
      </c>
      <c r="T296" s="112">
        <v>272.0</v>
      </c>
      <c r="U296" s="112">
        <v>419.0</v>
      </c>
      <c r="V296" s="112">
        <v>469.0</v>
      </c>
      <c r="W296" s="112">
        <v>787.0</v>
      </c>
      <c r="X296" s="112">
        <v>895.0</v>
      </c>
      <c r="Y296" s="109">
        <v>1713.0</v>
      </c>
      <c r="Z296" s="109">
        <v>1572.0</v>
      </c>
      <c r="AA296" s="109">
        <v>2878.0</v>
      </c>
      <c r="AB296" s="109">
        <v>1933.0</v>
      </c>
      <c r="AC296" s="109">
        <v>3725.0</v>
      </c>
      <c r="AD296" s="109">
        <v>2354.0</v>
      </c>
      <c r="AE296" s="109">
        <v>4549.0</v>
      </c>
      <c r="AF296" s="109">
        <v>2748.0</v>
      </c>
      <c r="AG296" s="109">
        <v>5285.0</v>
      </c>
      <c r="AH296" s="109">
        <v>3456.0</v>
      </c>
      <c r="AI296" s="109">
        <v>6206.0</v>
      </c>
      <c r="AJ296" s="109">
        <v>3083.0</v>
      </c>
      <c r="AK296" s="109">
        <v>5820.0</v>
      </c>
      <c r="AL296" s="109">
        <v>3726.0</v>
      </c>
      <c r="AM296" s="109">
        <v>7654.0</v>
      </c>
      <c r="AN296" s="109">
        <v>59753.0</v>
      </c>
    </row>
    <row r="297">
      <c r="A297" s="98"/>
      <c r="B297" s="111" t="s">
        <v>200</v>
      </c>
      <c r="C297" s="109">
        <v>46546.0</v>
      </c>
      <c r="D297" s="109">
        <v>15022.0</v>
      </c>
      <c r="E297" s="109">
        <v>31524.0</v>
      </c>
      <c r="F297" s="110">
        <v>0.0</v>
      </c>
      <c r="G297" s="110">
        <v>0.0</v>
      </c>
      <c r="H297" s="110">
        <v>0.0</v>
      </c>
      <c r="I297" s="110">
        <v>0.0</v>
      </c>
      <c r="J297" s="110">
        <v>0.0</v>
      </c>
      <c r="K297" s="110">
        <v>0.0</v>
      </c>
      <c r="L297" s="112">
        <v>27.0</v>
      </c>
      <c r="M297" s="112">
        <v>39.0</v>
      </c>
      <c r="N297" s="112">
        <v>53.0</v>
      </c>
      <c r="O297" s="112">
        <v>117.0</v>
      </c>
      <c r="P297" s="112">
        <v>97.0</v>
      </c>
      <c r="Q297" s="112">
        <v>181.0</v>
      </c>
      <c r="R297" s="112">
        <v>122.0</v>
      </c>
      <c r="S297" s="112">
        <v>266.0</v>
      </c>
      <c r="T297" s="112">
        <v>245.0</v>
      </c>
      <c r="U297" s="112">
        <v>499.0</v>
      </c>
      <c r="V297" s="112">
        <v>430.0</v>
      </c>
      <c r="W297" s="112">
        <v>894.0</v>
      </c>
      <c r="X297" s="112">
        <v>785.0</v>
      </c>
      <c r="Y297" s="109">
        <v>1715.0</v>
      </c>
      <c r="Z297" s="109">
        <v>1199.0</v>
      </c>
      <c r="AA297" s="109">
        <v>2891.0</v>
      </c>
      <c r="AB297" s="109">
        <v>1410.0</v>
      </c>
      <c r="AC297" s="109">
        <v>3366.0</v>
      </c>
      <c r="AD297" s="109">
        <v>1742.0</v>
      </c>
      <c r="AE297" s="109">
        <v>3832.0</v>
      </c>
      <c r="AF297" s="109">
        <v>2081.0</v>
      </c>
      <c r="AG297" s="109">
        <v>4320.0</v>
      </c>
      <c r="AH297" s="109">
        <v>2474.0</v>
      </c>
      <c r="AI297" s="109">
        <v>4650.0</v>
      </c>
      <c r="AJ297" s="109">
        <v>2147.0</v>
      </c>
      <c r="AK297" s="109">
        <v>3947.0</v>
      </c>
      <c r="AL297" s="109">
        <v>2210.0</v>
      </c>
      <c r="AM297" s="109">
        <v>4807.0</v>
      </c>
      <c r="AN297" s="109">
        <v>46211.0</v>
      </c>
    </row>
    <row r="298">
      <c r="A298" s="104"/>
      <c r="B298" s="111" t="s">
        <v>201</v>
      </c>
      <c r="C298" s="112">
        <v>107.0</v>
      </c>
      <c r="D298" s="112">
        <v>37.0</v>
      </c>
      <c r="E298" s="112">
        <v>70.0</v>
      </c>
      <c r="F298" s="110">
        <v>0.0</v>
      </c>
      <c r="G298" s="110">
        <v>0.0</v>
      </c>
      <c r="H298" s="110">
        <v>0.0</v>
      </c>
      <c r="I298" s="110">
        <v>0.0</v>
      </c>
      <c r="J298" s="110">
        <v>0.0</v>
      </c>
      <c r="K298" s="110">
        <v>0.0</v>
      </c>
      <c r="L298" s="112">
        <v>0.0</v>
      </c>
      <c r="M298" s="112">
        <v>0.0</v>
      </c>
      <c r="N298" s="112">
        <v>0.0</v>
      </c>
      <c r="O298" s="112">
        <v>1.0</v>
      </c>
      <c r="P298" s="112">
        <v>0.0</v>
      </c>
      <c r="Q298" s="112">
        <v>0.0</v>
      </c>
      <c r="R298" s="112">
        <v>0.0</v>
      </c>
      <c r="S298" s="112">
        <v>1.0</v>
      </c>
      <c r="T298" s="112">
        <v>0.0</v>
      </c>
      <c r="U298" s="112">
        <v>1.0</v>
      </c>
      <c r="V298" s="112">
        <v>0.0</v>
      </c>
      <c r="W298" s="112">
        <v>4.0</v>
      </c>
      <c r="X298" s="112">
        <v>1.0</v>
      </c>
      <c r="Y298" s="112">
        <v>4.0</v>
      </c>
      <c r="Z298" s="112">
        <v>6.0</v>
      </c>
      <c r="AA298" s="112">
        <v>6.0</v>
      </c>
      <c r="AB298" s="112">
        <v>2.0</v>
      </c>
      <c r="AC298" s="112">
        <v>7.0</v>
      </c>
      <c r="AD298" s="112">
        <v>8.0</v>
      </c>
      <c r="AE298" s="112">
        <v>6.0</v>
      </c>
      <c r="AF298" s="112">
        <v>8.0</v>
      </c>
      <c r="AG298" s="112">
        <v>19.0</v>
      </c>
      <c r="AH298" s="112">
        <v>7.0</v>
      </c>
      <c r="AI298" s="112">
        <v>13.0</v>
      </c>
      <c r="AJ298" s="112">
        <v>4.0</v>
      </c>
      <c r="AK298" s="112">
        <v>5.0</v>
      </c>
      <c r="AL298" s="112">
        <v>1.0</v>
      </c>
      <c r="AM298" s="112">
        <v>3.0</v>
      </c>
      <c r="AN298" s="112">
        <v>107.0</v>
      </c>
    </row>
    <row r="299">
      <c r="A299" s="107" t="s">
        <v>202</v>
      </c>
      <c r="B299" s="111" t="s">
        <v>198</v>
      </c>
      <c r="C299" s="112">
        <v>640.0</v>
      </c>
      <c r="D299" s="112">
        <v>330.0</v>
      </c>
      <c r="E299" s="112">
        <v>310.0</v>
      </c>
      <c r="F299" s="112">
        <v>4.0</v>
      </c>
      <c r="G299" s="112">
        <v>2.0</v>
      </c>
      <c r="H299" s="112">
        <v>2.0</v>
      </c>
      <c r="I299" s="112">
        <v>3.0</v>
      </c>
      <c r="J299" s="112">
        <v>2.0</v>
      </c>
      <c r="K299" s="112">
        <v>0.0</v>
      </c>
      <c r="L299" s="112">
        <v>7.0</v>
      </c>
      <c r="M299" s="112">
        <v>6.0</v>
      </c>
      <c r="N299" s="112">
        <v>19.0</v>
      </c>
      <c r="O299" s="112">
        <v>11.0</v>
      </c>
      <c r="P299" s="112">
        <v>36.0</v>
      </c>
      <c r="Q299" s="112">
        <v>20.0</v>
      </c>
      <c r="R299" s="112">
        <v>23.0</v>
      </c>
      <c r="S299" s="112">
        <v>9.0</v>
      </c>
      <c r="T299" s="112">
        <v>35.0</v>
      </c>
      <c r="U299" s="112">
        <v>30.0</v>
      </c>
      <c r="V299" s="112">
        <v>13.0</v>
      </c>
      <c r="W299" s="112">
        <v>18.0</v>
      </c>
      <c r="X299" s="112">
        <v>17.0</v>
      </c>
      <c r="Y299" s="112">
        <v>20.0</v>
      </c>
      <c r="Z299" s="112">
        <v>32.0</v>
      </c>
      <c r="AA299" s="112">
        <v>13.0</v>
      </c>
      <c r="AB299" s="112">
        <v>18.0</v>
      </c>
      <c r="AC299" s="112">
        <v>36.0</v>
      </c>
      <c r="AD299" s="112">
        <v>25.0</v>
      </c>
      <c r="AE299" s="112">
        <v>43.0</v>
      </c>
      <c r="AF299" s="112">
        <v>22.0</v>
      </c>
      <c r="AG299" s="112">
        <v>23.0</v>
      </c>
      <c r="AH299" s="112">
        <v>22.0</v>
      </c>
      <c r="AI299" s="112">
        <v>14.0</v>
      </c>
      <c r="AJ299" s="112">
        <v>11.0</v>
      </c>
      <c r="AK299" s="112">
        <v>30.0</v>
      </c>
      <c r="AL299" s="112">
        <v>42.0</v>
      </c>
      <c r="AM299" s="112">
        <v>32.0</v>
      </c>
      <c r="AN299" s="112">
        <v>604.0</v>
      </c>
    </row>
    <row r="300">
      <c r="A300" s="104"/>
      <c r="B300" s="111" t="s">
        <v>199</v>
      </c>
      <c r="C300" s="112">
        <v>445.0</v>
      </c>
      <c r="D300" s="112">
        <v>229.0</v>
      </c>
      <c r="E300" s="112">
        <v>216.0</v>
      </c>
      <c r="F300" s="112">
        <v>7.0</v>
      </c>
      <c r="G300" s="112">
        <v>3.0</v>
      </c>
      <c r="H300" s="112">
        <v>6.0</v>
      </c>
      <c r="I300" s="112">
        <v>8.0</v>
      </c>
      <c r="J300" s="112">
        <v>2.0</v>
      </c>
      <c r="K300" s="112">
        <v>2.0</v>
      </c>
      <c r="L300" s="112">
        <v>5.0</v>
      </c>
      <c r="M300" s="112">
        <v>3.0</v>
      </c>
      <c r="N300" s="112">
        <v>15.0</v>
      </c>
      <c r="O300" s="112">
        <v>13.0</v>
      </c>
      <c r="P300" s="112">
        <v>30.0</v>
      </c>
      <c r="Q300" s="112">
        <v>18.0</v>
      </c>
      <c r="R300" s="112">
        <v>8.0</v>
      </c>
      <c r="S300" s="112">
        <v>11.0</v>
      </c>
      <c r="T300" s="112">
        <v>19.0</v>
      </c>
      <c r="U300" s="112">
        <v>18.0</v>
      </c>
      <c r="V300" s="112">
        <v>6.0</v>
      </c>
      <c r="W300" s="112">
        <v>5.0</v>
      </c>
      <c r="X300" s="112">
        <v>14.0</v>
      </c>
      <c r="Y300" s="112">
        <v>17.0</v>
      </c>
      <c r="Z300" s="112">
        <v>28.0</v>
      </c>
      <c r="AA300" s="112">
        <v>12.0</v>
      </c>
      <c r="AB300" s="112">
        <v>10.0</v>
      </c>
      <c r="AC300" s="112">
        <v>15.0</v>
      </c>
      <c r="AD300" s="112">
        <v>25.0</v>
      </c>
      <c r="AE300" s="112">
        <v>18.0</v>
      </c>
      <c r="AF300" s="112">
        <v>19.0</v>
      </c>
      <c r="AG300" s="112">
        <v>21.0</v>
      </c>
      <c r="AH300" s="112">
        <v>23.0</v>
      </c>
      <c r="AI300" s="112">
        <v>11.0</v>
      </c>
      <c r="AJ300" s="112">
        <v>3.0</v>
      </c>
      <c r="AK300" s="112">
        <v>18.0</v>
      </c>
      <c r="AL300" s="112">
        <v>9.0</v>
      </c>
      <c r="AM300" s="112">
        <v>23.0</v>
      </c>
      <c r="AN300" s="112">
        <v>421.0</v>
      </c>
    </row>
    <row r="301">
      <c r="A301" s="107" t="s">
        <v>203</v>
      </c>
      <c r="B301" s="111" t="s">
        <v>198</v>
      </c>
      <c r="C301" s="112">
        <v>3.0</v>
      </c>
      <c r="D301" s="112">
        <v>1.0</v>
      </c>
      <c r="E301" s="112">
        <v>2.0</v>
      </c>
      <c r="F301" s="110">
        <v>0.0</v>
      </c>
      <c r="G301" s="110">
        <v>0.0</v>
      </c>
      <c r="H301" s="110">
        <v>0.0</v>
      </c>
      <c r="I301" s="110">
        <v>0.0</v>
      </c>
      <c r="J301" s="110">
        <v>0.0</v>
      </c>
      <c r="K301" s="110">
        <v>0.0</v>
      </c>
      <c r="L301" s="110">
        <v>0.0</v>
      </c>
      <c r="M301" s="110">
        <v>0.0</v>
      </c>
      <c r="N301" s="110">
        <v>0.0</v>
      </c>
      <c r="O301" s="110">
        <v>0.0</v>
      </c>
      <c r="P301" s="110">
        <v>0.0</v>
      </c>
      <c r="Q301" s="110">
        <v>0.0</v>
      </c>
      <c r="R301" s="110">
        <v>0.0</v>
      </c>
      <c r="S301" s="110">
        <v>0.0</v>
      </c>
      <c r="T301" s="110">
        <v>0.0</v>
      </c>
      <c r="U301" s="110">
        <v>0.0</v>
      </c>
      <c r="V301" s="110">
        <v>0.0</v>
      </c>
      <c r="W301" s="110">
        <v>0.0</v>
      </c>
      <c r="X301" s="110">
        <v>0.0</v>
      </c>
      <c r="Y301" s="110">
        <v>0.0</v>
      </c>
      <c r="Z301" s="110">
        <v>0.0</v>
      </c>
      <c r="AA301" s="110">
        <v>0.0</v>
      </c>
      <c r="AB301" s="110">
        <v>0.0</v>
      </c>
      <c r="AC301" s="110">
        <v>0.0</v>
      </c>
      <c r="AD301" s="110">
        <v>0.0</v>
      </c>
      <c r="AE301" s="110">
        <v>0.0</v>
      </c>
      <c r="AF301" s="112">
        <v>0.0</v>
      </c>
      <c r="AG301" s="112">
        <v>0.0</v>
      </c>
      <c r="AH301" s="112">
        <v>0.0</v>
      </c>
      <c r="AI301" s="112">
        <v>0.0</v>
      </c>
      <c r="AJ301" s="112">
        <v>1.0</v>
      </c>
      <c r="AK301" s="112">
        <v>0.0</v>
      </c>
      <c r="AL301" s="112">
        <v>0.0</v>
      </c>
      <c r="AM301" s="112">
        <v>2.0</v>
      </c>
      <c r="AN301" s="112">
        <v>3.0</v>
      </c>
    </row>
    <row r="302">
      <c r="A302" s="104"/>
      <c r="B302" s="111" t="s">
        <v>199</v>
      </c>
      <c r="C302" s="109">
        <v>4553.0</v>
      </c>
      <c r="D302" s="109">
        <v>1417.0</v>
      </c>
      <c r="E302" s="109">
        <v>3136.0</v>
      </c>
      <c r="F302" s="110">
        <v>0.0</v>
      </c>
      <c r="G302" s="110">
        <v>0.0</v>
      </c>
      <c r="H302" s="110">
        <v>0.0</v>
      </c>
      <c r="I302" s="110">
        <v>0.0</v>
      </c>
      <c r="J302" s="110">
        <v>0.0</v>
      </c>
      <c r="K302" s="110">
        <v>0.0</v>
      </c>
      <c r="L302" s="110">
        <v>0.0</v>
      </c>
      <c r="M302" s="110">
        <v>0.0</v>
      </c>
      <c r="N302" s="110">
        <v>0.0</v>
      </c>
      <c r="O302" s="110">
        <v>0.0</v>
      </c>
      <c r="P302" s="110">
        <v>0.0</v>
      </c>
      <c r="Q302" s="110">
        <v>0.0</v>
      </c>
      <c r="R302" s="110">
        <v>0.0</v>
      </c>
      <c r="S302" s="110">
        <v>0.0</v>
      </c>
      <c r="T302" s="110">
        <v>0.0</v>
      </c>
      <c r="U302" s="110">
        <v>0.0</v>
      </c>
      <c r="V302" s="110">
        <v>0.0</v>
      </c>
      <c r="W302" s="110">
        <v>0.0</v>
      </c>
      <c r="X302" s="110">
        <v>0.0</v>
      </c>
      <c r="Y302" s="110">
        <v>0.0</v>
      </c>
      <c r="Z302" s="110">
        <v>0.0</v>
      </c>
      <c r="AA302" s="110">
        <v>0.0</v>
      </c>
      <c r="AB302" s="110">
        <v>0.0</v>
      </c>
      <c r="AC302" s="110">
        <v>0.0</v>
      </c>
      <c r="AD302" s="110">
        <v>0.0</v>
      </c>
      <c r="AE302" s="110">
        <v>0.0</v>
      </c>
      <c r="AF302" s="112">
        <v>301.0</v>
      </c>
      <c r="AG302" s="112">
        <v>681.0</v>
      </c>
      <c r="AH302" s="112">
        <v>439.0</v>
      </c>
      <c r="AI302" s="112">
        <v>988.0</v>
      </c>
      <c r="AJ302" s="112">
        <v>368.0</v>
      </c>
      <c r="AK302" s="112">
        <v>762.0</v>
      </c>
      <c r="AL302" s="112">
        <v>309.0</v>
      </c>
      <c r="AM302" s="112">
        <v>705.0</v>
      </c>
      <c r="AN302" s="109">
        <v>4545.0</v>
      </c>
    </row>
    <row r="303">
      <c r="A303" s="107" t="s">
        <v>204</v>
      </c>
      <c r="B303" s="111" t="s">
        <v>198</v>
      </c>
      <c r="C303" s="112">
        <v>0.0</v>
      </c>
      <c r="D303" s="112">
        <v>0.0</v>
      </c>
      <c r="E303" s="112">
        <v>0.0</v>
      </c>
      <c r="F303" s="110">
        <v>0.0</v>
      </c>
      <c r="G303" s="110">
        <v>0.0</v>
      </c>
      <c r="H303" s="110">
        <v>0.0</v>
      </c>
      <c r="I303" s="110">
        <v>0.0</v>
      </c>
      <c r="J303" s="110">
        <v>0.0</v>
      </c>
      <c r="K303" s="110">
        <v>0.0</v>
      </c>
      <c r="L303" s="110">
        <v>0.0</v>
      </c>
      <c r="M303" s="110">
        <v>0.0</v>
      </c>
      <c r="N303" s="110">
        <v>0.0</v>
      </c>
      <c r="O303" s="110">
        <v>0.0</v>
      </c>
      <c r="P303" s="110">
        <v>0.0</v>
      </c>
      <c r="Q303" s="110">
        <v>0.0</v>
      </c>
      <c r="R303" s="110">
        <v>0.0</v>
      </c>
      <c r="S303" s="110">
        <v>0.0</v>
      </c>
      <c r="T303" s="110">
        <v>0.0</v>
      </c>
      <c r="U303" s="110">
        <v>0.0</v>
      </c>
      <c r="V303" s="110">
        <v>0.0</v>
      </c>
      <c r="W303" s="110">
        <v>0.0</v>
      </c>
      <c r="X303" s="110">
        <v>0.0</v>
      </c>
      <c r="Y303" s="110">
        <v>0.0</v>
      </c>
      <c r="Z303" s="110">
        <v>0.0</v>
      </c>
      <c r="AA303" s="110">
        <v>0.0</v>
      </c>
      <c r="AB303" s="110">
        <v>0.0</v>
      </c>
      <c r="AC303" s="110">
        <v>0.0</v>
      </c>
      <c r="AD303" s="110">
        <v>0.0</v>
      </c>
      <c r="AE303" s="110">
        <v>0.0</v>
      </c>
      <c r="AF303" s="112">
        <v>0.0</v>
      </c>
      <c r="AG303" s="112">
        <v>0.0</v>
      </c>
      <c r="AH303" s="112">
        <v>0.0</v>
      </c>
      <c r="AI303" s="112">
        <v>0.0</v>
      </c>
      <c r="AJ303" s="112">
        <v>0.0</v>
      </c>
      <c r="AK303" s="112">
        <v>0.0</v>
      </c>
      <c r="AL303" s="112">
        <v>0.0</v>
      </c>
      <c r="AM303" s="112">
        <v>0.0</v>
      </c>
      <c r="AN303" s="112">
        <v>0.0</v>
      </c>
    </row>
    <row r="304">
      <c r="A304" s="104"/>
      <c r="B304" s="111" t="s">
        <v>199</v>
      </c>
      <c r="C304" s="109">
        <v>3045.0</v>
      </c>
      <c r="D304" s="112">
        <v>934.0</v>
      </c>
      <c r="E304" s="109">
        <v>2111.0</v>
      </c>
      <c r="F304" s="110">
        <v>0.0</v>
      </c>
      <c r="G304" s="110">
        <v>0.0</v>
      </c>
      <c r="H304" s="110">
        <v>0.0</v>
      </c>
      <c r="I304" s="110">
        <v>0.0</v>
      </c>
      <c r="J304" s="110">
        <v>0.0</v>
      </c>
      <c r="K304" s="110">
        <v>0.0</v>
      </c>
      <c r="L304" s="110">
        <v>0.0</v>
      </c>
      <c r="M304" s="110">
        <v>0.0</v>
      </c>
      <c r="N304" s="110">
        <v>0.0</v>
      </c>
      <c r="O304" s="110">
        <v>0.0</v>
      </c>
      <c r="P304" s="110">
        <v>0.0</v>
      </c>
      <c r="Q304" s="110">
        <v>0.0</v>
      </c>
      <c r="R304" s="110">
        <v>0.0</v>
      </c>
      <c r="S304" s="110">
        <v>0.0</v>
      </c>
      <c r="T304" s="110">
        <v>0.0</v>
      </c>
      <c r="U304" s="110">
        <v>0.0</v>
      </c>
      <c r="V304" s="110">
        <v>0.0</v>
      </c>
      <c r="W304" s="110">
        <v>0.0</v>
      </c>
      <c r="X304" s="110">
        <v>0.0</v>
      </c>
      <c r="Y304" s="110">
        <v>0.0</v>
      </c>
      <c r="Z304" s="110">
        <v>0.0</v>
      </c>
      <c r="AA304" s="110">
        <v>0.0</v>
      </c>
      <c r="AB304" s="110">
        <v>0.0</v>
      </c>
      <c r="AC304" s="110">
        <v>0.0</v>
      </c>
      <c r="AD304" s="110">
        <v>0.0</v>
      </c>
      <c r="AE304" s="110">
        <v>0.0</v>
      </c>
      <c r="AF304" s="112">
        <v>96.0</v>
      </c>
      <c r="AG304" s="112">
        <v>195.0</v>
      </c>
      <c r="AH304" s="112">
        <v>169.0</v>
      </c>
      <c r="AI304" s="112">
        <v>358.0</v>
      </c>
      <c r="AJ304" s="112">
        <v>214.0</v>
      </c>
      <c r="AK304" s="112">
        <v>450.0</v>
      </c>
      <c r="AL304" s="112">
        <v>455.0</v>
      </c>
      <c r="AM304" s="109">
        <v>1108.0</v>
      </c>
      <c r="AN304" s="109">
        <v>3039.0</v>
      </c>
    </row>
    <row r="305">
      <c r="A305" s="107" t="s">
        <v>205</v>
      </c>
      <c r="B305" s="111" t="s">
        <v>198</v>
      </c>
      <c r="C305" s="112">
        <v>97.0</v>
      </c>
      <c r="D305" s="112">
        <v>35.0</v>
      </c>
      <c r="E305" s="112">
        <v>62.0</v>
      </c>
      <c r="F305" s="112">
        <v>0.0</v>
      </c>
      <c r="G305" s="112">
        <v>0.0</v>
      </c>
      <c r="H305" s="112">
        <v>0.0</v>
      </c>
      <c r="I305" s="112">
        <v>0.0</v>
      </c>
      <c r="J305" s="112">
        <v>0.0</v>
      </c>
      <c r="K305" s="112">
        <v>1.0</v>
      </c>
      <c r="L305" s="112">
        <v>0.0</v>
      </c>
      <c r="M305" s="112">
        <v>0.0</v>
      </c>
      <c r="N305" s="112">
        <v>3.0</v>
      </c>
      <c r="O305" s="112">
        <v>0.0</v>
      </c>
      <c r="P305" s="112">
        <v>0.0</v>
      </c>
      <c r="Q305" s="112">
        <v>0.0</v>
      </c>
      <c r="R305" s="112">
        <v>1.0</v>
      </c>
      <c r="S305" s="112">
        <v>5.0</v>
      </c>
      <c r="T305" s="112">
        <v>2.0</v>
      </c>
      <c r="U305" s="112">
        <v>0.0</v>
      </c>
      <c r="V305" s="112">
        <v>0.0</v>
      </c>
      <c r="W305" s="112">
        <v>4.0</v>
      </c>
      <c r="X305" s="112">
        <v>4.0</v>
      </c>
      <c r="Y305" s="112">
        <v>2.0</v>
      </c>
      <c r="Z305" s="112">
        <v>2.0</v>
      </c>
      <c r="AA305" s="112">
        <v>5.0</v>
      </c>
      <c r="AB305" s="112">
        <v>3.0</v>
      </c>
      <c r="AC305" s="112">
        <v>9.0</v>
      </c>
      <c r="AD305" s="112">
        <v>1.0</v>
      </c>
      <c r="AE305" s="112">
        <v>3.0</v>
      </c>
      <c r="AF305" s="112">
        <v>2.0</v>
      </c>
      <c r="AG305" s="112">
        <v>4.0</v>
      </c>
      <c r="AH305" s="112">
        <v>6.0</v>
      </c>
      <c r="AI305" s="112">
        <v>15.0</v>
      </c>
      <c r="AJ305" s="112">
        <v>8.0</v>
      </c>
      <c r="AK305" s="112">
        <v>8.0</v>
      </c>
      <c r="AL305" s="112">
        <v>3.0</v>
      </c>
      <c r="AM305" s="112">
        <v>6.0</v>
      </c>
      <c r="AN305" s="112">
        <v>97.0</v>
      </c>
    </row>
    <row r="306">
      <c r="A306" s="98"/>
      <c r="B306" s="111" t="s">
        <v>199</v>
      </c>
      <c r="C306" s="112">
        <v>147.0</v>
      </c>
      <c r="D306" s="112">
        <v>52.0</v>
      </c>
      <c r="E306" s="112">
        <v>95.0</v>
      </c>
      <c r="F306" s="112">
        <v>12.0</v>
      </c>
      <c r="G306" s="112">
        <v>6.0</v>
      </c>
      <c r="H306" s="112">
        <v>10.0</v>
      </c>
      <c r="I306" s="112">
        <v>7.0</v>
      </c>
      <c r="J306" s="112">
        <v>0.0</v>
      </c>
      <c r="K306" s="112">
        <v>0.0</v>
      </c>
      <c r="L306" s="112">
        <v>0.0</v>
      </c>
      <c r="M306" s="112">
        <v>0.0</v>
      </c>
      <c r="N306" s="112">
        <v>0.0</v>
      </c>
      <c r="O306" s="112">
        <v>0.0</v>
      </c>
      <c r="P306" s="112">
        <v>1.0</v>
      </c>
      <c r="Q306" s="112">
        <v>1.0</v>
      </c>
      <c r="R306" s="112">
        <v>3.0</v>
      </c>
      <c r="S306" s="112">
        <v>2.0</v>
      </c>
      <c r="T306" s="112">
        <v>0.0</v>
      </c>
      <c r="U306" s="112">
        <v>1.0</v>
      </c>
      <c r="V306" s="112">
        <v>0.0</v>
      </c>
      <c r="W306" s="112">
        <v>1.0</v>
      </c>
      <c r="X306" s="112">
        <v>1.0</v>
      </c>
      <c r="Y306" s="112">
        <v>2.0</v>
      </c>
      <c r="Z306" s="112">
        <v>2.0</v>
      </c>
      <c r="AA306" s="112">
        <v>8.0</v>
      </c>
      <c r="AB306" s="112">
        <v>4.0</v>
      </c>
      <c r="AC306" s="112">
        <v>17.0</v>
      </c>
      <c r="AD306" s="112">
        <v>3.0</v>
      </c>
      <c r="AE306" s="112">
        <v>10.0</v>
      </c>
      <c r="AF306" s="112">
        <v>3.0</v>
      </c>
      <c r="AG306" s="112">
        <v>12.0</v>
      </c>
      <c r="AH306" s="112">
        <v>2.0</v>
      </c>
      <c r="AI306" s="112">
        <v>16.0</v>
      </c>
      <c r="AJ306" s="112">
        <v>6.0</v>
      </c>
      <c r="AK306" s="112">
        <v>4.0</v>
      </c>
      <c r="AL306" s="112">
        <v>5.0</v>
      </c>
      <c r="AM306" s="112">
        <v>8.0</v>
      </c>
      <c r="AN306" s="112">
        <v>147.0</v>
      </c>
    </row>
    <row r="307">
      <c r="A307" s="104"/>
      <c r="B307" s="111" t="s">
        <v>206</v>
      </c>
      <c r="C307" s="112">
        <v>57.0</v>
      </c>
      <c r="D307" s="112">
        <v>4.0</v>
      </c>
      <c r="E307" s="112">
        <v>53.0</v>
      </c>
      <c r="F307" s="112">
        <v>0.0</v>
      </c>
      <c r="G307" s="112">
        <v>0.0</v>
      </c>
      <c r="H307" s="112">
        <v>0.0</v>
      </c>
      <c r="I307" s="112">
        <v>0.0</v>
      </c>
      <c r="J307" s="112">
        <v>0.0</v>
      </c>
      <c r="K307" s="112">
        <v>0.0</v>
      </c>
      <c r="L307" s="112">
        <v>1.0</v>
      </c>
      <c r="M307" s="112">
        <v>8.0</v>
      </c>
      <c r="N307" s="112">
        <v>0.0</v>
      </c>
      <c r="O307" s="112">
        <v>11.0</v>
      </c>
      <c r="P307" s="112">
        <v>1.0</v>
      </c>
      <c r="Q307" s="112">
        <v>7.0</v>
      </c>
      <c r="R307" s="112">
        <v>0.0</v>
      </c>
      <c r="S307" s="112">
        <v>7.0</v>
      </c>
      <c r="T307" s="112">
        <v>0.0</v>
      </c>
      <c r="U307" s="112">
        <v>3.0</v>
      </c>
      <c r="V307" s="112">
        <v>0.0</v>
      </c>
      <c r="W307" s="112">
        <v>4.0</v>
      </c>
      <c r="X307" s="112">
        <v>2.0</v>
      </c>
      <c r="Y307" s="112">
        <v>4.0</v>
      </c>
      <c r="Z307" s="112">
        <v>0.0</v>
      </c>
      <c r="AA307" s="112">
        <v>6.0</v>
      </c>
      <c r="AB307" s="112">
        <v>0.0</v>
      </c>
      <c r="AC307" s="112">
        <v>1.0</v>
      </c>
      <c r="AD307" s="112">
        <v>0.0</v>
      </c>
      <c r="AE307" s="112">
        <v>2.0</v>
      </c>
      <c r="AF307" s="112">
        <v>0.0</v>
      </c>
      <c r="AG307" s="112">
        <v>0.0</v>
      </c>
      <c r="AH307" s="112">
        <v>0.0</v>
      </c>
      <c r="AI307" s="112">
        <v>0.0</v>
      </c>
      <c r="AJ307" s="112">
        <v>0.0</v>
      </c>
      <c r="AK307" s="112">
        <v>0.0</v>
      </c>
      <c r="AL307" s="112">
        <v>0.0</v>
      </c>
      <c r="AM307" s="112">
        <v>0.0</v>
      </c>
      <c r="AN307" s="112">
        <v>57.0</v>
      </c>
    </row>
    <row r="308">
      <c r="A308" s="107" t="s">
        <v>207</v>
      </c>
      <c r="B308" s="111" t="s">
        <v>198</v>
      </c>
      <c r="C308" s="109">
        <v>14204.0</v>
      </c>
      <c r="D308" s="109">
        <v>3293.0</v>
      </c>
      <c r="E308" s="109">
        <v>10911.0</v>
      </c>
      <c r="F308" s="112">
        <v>172.0</v>
      </c>
      <c r="G308" s="112">
        <v>160.0</v>
      </c>
      <c r="H308" s="112">
        <v>98.0</v>
      </c>
      <c r="I308" s="112">
        <v>80.0</v>
      </c>
      <c r="J308" s="112">
        <v>132.0</v>
      </c>
      <c r="K308" s="112">
        <v>106.0</v>
      </c>
      <c r="L308" s="112">
        <v>70.0</v>
      </c>
      <c r="M308" s="112">
        <v>142.0</v>
      </c>
      <c r="N308" s="112">
        <v>99.0</v>
      </c>
      <c r="O308" s="112">
        <v>179.0</v>
      </c>
      <c r="P308" s="112">
        <v>68.0</v>
      </c>
      <c r="Q308" s="112">
        <v>264.0</v>
      </c>
      <c r="R308" s="112">
        <v>80.0</v>
      </c>
      <c r="S308" s="112">
        <v>265.0</v>
      </c>
      <c r="T308" s="112">
        <v>80.0</v>
      </c>
      <c r="U308" s="112">
        <v>293.0</v>
      </c>
      <c r="V308" s="112">
        <v>101.0</v>
      </c>
      <c r="W308" s="112">
        <v>497.0</v>
      </c>
      <c r="X308" s="112">
        <v>160.0</v>
      </c>
      <c r="Y308" s="112">
        <v>782.0</v>
      </c>
      <c r="Z308" s="112">
        <v>253.0</v>
      </c>
      <c r="AA308" s="109">
        <v>1051.0</v>
      </c>
      <c r="AB308" s="112">
        <v>303.0</v>
      </c>
      <c r="AC308" s="109">
        <v>1222.0</v>
      </c>
      <c r="AD308" s="112">
        <v>288.0</v>
      </c>
      <c r="AE308" s="109">
        <v>1260.0</v>
      </c>
      <c r="AF308" s="112">
        <v>267.0</v>
      </c>
      <c r="AG308" s="109">
        <v>1085.0</v>
      </c>
      <c r="AH308" s="112">
        <v>331.0</v>
      </c>
      <c r="AI308" s="109">
        <v>1092.0</v>
      </c>
      <c r="AJ308" s="112">
        <v>346.0</v>
      </c>
      <c r="AK308" s="112">
        <v>925.0</v>
      </c>
      <c r="AL308" s="112">
        <v>445.0</v>
      </c>
      <c r="AM308" s="109">
        <v>1508.0</v>
      </c>
      <c r="AN308" s="109">
        <v>14105.0</v>
      </c>
    </row>
    <row r="309">
      <c r="A309" s="98"/>
      <c r="B309" s="111" t="s">
        <v>199</v>
      </c>
      <c r="C309" s="109">
        <v>2869.0</v>
      </c>
      <c r="D309" s="109">
        <v>1055.0</v>
      </c>
      <c r="E309" s="109">
        <v>1814.0</v>
      </c>
      <c r="F309" s="112">
        <v>100.0</v>
      </c>
      <c r="G309" s="112">
        <v>76.0</v>
      </c>
      <c r="H309" s="112">
        <v>52.0</v>
      </c>
      <c r="I309" s="112">
        <v>47.0</v>
      </c>
      <c r="J309" s="112">
        <v>0.0</v>
      </c>
      <c r="K309" s="112">
        <v>3.0</v>
      </c>
      <c r="L309" s="112">
        <v>7.0</v>
      </c>
      <c r="M309" s="112">
        <v>5.0</v>
      </c>
      <c r="N309" s="112">
        <v>14.0</v>
      </c>
      <c r="O309" s="112">
        <v>23.0</v>
      </c>
      <c r="P309" s="112">
        <v>10.0</v>
      </c>
      <c r="Q309" s="112">
        <v>29.0</v>
      </c>
      <c r="R309" s="112">
        <v>18.0</v>
      </c>
      <c r="S309" s="112">
        <v>41.0</v>
      </c>
      <c r="T309" s="112">
        <v>21.0</v>
      </c>
      <c r="U309" s="112">
        <v>63.0</v>
      </c>
      <c r="V309" s="112">
        <v>47.0</v>
      </c>
      <c r="W309" s="112">
        <v>67.0</v>
      </c>
      <c r="X309" s="112">
        <v>55.0</v>
      </c>
      <c r="Y309" s="112">
        <v>148.0</v>
      </c>
      <c r="Z309" s="112">
        <v>85.0</v>
      </c>
      <c r="AA309" s="112">
        <v>171.0</v>
      </c>
      <c r="AB309" s="112">
        <v>94.0</v>
      </c>
      <c r="AC309" s="112">
        <v>168.0</v>
      </c>
      <c r="AD309" s="112">
        <v>114.0</v>
      </c>
      <c r="AE309" s="112">
        <v>213.0</v>
      </c>
      <c r="AF309" s="112">
        <v>94.0</v>
      </c>
      <c r="AG309" s="112">
        <v>193.0</v>
      </c>
      <c r="AH309" s="112">
        <v>91.0</v>
      </c>
      <c r="AI309" s="112">
        <v>145.0</v>
      </c>
      <c r="AJ309" s="112">
        <v>97.0</v>
      </c>
      <c r="AK309" s="112">
        <v>146.0</v>
      </c>
      <c r="AL309" s="112">
        <v>156.0</v>
      </c>
      <c r="AM309" s="112">
        <v>276.0</v>
      </c>
      <c r="AN309" s="109">
        <v>2743.0</v>
      </c>
    </row>
    <row r="310">
      <c r="A310" s="98"/>
      <c r="B310" s="111" t="s">
        <v>206</v>
      </c>
      <c r="C310" s="112">
        <v>105.0</v>
      </c>
      <c r="D310" s="112">
        <v>26.0</v>
      </c>
      <c r="E310" s="112">
        <v>79.0</v>
      </c>
      <c r="F310" s="112">
        <v>0.0</v>
      </c>
      <c r="G310" s="112">
        <v>0.0</v>
      </c>
      <c r="H310" s="112">
        <v>0.0</v>
      </c>
      <c r="I310" s="112">
        <v>0.0</v>
      </c>
      <c r="J310" s="112">
        <v>0.0</v>
      </c>
      <c r="K310" s="112">
        <v>0.0</v>
      </c>
      <c r="L310" s="112">
        <v>0.0</v>
      </c>
      <c r="M310" s="112">
        <v>4.0</v>
      </c>
      <c r="N310" s="112">
        <v>0.0</v>
      </c>
      <c r="O310" s="112">
        <v>4.0</v>
      </c>
      <c r="P310" s="112">
        <v>0.0</v>
      </c>
      <c r="Q310" s="112">
        <v>1.0</v>
      </c>
      <c r="R310" s="112">
        <v>0.0</v>
      </c>
      <c r="S310" s="112">
        <v>2.0</v>
      </c>
      <c r="T310" s="112">
        <v>0.0</v>
      </c>
      <c r="U310" s="112">
        <v>3.0</v>
      </c>
      <c r="V310" s="112">
        <v>0.0</v>
      </c>
      <c r="W310" s="112">
        <v>1.0</v>
      </c>
      <c r="X310" s="112">
        <v>1.0</v>
      </c>
      <c r="Y310" s="112">
        <v>1.0</v>
      </c>
      <c r="Z310" s="112">
        <v>1.0</v>
      </c>
      <c r="AA310" s="112">
        <v>10.0</v>
      </c>
      <c r="AB310" s="112">
        <v>5.0</v>
      </c>
      <c r="AC310" s="112">
        <v>17.0</v>
      </c>
      <c r="AD310" s="112">
        <v>5.0</v>
      </c>
      <c r="AE310" s="112">
        <v>11.0</v>
      </c>
      <c r="AF310" s="112">
        <v>5.0</v>
      </c>
      <c r="AG310" s="112">
        <v>6.0</v>
      </c>
      <c r="AH310" s="112">
        <v>4.0</v>
      </c>
      <c r="AI310" s="112">
        <v>7.0</v>
      </c>
      <c r="AJ310" s="112">
        <v>4.0</v>
      </c>
      <c r="AK310" s="112">
        <v>5.0</v>
      </c>
      <c r="AL310" s="112">
        <v>1.0</v>
      </c>
      <c r="AM310" s="112">
        <v>7.0</v>
      </c>
      <c r="AN310" s="112">
        <v>105.0</v>
      </c>
    </row>
    <row r="311">
      <c r="A311" s="98"/>
      <c r="B311" s="111" t="s">
        <v>200</v>
      </c>
      <c r="C311" s="109">
        <v>1647.0</v>
      </c>
      <c r="D311" s="112">
        <v>631.0</v>
      </c>
      <c r="E311" s="109">
        <v>1016.0</v>
      </c>
      <c r="F311" s="112">
        <v>125.0</v>
      </c>
      <c r="G311" s="112">
        <v>121.0</v>
      </c>
      <c r="H311" s="112">
        <v>20.0</v>
      </c>
      <c r="I311" s="112">
        <v>26.0</v>
      </c>
      <c r="J311" s="112">
        <v>12.0</v>
      </c>
      <c r="K311" s="112">
        <v>7.0</v>
      </c>
      <c r="L311" s="112">
        <v>14.0</v>
      </c>
      <c r="M311" s="112">
        <v>27.0</v>
      </c>
      <c r="N311" s="112">
        <v>25.0</v>
      </c>
      <c r="O311" s="112">
        <v>81.0</v>
      </c>
      <c r="P311" s="112">
        <v>48.0</v>
      </c>
      <c r="Q311" s="112">
        <v>83.0</v>
      </c>
      <c r="R311" s="112">
        <v>48.0</v>
      </c>
      <c r="S311" s="112">
        <v>75.0</v>
      </c>
      <c r="T311" s="112">
        <v>34.0</v>
      </c>
      <c r="U311" s="112">
        <v>67.0</v>
      </c>
      <c r="V311" s="112">
        <v>55.0</v>
      </c>
      <c r="W311" s="112">
        <v>105.0</v>
      </c>
      <c r="X311" s="112">
        <v>61.0</v>
      </c>
      <c r="Y311" s="112">
        <v>91.0</v>
      </c>
      <c r="Z311" s="112">
        <v>82.0</v>
      </c>
      <c r="AA311" s="112">
        <v>128.0</v>
      </c>
      <c r="AB311" s="112">
        <v>64.0</v>
      </c>
      <c r="AC311" s="112">
        <v>102.0</v>
      </c>
      <c r="AD311" s="112">
        <v>15.0</v>
      </c>
      <c r="AE311" s="112">
        <v>45.0</v>
      </c>
      <c r="AF311" s="112">
        <v>12.0</v>
      </c>
      <c r="AG311" s="112">
        <v>17.0</v>
      </c>
      <c r="AH311" s="112">
        <v>8.0</v>
      </c>
      <c r="AI311" s="112">
        <v>16.0</v>
      </c>
      <c r="AJ311" s="112">
        <v>5.0</v>
      </c>
      <c r="AK311" s="112">
        <v>14.0</v>
      </c>
      <c r="AL311" s="112">
        <v>3.0</v>
      </c>
      <c r="AM311" s="112">
        <v>11.0</v>
      </c>
      <c r="AN311" s="109">
        <v>1385.0</v>
      </c>
    </row>
    <row r="312">
      <c r="A312" s="104"/>
      <c r="B312" s="111" t="s">
        <v>201</v>
      </c>
      <c r="C312" s="112">
        <v>0.0</v>
      </c>
      <c r="D312" s="112">
        <v>0.0</v>
      </c>
      <c r="E312" s="112">
        <v>0.0</v>
      </c>
      <c r="F312" s="112">
        <v>0.0</v>
      </c>
      <c r="G312" s="112">
        <v>0.0</v>
      </c>
      <c r="H312" s="112">
        <v>0.0</v>
      </c>
      <c r="I312" s="112">
        <v>0.0</v>
      </c>
      <c r="J312" s="112">
        <v>0.0</v>
      </c>
      <c r="K312" s="112">
        <v>0.0</v>
      </c>
      <c r="L312" s="112">
        <v>0.0</v>
      </c>
      <c r="M312" s="112">
        <v>0.0</v>
      </c>
      <c r="N312" s="112">
        <v>0.0</v>
      </c>
      <c r="O312" s="112">
        <v>0.0</v>
      </c>
      <c r="P312" s="112">
        <v>0.0</v>
      </c>
      <c r="Q312" s="112">
        <v>0.0</v>
      </c>
      <c r="R312" s="112">
        <v>0.0</v>
      </c>
      <c r="S312" s="112">
        <v>0.0</v>
      </c>
      <c r="T312" s="112">
        <v>0.0</v>
      </c>
      <c r="U312" s="112">
        <v>0.0</v>
      </c>
      <c r="V312" s="112">
        <v>0.0</v>
      </c>
      <c r="W312" s="112">
        <v>0.0</v>
      </c>
      <c r="X312" s="112">
        <v>0.0</v>
      </c>
      <c r="Y312" s="112">
        <v>0.0</v>
      </c>
      <c r="Z312" s="112">
        <v>0.0</v>
      </c>
      <c r="AA312" s="112">
        <v>0.0</v>
      </c>
      <c r="AB312" s="112">
        <v>0.0</v>
      </c>
      <c r="AC312" s="112">
        <v>0.0</v>
      </c>
      <c r="AD312" s="112">
        <v>0.0</v>
      </c>
      <c r="AE312" s="112">
        <v>0.0</v>
      </c>
      <c r="AF312" s="112">
        <v>0.0</v>
      </c>
      <c r="AG312" s="112">
        <v>0.0</v>
      </c>
      <c r="AH312" s="112">
        <v>0.0</v>
      </c>
      <c r="AI312" s="112">
        <v>0.0</v>
      </c>
      <c r="AJ312" s="112">
        <v>0.0</v>
      </c>
      <c r="AK312" s="112">
        <v>0.0</v>
      </c>
      <c r="AL312" s="112">
        <v>0.0</v>
      </c>
      <c r="AM312" s="112">
        <v>0.0</v>
      </c>
      <c r="AN312" s="112">
        <v>0.0</v>
      </c>
    </row>
    <row r="313">
      <c r="A313" s="107" t="s">
        <v>208</v>
      </c>
      <c r="B313" s="111" t="s">
        <v>198</v>
      </c>
      <c r="C313" s="112">
        <v>36.0</v>
      </c>
      <c r="D313" s="112">
        <v>18.0</v>
      </c>
      <c r="E313" s="112">
        <v>18.0</v>
      </c>
      <c r="F313" s="112">
        <v>17.0</v>
      </c>
      <c r="G313" s="112">
        <v>17.0</v>
      </c>
      <c r="H313" s="112">
        <v>1.0</v>
      </c>
      <c r="I313" s="112">
        <v>1.0</v>
      </c>
      <c r="J313" s="112">
        <v>0.0</v>
      </c>
      <c r="K313" s="112">
        <v>0.0</v>
      </c>
      <c r="L313" s="112">
        <v>0.0</v>
      </c>
      <c r="M313" s="112">
        <v>0.0</v>
      </c>
      <c r="N313" s="112">
        <v>0.0</v>
      </c>
      <c r="O313" s="112">
        <v>0.0</v>
      </c>
      <c r="P313" s="110">
        <v>0.0</v>
      </c>
      <c r="Q313" s="110">
        <v>0.0</v>
      </c>
      <c r="R313" s="110">
        <v>0.0</v>
      </c>
      <c r="S313" s="110">
        <v>0.0</v>
      </c>
      <c r="T313" s="110">
        <v>0.0</v>
      </c>
      <c r="U313" s="110">
        <v>0.0</v>
      </c>
      <c r="V313" s="110">
        <v>0.0</v>
      </c>
      <c r="W313" s="110">
        <v>0.0</v>
      </c>
      <c r="X313" s="110">
        <v>0.0</v>
      </c>
      <c r="Y313" s="110">
        <v>0.0</v>
      </c>
      <c r="Z313" s="110">
        <v>0.0</v>
      </c>
      <c r="AA313" s="110">
        <v>0.0</v>
      </c>
      <c r="AB313" s="110">
        <v>0.0</v>
      </c>
      <c r="AC313" s="110">
        <v>0.0</v>
      </c>
      <c r="AD313" s="110">
        <v>0.0</v>
      </c>
      <c r="AE313" s="110">
        <v>0.0</v>
      </c>
      <c r="AF313" s="110">
        <v>0.0</v>
      </c>
      <c r="AG313" s="110">
        <v>0.0</v>
      </c>
      <c r="AH313" s="110">
        <v>0.0</v>
      </c>
      <c r="AI313" s="110">
        <v>0.0</v>
      </c>
      <c r="AJ313" s="110">
        <v>0.0</v>
      </c>
      <c r="AK313" s="110">
        <v>0.0</v>
      </c>
      <c r="AL313" s="110">
        <v>0.0</v>
      </c>
      <c r="AM313" s="110">
        <v>0.0</v>
      </c>
      <c r="AN313" s="112">
        <v>34.0</v>
      </c>
    </row>
    <row r="314">
      <c r="A314" s="98"/>
      <c r="B314" s="111" t="s">
        <v>199</v>
      </c>
      <c r="C314" s="112">
        <v>83.0</v>
      </c>
      <c r="D314" s="112">
        <v>38.0</v>
      </c>
      <c r="E314" s="112">
        <v>45.0</v>
      </c>
      <c r="F314" s="112">
        <v>28.0</v>
      </c>
      <c r="G314" s="112">
        <v>37.0</v>
      </c>
      <c r="H314" s="112">
        <v>10.0</v>
      </c>
      <c r="I314" s="112">
        <v>7.0</v>
      </c>
      <c r="J314" s="112">
        <v>0.0</v>
      </c>
      <c r="K314" s="112">
        <v>0.0</v>
      </c>
      <c r="L314" s="112">
        <v>0.0</v>
      </c>
      <c r="M314" s="112">
        <v>1.0</v>
      </c>
      <c r="N314" s="112">
        <v>0.0</v>
      </c>
      <c r="O314" s="112">
        <v>0.0</v>
      </c>
      <c r="P314" s="110">
        <v>0.0</v>
      </c>
      <c r="Q314" s="110">
        <v>0.0</v>
      </c>
      <c r="R314" s="110">
        <v>0.0</v>
      </c>
      <c r="S314" s="110">
        <v>0.0</v>
      </c>
      <c r="T314" s="110">
        <v>0.0</v>
      </c>
      <c r="U314" s="110">
        <v>0.0</v>
      </c>
      <c r="V314" s="110">
        <v>0.0</v>
      </c>
      <c r="W314" s="110">
        <v>0.0</v>
      </c>
      <c r="X314" s="110">
        <v>0.0</v>
      </c>
      <c r="Y314" s="110">
        <v>0.0</v>
      </c>
      <c r="Z314" s="110">
        <v>0.0</v>
      </c>
      <c r="AA314" s="110">
        <v>0.0</v>
      </c>
      <c r="AB314" s="110">
        <v>0.0</v>
      </c>
      <c r="AC314" s="110">
        <v>0.0</v>
      </c>
      <c r="AD314" s="110">
        <v>0.0</v>
      </c>
      <c r="AE314" s="110">
        <v>0.0</v>
      </c>
      <c r="AF314" s="110">
        <v>0.0</v>
      </c>
      <c r="AG314" s="110">
        <v>0.0</v>
      </c>
      <c r="AH314" s="110">
        <v>0.0</v>
      </c>
      <c r="AI314" s="110">
        <v>0.0</v>
      </c>
      <c r="AJ314" s="110">
        <v>0.0</v>
      </c>
      <c r="AK314" s="110">
        <v>0.0</v>
      </c>
      <c r="AL314" s="110">
        <v>0.0</v>
      </c>
      <c r="AM314" s="110">
        <v>0.0</v>
      </c>
      <c r="AN314" s="112">
        <v>74.0</v>
      </c>
    </row>
    <row r="315">
      <c r="A315" s="98"/>
      <c r="B315" s="111" t="s">
        <v>206</v>
      </c>
      <c r="C315" s="112">
        <v>0.0</v>
      </c>
      <c r="D315" s="112">
        <v>0.0</v>
      </c>
      <c r="E315" s="112">
        <v>0.0</v>
      </c>
      <c r="F315" s="112">
        <v>0.0</v>
      </c>
      <c r="G315" s="112">
        <v>0.0</v>
      </c>
      <c r="H315" s="112">
        <v>0.0</v>
      </c>
      <c r="I315" s="112">
        <v>0.0</v>
      </c>
      <c r="J315" s="112">
        <v>0.0</v>
      </c>
      <c r="K315" s="112">
        <v>0.0</v>
      </c>
      <c r="L315" s="112">
        <v>0.0</v>
      </c>
      <c r="M315" s="112">
        <v>0.0</v>
      </c>
      <c r="N315" s="112">
        <v>0.0</v>
      </c>
      <c r="O315" s="112">
        <v>0.0</v>
      </c>
      <c r="P315" s="110">
        <v>0.0</v>
      </c>
      <c r="Q315" s="110">
        <v>0.0</v>
      </c>
      <c r="R315" s="110">
        <v>0.0</v>
      </c>
      <c r="S315" s="110">
        <v>0.0</v>
      </c>
      <c r="T315" s="110">
        <v>0.0</v>
      </c>
      <c r="U315" s="110">
        <v>0.0</v>
      </c>
      <c r="V315" s="110">
        <v>0.0</v>
      </c>
      <c r="W315" s="110">
        <v>0.0</v>
      </c>
      <c r="X315" s="110">
        <v>0.0</v>
      </c>
      <c r="Y315" s="110">
        <v>0.0</v>
      </c>
      <c r="Z315" s="110">
        <v>0.0</v>
      </c>
      <c r="AA315" s="110">
        <v>0.0</v>
      </c>
      <c r="AB315" s="110">
        <v>0.0</v>
      </c>
      <c r="AC315" s="110">
        <v>0.0</v>
      </c>
      <c r="AD315" s="110">
        <v>0.0</v>
      </c>
      <c r="AE315" s="110">
        <v>0.0</v>
      </c>
      <c r="AF315" s="110">
        <v>0.0</v>
      </c>
      <c r="AG315" s="110">
        <v>0.0</v>
      </c>
      <c r="AH315" s="110">
        <v>0.0</v>
      </c>
      <c r="AI315" s="110">
        <v>0.0</v>
      </c>
      <c r="AJ315" s="110">
        <v>0.0</v>
      </c>
      <c r="AK315" s="110">
        <v>0.0</v>
      </c>
      <c r="AL315" s="110">
        <v>0.0</v>
      </c>
      <c r="AM315" s="110">
        <v>0.0</v>
      </c>
      <c r="AN315" s="112">
        <v>0.0</v>
      </c>
    </row>
    <row r="316">
      <c r="A316" s="98"/>
      <c r="B316" s="111" t="s">
        <v>200</v>
      </c>
      <c r="C316" s="112">
        <v>4.0</v>
      </c>
      <c r="D316" s="112">
        <v>1.0</v>
      </c>
      <c r="E316" s="112">
        <v>3.0</v>
      </c>
      <c r="F316" s="112">
        <v>0.0</v>
      </c>
      <c r="G316" s="112">
        <v>3.0</v>
      </c>
      <c r="H316" s="112">
        <v>0.0</v>
      </c>
      <c r="I316" s="112">
        <v>0.0</v>
      </c>
      <c r="J316" s="112">
        <v>0.0</v>
      </c>
      <c r="K316" s="112">
        <v>0.0</v>
      </c>
      <c r="L316" s="112">
        <v>0.0</v>
      </c>
      <c r="M316" s="112">
        <v>0.0</v>
      </c>
      <c r="N316" s="112">
        <v>1.0</v>
      </c>
      <c r="O316" s="112">
        <v>0.0</v>
      </c>
      <c r="P316" s="110">
        <v>0.0</v>
      </c>
      <c r="Q316" s="110">
        <v>0.0</v>
      </c>
      <c r="R316" s="110">
        <v>0.0</v>
      </c>
      <c r="S316" s="110">
        <v>0.0</v>
      </c>
      <c r="T316" s="110">
        <v>0.0</v>
      </c>
      <c r="U316" s="110">
        <v>0.0</v>
      </c>
      <c r="V316" s="110">
        <v>0.0</v>
      </c>
      <c r="W316" s="110">
        <v>0.0</v>
      </c>
      <c r="X316" s="110">
        <v>0.0</v>
      </c>
      <c r="Y316" s="110">
        <v>0.0</v>
      </c>
      <c r="Z316" s="110">
        <v>0.0</v>
      </c>
      <c r="AA316" s="110">
        <v>0.0</v>
      </c>
      <c r="AB316" s="110">
        <v>0.0</v>
      </c>
      <c r="AC316" s="110">
        <v>0.0</v>
      </c>
      <c r="AD316" s="110">
        <v>0.0</v>
      </c>
      <c r="AE316" s="110">
        <v>0.0</v>
      </c>
      <c r="AF316" s="110">
        <v>0.0</v>
      </c>
      <c r="AG316" s="110">
        <v>0.0</v>
      </c>
      <c r="AH316" s="110">
        <v>0.0</v>
      </c>
      <c r="AI316" s="110">
        <v>0.0</v>
      </c>
      <c r="AJ316" s="110">
        <v>0.0</v>
      </c>
      <c r="AK316" s="110">
        <v>0.0</v>
      </c>
      <c r="AL316" s="110">
        <v>0.0</v>
      </c>
      <c r="AM316" s="110">
        <v>0.0</v>
      </c>
      <c r="AN316" s="112">
        <v>2.0</v>
      </c>
    </row>
    <row r="317">
      <c r="A317" s="104"/>
      <c r="B317" s="111" t="s">
        <v>201</v>
      </c>
      <c r="C317" s="112">
        <v>0.0</v>
      </c>
      <c r="D317" s="112">
        <v>0.0</v>
      </c>
      <c r="E317" s="112">
        <v>0.0</v>
      </c>
      <c r="F317" s="112">
        <v>0.0</v>
      </c>
      <c r="G317" s="112">
        <v>0.0</v>
      </c>
      <c r="H317" s="112">
        <v>0.0</v>
      </c>
      <c r="I317" s="112">
        <v>0.0</v>
      </c>
      <c r="J317" s="112">
        <v>0.0</v>
      </c>
      <c r="K317" s="112">
        <v>0.0</v>
      </c>
      <c r="L317" s="112">
        <v>0.0</v>
      </c>
      <c r="M317" s="112">
        <v>0.0</v>
      </c>
      <c r="N317" s="112">
        <v>0.0</v>
      </c>
      <c r="O317" s="112">
        <v>0.0</v>
      </c>
      <c r="P317" s="110">
        <v>0.0</v>
      </c>
      <c r="Q317" s="110">
        <v>0.0</v>
      </c>
      <c r="R317" s="110">
        <v>0.0</v>
      </c>
      <c r="S317" s="110">
        <v>0.0</v>
      </c>
      <c r="T317" s="110">
        <v>0.0</v>
      </c>
      <c r="U317" s="110">
        <v>0.0</v>
      </c>
      <c r="V317" s="110">
        <v>0.0</v>
      </c>
      <c r="W317" s="110">
        <v>0.0</v>
      </c>
      <c r="X317" s="110">
        <v>0.0</v>
      </c>
      <c r="Y317" s="110">
        <v>0.0</v>
      </c>
      <c r="Z317" s="110">
        <v>0.0</v>
      </c>
      <c r="AA317" s="110">
        <v>0.0</v>
      </c>
      <c r="AB317" s="110">
        <v>0.0</v>
      </c>
      <c r="AC317" s="110">
        <v>0.0</v>
      </c>
      <c r="AD317" s="110">
        <v>0.0</v>
      </c>
      <c r="AE317" s="110">
        <v>0.0</v>
      </c>
      <c r="AF317" s="110">
        <v>0.0</v>
      </c>
      <c r="AG317" s="110">
        <v>0.0</v>
      </c>
      <c r="AH317" s="110">
        <v>0.0</v>
      </c>
      <c r="AI317" s="110">
        <v>0.0</v>
      </c>
      <c r="AJ317" s="110">
        <v>0.0</v>
      </c>
      <c r="AK317" s="110">
        <v>0.0</v>
      </c>
      <c r="AL317" s="110">
        <v>0.0</v>
      </c>
      <c r="AM317" s="110">
        <v>0.0</v>
      </c>
      <c r="AN317" s="112">
        <v>0.0</v>
      </c>
    </row>
    <row r="318">
      <c r="A318" s="113" t="s">
        <v>221</v>
      </c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</row>
    <row r="319">
      <c r="A319" s="107" t="s">
        <v>197</v>
      </c>
      <c r="B319" s="108" t="s">
        <v>198</v>
      </c>
      <c r="C319" s="109">
        <v>177796.0</v>
      </c>
      <c r="D319" s="109">
        <v>63844.0</v>
      </c>
      <c r="E319" s="109">
        <v>113952.0</v>
      </c>
      <c r="F319" s="110">
        <v>0.0</v>
      </c>
      <c r="G319" s="110">
        <v>0.0</v>
      </c>
      <c r="H319" s="110">
        <v>0.0</v>
      </c>
      <c r="I319" s="110">
        <v>0.0</v>
      </c>
      <c r="J319" s="110">
        <v>0.0</v>
      </c>
      <c r="K319" s="110">
        <v>0.0</v>
      </c>
      <c r="L319" s="112">
        <v>233.0</v>
      </c>
      <c r="M319" s="112">
        <v>296.0</v>
      </c>
      <c r="N319" s="112">
        <v>251.0</v>
      </c>
      <c r="O319" s="112">
        <v>526.0</v>
      </c>
      <c r="P319" s="112">
        <v>477.0</v>
      </c>
      <c r="Q319" s="109">
        <v>1011.0</v>
      </c>
      <c r="R319" s="112">
        <v>768.0</v>
      </c>
      <c r="S319" s="109">
        <v>1515.0</v>
      </c>
      <c r="T319" s="109">
        <v>1357.0</v>
      </c>
      <c r="U319" s="109">
        <v>2436.0</v>
      </c>
      <c r="V319" s="109">
        <v>2257.0</v>
      </c>
      <c r="W319" s="109">
        <v>4289.0</v>
      </c>
      <c r="X319" s="109">
        <v>3610.0</v>
      </c>
      <c r="Y319" s="109">
        <v>7343.0</v>
      </c>
      <c r="Z319" s="109">
        <v>6220.0</v>
      </c>
      <c r="AA319" s="109">
        <v>12151.0</v>
      </c>
      <c r="AB319" s="109">
        <v>7913.0</v>
      </c>
      <c r="AC319" s="109">
        <v>14757.0</v>
      </c>
      <c r="AD319" s="109">
        <v>8774.0</v>
      </c>
      <c r="AE319" s="109">
        <v>15548.0</v>
      </c>
      <c r="AF319" s="109">
        <v>9383.0</v>
      </c>
      <c r="AG319" s="109">
        <v>15422.0</v>
      </c>
      <c r="AH319" s="109">
        <v>9086.0</v>
      </c>
      <c r="AI319" s="109">
        <v>14018.0</v>
      </c>
      <c r="AJ319" s="109">
        <v>6421.0</v>
      </c>
      <c r="AK319" s="109">
        <v>11177.0</v>
      </c>
      <c r="AL319" s="109">
        <v>7094.0</v>
      </c>
      <c r="AM319" s="109">
        <v>13463.0</v>
      </c>
      <c r="AN319" s="109">
        <v>176731.0</v>
      </c>
    </row>
    <row r="320">
      <c r="A320" s="98"/>
      <c r="B320" s="111" t="s">
        <v>199</v>
      </c>
      <c r="C320" s="109">
        <v>73721.0</v>
      </c>
      <c r="D320" s="109">
        <v>26347.0</v>
      </c>
      <c r="E320" s="109">
        <v>47374.0</v>
      </c>
      <c r="F320" s="110">
        <v>0.0</v>
      </c>
      <c r="G320" s="110">
        <v>0.0</v>
      </c>
      <c r="H320" s="110">
        <v>0.0</v>
      </c>
      <c r="I320" s="110">
        <v>0.0</v>
      </c>
      <c r="J320" s="110">
        <v>0.0</v>
      </c>
      <c r="K320" s="110">
        <v>0.0</v>
      </c>
      <c r="L320" s="112">
        <v>48.0</v>
      </c>
      <c r="M320" s="112">
        <v>77.0</v>
      </c>
      <c r="N320" s="112">
        <v>78.0</v>
      </c>
      <c r="O320" s="112">
        <v>161.0</v>
      </c>
      <c r="P320" s="112">
        <v>171.0</v>
      </c>
      <c r="Q320" s="112">
        <v>281.0</v>
      </c>
      <c r="R320" s="112">
        <v>277.0</v>
      </c>
      <c r="S320" s="112">
        <v>402.0</v>
      </c>
      <c r="T320" s="112">
        <v>390.0</v>
      </c>
      <c r="U320" s="112">
        <v>768.0</v>
      </c>
      <c r="V320" s="112">
        <v>747.0</v>
      </c>
      <c r="W320" s="109">
        <v>1339.0</v>
      </c>
      <c r="X320" s="109">
        <v>1156.0</v>
      </c>
      <c r="Y320" s="109">
        <v>2353.0</v>
      </c>
      <c r="Z320" s="109">
        <v>2058.0</v>
      </c>
      <c r="AA320" s="109">
        <v>4113.0</v>
      </c>
      <c r="AB320" s="109">
        <v>2861.0</v>
      </c>
      <c r="AC320" s="109">
        <v>5500.0</v>
      </c>
      <c r="AD320" s="109">
        <v>3534.0</v>
      </c>
      <c r="AE320" s="109">
        <v>5983.0</v>
      </c>
      <c r="AF320" s="109">
        <v>4180.0</v>
      </c>
      <c r="AG320" s="109">
        <v>7285.0</v>
      </c>
      <c r="AH320" s="109">
        <v>4238.0</v>
      </c>
      <c r="AI320" s="109">
        <v>6691.0</v>
      </c>
      <c r="AJ320" s="109">
        <v>3104.0</v>
      </c>
      <c r="AK320" s="109">
        <v>5576.0</v>
      </c>
      <c r="AL320" s="109">
        <v>3505.0</v>
      </c>
      <c r="AM320" s="109">
        <v>6845.0</v>
      </c>
      <c r="AN320" s="109">
        <v>72944.0</v>
      </c>
    </row>
    <row r="321">
      <c r="A321" s="98"/>
      <c r="B321" s="111" t="s">
        <v>200</v>
      </c>
      <c r="C321" s="109">
        <v>78390.0</v>
      </c>
      <c r="D321" s="109">
        <v>26797.0</v>
      </c>
      <c r="E321" s="109">
        <v>51593.0</v>
      </c>
      <c r="F321" s="110">
        <v>0.0</v>
      </c>
      <c r="G321" s="110">
        <v>0.0</v>
      </c>
      <c r="H321" s="110">
        <v>0.0</v>
      </c>
      <c r="I321" s="110">
        <v>0.0</v>
      </c>
      <c r="J321" s="110">
        <v>0.0</v>
      </c>
      <c r="K321" s="110">
        <v>0.0</v>
      </c>
      <c r="L321" s="112">
        <v>87.0</v>
      </c>
      <c r="M321" s="112">
        <v>123.0</v>
      </c>
      <c r="N321" s="112">
        <v>100.0</v>
      </c>
      <c r="O321" s="112">
        <v>300.0</v>
      </c>
      <c r="P321" s="112">
        <v>205.0</v>
      </c>
      <c r="Q321" s="112">
        <v>522.0</v>
      </c>
      <c r="R321" s="112">
        <v>398.0</v>
      </c>
      <c r="S321" s="112">
        <v>736.0</v>
      </c>
      <c r="T321" s="112">
        <v>618.0</v>
      </c>
      <c r="U321" s="109">
        <v>1205.0</v>
      </c>
      <c r="V321" s="109">
        <v>1013.0</v>
      </c>
      <c r="W321" s="109">
        <v>2004.0</v>
      </c>
      <c r="X321" s="109">
        <v>1488.0</v>
      </c>
      <c r="Y321" s="109">
        <v>3161.0</v>
      </c>
      <c r="Z321" s="109">
        <v>2400.0</v>
      </c>
      <c r="AA321" s="109">
        <v>5472.0</v>
      </c>
      <c r="AB321" s="109">
        <v>3300.0</v>
      </c>
      <c r="AC321" s="109">
        <v>6728.0</v>
      </c>
      <c r="AD321" s="109">
        <v>3594.0</v>
      </c>
      <c r="AE321" s="109">
        <v>7027.0</v>
      </c>
      <c r="AF321" s="109">
        <v>3826.0</v>
      </c>
      <c r="AG321" s="109">
        <v>7027.0</v>
      </c>
      <c r="AH321" s="109">
        <v>3862.0</v>
      </c>
      <c r="AI321" s="109">
        <v>6482.0</v>
      </c>
      <c r="AJ321" s="109">
        <v>2737.0</v>
      </c>
      <c r="AK321" s="109">
        <v>5034.0</v>
      </c>
      <c r="AL321" s="109">
        <v>3169.0</v>
      </c>
      <c r="AM321" s="109">
        <v>5772.0</v>
      </c>
      <c r="AN321" s="109">
        <v>77660.0</v>
      </c>
    </row>
    <row r="322">
      <c r="A322" s="104"/>
      <c r="B322" s="111" t="s">
        <v>201</v>
      </c>
      <c r="C322" s="109">
        <v>3562.0</v>
      </c>
      <c r="D322" s="109">
        <v>1498.0</v>
      </c>
      <c r="E322" s="109">
        <v>2064.0</v>
      </c>
      <c r="F322" s="110">
        <v>0.0</v>
      </c>
      <c r="G322" s="110">
        <v>0.0</v>
      </c>
      <c r="H322" s="110">
        <v>0.0</v>
      </c>
      <c r="I322" s="110">
        <v>0.0</v>
      </c>
      <c r="J322" s="110">
        <v>0.0</v>
      </c>
      <c r="K322" s="110">
        <v>0.0</v>
      </c>
      <c r="L322" s="112">
        <v>86.0</v>
      </c>
      <c r="M322" s="112">
        <v>101.0</v>
      </c>
      <c r="N322" s="112">
        <v>41.0</v>
      </c>
      <c r="O322" s="112">
        <v>53.0</v>
      </c>
      <c r="P322" s="112">
        <v>49.0</v>
      </c>
      <c r="Q322" s="112">
        <v>79.0</v>
      </c>
      <c r="R322" s="112">
        <v>61.0</v>
      </c>
      <c r="S322" s="112">
        <v>115.0</v>
      </c>
      <c r="T322" s="112">
        <v>81.0</v>
      </c>
      <c r="U322" s="112">
        <v>152.0</v>
      </c>
      <c r="V322" s="112">
        <v>102.0</v>
      </c>
      <c r="W322" s="112">
        <v>192.0</v>
      </c>
      <c r="X322" s="112">
        <v>98.0</v>
      </c>
      <c r="Y322" s="112">
        <v>290.0</v>
      </c>
      <c r="Z322" s="112">
        <v>160.0</v>
      </c>
      <c r="AA322" s="112">
        <v>294.0</v>
      </c>
      <c r="AB322" s="112">
        <v>199.0</v>
      </c>
      <c r="AC322" s="112">
        <v>218.0</v>
      </c>
      <c r="AD322" s="112">
        <v>203.0</v>
      </c>
      <c r="AE322" s="112">
        <v>170.0</v>
      </c>
      <c r="AF322" s="112">
        <v>171.0</v>
      </c>
      <c r="AG322" s="112">
        <v>162.0</v>
      </c>
      <c r="AH322" s="112">
        <v>134.0</v>
      </c>
      <c r="AI322" s="112">
        <v>84.0</v>
      </c>
      <c r="AJ322" s="112">
        <v>70.0</v>
      </c>
      <c r="AK322" s="112">
        <v>82.0</v>
      </c>
      <c r="AL322" s="112">
        <v>43.0</v>
      </c>
      <c r="AM322" s="112">
        <v>72.0</v>
      </c>
      <c r="AN322" s="109">
        <v>3544.0</v>
      </c>
    </row>
    <row r="323">
      <c r="A323" s="107" t="s">
        <v>202</v>
      </c>
      <c r="B323" s="111" t="s">
        <v>198</v>
      </c>
      <c r="C323" s="112">
        <v>918.0</v>
      </c>
      <c r="D323" s="112">
        <v>548.0</v>
      </c>
      <c r="E323" s="112">
        <v>370.0</v>
      </c>
      <c r="F323" s="112">
        <v>21.0</v>
      </c>
      <c r="G323" s="112">
        <v>21.0</v>
      </c>
      <c r="H323" s="112">
        <v>18.0</v>
      </c>
      <c r="I323" s="112">
        <v>26.0</v>
      </c>
      <c r="J323" s="112">
        <v>15.0</v>
      </c>
      <c r="K323" s="112">
        <v>16.0</v>
      </c>
      <c r="L323" s="112">
        <v>26.0</v>
      </c>
      <c r="M323" s="112">
        <v>26.0</v>
      </c>
      <c r="N323" s="112">
        <v>34.0</v>
      </c>
      <c r="O323" s="112">
        <v>21.0</v>
      </c>
      <c r="P323" s="112">
        <v>51.0</v>
      </c>
      <c r="Q323" s="112">
        <v>29.0</v>
      </c>
      <c r="R323" s="112">
        <v>62.0</v>
      </c>
      <c r="S323" s="112">
        <v>33.0</v>
      </c>
      <c r="T323" s="112">
        <v>40.0</v>
      </c>
      <c r="U323" s="112">
        <v>22.0</v>
      </c>
      <c r="V323" s="112">
        <v>37.0</v>
      </c>
      <c r="W323" s="112">
        <v>34.0</v>
      </c>
      <c r="X323" s="112">
        <v>42.0</v>
      </c>
      <c r="Y323" s="112">
        <v>19.0</v>
      </c>
      <c r="Z323" s="112">
        <v>44.0</v>
      </c>
      <c r="AA323" s="112">
        <v>16.0</v>
      </c>
      <c r="AB323" s="112">
        <v>52.0</v>
      </c>
      <c r="AC323" s="112">
        <v>32.0</v>
      </c>
      <c r="AD323" s="112">
        <v>24.0</v>
      </c>
      <c r="AE323" s="112">
        <v>18.0</v>
      </c>
      <c r="AF323" s="112">
        <v>46.0</v>
      </c>
      <c r="AG323" s="112">
        <v>30.0</v>
      </c>
      <c r="AH323" s="112">
        <v>8.0</v>
      </c>
      <c r="AI323" s="112">
        <v>10.0</v>
      </c>
      <c r="AJ323" s="112">
        <v>23.0</v>
      </c>
      <c r="AK323" s="112">
        <v>5.0</v>
      </c>
      <c r="AL323" s="112">
        <v>5.0</v>
      </c>
      <c r="AM323" s="112">
        <v>12.0</v>
      </c>
      <c r="AN323" s="112">
        <v>911.0</v>
      </c>
    </row>
    <row r="324">
      <c r="A324" s="104"/>
      <c r="B324" s="111" t="s">
        <v>199</v>
      </c>
      <c r="C324" s="112">
        <v>476.0</v>
      </c>
      <c r="D324" s="112">
        <v>284.0</v>
      </c>
      <c r="E324" s="112">
        <v>192.0</v>
      </c>
      <c r="F324" s="112">
        <v>21.0</v>
      </c>
      <c r="G324" s="112">
        <v>17.0</v>
      </c>
      <c r="H324" s="112">
        <v>4.0</v>
      </c>
      <c r="I324" s="112">
        <v>8.0</v>
      </c>
      <c r="J324" s="112">
        <v>6.0</v>
      </c>
      <c r="K324" s="112">
        <v>6.0</v>
      </c>
      <c r="L324" s="112">
        <v>4.0</v>
      </c>
      <c r="M324" s="112">
        <v>9.0</v>
      </c>
      <c r="N324" s="112">
        <v>15.0</v>
      </c>
      <c r="O324" s="112">
        <v>10.0</v>
      </c>
      <c r="P324" s="112">
        <v>34.0</v>
      </c>
      <c r="Q324" s="112">
        <v>11.0</v>
      </c>
      <c r="R324" s="112">
        <v>22.0</v>
      </c>
      <c r="S324" s="112">
        <v>14.0</v>
      </c>
      <c r="T324" s="112">
        <v>21.0</v>
      </c>
      <c r="U324" s="112">
        <v>3.0</v>
      </c>
      <c r="V324" s="112">
        <v>24.0</v>
      </c>
      <c r="W324" s="112">
        <v>14.0</v>
      </c>
      <c r="X324" s="112">
        <v>21.0</v>
      </c>
      <c r="Y324" s="112">
        <v>12.0</v>
      </c>
      <c r="Z324" s="112">
        <v>11.0</v>
      </c>
      <c r="AA324" s="112">
        <v>11.0</v>
      </c>
      <c r="AB324" s="112">
        <v>47.0</v>
      </c>
      <c r="AC324" s="112">
        <v>17.0</v>
      </c>
      <c r="AD324" s="112">
        <v>20.0</v>
      </c>
      <c r="AE324" s="112">
        <v>16.0</v>
      </c>
      <c r="AF324" s="112">
        <v>17.0</v>
      </c>
      <c r="AG324" s="112">
        <v>14.0</v>
      </c>
      <c r="AH324" s="112">
        <v>7.0</v>
      </c>
      <c r="AI324" s="112">
        <v>13.0</v>
      </c>
      <c r="AJ324" s="112">
        <v>6.0</v>
      </c>
      <c r="AK324" s="112">
        <v>2.0</v>
      </c>
      <c r="AL324" s="112">
        <v>4.0</v>
      </c>
      <c r="AM324" s="112">
        <v>15.0</v>
      </c>
      <c r="AN324" s="112">
        <v>465.0</v>
      </c>
    </row>
    <row r="325">
      <c r="A325" s="107" t="s">
        <v>203</v>
      </c>
      <c r="B325" s="111" t="s">
        <v>198</v>
      </c>
      <c r="C325" s="112">
        <v>27.0</v>
      </c>
      <c r="D325" s="112">
        <v>7.0</v>
      </c>
      <c r="E325" s="112">
        <v>20.0</v>
      </c>
      <c r="F325" s="110">
        <v>0.0</v>
      </c>
      <c r="G325" s="110">
        <v>0.0</v>
      </c>
      <c r="H325" s="110">
        <v>0.0</v>
      </c>
      <c r="I325" s="110">
        <v>0.0</v>
      </c>
      <c r="J325" s="110">
        <v>0.0</v>
      </c>
      <c r="K325" s="110">
        <v>0.0</v>
      </c>
      <c r="L325" s="110">
        <v>0.0</v>
      </c>
      <c r="M325" s="110">
        <v>0.0</v>
      </c>
      <c r="N325" s="110">
        <v>0.0</v>
      </c>
      <c r="O325" s="110">
        <v>0.0</v>
      </c>
      <c r="P325" s="110">
        <v>0.0</v>
      </c>
      <c r="Q325" s="110">
        <v>0.0</v>
      </c>
      <c r="R325" s="110">
        <v>0.0</v>
      </c>
      <c r="S325" s="110">
        <v>0.0</v>
      </c>
      <c r="T325" s="110">
        <v>0.0</v>
      </c>
      <c r="U325" s="110">
        <v>0.0</v>
      </c>
      <c r="V325" s="110">
        <v>0.0</v>
      </c>
      <c r="W325" s="110">
        <v>0.0</v>
      </c>
      <c r="X325" s="110">
        <v>0.0</v>
      </c>
      <c r="Y325" s="110">
        <v>0.0</v>
      </c>
      <c r="Z325" s="110">
        <v>0.0</v>
      </c>
      <c r="AA325" s="110">
        <v>0.0</v>
      </c>
      <c r="AB325" s="110">
        <v>0.0</v>
      </c>
      <c r="AC325" s="110">
        <v>0.0</v>
      </c>
      <c r="AD325" s="110">
        <v>0.0</v>
      </c>
      <c r="AE325" s="110">
        <v>0.0</v>
      </c>
      <c r="AF325" s="112">
        <v>1.0</v>
      </c>
      <c r="AG325" s="112">
        <v>3.0</v>
      </c>
      <c r="AH325" s="112">
        <v>2.0</v>
      </c>
      <c r="AI325" s="112">
        <v>10.0</v>
      </c>
      <c r="AJ325" s="112">
        <v>1.0</v>
      </c>
      <c r="AK325" s="112">
        <v>2.0</v>
      </c>
      <c r="AL325" s="112">
        <v>3.0</v>
      </c>
      <c r="AM325" s="112">
        <v>5.0</v>
      </c>
      <c r="AN325" s="112">
        <v>24.0</v>
      </c>
    </row>
    <row r="326">
      <c r="A326" s="104"/>
      <c r="B326" s="111" t="s">
        <v>199</v>
      </c>
      <c r="C326" s="109">
        <v>1341.0</v>
      </c>
      <c r="D326" s="112">
        <v>470.0</v>
      </c>
      <c r="E326" s="112">
        <v>871.0</v>
      </c>
      <c r="F326" s="110">
        <v>0.0</v>
      </c>
      <c r="G326" s="110">
        <v>0.0</v>
      </c>
      <c r="H326" s="110">
        <v>0.0</v>
      </c>
      <c r="I326" s="110">
        <v>0.0</v>
      </c>
      <c r="J326" s="110">
        <v>0.0</v>
      </c>
      <c r="K326" s="110">
        <v>0.0</v>
      </c>
      <c r="L326" s="110">
        <v>0.0</v>
      </c>
      <c r="M326" s="110">
        <v>0.0</v>
      </c>
      <c r="N326" s="110">
        <v>0.0</v>
      </c>
      <c r="O326" s="110">
        <v>0.0</v>
      </c>
      <c r="P326" s="110">
        <v>0.0</v>
      </c>
      <c r="Q326" s="110">
        <v>0.0</v>
      </c>
      <c r="R326" s="110">
        <v>0.0</v>
      </c>
      <c r="S326" s="110">
        <v>0.0</v>
      </c>
      <c r="T326" s="110">
        <v>0.0</v>
      </c>
      <c r="U326" s="110">
        <v>0.0</v>
      </c>
      <c r="V326" s="110">
        <v>0.0</v>
      </c>
      <c r="W326" s="110">
        <v>0.0</v>
      </c>
      <c r="X326" s="110">
        <v>0.0</v>
      </c>
      <c r="Y326" s="110">
        <v>0.0</v>
      </c>
      <c r="Z326" s="110">
        <v>0.0</v>
      </c>
      <c r="AA326" s="110">
        <v>0.0</v>
      </c>
      <c r="AB326" s="110">
        <v>0.0</v>
      </c>
      <c r="AC326" s="110">
        <v>0.0</v>
      </c>
      <c r="AD326" s="110">
        <v>0.0</v>
      </c>
      <c r="AE326" s="110">
        <v>0.0</v>
      </c>
      <c r="AF326" s="112">
        <v>109.0</v>
      </c>
      <c r="AG326" s="112">
        <v>227.0</v>
      </c>
      <c r="AH326" s="112">
        <v>162.0</v>
      </c>
      <c r="AI326" s="112">
        <v>281.0</v>
      </c>
      <c r="AJ326" s="112">
        <v>107.0</v>
      </c>
      <c r="AK326" s="112">
        <v>204.0</v>
      </c>
      <c r="AL326" s="112">
        <v>92.0</v>
      </c>
      <c r="AM326" s="112">
        <v>159.0</v>
      </c>
      <c r="AN326" s="109">
        <v>1310.0</v>
      </c>
    </row>
    <row r="327">
      <c r="A327" s="107" t="s">
        <v>204</v>
      </c>
      <c r="B327" s="111" t="s">
        <v>198</v>
      </c>
      <c r="C327" s="112">
        <v>29.0</v>
      </c>
      <c r="D327" s="112">
        <v>7.0</v>
      </c>
      <c r="E327" s="112">
        <v>22.0</v>
      </c>
      <c r="F327" s="110">
        <v>0.0</v>
      </c>
      <c r="G327" s="110">
        <v>0.0</v>
      </c>
      <c r="H327" s="110">
        <v>0.0</v>
      </c>
      <c r="I327" s="110">
        <v>0.0</v>
      </c>
      <c r="J327" s="110">
        <v>0.0</v>
      </c>
      <c r="K327" s="110">
        <v>0.0</v>
      </c>
      <c r="L327" s="110">
        <v>0.0</v>
      </c>
      <c r="M327" s="110">
        <v>0.0</v>
      </c>
      <c r="N327" s="110">
        <v>0.0</v>
      </c>
      <c r="O327" s="110">
        <v>0.0</v>
      </c>
      <c r="P327" s="110">
        <v>0.0</v>
      </c>
      <c r="Q327" s="110">
        <v>0.0</v>
      </c>
      <c r="R327" s="110">
        <v>0.0</v>
      </c>
      <c r="S327" s="110">
        <v>0.0</v>
      </c>
      <c r="T327" s="110">
        <v>0.0</v>
      </c>
      <c r="U327" s="110">
        <v>0.0</v>
      </c>
      <c r="V327" s="110">
        <v>0.0</v>
      </c>
      <c r="W327" s="110">
        <v>0.0</v>
      </c>
      <c r="X327" s="110">
        <v>0.0</v>
      </c>
      <c r="Y327" s="110">
        <v>0.0</v>
      </c>
      <c r="Z327" s="110">
        <v>0.0</v>
      </c>
      <c r="AA327" s="110">
        <v>0.0</v>
      </c>
      <c r="AB327" s="110">
        <v>0.0</v>
      </c>
      <c r="AC327" s="110">
        <v>0.0</v>
      </c>
      <c r="AD327" s="110">
        <v>0.0</v>
      </c>
      <c r="AE327" s="110">
        <v>0.0</v>
      </c>
      <c r="AF327" s="112">
        <v>1.0</v>
      </c>
      <c r="AG327" s="112">
        <v>2.0</v>
      </c>
      <c r="AH327" s="112">
        <v>3.0</v>
      </c>
      <c r="AI327" s="112">
        <v>3.0</v>
      </c>
      <c r="AJ327" s="112">
        <v>0.0</v>
      </c>
      <c r="AK327" s="112">
        <v>5.0</v>
      </c>
      <c r="AL327" s="112">
        <v>3.0</v>
      </c>
      <c r="AM327" s="112">
        <v>12.0</v>
      </c>
      <c r="AN327" s="112">
        <v>29.0</v>
      </c>
    </row>
    <row r="328">
      <c r="A328" s="104"/>
      <c r="B328" s="111" t="s">
        <v>199</v>
      </c>
      <c r="C328" s="112">
        <v>741.0</v>
      </c>
      <c r="D328" s="112">
        <v>229.0</v>
      </c>
      <c r="E328" s="112">
        <v>512.0</v>
      </c>
      <c r="F328" s="110">
        <v>0.0</v>
      </c>
      <c r="G328" s="110">
        <v>0.0</v>
      </c>
      <c r="H328" s="110">
        <v>0.0</v>
      </c>
      <c r="I328" s="110">
        <v>0.0</v>
      </c>
      <c r="J328" s="110">
        <v>0.0</v>
      </c>
      <c r="K328" s="110">
        <v>0.0</v>
      </c>
      <c r="L328" s="110">
        <v>0.0</v>
      </c>
      <c r="M328" s="110">
        <v>0.0</v>
      </c>
      <c r="N328" s="110">
        <v>0.0</v>
      </c>
      <c r="O328" s="110">
        <v>0.0</v>
      </c>
      <c r="P328" s="110">
        <v>0.0</v>
      </c>
      <c r="Q328" s="110">
        <v>0.0</v>
      </c>
      <c r="R328" s="110">
        <v>0.0</v>
      </c>
      <c r="S328" s="110">
        <v>0.0</v>
      </c>
      <c r="T328" s="110">
        <v>0.0</v>
      </c>
      <c r="U328" s="110">
        <v>0.0</v>
      </c>
      <c r="V328" s="110">
        <v>0.0</v>
      </c>
      <c r="W328" s="110">
        <v>0.0</v>
      </c>
      <c r="X328" s="110">
        <v>0.0</v>
      </c>
      <c r="Y328" s="110">
        <v>0.0</v>
      </c>
      <c r="Z328" s="110">
        <v>0.0</v>
      </c>
      <c r="AA328" s="110">
        <v>0.0</v>
      </c>
      <c r="AB328" s="110">
        <v>0.0</v>
      </c>
      <c r="AC328" s="110">
        <v>0.0</v>
      </c>
      <c r="AD328" s="110">
        <v>0.0</v>
      </c>
      <c r="AE328" s="110">
        <v>0.0</v>
      </c>
      <c r="AF328" s="112">
        <v>24.0</v>
      </c>
      <c r="AG328" s="112">
        <v>56.0</v>
      </c>
      <c r="AH328" s="112">
        <v>32.0</v>
      </c>
      <c r="AI328" s="112">
        <v>82.0</v>
      </c>
      <c r="AJ328" s="112">
        <v>51.0</v>
      </c>
      <c r="AK328" s="112">
        <v>112.0</v>
      </c>
      <c r="AL328" s="112">
        <v>122.0</v>
      </c>
      <c r="AM328" s="112">
        <v>262.0</v>
      </c>
      <c r="AN328" s="112">
        <v>712.0</v>
      </c>
    </row>
    <row r="329">
      <c r="A329" s="107" t="s">
        <v>205</v>
      </c>
      <c r="B329" s="111" t="s">
        <v>198</v>
      </c>
      <c r="C329" s="112">
        <v>83.0</v>
      </c>
      <c r="D329" s="112">
        <v>30.0</v>
      </c>
      <c r="E329" s="112">
        <v>53.0</v>
      </c>
      <c r="F329" s="112">
        <v>0.0</v>
      </c>
      <c r="G329" s="112">
        <v>0.0</v>
      </c>
      <c r="H329" s="112">
        <v>0.0</v>
      </c>
      <c r="I329" s="112">
        <v>0.0</v>
      </c>
      <c r="J329" s="112">
        <v>1.0</v>
      </c>
      <c r="K329" s="112">
        <v>0.0</v>
      </c>
      <c r="L329" s="112">
        <v>0.0</v>
      </c>
      <c r="M329" s="112">
        <v>1.0</v>
      </c>
      <c r="N329" s="112">
        <v>4.0</v>
      </c>
      <c r="O329" s="112">
        <v>2.0</v>
      </c>
      <c r="P329" s="112">
        <v>3.0</v>
      </c>
      <c r="Q329" s="112">
        <v>2.0</v>
      </c>
      <c r="R329" s="112">
        <v>0.0</v>
      </c>
      <c r="S329" s="112">
        <v>0.0</v>
      </c>
      <c r="T329" s="112">
        <v>1.0</v>
      </c>
      <c r="U329" s="112">
        <v>2.0</v>
      </c>
      <c r="V329" s="112">
        <v>2.0</v>
      </c>
      <c r="W329" s="112">
        <v>0.0</v>
      </c>
      <c r="X329" s="112">
        <v>0.0</v>
      </c>
      <c r="Y329" s="112">
        <v>5.0</v>
      </c>
      <c r="Z329" s="112">
        <v>3.0</v>
      </c>
      <c r="AA329" s="112">
        <v>6.0</v>
      </c>
      <c r="AB329" s="112">
        <v>3.0</v>
      </c>
      <c r="AC329" s="112">
        <v>2.0</v>
      </c>
      <c r="AD329" s="112">
        <v>2.0</v>
      </c>
      <c r="AE329" s="112">
        <v>6.0</v>
      </c>
      <c r="AF329" s="112">
        <v>2.0</v>
      </c>
      <c r="AG329" s="112">
        <v>8.0</v>
      </c>
      <c r="AH329" s="112">
        <v>2.0</v>
      </c>
      <c r="AI329" s="112">
        <v>9.0</v>
      </c>
      <c r="AJ329" s="112">
        <v>1.0</v>
      </c>
      <c r="AK329" s="112">
        <v>5.0</v>
      </c>
      <c r="AL329" s="112">
        <v>6.0</v>
      </c>
      <c r="AM329" s="112">
        <v>5.0</v>
      </c>
      <c r="AN329" s="112">
        <v>81.0</v>
      </c>
    </row>
    <row r="330">
      <c r="A330" s="98"/>
      <c r="B330" s="111" t="s">
        <v>199</v>
      </c>
      <c r="C330" s="112">
        <v>22.0</v>
      </c>
      <c r="D330" s="112">
        <v>13.0</v>
      </c>
      <c r="E330" s="112">
        <v>9.0</v>
      </c>
      <c r="F330" s="112">
        <v>1.0</v>
      </c>
      <c r="G330" s="112">
        <v>0.0</v>
      </c>
      <c r="H330" s="112">
        <v>0.0</v>
      </c>
      <c r="I330" s="112">
        <v>0.0</v>
      </c>
      <c r="J330" s="112">
        <v>0.0</v>
      </c>
      <c r="K330" s="112">
        <v>0.0</v>
      </c>
      <c r="L330" s="112">
        <v>1.0</v>
      </c>
      <c r="M330" s="112">
        <v>1.0</v>
      </c>
      <c r="N330" s="112">
        <v>0.0</v>
      </c>
      <c r="O330" s="112">
        <v>0.0</v>
      </c>
      <c r="P330" s="112">
        <v>0.0</v>
      </c>
      <c r="Q330" s="112">
        <v>0.0</v>
      </c>
      <c r="R330" s="112">
        <v>0.0</v>
      </c>
      <c r="S330" s="112">
        <v>0.0</v>
      </c>
      <c r="T330" s="112">
        <v>1.0</v>
      </c>
      <c r="U330" s="112">
        <v>1.0</v>
      </c>
      <c r="V330" s="112">
        <v>0.0</v>
      </c>
      <c r="W330" s="112">
        <v>0.0</v>
      </c>
      <c r="X330" s="112">
        <v>1.0</v>
      </c>
      <c r="Y330" s="112">
        <v>3.0</v>
      </c>
      <c r="Z330" s="112">
        <v>0.0</v>
      </c>
      <c r="AA330" s="112">
        <v>1.0</v>
      </c>
      <c r="AB330" s="112">
        <v>2.0</v>
      </c>
      <c r="AC330" s="112">
        <v>0.0</v>
      </c>
      <c r="AD330" s="112">
        <v>0.0</v>
      </c>
      <c r="AE330" s="112">
        <v>0.0</v>
      </c>
      <c r="AF330" s="112">
        <v>4.0</v>
      </c>
      <c r="AG330" s="112">
        <v>0.0</v>
      </c>
      <c r="AH330" s="112">
        <v>1.0</v>
      </c>
      <c r="AI330" s="112">
        <v>0.0</v>
      </c>
      <c r="AJ330" s="112">
        <v>1.0</v>
      </c>
      <c r="AK330" s="112">
        <v>1.0</v>
      </c>
      <c r="AL330" s="112">
        <v>1.0</v>
      </c>
      <c r="AM330" s="112">
        <v>2.0</v>
      </c>
      <c r="AN330" s="112">
        <v>22.0</v>
      </c>
    </row>
    <row r="331">
      <c r="A331" s="104"/>
      <c r="B331" s="111" t="s">
        <v>206</v>
      </c>
      <c r="C331" s="112">
        <v>335.0</v>
      </c>
      <c r="D331" s="112">
        <v>112.0</v>
      </c>
      <c r="E331" s="112">
        <v>223.0</v>
      </c>
      <c r="F331" s="112">
        <v>0.0</v>
      </c>
      <c r="G331" s="112">
        <v>0.0</v>
      </c>
      <c r="H331" s="112">
        <v>0.0</v>
      </c>
      <c r="I331" s="112">
        <v>0.0</v>
      </c>
      <c r="J331" s="112">
        <v>1.0</v>
      </c>
      <c r="K331" s="112">
        <v>2.0</v>
      </c>
      <c r="L331" s="112">
        <v>13.0</v>
      </c>
      <c r="M331" s="112">
        <v>27.0</v>
      </c>
      <c r="N331" s="112">
        <v>27.0</v>
      </c>
      <c r="O331" s="112">
        <v>30.0</v>
      </c>
      <c r="P331" s="112">
        <v>16.0</v>
      </c>
      <c r="Q331" s="112">
        <v>34.0</v>
      </c>
      <c r="R331" s="112">
        <v>12.0</v>
      </c>
      <c r="S331" s="112">
        <v>28.0</v>
      </c>
      <c r="T331" s="112">
        <v>9.0</v>
      </c>
      <c r="U331" s="112">
        <v>36.0</v>
      </c>
      <c r="V331" s="112">
        <v>14.0</v>
      </c>
      <c r="W331" s="112">
        <v>18.0</v>
      </c>
      <c r="X331" s="112">
        <v>13.0</v>
      </c>
      <c r="Y331" s="112">
        <v>24.0</v>
      </c>
      <c r="Z331" s="112">
        <v>0.0</v>
      </c>
      <c r="AA331" s="112">
        <v>9.0</v>
      </c>
      <c r="AB331" s="112">
        <v>4.0</v>
      </c>
      <c r="AC331" s="112">
        <v>8.0</v>
      </c>
      <c r="AD331" s="112">
        <v>1.0</v>
      </c>
      <c r="AE331" s="112">
        <v>3.0</v>
      </c>
      <c r="AF331" s="112">
        <v>1.0</v>
      </c>
      <c r="AG331" s="112">
        <v>1.0</v>
      </c>
      <c r="AH331" s="112">
        <v>1.0</v>
      </c>
      <c r="AI331" s="112">
        <v>3.0</v>
      </c>
      <c r="AJ331" s="112">
        <v>0.0</v>
      </c>
      <c r="AK331" s="112">
        <v>0.0</v>
      </c>
      <c r="AL331" s="112">
        <v>0.0</v>
      </c>
      <c r="AM331" s="112">
        <v>0.0</v>
      </c>
      <c r="AN331" s="112">
        <v>335.0</v>
      </c>
    </row>
    <row r="332">
      <c r="A332" s="107" t="s">
        <v>207</v>
      </c>
      <c r="B332" s="111" t="s">
        <v>198</v>
      </c>
      <c r="C332" s="109">
        <v>47687.0</v>
      </c>
      <c r="D332" s="109">
        <v>12302.0</v>
      </c>
      <c r="E332" s="109">
        <v>35385.0</v>
      </c>
      <c r="F332" s="112">
        <v>477.0</v>
      </c>
      <c r="G332" s="112">
        <v>334.0</v>
      </c>
      <c r="H332" s="112">
        <v>595.0</v>
      </c>
      <c r="I332" s="112">
        <v>442.0</v>
      </c>
      <c r="J332" s="112">
        <v>545.0</v>
      </c>
      <c r="K332" s="112">
        <v>360.0</v>
      </c>
      <c r="L332" s="112">
        <v>310.0</v>
      </c>
      <c r="M332" s="112">
        <v>510.0</v>
      </c>
      <c r="N332" s="112">
        <v>235.0</v>
      </c>
      <c r="O332" s="112">
        <v>679.0</v>
      </c>
      <c r="P332" s="112">
        <v>253.0</v>
      </c>
      <c r="Q332" s="112">
        <v>869.0</v>
      </c>
      <c r="R332" s="112">
        <v>245.0</v>
      </c>
      <c r="S332" s="112">
        <v>927.0</v>
      </c>
      <c r="T332" s="112">
        <v>282.0</v>
      </c>
      <c r="U332" s="109">
        <v>1084.0</v>
      </c>
      <c r="V332" s="112">
        <v>318.0</v>
      </c>
      <c r="W332" s="109">
        <v>1504.0</v>
      </c>
      <c r="X332" s="112">
        <v>446.0</v>
      </c>
      <c r="Y332" s="109">
        <v>2051.0</v>
      </c>
      <c r="Z332" s="112">
        <v>837.0</v>
      </c>
      <c r="AA332" s="109">
        <v>3093.0</v>
      </c>
      <c r="AB332" s="109">
        <v>1026.0</v>
      </c>
      <c r="AC332" s="109">
        <v>4093.0</v>
      </c>
      <c r="AD332" s="109">
        <v>1223.0</v>
      </c>
      <c r="AE332" s="109">
        <v>4230.0</v>
      </c>
      <c r="AF332" s="109">
        <v>1408.0</v>
      </c>
      <c r="AG332" s="109">
        <v>4329.0</v>
      </c>
      <c r="AH332" s="109">
        <v>1432.0</v>
      </c>
      <c r="AI332" s="109">
        <v>4113.0</v>
      </c>
      <c r="AJ332" s="109">
        <v>1245.0</v>
      </c>
      <c r="AK332" s="109">
        <v>3182.0</v>
      </c>
      <c r="AL332" s="109">
        <v>1425.0</v>
      </c>
      <c r="AM332" s="109">
        <v>3585.0</v>
      </c>
      <c r="AN332" s="109">
        <v>46865.0</v>
      </c>
    </row>
    <row r="333">
      <c r="A333" s="98"/>
      <c r="B333" s="111" t="s">
        <v>199</v>
      </c>
      <c r="C333" s="109">
        <v>3938.0</v>
      </c>
      <c r="D333" s="109">
        <v>1368.0</v>
      </c>
      <c r="E333" s="109">
        <v>2570.0</v>
      </c>
      <c r="F333" s="112">
        <v>169.0</v>
      </c>
      <c r="G333" s="112">
        <v>127.0</v>
      </c>
      <c r="H333" s="112">
        <v>135.0</v>
      </c>
      <c r="I333" s="112">
        <v>139.0</v>
      </c>
      <c r="J333" s="112">
        <v>47.0</v>
      </c>
      <c r="K333" s="112">
        <v>54.0</v>
      </c>
      <c r="L333" s="112">
        <v>28.0</v>
      </c>
      <c r="M333" s="112">
        <v>26.0</v>
      </c>
      <c r="N333" s="112">
        <v>8.0</v>
      </c>
      <c r="O333" s="112">
        <v>44.0</v>
      </c>
      <c r="P333" s="112">
        <v>49.0</v>
      </c>
      <c r="Q333" s="112">
        <v>52.0</v>
      </c>
      <c r="R333" s="112">
        <v>20.0</v>
      </c>
      <c r="S333" s="112">
        <v>64.0</v>
      </c>
      <c r="T333" s="112">
        <v>28.0</v>
      </c>
      <c r="U333" s="112">
        <v>94.0</v>
      </c>
      <c r="V333" s="112">
        <v>46.0</v>
      </c>
      <c r="W333" s="112">
        <v>138.0</v>
      </c>
      <c r="X333" s="112">
        <v>51.0</v>
      </c>
      <c r="Y333" s="112">
        <v>259.0</v>
      </c>
      <c r="Z333" s="112">
        <v>88.0</v>
      </c>
      <c r="AA333" s="112">
        <v>229.0</v>
      </c>
      <c r="AB333" s="112">
        <v>154.0</v>
      </c>
      <c r="AC333" s="112">
        <v>273.0</v>
      </c>
      <c r="AD333" s="112">
        <v>131.0</v>
      </c>
      <c r="AE333" s="112">
        <v>210.0</v>
      </c>
      <c r="AF333" s="112">
        <v>153.0</v>
      </c>
      <c r="AG333" s="112">
        <v>269.0</v>
      </c>
      <c r="AH333" s="112">
        <v>93.0</v>
      </c>
      <c r="AI333" s="112">
        <v>199.0</v>
      </c>
      <c r="AJ333" s="112">
        <v>73.0</v>
      </c>
      <c r="AK333" s="112">
        <v>198.0</v>
      </c>
      <c r="AL333" s="112">
        <v>95.0</v>
      </c>
      <c r="AM333" s="112">
        <v>195.0</v>
      </c>
      <c r="AN333" s="109">
        <v>3746.0</v>
      </c>
    </row>
    <row r="334">
      <c r="A334" s="98"/>
      <c r="B334" s="111" t="s">
        <v>206</v>
      </c>
      <c r="C334" s="112">
        <v>583.0</v>
      </c>
      <c r="D334" s="112">
        <v>42.0</v>
      </c>
      <c r="E334" s="112">
        <v>541.0</v>
      </c>
      <c r="F334" s="112">
        <v>9.0</v>
      </c>
      <c r="G334" s="112">
        <v>2.0</v>
      </c>
      <c r="H334" s="112">
        <v>9.0</v>
      </c>
      <c r="I334" s="112">
        <v>5.0</v>
      </c>
      <c r="J334" s="112">
        <v>12.0</v>
      </c>
      <c r="K334" s="112">
        <v>12.0</v>
      </c>
      <c r="L334" s="112">
        <v>3.0</v>
      </c>
      <c r="M334" s="112">
        <v>50.0</v>
      </c>
      <c r="N334" s="112">
        <v>4.0</v>
      </c>
      <c r="O334" s="112">
        <v>101.0</v>
      </c>
      <c r="P334" s="112">
        <v>1.0</v>
      </c>
      <c r="Q334" s="112">
        <v>96.0</v>
      </c>
      <c r="R334" s="112">
        <v>0.0</v>
      </c>
      <c r="S334" s="112">
        <v>59.0</v>
      </c>
      <c r="T334" s="112">
        <v>0.0</v>
      </c>
      <c r="U334" s="112">
        <v>50.0</v>
      </c>
      <c r="V334" s="112">
        <v>1.0</v>
      </c>
      <c r="W334" s="112">
        <v>53.0</v>
      </c>
      <c r="X334" s="112">
        <v>0.0</v>
      </c>
      <c r="Y334" s="112">
        <v>42.0</v>
      </c>
      <c r="Z334" s="112">
        <v>2.0</v>
      </c>
      <c r="AA334" s="112">
        <v>25.0</v>
      </c>
      <c r="AB334" s="112">
        <v>1.0</v>
      </c>
      <c r="AC334" s="112">
        <v>23.0</v>
      </c>
      <c r="AD334" s="112">
        <v>0.0</v>
      </c>
      <c r="AE334" s="112">
        <v>8.0</v>
      </c>
      <c r="AF334" s="112">
        <v>0.0</v>
      </c>
      <c r="AG334" s="112">
        <v>7.0</v>
      </c>
      <c r="AH334" s="112">
        <v>0.0</v>
      </c>
      <c r="AI334" s="112">
        <v>7.0</v>
      </c>
      <c r="AJ334" s="112">
        <v>0.0</v>
      </c>
      <c r="AK334" s="112">
        <v>0.0</v>
      </c>
      <c r="AL334" s="112">
        <v>0.0</v>
      </c>
      <c r="AM334" s="112">
        <v>1.0</v>
      </c>
      <c r="AN334" s="112">
        <v>583.0</v>
      </c>
    </row>
    <row r="335">
      <c r="A335" s="98"/>
      <c r="B335" s="111" t="s">
        <v>200</v>
      </c>
      <c r="C335" s="109">
        <v>9499.0</v>
      </c>
      <c r="D335" s="109">
        <v>3761.0</v>
      </c>
      <c r="E335" s="109">
        <v>5738.0</v>
      </c>
      <c r="F335" s="109">
        <v>1656.0</v>
      </c>
      <c r="G335" s="109">
        <v>1502.0</v>
      </c>
      <c r="H335" s="112">
        <v>457.0</v>
      </c>
      <c r="I335" s="112">
        <v>356.0</v>
      </c>
      <c r="J335" s="112">
        <v>283.0</v>
      </c>
      <c r="K335" s="112">
        <v>357.0</v>
      </c>
      <c r="L335" s="112">
        <v>189.0</v>
      </c>
      <c r="M335" s="112">
        <v>476.0</v>
      </c>
      <c r="N335" s="112">
        <v>75.0</v>
      </c>
      <c r="O335" s="112">
        <v>320.0</v>
      </c>
      <c r="P335" s="112">
        <v>75.0</v>
      </c>
      <c r="Q335" s="112">
        <v>390.0</v>
      </c>
      <c r="R335" s="112">
        <v>66.0</v>
      </c>
      <c r="S335" s="112">
        <v>281.0</v>
      </c>
      <c r="T335" s="112">
        <v>62.0</v>
      </c>
      <c r="U335" s="112">
        <v>227.0</v>
      </c>
      <c r="V335" s="112">
        <v>75.0</v>
      </c>
      <c r="W335" s="112">
        <v>206.0</v>
      </c>
      <c r="X335" s="112">
        <v>72.0</v>
      </c>
      <c r="Y335" s="112">
        <v>242.0</v>
      </c>
      <c r="Z335" s="112">
        <v>89.0</v>
      </c>
      <c r="AA335" s="112">
        <v>217.0</v>
      </c>
      <c r="AB335" s="112">
        <v>91.0</v>
      </c>
      <c r="AC335" s="112">
        <v>218.0</v>
      </c>
      <c r="AD335" s="112">
        <v>105.0</v>
      </c>
      <c r="AE335" s="112">
        <v>191.0</v>
      </c>
      <c r="AF335" s="112">
        <v>133.0</v>
      </c>
      <c r="AG335" s="112">
        <v>202.0</v>
      </c>
      <c r="AH335" s="112">
        <v>120.0</v>
      </c>
      <c r="AI335" s="112">
        <v>197.0</v>
      </c>
      <c r="AJ335" s="112">
        <v>100.0</v>
      </c>
      <c r="AK335" s="112">
        <v>169.0</v>
      </c>
      <c r="AL335" s="112">
        <v>113.0</v>
      </c>
      <c r="AM335" s="112">
        <v>187.0</v>
      </c>
      <c r="AN335" s="109">
        <v>8337.0</v>
      </c>
    </row>
    <row r="336">
      <c r="A336" s="104"/>
      <c r="B336" s="111" t="s">
        <v>201</v>
      </c>
      <c r="C336" s="109">
        <v>3766.0</v>
      </c>
      <c r="D336" s="109">
        <v>1731.0</v>
      </c>
      <c r="E336" s="109">
        <v>2035.0</v>
      </c>
      <c r="F336" s="112">
        <v>40.0</v>
      </c>
      <c r="G336" s="112">
        <v>57.0</v>
      </c>
      <c r="H336" s="112">
        <v>54.0</v>
      </c>
      <c r="I336" s="112">
        <v>52.0</v>
      </c>
      <c r="J336" s="112">
        <v>84.0</v>
      </c>
      <c r="K336" s="112">
        <v>64.0</v>
      </c>
      <c r="L336" s="112">
        <v>46.0</v>
      </c>
      <c r="M336" s="112">
        <v>60.0</v>
      </c>
      <c r="N336" s="112">
        <v>160.0</v>
      </c>
      <c r="O336" s="112">
        <v>96.0</v>
      </c>
      <c r="P336" s="112">
        <v>200.0</v>
      </c>
      <c r="Q336" s="112">
        <v>115.0</v>
      </c>
      <c r="R336" s="112">
        <v>145.0</v>
      </c>
      <c r="S336" s="112">
        <v>113.0</v>
      </c>
      <c r="T336" s="112">
        <v>157.0</v>
      </c>
      <c r="U336" s="112">
        <v>145.0</v>
      </c>
      <c r="V336" s="112">
        <v>123.0</v>
      </c>
      <c r="W336" s="112">
        <v>155.0</v>
      </c>
      <c r="X336" s="112">
        <v>137.0</v>
      </c>
      <c r="Y336" s="112">
        <v>242.0</v>
      </c>
      <c r="Z336" s="112">
        <v>126.0</v>
      </c>
      <c r="AA336" s="112">
        <v>239.0</v>
      </c>
      <c r="AB336" s="112">
        <v>140.0</v>
      </c>
      <c r="AC336" s="112">
        <v>212.0</v>
      </c>
      <c r="AD336" s="112">
        <v>97.0</v>
      </c>
      <c r="AE336" s="112">
        <v>164.0</v>
      </c>
      <c r="AF336" s="112">
        <v>72.0</v>
      </c>
      <c r="AG336" s="112">
        <v>125.0</v>
      </c>
      <c r="AH336" s="112">
        <v>70.0</v>
      </c>
      <c r="AI336" s="112">
        <v>83.0</v>
      </c>
      <c r="AJ336" s="112">
        <v>47.0</v>
      </c>
      <c r="AK336" s="112">
        <v>57.0</v>
      </c>
      <c r="AL336" s="112">
        <v>33.0</v>
      </c>
      <c r="AM336" s="112">
        <v>56.0</v>
      </c>
      <c r="AN336" s="109">
        <v>3732.0</v>
      </c>
    </row>
    <row r="337">
      <c r="A337" s="107" t="s">
        <v>208</v>
      </c>
      <c r="B337" s="111" t="s">
        <v>198</v>
      </c>
      <c r="C337" s="112">
        <v>0.0</v>
      </c>
      <c r="D337" s="112">
        <v>0.0</v>
      </c>
      <c r="E337" s="112">
        <v>0.0</v>
      </c>
      <c r="F337" s="112">
        <v>0.0</v>
      </c>
      <c r="G337" s="112">
        <v>0.0</v>
      </c>
      <c r="H337" s="112">
        <v>0.0</v>
      </c>
      <c r="I337" s="112">
        <v>0.0</v>
      </c>
      <c r="J337" s="112">
        <v>0.0</v>
      </c>
      <c r="K337" s="112">
        <v>0.0</v>
      </c>
      <c r="L337" s="112">
        <v>0.0</v>
      </c>
      <c r="M337" s="112">
        <v>0.0</v>
      </c>
      <c r="N337" s="112">
        <v>0.0</v>
      </c>
      <c r="O337" s="112">
        <v>0.0</v>
      </c>
      <c r="P337" s="110">
        <v>0.0</v>
      </c>
      <c r="Q337" s="110">
        <v>0.0</v>
      </c>
      <c r="R337" s="110">
        <v>0.0</v>
      </c>
      <c r="S337" s="110">
        <v>0.0</v>
      </c>
      <c r="T337" s="110">
        <v>0.0</v>
      </c>
      <c r="U337" s="110">
        <v>0.0</v>
      </c>
      <c r="V337" s="110">
        <v>0.0</v>
      </c>
      <c r="W337" s="110">
        <v>0.0</v>
      </c>
      <c r="X337" s="110">
        <v>0.0</v>
      </c>
      <c r="Y337" s="110">
        <v>0.0</v>
      </c>
      <c r="Z337" s="110">
        <v>0.0</v>
      </c>
      <c r="AA337" s="110">
        <v>0.0</v>
      </c>
      <c r="AB337" s="110">
        <v>0.0</v>
      </c>
      <c r="AC337" s="110">
        <v>0.0</v>
      </c>
      <c r="AD337" s="110">
        <v>0.0</v>
      </c>
      <c r="AE337" s="110">
        <v>0.0</v>
      </c>
      <c r="AF337" s="110">
        <v>0.0</v>
      </c>
      <c r="AG337" s="110">
        <v>0.0</v>
      </c>
      <c r="AH337" s="110">
        <v>0.0</v>
      </c>
      <c r="AI337" s="110">
        <v>0.0</v>
      </c>
      <c r="AJ337" s="110">
        <v>0.0</v>
      </c>
      <c r="AK337" s="110">
        <v>0.0</v>
      </c>
      <c r="AL337" s="110">
        <v>0.0</v>
      </c>
      <c r="AM337" s="110">
        <v>0.0</v>
      </c>
      <c r="AN337" s="112">
        <v>0.0</v>
      </c>
    </row>
    <row r="338">
      <c r="A338" s="98"/>
      <c r="B338" s="111" t="s">
        <v>199</v>
      </c>
      <c r="C338" s="112">
        <v>12.0</v>
      </c>
      <c r="D338" s="112">
        <v>3.0</v>
      </c>
      <c r="E338" s="112">
        <v>9.0</v>
      </c>
      <c r="F338" s="112">
        <v>2.0</v>
      </c>
      <c r="G338" s="112">
        <v>9.0</v>
      </c>
      <c r="H338" s="112">
        <v>1.0</v>
      </c>
      <c r="I338" s="112">
        <v>0.0</v>
      </c>
      <c r="J338" s="112">
        <v>0.0</v>
      </c>
      <c r="K338" s="112">
        <v>0.0</v>
      </c>
      <c r="L338" s="112">
        <v>0.0</v>
      </c>
      <c r="M338" s="112">
        <v>0.0</v>
      </c>
      <c r="N338" s="112">
        <v>0.0</v>
      </c>
      <c r="O338" s="112">
        <v>0.0</v>
      </c>
      <c r="P338" s="110">
        <v>0.0</v>
      </c>
      <c r="Q338" s="110">
        <v>0.0</v>
      </c>
      <c r="R338" s="110">
        <v>0.0</v>
      </c>
      <c r="S338" s="110">
        <v>0.0</v>
      </c>
      <c r="T338" s="110">
        <v>0.0</v>
      </c>
      <c r="U338" s="110">
        <v>0.0</v>
      </c>
      <c r="V338" s="110">
        <v>0.0</v>
      </c>
      <c r="W338" s="110">
        <v>0.0</v>
      </c>
      <c r="X338" s="110">
        <v>0.0</v>
      </c>
      <c r="Y338" s="110">
        <v>0.0</v>
      </c>
      <c r="Z338" s="110">
        <v>0.0</v>
      </c>
      <c r="AA338" s="110">
        <v>0.0</v>
      </c>
      <c r="AB338" s="110">
        <v>0.0</v>
      </c>
      <c r="AC338" s="110">
        <v>0.0</v>
      </c>
      <c r="AD338" s="110">
        <v>0.0</v>
      </c>
      <c r="AE338" s="110">
        <v>0.0</v>
      </c>
      <c r="AF338" s="110">
        <v>0.0</v>
      </c>
      <c r="AG338" s="110">
        <v>0.0</v>
      </c>
      <c r="AH338" s="110">
        <v>0.0</v>
      </c>
      <c r="AI338" s="110">
        <v>0.0</v>
      </c>
      <c r="AJ338" s="110">
        <v>0.0</v>
      </c>
      <c r="AK338" s="110">
        <v>0.0</v>
      </c>
      <c r="AL338" s="110">
        <v>0.0</v>
      </c>
      <c r="AM338" s="110">
        <v>0.0</v>
      </c>
      <c r="AN338" s="112">
        <v>10.0</v>
      </c>
    </row>
    <row r="339">
      <c r="A339" s="98"/>
      <c r="B339" s="111" t="s">
        <v>206</v>
      </c>
      <c r="C339" s="112">
        <v>0.0</v>
      </c>
      <c r="D339" s="112">
        <v>0.0</v>
      </c>
      <c r="E339" s="112">
        <v>0.0</v>
      </c>
      <c r="F339" s="112">
        <v>0.0</v>
      </c>
      <c r="G339" s="112">
        <v>0.0</v>
      </c>
      <c r="H339" s="112">
        <v>0.0</v>
      </c>
      <c r="I339" s="112">
        <v>0.0</v>
      </c>
      <c r="J339" s="112">
        <v>0.0</v>
      </c>
      <c r="K339" s="112">
        <v>0.0</v>
      </c>
      <c r="L339" s="112">
        <v>0.0</v>
      </c>
      <c r="M339" s="112">
        <v>0.0</v>
      </c>
      <c r="N339" s="112">
        <v>0.0</v>
      </c>
      <c r="O339" s="112">
        <v>0.0</v>
      </c>
      <c r="P339" s="110">
        <v>0.0</v>
      </c>
      <c r="Q339" s="110">
        <v>0.0</v>
      </c>
      <c r="R339" s="110">
        <v>0.0</v>
      </c>
      <c r="S339" s="110">
        <v>0.0</v>
      </c>
      <c r="T339" s="110">
        <v>0.0</v>
      </c>
      <c r="U339" s="110">
        <v>0.0</v>
      </c>
      <c r="V339" s="110">
        <v>0.0</v>
      </c>
      <c r="W339" s="110">
        <v>0.0</v>
      </c>
      <c r="X339" s="110">
        <v>0.0</v>
      </c>
      <c r="Y339" s="110">
        <v>0.0</v>
      </c>
      <c r="Z339" s="110">
        <v>0.0</v>
      </c>
      <c r="AA339" s="110">
        <v>0.0</v>
      </c>
      <c r="AB339" s="110">
        <v>0.0</v>
      </c>
      <c r="AC339" s="110">
        <v>0.0</v>
      </c>
      <c r="AD339" s="110">
        <v>0.0</v>
      </c>
      <c r="AE339" s="110">
        <v>0.0</v>
      </c>
      <c r="AF339" s="110">
        <v>0.0</v>
      </c>
      <c r="AG339" s="110">
        <v>0.0</v>
      </c>
      <c r="AH339" s="110">
        <v>0.0</v>
      </c>
      <c r="AI339" s="110">
        <v>0.0</v>
      </c>
      <c r="AJ339" s="110">
        <v>0.0</v>
      </c>
      <c r="AK339" s="110">
        <v>0.0</v>
      </c>
      <c r="AL339" s="110">
        <v>0.0</v>
      </c>
      <c r="AM339" s="110">
        <v>0.0</v>
      </c>
      <c r="AN339" s="112">
        <v>0.0</v>
      </c>
    </row>
    <row r="340">
      <c r="A340" s="98"/>
      <c r="B340" s="111" t="s">
        <v>200</v>
      </c>
      <c r="C340" s="112">
        <v>47.0</v>
      </c>
      <c r="D340" s="112">
        <v>28.0</v>
      </c>
      <c r="E340" s="112">
        <v>19.0</v>
      </c>
      <c r="F340" s="112">
        <v>24.0</v>
      </c>
      <c r="G340" s="112">
        <v>16.0</v>
      </c>
      <c r="H340" s="112">
        <v>2.0</v>
      </c>
      <c r="I340" s="112">
        <v>1.0</v>
      </c>
      <c r="J340" s="112">
        <v>1.0</v>
      </c>
      <c r="K340" s="112">
        <v>1.0</v>
      </c>
      <c r="L340" s="112">
        <v>1.0</v>
      </c>
      <c r="M340" s="112">
        <v>0.0</v>
      </c>
      <c r="N340" s="112">
        <v>0.0</v>
      </c>
      <c r="O340" s="112">
        <v>1.0</v>
      </c>
      <c r="P340" s="110">
        <v>0.0</v>
      </c>
      <c r="Q340" s="110">
        <v>0.0</v>
      </c>
      <c r="R340" s="110">
        <v>0.0</v>
      </c>
      <c r="S340" s="110">
        <v>0.0</v>
      </c>
      <c r="T340" s="110">
        <v>0.0</v>
      </c>
      <c r="U340" s="110">
        <v>0.0</v>
      </c>
      <c r="V340" s="110">
        <v>0.0</v>
      </c>
      <c r="W340" s="110">
        <v>0.0</v>
      </c>
      <c r="X340" s="110">
        <v>0.0</v>
      </c>
      <c r="Y340" s="110">
        <v>0.0</v>
      </c>
      <c r="Z340" s="110">
        <v>0.0</v>
      </c>
      <c r="AA340" s="110">
        <v>0.0</v>
      </c>
      <c r="AB340" s="110">
        <v>0.0</v>
      </c>
      <c r="AC340" s="110">
        <v>0.0</v>
      </c>
      <c r="AD340" s="110">
        <v>0.0</v>
      </c>
      <c r="AE340" s="110">
        <v>0.0</v>
      </c>
      <c r="AF340" s="110">
        <v>0.0</v>
      </c>
      <c r="AG340" s="110">
        <v>0.0</v>
      </c>
      <c r="AH340" s="110">
        <v>0.0</v>
      </c>
      <c r="AI340" s="110">
        <v>0.0</v>
      </c>
      <c r="AJ340" s="110">
        <v>0.0</v>
      </c>
      <c r="AK340" s="110">
        <v>0.0</v>
      </c>
      <c r="AL340" s="110">
        <v>0.0</v>
      </c>
      <c r="AM340" s="110">
        <v>0.0</v>
      </c>
      <c r="AN340" s="112">
        <v>47.0</v>
      </c>
    </row>
    <row r="341">
      <c r="A341" s="104"/>
      <c r="B341" s="111" t="s">
        <v>201</v>
      </c>
      <c r="C341" s="112">
        <v>0.0</v>
      </c>
      <c r="D341" s="112">
        <v>0.0</v>
      </c>
      <c r="E341" s="112">
        <v>0.0</v>
      </c>
      <c r="F341" s="112">
        <v>0.0</v>
      </c>
      <c r="G341" s="112">
        <v>0.0</v>
      </c>
      <c r="H341" s="112">
        <v>0.0</v>
      </c>
      <c r="I341" s="112">
        <v>0.0</v>
      </c>
      <c r="J341" s="112">
        <v>0.0</v>
      </c>
      <c r="K341" s="112">
        <v>0.0</v>
      </c>
      <c r="L341" s="112">
        <v>0.0</v>
      </c>
      <c r="M341" s="112">
        <v>0.0</v>
      </c>
      <c r="N341" s="112">
        <v>0.0</v>
      </c>
      <c r="O341" s="112">
        <v>0.0</v>
      </c>
      <c r="P341" s="110">
        <v>0.0</v>
      </c>
      <c r="Q341" s="110">
        <v>0.0</v>
      </c>
      <c r="R341" s="110">
        <v>0.0</v>
      </c>
      <c r="S341" s="110">
        <v>0.0</v>
      </c>
      <c r="T341" s="110">
        <v>0.0</v>
      </c>
      <c r="U341" s="110">
        <v>0.0</v>
      </c>
      <c r="V341" s="110">
        <v>0.0</v>
      </c>
      <c r="W341" s="110">
        <v>0.0</v>
      </c>
      <c r="X341" s="110">
        <v>0.0</v>
      </c>
      <c r="Y341" s="110">
        <v>0.0</v>
      </c>
      <c r="Z341" s="110">
        <v>0.0</v>
      </c>
      <c r="AA341" s="110">
        <v>0.0</v>
      </c>
      <c r="AB341" s="110">
        <v>0.0</v>
      </c>
      <c r="AC341" s="110">
        <v>0.0</v>
      </c>
      <c r="AD341" s="110">
        <v>0.0</v>
      </c>
      <c r="AE341" s="110">
        <v>0.0</v>
      </c>
      <c r="AF341" s="110">
        <v>0.0</v>
      </c>
      <c r="AG341" s="110">
        <v>0.0</v>
      </c>
      <c r="AH341" s="110">
        <v>0.0</v>
      </c>
      <c r="AI341" s="110">
        <v>0.0</v>
      </c>
      <c r="AJ341" s="110">
        <v>0.0</v>
      </c>
      <c r="AK341" s="110">
        <v>0.0</v>
      </c>
      <c r="AL341" s="110">
        <v>0.0</v>
      </c>
      <c r="AM341" s="110">
        <v>0.0</v>
      </c>
      <c r="AN341" s="112">
        <v>0.0</v>
      </c>
    </row>
    <row r="342">
      <c r="A342" s="113" t="s">
        <v>222</v>
      </c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</row>
    <row r="343">
      <c r="A343" s="107" t="s">
        <v>197</v>
      </c>
      <c r="B343" s="108" t="s">
        <v>198</v>
      </c>
      <c r="C343" s="109">
        <v>159509.0</v>
      </c>
      <c r="D343" s="109">
        <v>58030.0</v>
      </c>
      <c r="E343" s="109">
        <v>101479.0</v>
      </c>
      <c r="F343" s="110">
        <v>0.0</v>
      </c>
      <c r="G343" s="110">
        <v>0.0</v>
      </c>
      <c r="H343" s="110">
        <v>0.0</v>
      </c>
      <c r="I343" s="110">
        <v>0.0</v>
      </c>
      <c r="J343" s="110">
        <v>0.0</v>
      </c>
      <c r="K343" s="110">
        <v>0.0</v>
      </c>
      <c r="L343" s="112">
        <v>87.0</v>
      </c>
      <c r="M343" s="112">
        <v>113.0</v>
      </c>
      <c r="N343" s="112">
        <v>159.0</v>
      </c>
      <c r="O343" s="112">
        <v>282.0</v>
      </c>
      <c r="P343" s="112">
        <v>275.0</v>
      </c>
      <c r="Q343" s="112">
        <v>595.0</v>
      </c>
      <c r="R343" s="112">
        <v>513.0</v>
      </c>
      <c r="S343" s="109">
        <v>1112.0</v>
      </c>
      <c r="T343" s="109">
        <v>1032.0</v>
      </c>
      <c r="U343" s="109">
        <v>2074.0</v>
      </c>
      <c r="V343" s="109">
        <v>1868.0</v>
      </c>
      <c r="W343" s="109">
        <v>3637.0</v>
      </c>
      <c r="X343" s="109">
        <v>3200.0</v>
      </c>
      <c r="Y343" s="109">
        <v>6368.0</v>
      </c>
      <c r="Z343" s="109">
        <v>5872.0</v>
      </c>
      <c r="AA343" s="109">
        <v>11356.0</v>
      </c>
      <c r="AB343" s="109">
        <v>8061.0</v>
      </c>
      <c r="AC343" s="109">
        <v>14087.0</v>
      </c>
      <c r="AD343" s="109">
        <v>8812.0</v>
      </c>
      <c r="AE343" s="109">
        <v>15055.0</v>
      </c>
      <c r="AF343" s="109">
        <v>9227.0</v>
      </c>
      <c r="AG343" s="109">
        <v>14400.0</v>
      </c>
      <c r="AH343" s="109">
        <v>8062.0</v>
      </c>
      <c r="AI343" s="109">
        <v>12842.0</v>
      </c>
      <c r="AJ343" s="109">
        <v>5684.0</v>
      </c>
      <c r="AK343" s="109">
        <v>9185.0</v>
      </c>
      <c r="AL343" s="109">
        <v>5178.0</v>
      </c>
      <c r="AM343" s="109">
        <v>10373.0</v>
      </c>
      <c r="AN343" s="109">
        <v>159359.0</v>
      </c>
    </row>
    <row r="344">
      <c r="A344" s="98"/>
      <c r="B344" s="111" t="s">
        <v>199</v>
      </c>
      <c r="C344" s="109">
        <v>74562.0</v>
      </c>
      <c r="D344" s="109">
        <v>26782.0</v>
      </c>
      <c r="E344" s="109">
        <v>47780.0</v>
      </c>
      <c r="F344" s="110">
        <v>0.0</v>
      </c>
      <c r="G344" s="110">
        <v>0.0</v>
      </c>
      <c r="H344" s="110">
        <v>0.0</v>
      </c>
      <c r="I344" s="110">
        <v>0.0</v>
      </c>
      <c r="J344" s="110">
        <v>0.0</v>
      </c>
      <c r="K344" s="110">
        <v>0.0</v>
      </c>
      <c r="L344" s="112">
        <v>16.0</v>
      </c>
      <c r="M344" s="112">
        <v>21.0</v>
      </c>
      <c r="N344" s="112">
        <v>49.0</v>
      </c>
      <c r="O344" s="112">
        <v>79.0</v>
      </c>
      <c r="P344" s="112">
        <v>96.0</v>
      </c>
      <c r="Q344" s="112">
        <v>195.0</v>
      </c>
      <c r="R344" s="112">
        <v>229.0</v>
      </c>
      <c r="S344" s="112">
        <v>417.0</v>
      </c>
      <c r="T344" s="112">
        <v>421.0</v>
      </c>
      <c r="U344" s="112">
        <v>809.0</v>
      </c>
      <c r="V344" s="112">
        <v>761.0</v>
      </c>
      <c r="W344" s="109">
        <v>1480.0</v>
      </c>
      <c r="X344" s="109">
        <v>1351.0</v>
      </c>
      <c r="Y344" s="109">
        <v>2633.0</v>
      </c>
      <c r="Z344" s="109">
        <v>2472.0</v>
      </c>
      <c r="AA344" s="109">
        <v>5061.0</v>
      </c>
      <c r="AB344" s="109">
        <v>3708.0</v>
      </c>
      <c r="AC344" s="109">
        <v>6838.0</v>
      </c>
      <c r="AD344" s="109">
        <v>4251.0</v>
      </c>
      <c r="AE344" s="109">
        <v>7627.0</v>
      </c>
      <c r="AF344" s="109">
        <v>4178.0</v>
      </c>
      <c r="AG344" s="109">
        <v>6697.0</v>
      </c>
      <c r="AH344" s="109">
        <v>3953.0</v>
      </c>
      <c r="AI344" s="109">
        <v>6398.0</v>
      </c>
      <c r="AJ344" s="109">
        <v>2744.0</v>
      </c>
      <c r="AK344" s="109">
        <v>4636.0</v>
      </c>
      <c r="AL344" s="109">
        <v>2553.0</v>
      </c>
      <c r="AM344" s="109">
        <v>4889.0</v>
      </c>
      <c r="AN344" s="109">
        <v>74388.0</v>
      </c>
    </row>
    <row r="345">
      <c r="A345" s="98"/>
      <c r="B345" s="111" t="s">
        <v>200</v>
      </c>
      <c r="C345" s="109">
        <v>92851.0</v>
      </c>
      <c r="D345" s="109">
        <v>32132.0</v>
      </c>
      <c r="E345" s="109">
        <v>60719.0</v>
      </c>
      <c r="F345" s="110">
        <v>0.0</v>
      </c>
      <c r="G345" s="110">
        <v>0.0</v>
      </c>
      <c r="H345" s="110">
        <v>0.0</v>
      </c>
      <c r="I345" s="110">
        <v>0.0</v>
      </c>
      <c r="J345" s="110">
        <v>0.0</v>
      </c>
      <c r="K345" s="110">
        <v>0.0</v>
      </c>
      <c r="L345" s="112">
        <v>56.0</v>
      </c>
      <c r="M345" s="112">
        <v>108.0</v>
      </c>
      <c r="N345" s="112">
        <v>105.0</v>
      </c>
      <c r="O345" s="112">
        <v>208.0</v>
      </c>
      <c r="P345" s="112">
        <v>176.0</v>
      </c>
      <c r="Q345" s="112">
        <v>407.0</v>
      </c>
      <c r="R345" s="112">
        <v>280.0</v>
      </c>
      <c r="S345" s="112">
        <v>676.0</v>
      </c>
      <c r="T345" s="112">
        <v>603.0</v>
      </c>
      <c r="U345" s="109">
        <v>1185.0</v>
      </c>
      <c r="V345" s="109">
        <v>1025.0</v>
      </c>
      <c r="W345" s="109">
        <v>2265.0</v>
      </c>
      <c r="X345" s="109">
        <v>1784.0</v>
      </c>
      <c r="Y345" s="109">
        <v>3802.0</v>
      </c>
      <c r="Z345" s="109">
        <v>3136.0</v>
      </c>
      <c r="AA345" s="109">
        <v>6871.0</v>
      </c>
      <c r="AB345" s="109">
        <v>4393.0</v>
      </c>
      <c r="AC345" s="109">
        <v>8699.0</v>
      </c>
      <c r="AD345" s="109">
        <v>4967.0</v>
      </c>
      <c r="AE345" s="109">
        <v>9124.0</v>
      </c>
      <c r="AF345" s="109">
        <v>4938.0</v>
      </c>
      <c r="AG345" s="109">
        <v>8608.0</v>
      </c>
      <c r="AH345" s="109">
        <v>4557.0</v>
      </c>
      <c r="AI345" s="109">
        <v>7630.0</v>
      </c>
      <c r="AJ345" s="109">
        <v>3224.0</v>
      </c>
      <c r="AK345" s="109">
        <v>5434.0</v>
      </c>
      <c r="AL345" s="109">
        <v>2888.0</v>
      </c>
      <c r="AM345" s="109">
        <v>5702.0</v>
      </c>
      <c r="AN345" s="109">
        <v>92899.0</v>
      </c>
    </row>
    <row r="346">
      <c r="A346" s="104"/>
      <c r="B346" s="111" t="s">
        <v>201</v>
      </c>
      <c r="C346" s="112">
        <v>460.0</v>
      </c>
      <c r="D346" s="112">
        <v>184.0</v>
      </c>
      <c r="E346" s="112">
        <v>276.0</v>
      </c>
      <c r="F346" s="110">
        <v>0.0</v>
      </c>
      <c r="G346" s="110">
        <v>0.0</v>
      </c>
      <c r="H346" s="110">
        <v>0.0</v>
      </c>
      <c r="I346" s="110">
        <v>0.0</v>
      </c>
      <c r="J346" s="110">
        <v>0.0</v>
      </c>
      <c r="K346" s="110">
        <v>0.0</v>
      </c>
      <c r="L346" s="112">
        <v>0.0</v>
      </c>
      <c r="M346" s="112">
        <v>8.0</v>
      </c>
      <c r="N346" s="112">
        <v>6.0</v>
      </c>
      <c r="O346" s="112">
        <v>1.0</v>
      </c>
      <c r="P346" s="112">
        <v>5.0</v>
      </c>
      <c r="Q346" s="112">
        <v>6.0</v>
      </c>
      <c r="R346" s="112">
        <v>6.0</v>
      </c>
      <c r="S346" s="112">
        <v>4.0</v>
      </c>
      <c r="T346" s="112">
        <v>7.0</v>
      </c>
      <c r="U346" s="112">
        <v>8.0</v>
      </c>
      <c r="V346" s="112">
        <v>4.0</v>
      </c>
      <c r="W346" s="112">
        <v>11.0</v>
      </c>
      <c r="X346" s="112">
        <v>8.0</v>
      </c>
      <c r="Y346" s="112">
        <v>10.0</v>
      </c>
      <c r="Z346" s="112">
        <v>24.0</v>
      </c>
      <c r="AA346" s="112">
        <v>33.0</v>
      </c>
      <c r="AB346" s="112">
        <v>32.0</v>
      </c>
      <c r="AC346" s="112">
        <v>59.0</v>
      </c>
      <c r="AD346" s="112">
        <v>39.0</v>
      </c>
      <c r="AE346" s="112">
        <v>40.0</v>
      </c>
      <c r="AF346" s="112">
        <v>29.0</v>
      </c>
      <c r="AG346" s="112">
        <v>37.0</v>
      </c>
      <c r="AH346" s="112">
        <v>11.0</v>
      </c>
      <c r="AI346" s="112">
        <v>36.0</v>
      </c>
      <c r="AJ346" s="112">
        <v>13.0</v>
      </c>
      <c r="AK346" s="112">
        <v>6.0</v>
      </c>
      <c r="AL346" s="112">
        <v>0.0</v>
      </c>
      <c r="AM346" s="112">
        <v>17.0</v>
      </c>
      <c r="AN346" s="112">
        <v>459.0</v>
      </c>
    </row>
    <row r="347">
      <c r="A347" s="107" t="s">
        <v>202</v>
      </c>
      <c r="B347" s="111" t="s">
        <v>198</v>
      </c>
      <c r="C347" s="112">
        <v>334.0</v>
      </c>
      <c r="D347" s="112">
        <v>191.0</v>
      </c>
      <c r="E347" s="112">
        <v>143.0</v>
      </c>
      <c r="F347" s="112">
        <v>8.0</v>
      </c>
      <c r="G347" s="112">
        <v>7.0</v>
      </c>
      <c r="H347" s="112">
        <v>8.0</v>
      </c>
      <c r="I347" s="112">
        <v>12.0</v>
      </c>
      <c r="J347" s="112">
        <v>4.0</v>
      </c>
      <c r="K347" s="112">
        <v>5.0</v>
      </c>
      <c r="L347" s="112">
        <v>5.0</v>
      </c>
      <c r="M347" s="112">
        <v>3.0</v>
      </c>
      <c r="N347" s="112">
        <v>14.0</v>
      </c>
      <c r="O347" s="112">
        <v>4.0</v>
      </c>
      <c r="P347" s="112">
        <v>10.0</v>
      </c>
      <c r="Q347" s="112">
        <v>11.0</v>
      </c>
      <c r="R347" s="112">
        <v>28.0</v>
      </c>
      <c r="S347" s="112">
        <v>3.0</v>
      </c>
      <c r="T347" s="112">
        <v>10.0</v>
      </c>
      <c r="U347" s="112">
        <v>12.0</v>
      </c>
      <c r="V347" s="112">
        <v>12.0</v>
      </c>
      <c r="W347" s="112">
        <v>13.0</v>
      </c>
      <c r="X347" s="112">
        <v>4.0</v>
      </c>
      <c r="Y347" s="112">
        <v>14.0</v>
      </c>
      <c r="Z347" s="112">
        <v>9.0</v>
      </c>
      <c r="AA347" s="112">
        <v>3.0</v>
      </c>
      <c r="AB347" s="112">
        <v>16.0</v>
      </c>
      <c r="AC347" s="112">
        <v>10.0</v>
      </c>
      <c r="AD347" s="112">
        <v>14.0</v>
      </c>
      <c r="AE347" s="112">
        <v>5.0</v>
      </c>
      <c r="AF347" s="112">
        <v>7.0</v>
      </c>
      <c r="AG347" s="112">
        <v>10.0</v>
      </c>
      <c r="AH347" s="112">
        <v>9.0</v>
      </c>
      <c r="AI347" s="112">
        <v>19.0</v>
      </c>
      <c r="AJ347" s="112">
        <v>22.0</v>
      </c>
      <c r="AK347" s="112">
        <v>4.0</v>
      </c>
      <c r="AL347" s="112">
        <v>11.0</v>
      </c>
      <c r="AM347" s="112">
        <v>8.0</v>
      </c>
      <c r="AN347" s="112">
        <v>328.0</v>
      </c>
    </row>
    <row r="348">
      <c r="A348" s="104"/>
      <c r="B348" s="111" t="s">
        <v>199</v>
      </c>
      <c r="C348" s="112">
        <v>392.0</v>
      </c>
      <c r="D348" s="112">
        <v>226.0</v>
      </c>
      <c r="E348" s="112">
        <v>166.0</v>
      </c>
      <c r="F348" s="112">
        <v>11.0</v>
      </c>
      <c r="G348" s="112">
        <v>8.0</v>
      </c>
      <c r="H348" s="112">
        <v>6.0</v>
      </c>
      <c r="I348" s="112">
        <v>3.0</v>
      </c>
      <c r="J348" s="112">
        <v>16.0</v>
      </c>
      <c r="K348" s="112">
        <v>8.0</v>
      </c>
      <c r="L348" s="112">
        <v>13.0</v>
      </c>
      <c r="M348" s="112">
        <v>8.0</v>
      </c>
      <c r="N348" s="112">
        <v>18.0</v>
      </c>
      <c r="O348" s="112">
        <v>15.0</v>
      </c>
      <c r="P348" s="112">
        <v>21.0</v>
      </c>
      <c r="Q348" s="112">
        <v>31.0</v>
      </c>
      <c r="R348" s="112">
        <v>16.0</v>
      </c>
      <c r="S348" s="112">
        <v>7.0</v>
      </c>
      <c r="T348" s="112">
        <v>12.0</v>
      </c>
      <c r="U348" s="112">
        <v>8.0</v>
      </c>
      <c r="V348" s="112">
        <v>5.0</v>
      </c>
      <c r="W348" s="112">
        <v>10.0</v>
      </c>
      <c r="X348" s="112">
        <v>15.0</v>
      </c>
      <c r="Y348" s="112">
        <v>30.0</v>
      </c>
      <c r="Z348" s="112">
        <v>19.0</v>
      </c>
      <c r="AA348" s="112">
        <v>6.0</v>
      </c>
      <c r="AB348" s="112">
        <v>16.0</v>
      </c>
      <c r="AC348" s="112">
        <v>10.0</v>
      </c>
      <c r="AD348" s="112">
        <v>16.0</v>
      </c>
      <c r="AE348" s="112">
        <v>5.0</v>
      </c>
      <c r="AF348" s="112">
        <v>3.0</v>
      </c>
      <c r="AG348" s="112">
        <v>6.0</v>
      </c>
      <c r="AH348" s="112">
        <v>3.0</v>
      </c>
      <c r="AI348" s="112">
        <v>5.0</v>
      </c>
      <c r="AJ348" s="112">
        <v>6.0</v>
      </c>
      <c r="AK348" s="112">
        <v>3.0</v>
      </c>
      <c r="AL348" s="112">
        <v>30.0</v>
      </c>
      <c r="AM348" s="112">
        <v>3.0</v>
      </c>
      <c r="AN348" s="112">
        <v>384.0</v>
      </c>
    </row>
    <row r="349">
      <c r="A349" s="107" t="s">
        <v>203</v>
      </c>
      <c r="B349" s="111" t="s">
        <v>198</v>
      </c>
      <c r="C349" s="112">
        <v>26.0</v>
      </c>
      <c r="D349" s="112">
        <v>9.0</v>
      </c>
      <c r="E349" s="112">
        <v>17.0</v>
      </c>
      <c r="F349" s="110">
        <v>0.0</v>
      </c>
      <c r="G349" s="110">
        <v>0.0</v>
      </c>
      <c r="H349" s="110">
        <v>0.0</v>
      </c>
      <c r="I349" s="110">
        <v>0.0</v>
      </c>
      <c r="J349" s="110">
        <v>0.0</v>
      </c>
      <c r="K349" s="110">
        <v>0.0</v>
      </c>
      <c r="L349" s="110">
        <v>0.0</v>
      </c>
      <c r="M349" s="110">
        <v>0.0</v>
      </c>
      <c r="N349" s="110">
        <v>0.0</v>
      </c>
      <c r="O349" s="110">
        <v>0.0</v>
      </c>
      <c r="P349" s="110">
        <v>0.0</v>
      </c>
      <c r="Q349" s="110">
        <v>0.0</v>
      </c>
      <c r="R349" s="110">
        <v>0.0</v>
      </c>
      <c r="S349" s="110">
        <v>0.0</v>
      </c>
      <c r="T349" s="110">
        <v>0.0</v>
      </c>
      <c r="U349" s="110">
        <v>0.0</v>
      </c>
      <c r="V349" s="110">
        <v>0.0</v>
      </c>
      <c r="W349" s="110">
        <v>0.0</v>
      </c>
      <c r="X349" s="110">
        <v>0.0</v>
      </c>
      <c r="Y349" s="110">
        <v>0.0</v>
      </c>
      <c r="Z349" s="110">
        <v>0.0</v>
      </c>
      <c r="AA349" s="110">
        <v>0.0</v>
      </c>
      <c r="AB349" s="110">
        <v>0.0</v>
      </c>
      <c r="AC349" s="110">
        <v>0.0</v>
      </c>
      <c r="AD349" s="110">
        <v>0.0</v>
      </c>
      <c r="AE349" s="110">
        <v>0.0</v>
      </c>
      <c r="AF349" s="112">
        <v>3.0</v>
      </c>
      <c r="AG349" s="112">
        <v>6.0</v>
      </c>
      <c r="AH349" s="112">
        <v>4.0</v>
      </c>
      <c r="AI349" s="112">
        <v>5.0</v>
      </c>
      <c r="AJ349" s="112">
        <v>1.0</v>
      </c>
      <c r="AK349" s="112">
        <v>4.0</v>
      </c>
      <c r="AL349" s="112">
        <v>1.0</v>
      </c>
      <c r="AM349" s="112">
        <v>2.0</v>
      </c>
      <c r="AN349" s="112">
        <v>26.0</v>
      </c>
    </row>
    <row r="350">
      <c r="A350" s="104"/>
      <c r="B350" s="111" t="s">
        <v>199</v>
      </c>
      <c r="C350" s="112">
        <v>358.0</v>
      </c>
      <c r="D350" s="112">
        <v>123.0</v>
      </c>
      <c r="E350" s="112">
        <v>235.0</v>
      </c>
      <c r="F350" s="110">
        <v>0.0</v>
      </c>
      <c r="G350" s="110">
        <v>0.0</v>
      </c>
      <c r="H350" s="110">
        <v>0.0</v>
      </c>
      <c r="I350" s="110">
        <v>0.0</v>
      </c>
      <c r="J350" s="110">
        <v>0.0</v>
      </c>
      <c r="K350" s="110">
        <v>0.0</v>
      </c>
      <c r="L350" s="110">
        <v>0.0</v>
      </c>
      <c r="M350" s="110">
        <v>0.0</v>
      </c>
      <c r="N350" s="110">
        <v>0.0</v>
      </c>
      <c r="O350" s="110">
        <v>0.0</v>
      </c>
      <c r="P350" s="110">
        <v>0.0</v>
      </c>
      <c r="Q350" s="110">
        <v>0.0</v>
      </c>
      <c r="R350" s="110">
        <v>0.0</v>
      </c>
      <c r="S350" s="110">
        <v>0.0</v>
      </c>
      <c r="T350" s="110">
        <v>0.0</v>
      </c>
      <c r="U350" s="110">
        <v>0.0</v>
      </c>
      <c r="V350" s="110">
        <v>0.0</v>
      </c>
      <c r="W350" s="110">
        <v>0.0</v>
      </c>
      <c r="X350" s="110">
        <v>0.0</v>
      </c>
      <c r="Y350" s="110">
        <v>0.0</v>
      </c>
      <c r="Z350" s="110">
        <v>0.0</v>
      </c>
      <c r="AA350" s="110">
        <v>0.0</v>
      </c>
      <c r="AB350" s="110">
        <v>0.0</v>
      </c>
      <c r="AC350" s="110">
        <v>0.0</v>
      </c>
      <c r="AD350" s="110">
        <v>0.0</v>
      </c>
      <c r="AE350" s="110">
        <v>0.0</v>
      </c>
      <c r="AF350" s="112">
        <v>24.0</v>
      </c>
      <c r="AG350" s="112">
        <v>59.0</v>
      </c>
      <c r="AH350" s="112">
        <v>40.0</v>
      </c>
      <c r="AI350" s="112">
        <v>72.0</v>
      </c>
      <c r="AJ350" s="112">
        <v>30.0</v>
      </c>
      <c r="AK350" s="112">
        <v>61.0</v>
      </c>
      <c r="AL350" s="112">
        <v>29.0</v>
      </c>
      <c r="AM350" s="112">
        <v>43.0</v>
      </c>
      <c r="AN350" s="112">
        <v>358.0</v>
      </c>
    </row>
    <row r="351">
      <c r="A351" s="107" t="s">
        <v>204</v>
      </c>
      <c r="B351" s="111" t="s">
        <v>198</v>
      </c>
      <c r="C351" s="112">
        <v>6.0</v>
      </c>
      <c r="D351" s="112">
        <v>2.0</v>
      </c>
      <c r="E351" s="112">
        <v>4.0</v>
      </c>
      <c r="F351" s="110">
        <v>0.0</v>
      </c>
      <c r="G351" s="110">
        <v>0.0</v>
      </c>
      <c r="H351" s="110">
        <v>0.0</v>
      </c>
      <c r="I351" s="110">
        <v>0.0</v>
      </c>
      <c r="J351" s="110">
        <v>0.0</v>
      </c>
      <c r="K351" s="110">
        <v>0.0</v>
      </c>
      <c r="L351" s="110">
        <v>0.0</v>
      </c>
      <c r="M351" s="110">
        <v>0.0</v>
      </c>
      <c r="N351" s="110">
        <v>0.0</v>
      </c>
      <c r="O351" s="110">
        <v>0.0</v>
      </c>
      <c r="P351" s="110">
        <v>0.0</v>
      </c>
      <c r="Q351" s="110">
        <v>0.0</v>
      </c>
      <c r="R351" s="110">
        <v>0.0</v>
      </c>
      <c r="S351" s="110">
        <v>0.0</v>
      </c>
      <c r="T351" s="110">
        <v>0.0</v>
      </c>
      <c r="U351" s="110">
        <v>0.0</v>
      </c>
      <c r="V351" s="110">
        <v>0.0</v>
      </c>
      <c r="W351" s="110">
        <v>0.0</v>
      </c>
      <c r="X351" s="110">
        <v>0.0</v>
      </c>
      <c r="Y351" s="110">
        <v>0.0</v>
      </c>
      <c r="Z351" s="110">
        <v>0.0</v>
      </c>
      <c r="AA351" s="110">
        <v>0.0</v>
      </c>
      <c r="AB351" s="110">
        <v>0.0</v>
      </c>
      <c r="AC351" s="110">
        <v>0.0</v>
      </c>
      <c r="AD351" s="110">
        <v>0.0</v>
      </c>
      <c r="AE351" s="110">
        <v>0.0</v>
      </c>
      <c r="AF351" s="112">
        <v>1.0</v>
      </c>
      <c r="AG351" s="112">
        <v>0.0</v>
      </c>
      <c r="AH351" s="112">
        <v>0.0</v>
      </c>
      <c r="AI351" s="112">
        <v>1.0</v>
      </c>
      <c r="AJ351" s="112">
        <v>0.0</v>
      </c>
      <c r="AK351" s="112">
        <v>0.0</v>
      </c>
      <c r="AL351" s="112">
        <v>1.0</v>
      </c>
      <c r="AM351" s="112">
        <v>3.0</v>
      </c>
      <c r="AN351" s="112">
        <v>6.0</v>
      </c>
    </row>
    <row r="352">
      <c r="A352" s="104"/>
      <c r="B352" s="111" t="s">
        <v>199</v>
      </c>
      <c r="C352" s="112">
        <v>168.0</v>
      </c>
      <c r="D352" s="112">
        <v>50.0</v>
      </c>
      <c r="E352" s="112">
        <v>118.0</v>
      </c>
      <c r="F352" s="110">
        <v>0.0</v>
      </c>
      <c r="G352" s="110">
        <v>0.0</v>
      </c>
      <c r="H352" s="110">
        <v>0.0</v>
      </c>
      <c r="I352" s="110">
        <v>0.0</v>
      </c>
      <c r="J352" s="110">
        <v>0.0</v>
      </c>
      <c r="K352" s="110">
        <v>0.0</v>
      </c>
      <c r="L352" s="110">
        <v>0.0</v>
      </c>
      <c r="M352" s="110">
        <v>0.0</v>
      </c>
      <c r="N352" s="110">
        <v>0.0</v>
      </c>
      <c r="O352" s="110">
        <v>0.0</v>
      </c>
      <c r="P352" s="110">
        <v>0.0</v>
      </c>
      <c r="Q352" s="110">
        <v>0.0</v>
      </c>
      <c r="R352" s="110">
        <v>0.0</v>
      </c>
      <c r="S352" s="110">
        <v>0.0</v>
      </c>
      <c r="T352" s="110">
        <v>0.0</v>
      </c>
      <c r="U352" s="110">
        <v>0.0</v>
      </c>
      <c r="V352" s="110">
        <v>0.0</v>
      </c>
      <c r="W352" s="110">
        <v>0.0</v>
      </c>
      <c r="X352" s="110">
        <v>0.0</v>
      </c>
      <c r="Y352" s="110">
        <v>0.0</v>
      </c>
      <c r="Z352" s="110">
        <v>0.0</v>
      </c>
      <c r="AA352" s="110">
        <v>0.0</v>
      </c>
      <c r="AB352" s="110">
        <v>0.0</v>
      </c>
      <c r="AC352" s="110">
        <v>0.0</v>
      </c>
      <c r="AD352" s="110">
        <v>0.0</v>
      </c>
      <c r="AE352" s="110">
        <v>0.0</v>
      </c>
      <c r="AF352" s="112">
        <v>9.0</v>
      </c>
      <c r="AG352" s="112">
        <v>15.0</v>
      </c>
      <c r="AH352" s="112">
        <v>14.0</v>
      </c>
      <c r="AI352" s="112">
        <v>21.0</v>
      </c>
      <c r="AJ352" s="112">
        <v>4.0</v>
      </c>
      <c r="AK352" s="112">
        <v>23.0</v>
      </c>
      <c r="AL352" s="112">
        <v>23.0</v>
      </c>
      <c r="AM352" s="112">
        <v>59.0</v>
      </c>
      <c r="AN352" s="112">
        <v>168.0</v>
      </c>
    </row>
    <row r="353">
      <c r="A353" s="107" t="s">
        <v>205</v>
      </c>
      <c r="B353" s="111" t="s">
        <v>198</v>
      </c>
      <c r="C353" s="112">
        <v>639.0</v>
      </c>
      <c r="D353" s="112">
        <v>101.0</v>
      </c>
      <c r="E353" s="112">
        <v>538.0</v>
      </c>
      <c r="F353" s="112">
        <v>1.0</v>
      </c>
      <c r="G353" s="112">
        <v>2.0</v>
      </c>
      <c r="H353" s="112">
        <v>5.0</v>
      </c>
      <c r="I353" s="112">
        <v>0.0</v>
      </c>
      <c r="J353" s="112">
        <v>2.0</v>
      </c>
      <c r="K353" s="112">
        <v>0.0</v>
      </c>
      <c r="L353" s="112">
        <v>1.0</v>
      </c>
      <c r="M353" s="112">
        <v>4.0</v>
      </c>
      <c r="N353" s="112">
        <v>5.0</v>
      </c>
      <c r="O353" s="112">
        <v>12.0</v>
      </c>
      <c r="P353" s="112">
        <v>4.0</v>
      </c>
      <c r="Q353" s="112">
        <v>16.0</v>
      </c>
      <c r="R353" s="112">
        <v>2.0</v>
      </c>
      <c r="S353" s="112">
        <v>12.0</v>
      </c>
      <c r="T353" s="112">
        <v>5.0</v>
      </c>
      <c r="U353" s="112">
        <v>14.0</v>
      </c>
      <c r="V353" s="112">
        <v>3.0</v>
      </c>
      <c r="W353" s="112">
        <v>17.0</v>
      </c>
      <c r="X353" s="112">
        <v>6.0</v>
      </c>
      <c r="Y353" s="112">
        <v>20.0</v>
      </c>
      <c r="Z353" s="112">
        <v>7.0</v>
      </c>
      <c r="AA353" s="112">
        <v>25.0</v>
      </c>
      <c r="AB353" s="112">
        <v>9.0</v>
      </c>
      <c r="AC353" s="112">
        <v>75.0</v>
      </c>
      <c r="AD353" s="112">
        <v>11.0</v>
      </c>
      <c r="AE353" s="112">
        <v>67.0</v>
      </c>
      <c r="AF353" s="112">
        <v>16.0</v>
      </c>
      <c r="AG353" s="112">
        <v>108.0</v>
      </c>
      <c r="AH353" s="112">
        <v>9.0</v>
      </c>
      <c r="AI353" s="112">
        <v>70.0</v>
      </c>
      <c r="AJ353" s="112">
        <v>9.0</v>
      </c>
      <c r="AK353" s="112">
        <v>52.0</v>
      </c>
      <c r="AL353" s="112">
        <v>6.0</v>
      </c>
      <c r="AM353" s="112">
        <v>44.0</v>
      </c>
      <c r="AN353" s="112">
        <v>639.0</v>
      </c>
    </row>
    <row r="354">
      <c r="A354" s="98"/>
      <c r="B354" s="111" t="s">
        <v>199</v>
      </c>
      <c r="C354" s="112">
        <v>2.0</v>
      </c>
      <c r="D354" s="112">
        <v>1.0</v>
      </c>
      <c r="E354" s="112">
        <v>1.0</v>
      </c>
      <c r="F354" s="112">
        <v>1.0</v>
      </c>
      <c r="G354" s="112">
        <v>1.0</v>
      </c>
      <c r="H354" s="112">
        <v>0.0</v>
      </c>
      <c r="I354" s="112">
        <v>0.0</v>
      </c>
      <c r="J354" s="112">
        <v>0.0</v>
      </c>
      <c r="K354" s="112">
        <v>0.0</v>
      </c>
      <c r="L354" s="112">
        <v>0.0</v>
      </c>
      <c r="M354" s="112">
        <v>0.0</v>
      </c>
      <c r="N354" s="112">
        <v>0.0</v>
      </c>
      <c r="O354" s="112">
        <v>0.0</v>
      </c>
      <c r="P354" s="112">
        <v>0.0</v>
      </c>
      <c r="Q354" s="112">
        <v>0.0</v>
      </c>
      <c r="R354" s="112">
        <v>0.0</v>
      </c>
      <c r="S354" s="112">
        <v>0.0</v>
      </c>
      <c r="T354" s="112">
        <v>0.0</v>
      </c>
      <c r="U354" s="112">
        <v>0.0</v>
      </c>
      <c r="V354" s="112">
        <v>0.0</v>
      </c>
      <c r="W354" s="112">
        <v>0.0</v>
      </c>
      <c r="X354" s="112">
        <v>0.0</v>
      </c>
      <c r="Y354" s="112">
        <v>0.0</v>
      </c>
      <c r="Z354" s="112">
        <v>0.0</v>
      </c>
      <c r="AA354" s="112">
        <v>0.0</v>
      </c>
      <c r="AB354" s="112">
        <v>0.0</v>
      </c>
      <c r="AC354" s="112">
        <v>0.0</v>
      </c>
      <c r="AD354" s="112">
        <v>0.0</v>
      </c>
      <c r="AE354" s="112">
        <v>0.0</v>
      </c>
      <c r="AF354" s="112">
        <v>0.0</v>
      </c>
      <c r="AG354" s="112">
        <v>0.0</v>
      </c>
      <c r="AH354" s="112">
        <v>0.0</v>
      </c>
      <c r="AI354" s="112">
        <v>0.0</v>
      </c>
      <c r="AJ354" s="112">
        <v>0.0</v>
      </c>
      <c r="AK354" s="112">
        <v>0.0</v>
      </c>
      <c r="AL354" s="112">
        <v>0.0</v>
      </c>
      <c r="AM354" s="112">
        <v>0.0</v>
      </c>
      <c r="AN354" s="112">
        <v>2.0</v>
      </c>
    </row>
    <row r="355">
      <c r="A355" s="104"/>
      <c r="B355" s="111" t="s">
        <v>206</v>
      </c>
      <c r="C355" s="112">
        <v>349.0</v>
      </c>
      <c r="D355" s="112">
        <v>39.0</v>
      </c>
      <c r="E355" s="112">
        <v>310.0</v>
      </c>
      <c r="F355" s="112">
        <v>1.0</v>
      </c>
      <c r="G355" s="112">
        <v>1.0</v>
      </c>
      <c r="H355" s="112">
        <v>0.0</v>
      </c>
      <c r="I355" s="112">
        <v>1.0</v>
      </c>
      <c r="J355" s="112">
        <v>1.0</v>
      </c>
      <c r="K355" s="112">
        <v>3.0</v>
      </c>
      <c r="L355" s="112">
        <v>3.0</v>
      </c>
      <c r="M355" s="112">
        <v>14.0</v>
      </c>
      <c r="N355" s="112">
        <v>6.0</v>
      </c>
      <c r="O355" s="112">
        <v>43.0</v>
      </c>
      <c r="P355" s="112">
        <v>3.0</v>
      </c>
      <c r="Q355" s="112">
        <v>34.0</v>
      </c>
      <c r="R355" s="112">
        <v>1.0</v>
      </c>
      <c r="S355" s="112">
        <v>20.0</v>
      </c>
      <c r="T355" s="112">
        <v>6.0</v>
      </c>
      <c r="U355" s="112">
        <v>18.0</v>
      </c>
      <c r="V355" s="112">
        <v>4.0</v>
      </c>
      <c r="W355" s="112">
        <v>23.0</v>
      </c>
      <c r="X355" s="112">
        <v>0.0</v>
      </c>
      <c r="Y355" s="112">
        <v>24.0</v>
      </c>
      <c r="Z355" s="112">
        <v>4.0</v>
      </c>
      <c r="AA355" s="112">
        <v>27.0</v>
      </c>
      <c r="AB355" s="112">
        <v>4.0</v>
      </c>
      <c r="AC355" s="112">
        <v>23.0</v>
      </c>
      <c r="AD355" s="112">
        <v>5.0</v>
      </c>
      <c r="AE355" s="112">
        <v>27.0</v>
      </c>
      <c r="AF355" s="112">
        <v>1.0</v>
      </c>
      <c r="AG355" s="112">
        <v>21.0</v>
      </c>
      <c r="AH355" s="112">
        <v>0.0</v>
      </c>
      <c r="AI355" s="112">
        <v>20.0</v>
      </c>
      <c r="AJ355" s="112">
        <v>0.0</v>
      </c>
      <c r="AK355" s="112">
        <v>4.0</v>
      </c>
      <c r="AL355" s="112">
        <v>0.0</v>
      </c>
      <c r="AM355" s="112">
        <v>7.0</v>
      </c>
      <c r="AN355" s="112">
        <v>324.0</v>
      </c>
    </row>
    <row r="356">
      <c r="A356" s="107" t="s">
        <v>207</v>
      </c>
      <c r="B356" s="111" t="s">
        <v>198</v>
      </c>
      <c r="C356" s="109">
        <v>35063.0</v>
      </c>
      <c r="D356" s="109">
        <v>7994.0</v>
      </c>
      <c r="E356" s="109">
        <v>27069.0</v>
      </c>
      <c r="F356" s="112">
        <v>229.0</v>
      </c>
      <c r="G356" s="112">
        <v>338.0</v>
      </c>
      <c r="H356" s="112">
        <v>646.0</v>
      </c>
      <c r="I356" s="112">
        <v>277.0</v>
      </c>
      <c r="J356" s="112">
        <v>744.0</v>
      </c>
      <c r="K356" s="112">
        <v>254.0</v>
      </c>
      <c r="L356" s="112">
        <v>259.0</v>
      </c>
      <c r="M356" s="112">
        <v>409.0</v>
      </c>
      <c r="N356" s="112">
        <v>178.0</v>
      </c>
      <c r="O356" s="112">
        <v>510.0</v>
      </c>
      <c r="P356" s="112">
        <v>169.0</v>
      </c>
      <c r="Q356" s="112">
        <v>595.0</v>
      </c>
      <c r="R356" s="112">
        <v>169.0</v>
      </c>
      <c r="S356" s="112">
        <v>739.0</v>
      </c>
      <c r="T356" s="112">
        <v>171.0</v>
      </c>
      <c r="U356" s="112">
        <v>862.0</v>
      </c>
      <c r="V356" s="112">
        <v>244.0</v>
      </c>
      <c r="W356" s="109">
        <v>1021.0</v>
      </c>
      <c r="X356" s="112">
        <v>353.0</v>
      </c>
      <c r="Y356" s="109">
        <v>1344.0</v>
      </c>
      <c r="Z356" s="112">
        <v>439.0</v>
      </c>
      <c r="AA356" s="109">
        <v>2297.0</v>
      </c>
      <c r="AB356" s="112">
        <v>604.0</v>
      </c>
      <c r="AC356" s="109">
        <v>3174.0</v>
      </c>
      <c r="AD356" s="112">
        <v>720.0</v>
      </c>
      <c r="AE356" s="109">
        <v>3697.0</v>
      </c>
      <c r="AF356" s="112">
        <v>846.0</v>
      </c>
      <c r="AG356" s="109">
        <v>3739.0</v>
      </c>
      <c r="AH356" s="112">
        <v>866.0</v>
      </c>
      <c r="AI356" s="109">
        <v>3241.0</v>
      </c>
      <c r="AJ356" s="112">
        <v>647.0</v>
      </c>
      <c r="AK356" s="109">
        <v>2274.0</v>
      </c>
      <c r="AL356" s="112">
        <v>710.0</v>
      </c>
      <c r="AM356" s="109">
        <v>2298.0</v>
      </c>
      <c r="AN356" s="109">
        <v>34813.0</v>
      </c>
    </row>
    <row r="357">
      <c r="A357" s="98"/>
      <c r="B357" s="111" t="s">
        <v>199</v>
      </c>
      <c r="C357" s="109">
        <v>5629.0</v>
      </c>
      <c r="D357" s="109">
        <v>2297.0</v>
      </c>
      <c r="E357" s="109">
        <v>3332.0</v>
      </c>
      <c r="F357" s="112">
        <v>19.0</v>
      </c>
      <c r="G357" s="112">
        <v>12.0</v>
      </c>
      <c r="H357" s="112">
        <v>172.0</v>
      </c>
      <c r="I357" s="112">
        <v>62.0</v>
      </c>
      <c r="J357" s="112">
        <v>117.0</v>
      </c>
      <c r="K357" s="112">
        <v>6.0</v>
      </c>
      <c r="L357" s="112">
        <v>9.0</v>
      </c>
      <c r="M357" s="112">
        <v>17.0</v>
      </c>
      <c r="N357" s="112">
        <v>13.0</v>
      </c>
      <c r="O357" s="112">
        <v>8.0</v>
      </c>
      <c r="P357" s="112">
        <v>15.0</v>
      </c>
      <c r="Q357" s="112">
        <v>34.0</v>
      </c>
      <c r="R357" s="112">
        <v>32.0</v>
      </c>
      <c r="S357" s="112">
        <v>19.0</v>
      </c>
      <c r="T357" s="112">
        <v>20.0</v>
      </c>
      <c r="U357" s="112">
        <v>61.0</v>
      </c>
      <c r="V357" s="112">
        <v>58.0</v>
      </c>
      <c r="W357" s="112">
        <v>85.0</v>
      </c>
      <c r="X357" s="112">
        <v>95.0</v>
      </c>
      <c r="Y357" s="112">
        <v>94.0</v>
      </c>
      <c r="Z357" s="112">
        <v>177.0</v>
      </c>
      <c r="AA357" s="112">
        <v>223.0</v>
      </c>
      <c r="AB357" s="112">
        <v>136.0</v>
      </c>
      <c r="AC357" s="112">
        <v>236.0</v>
      </c>
      <c r="AD357" s="112">
        <v>157.0</v>
      </c>
      <c r="AE357" s="112">
        <v>304.0</v>
      </c>
      <c r="AF357" s="112">
        <v>301.0</v>
      </c>
      <c r="AG357" s="112">
        <v>559.0</v>
      </c>
      <c r="AH357" s="112">
        <v>374.0</v>
      </c>
      <c r="AI357" s="112">
        <v>598.0</v>
      </c>
      <c r="AJ357" s="112">
        <v>321.0</v>
      </c>
      <c r="AK357" s="112">
        <v>459.0</v>
      </c>
      <c r="AL357" s="112">
        <v>281.0</v>
      </c>
      <c r="AM357" s="112">
        <v>555.0</v>
      </c>
      <c r="AN357" s="109">
        <v>6074.0</v>
      </c>
    </row>
    <row r="358">
      <c r="A358" s="98"/>
      <c r="B358" s="111" t="s">
        <v>206</v>
      </c>
      <c r="C358" s="109">
        <v>7467.0</v>
      </c>
      <c r="D358" s="112">
        <v>206.0</v>
      </c>
      <c r="E358" s="109">
        <v>7261.0</v>
      </c>
      <c r="F358" s="112">
        <v>11.0</v>
      </c>
      <c r="G358" s="112">
        <v>17.0</v>
      </c>
      <c r="H358" s="112">
        <v>2.0</v>
      </c>
      <c r="I358" s="112">
        <v>20.0</v>
      </c>
      <c r="J358" s="112">
        <v>10.0</v>
      </c>
      <c r="K358" s="112">
        <v>44.0</v>
      </c>
      <c r="L358" s="112">
        <v>13.0</v>
      </c>
      <c r="M358" s="112">
        <v>199.0</v>
      </c>
      <c r="N358" s="112">
        <v>18.0</v>
      </c>
      <c r="O358" s="112">
        <v>311.0</v>
      </c>
      <c r="P358" s="112">
        <v>27.0</v>
      </c>
      <c r="Q358" s="112">
        <v>433.0</v>
      </c>
      <c r="R358" s="112">
        <v>17.0</v>
      </c>
      <c r="S358" s="112">
        <v>392.0</v>
      </c>
      <c r="T358" s="112">
        <v>11.0</v>
      </c>
      <c r="U358" s="112">
        <v>351.0</v>
      </c>
      <c r="V358" s="112">
        <v>8.0</v>
      </c>
      <c r="W358" s="112">
        <v>607.0</v>
      </c>
      <c r="X358" s="112">
        <v>5.0</v>
      </c>
      <c r="Y358" s="112">
        <v>643.0</v>
      </c>
      <c r="Z358" s="112">
        <v>21.0</v>
      </c>
      <c r="AA358" s="112">
        <v>854.0</v>
      </c>
      <c r="AB358" s="112">
        <v>18.0</v>
      </c>
      <c r="AC358" s="112">
        <v>932.0</v>
      </c>
      <c r="AD358" s="112">
        <v>18.0</v>
      </c>
      <c r="AE358" s="112">
        <v>867.0</v>
      </c>
      <c r="AF358" s="112">
        <v>11.0</v>
      </c>
      <c r="AG358" s="112">
        <v>705.0</v>
      </c>
      <c r="AH358" s="112">
        <v>6.0</v>
      </c>
      <c r="AI358" s="112">
        <v>466.0</v>
      </c>
      <c r="AJ358" s="112">
        <v>4.0</v>
      </c>
      <c r="AK358" s="112">
        <v>253.0</v>
      </c>
      <c r="AL358" s="112">
        <v>6.0</v>
      </c>
      <c r="AM358" s="112">
        <v>167.0</v>
      </c>
      <c r="AN358" s="109">
        <v>7421.0</v>
      </c>
    </row>
    <row r="359">
      <c r="A359" s="98"/>
      <c r="B359" s="111" t="s">
        <v>200</v>
      </c>
      <c r="C359" s="109">
        <v>1270.0</v>
      </c>
      <c r="D359" s="112">
        <v>459.0</v>
      </c>
      <c r="E359" s="112">
        <v>811.0</v>
      </c>
      <c r="F359" s="112">
        <v>201.0</v>
      </c>
      <c r="G359" s="112">
        <v>194.0</v>
      </c>
      <c r="H359" s="112">
        <v>65.0</v>
      </c>
      <c r="I359" s="112">
        <v>75.0</v>
      </c>
      <c r="J359" s="112">
        <v>17.0</v>
      </c>
      <c r="K359" s="112">
        <v>25.0</v>
      </c>
      <c r="L359" s="112">
        <v>6.0</v>
      </c>
      <c r="M359" s="112">
        <v>33.0</v>
      </c>
      <c r="N359" s="112">
        <v>2.0</v>
      </c>
      <c r="O359" s="112">
        <v>25.0</v>
      </c>
      <c r="P359" s="112">
        <v>5.0</v>
      </c>
      <c r="Q359" s="112">
        <v>32.0</v>
      </c>
      <c r="R359" s="112">
        <v>3.0</v>
      </c>
      <c r="S359" s="112">
        <v>16.0</v>
      </c>
      <c r="T359" s="112">
        <v>3.0</v>
      </c>
      <c r="U359" s="112">
        <v>30.0</v>
      </c>
      <c r="V359" s="112">
        <v>2.0</v>
      </c>
      <c r="W359" s="112">
        <v>21.0</v>
      </c>
      <c r="X359" s="112">
        <v>11.0</v>
      </c>
      <c r="Y359" s="112">
        <v>29.0</v>
      </c>
      <c r="Z359" s="112">
        <v>26.0</v>
      </c>
      <c r="AA359" s="112">
        <v>62.0</v>
      </c>
      <c r="AB359" s="112">
        <v>31.0</v>
      </c>
      <c r="AC359" s="112">
        <v>59.0</v>
      </c>
      <c r="AD359" s="112">
        <v>29.0</v>
      </c>
      <c r="AE359" s="112">
        <v>63.0</v>
      </c>
      <c r="AF359" s="112">
        <v>25.0</v>
      </c>
      <c r="AG359" s="112">
        <v>66.0</v>
      </c>
      <c r="AH359" s="112">
        <v>19.0</v>
      </c>
      <c r="AI359" s="112">
        <v>48.0</v>
      </c>
      <c r="AJ359" s="112">
        <v>8.0</v>
      </c>
      <c r="AK359" s="112">
        <v>21.0</v>
      </c>
      <c r="AL359" s="112">
        <v>6.0</v>
      </c>
      <c r="AM359" s="112">
        <v>12.0</v>
      </c>
      <c r="AN359" s="109">
        <v>1378.0</v>
      </c>
    </row>
    <row r="360">
      <c r="A360" s="104"/>
      <c r="B360" s="111" t="s">
        <v>201</v>
      </c>
      <c r="C360" s="109">
        <v>1042.0</v>
      </c>
      <c r="D360" s="112">
        <v>495.0</v>
      </c>
      <c r="E360" s="112">
        <v>547.0</v>
      </c>
      <c r="F360" s="112">
        <v>2.0</v>
      </c>
      <c r="G360" s="112">
        <v>16.0</v>
      </c>
      <c r="H360" s="112">
        <v>3.0</v>
      </c>
      <c r="I360" s="112">
        <v>1.0</v>
      </c>
      <c r="J360" s="112">
        <v>2.0</v>
      </c>
      <c r="K360" s="112">
        <v>2.0</v>
      </c>
      <c r="L360" s="112">
        <v>9.0</v>
      </c>
      <c r="M360" s="112">
        <v>4.0</v>
      </c>
      <c r="N360" s="112">
        <v>0.0</v>
      </c>
      <c r="O360" s="112">
        <v>1.0</v>
      </c>
      <c r="P360" s="112">
        <v>26.0</v>
      </c>
      <c r="Q360" s="112">
        <v>63.0</v>
      </c>
      <c r="R360" s="112">
        <v>34.0</v>
      </c>
      <c r="S360" s="112">
        <v>21.0</v>
      </c>
      <c r="T360" s="112">
        <v>30.0</v>
      </c>
      <c r="U360" s="112">
        <v>25.0</v>
      </c>
      <c r="V360" s="112">
        <v>1.0</v>
      </c>
      <c r="W360" s="112">
        <v>78.0</v>
      </c>
      <c r="X360" s="112">
        <v>22.0</v>
      </c>
      <c r="Y360" s="112">
        <v>60.0</v>
      </c>
      <c r="Z360" s="112">
        <v>107.0</v>
      </c>
      <c r="AA360" s="112">
        <v>17.0</v>
      </c>
      <c r="AB360" s="112">
        <v>35.0</v>
      </c>
      <c r="AC360" s="112">
        <v>39.0</v>
      </c>
      <c r="AD360" s="112">
        <v>34.0</v>
      </c>
      <c r="AE360" s="112">
        <v>92.0</v>
      </c>
      <c r="AF360" s="112">
        <v>42.0</v>
      </c>
      <c r="AG360" s="112">
        <v>6.0</v>
      </c>
      <c r="AH360" s="112">
        <v>58.0</v>
      </c>
      <c r="AI360" s="112">
        <v>36.0</v>
      </c>
      <c r="AJ360" s="112">
        <v>41.0</v>
      </c>
      <c r="AK360" s="112">
        <v>12.0</v>
      </c>
      <c r="AL360" s="112">
        <v>49.0</v>
      </c>
      <c r="AM360" s="112">
        <v>74.0</v>
      </c>
      <c r="AN360" s="109">
        <v>1042.0</v>
      </c>
    </row>
    <row r="361">
      <c r="A361" s="107" t="s">
        <v>208</v>
      </c>
      <c r="B361" s="111" t="s">
        <v>198</v>
      </c>
      <c r="C361" s="112">
        <v>14.0</v>
      </c>
      <c r="D361" s="112">
        <v>10.0</v>
      </c>
      <c r="E361" s="112">
        <v>4.0</v>
      </c>
      <c r="F361" s="112">
        <v>6.0</v>
      </c>
      <c r="G361" s="112">
        <v>1.0</v>
      </c>
      <c r="H361" s="112">
        <v>2.0</v>
      </c>
      <c r="I361" s="112">
        <v>3.0</v>
      </c>
      <c r="J361" s="112">
        <v>2.0</v>
      </c>
      <c r="K361" s="112">
        <v>0.0</v>
      </c>
      <c r="L361" s="112">
        <v>0.0</v>
      </c>
      <c r="M361" s="112">
        <v>0.0</v>
      </c>
      <c r="N361" s="112">
        <v>0.0</v>
      </c>
      <c r="O361" s="112">
        <v>0.0</v>
      </c>
      <c r="P361" s="110">
        <v>0.0</v>
      </c>
      <c r="Q361" s="110">
        <v>0.0</v>
      </c>
      <c r="R361" s="110">
        <v>0.0</v>
      </c>
      <c r="S361" s="110">
        <v>0.0</v>
      </c>
      <c r="T361" s="110">
        <v>0.0</v>
      </c>
      <c r="U361" s="110">
        <v>0.0</v>
      </c>
      <c r="V361" s="110">
        <v>0.0</v>
      </c>
      <c r="W361" s="110">
        <v>0.0</v>
      </c>
      <c r="X361" s="110">
        <v>0.0</v>
      </c>
      <c r="Y361" s="110">
        <v>0.0</v>
      </c>
      <c r="Z361" s="110">
        <v>0.0</v>
      </c>
      <c r="AA361" s="110">
        <v>0.0</v>
      </c>
      <c r="AB361" s="110">
        <v>0.0</v>
      </c>
      <c r="AC361" s="110">
        <v>0.0</v>
      </c>
      <c r="AD361" s="110">
        <v>0.0</v>
      </c>
      <c r="AE361" s="110">
        <v>0.0</v>
      </c>
      <c r="AF361" s="110">
        <v>0.0</v>
      </c>
      <c r="AG361" s="110">
        <v>0.0</v>
      </c>
      <c r="AH361" s="110">
        <v>0.0</v>
      </c>
      <c r="AI361" s="110">
        <v>0.0</v>
      </c>
      <c r="AJ361" s="110">
        <v>0.0</v>
      </c>
      <c r="AK361" s="110">
        <v>0.0</v>
      </c>
      <c r="AL361" s="110">
        <v>0.0</v>
      </c>
      <c r="AM361" s="110">
        <v>0.0</v>
      </c>
      <c r="AN361" s="112">
        <v>14.0</v>
      </c>
    </row>
    <row r="362">
      <c r="A362" s="98"/>
      <c r="B362" s="111" t="s">
        <v>199</v>
      </c>
      <c r="C362" s="112">
        <v>46.0</v>
      </c>
      <c r="D362" s="112">
        <v>32.0</v>
      </c>
      <c r="E362" s="112">
        <v>14.0</v>
      </c>
      <c r="F362" s="112">
        <v>11.0</v>
      </c>
      <c r="G362" s="112">
        <v>9.0</v>
      </c>
      <c r="H362" s="112">
        <v>7.0</v>
      </c>
      <c r="I362" s="112">
        <v>5.0</v>
      </c>
      <c r="J362" s="112">
        <v>0.0</v>
      </c>
      <c r="K362" s="112">
        <v>0.0</v>
      </c>
      <c r="L362" s="112">
        <v>11.0</v>
      </c>
      <c r="M362" s="112">
        <v>0.0</v>
      </c>
      <c r="N362" s="112">
        <v>3.0</v>
      </c>
      <c r="O362" s="112">
        <v>0.0</v>
      </c>
      <c r="P362" s="110">
        <v>0.0</v>
      </c>
      <c r="Q362" s="110">
        <v>0.0</v>
      </c>
      <c r="R362" s="110">
        <v>0.0</v>
      </c>
      <c r="S362" s="110">
        <v>0.0</v>
      </c>
      <c r="T362" s="110">
        <v>0.0</v>
      </c>
      <c r="U362" s="110">
        <v>0.0</v>
      </c>
      <c r="V362" s="110">
        <v>0.0</v>
      </c>
      <c r="W362" s="110">
        <v>0.0</v>
      </c>
      <c r="X362" s="110">
        <v>0.0</v>
      </c>
      <c r="Y362" s="110">
        <v>0.0</v>
      </c>
      <c r="Z362" s="110">
        <v>0.0</v>
      </c>
      <c r="AA362" s="110">
        <v>0.0</v>
      </c>
      <c r="AB362" s="110">
        <v>0.0</v>
      </c>
      <c r="AC362" s="110">
        <v>0.0</v>
      </c>
      <c r="AD362" s="110">
        <v>0.0</v>
      </c>
      <c r="AE362" s="110">
        <v>0.0</v>
      </c>
      <c r="AF362" s="110">
        <v>0.0</v>
      </c>
      <c r="AG362" s="110">
        <v>0.0</v>
      </c>
      <c r="AH362" s="110">
        <v>0.0</v>
      </c>
      <c r="AI362" s="110">
        <v>0.0</v>
      </c>
      <c r="AJ362" s="110">
        <v>0.0</v>
      </c>
      <c r="AK362" s="110">
        <v>0.0</v>
      </c>
      <c r="AL362" s="110">
        <v>0.0</v>
      </c>
      <c r="AM362" s="110">
        <v>0.0</v>
      </c>
      <c r="AN362" s="112">
        <v>46.0</v>
      </c>
    </row>
    <row r="363">
      <c r="A363" s="98"/>
      <c r="B363" s="111" t="s">
        <v>206</v>
      </c>
      <c r="C363" s="112">
        <v>24.0</v>
      </c>
      <c r="D363" s="112">
        <v>3.0</v>
      </c>
      <c r="E363" s="112">
        <v>21.0</v>
      </c>
      <c r="F363" s="112">
        <v>2.0</v>
      </c>
      <c r="G363" s="112">
        <v>0.0</v>
      </c>
      <c r="H363" s="112">
        <v>1.0</v>
      </c>
      <c r="I363" s="112">
        <v>0.0</v>
      </c>
      <c r="J363" s="112">
        <v>0.0</v>
      </c>
      <c r="K363" s="112">
        <v>4.0</v>
      </c>
      <c r="L363" s="112">
        <v>0.0</v>
      </c>
      <c r="M363" s="112">
        <v>4.0</v>
      </c>
      <c r="N363" s="112">
        <v>0.0</v>
      </c>
      <c r="O363" s="112">
        <v>13.0</v>
      </c>
      <c r="P363" s="110">
        <v>0.0</v>
      </c>
      <c r="Q363" s="110">
        <v>0.0</v>
      </c>
      <c r="R363" s="110">
        <v>0.0</v>
      </c>
      <c r="S363" s="110">
        <v>0.0</v>
      </c>
      <c r="T363" s="110">
        <v>0.0</v>
      </c>
      <c r="U363" s="110">
        <v>0.0</v>
      </c>
      <c r="V363" s="110">
        <v>0.0</v>
      </c>
      <c r="W363" s="110">
        <v>0.0</v>
      </c>
      <c r="X363" s="110">
        <v>0.0</v>
      </c>
      <c r="Y363" s="110">
        <v>0.0</v>
      </c>
      <c r="Z363" s="110">
        <v>0.0</v>
      </c>
      <c r="AA363" s="110">
        <v>0.0</v>
      </c>
      <c r="AB363" s="110">
        <v>0.0</v>
      </c>
      <c r="AC363" s="110">
        <v>0.0</v>
      </c>
      <c r="AD363" s="110">
        <v>0.0</v>
      </c>
      <c r="AE363" s="110">
        <v>0.0</v>
      </c>
      <c r="AF363" s="110">
        <v>0.0</v>
      </c>
      <c r="AG363" s="110">
        <v>0.0</v>
      </c>
      <c r="AH363" s="110">
        <v>0.0</v>
      </c>
      <c r="AI363" s="110">
        <v>0.0</v>
      </c>
      <c r="AJ363" s="110">
        <v>0.0</v>
      </c>
      <c r="AK363" s="110">
        <v>0.0</v>
      </c>
      <c r="AL363" s="110">
        <v>0.0</v>
      </c>
      <c r="AM363" s="110">
        <v>0.0</v>
      </c>
      <c r="AN363" s="112">
        <v>24.0</v>
      </c>
    </row>
    <row r="364">
      <c r="A364" s="98"/>
      <c r="B364" s="111" t="s">
        <v>200</v>
      </c>
      <c r="C364" s="112">
        <v>15.0</v>
      </c>
      <c r="D364" s="112">
        <v>8.0</v>
      </c>
      <c r="E364" s="112">
        <v>7.0</v>
      </c>
      <c r="F364" s="112">
        <v>8.0</v>
      </c>
      <c r="G364" s="112">
        <v>5.0</v>
      </c>
      <c r="H364" s="112">
        <v>0.0</v>
      </c>
      <c r="I364" s="112">
        <v>0.0</v>
      </c>
      <c r="J364" s="112">
        <v>0.0</v>
      </c>
      <c r="K364" s="112">
        <v>0.0</v>
      </c>
      <c r="L364" s="112">
        <v>0.0</v>
      </c>
      <c r="M364" s="112">
        <v>1.0</v>
      </c>
      <c r="N364" s="112">
        <v>0.0</v>
      </c>
      <c r="O364" s="112">
        <v>1.0</v>
      </c>
      <c r="P364" s="110">
        <v>0.0</v>
      </c>
      <c r="Q364" s="110">
        <v>0.0</v>
      </c>
      <c r="R364" s="110">
        <v>0.0</v>
      </c>
      <c r="S364" s="110">
        <v>0.0</v>
      </c>
      <c r="T364" s="110">
        <v>0.0</v>
      </c>
      <c r="U364" s="110">
        <v>0.0</v>
      </c>
      <c r="V364" s="110">
        <v>0.0</v>
      </c>
      <c r="W364" s="110">
        <v>0.0</v>
      </c>
      <c r="X364" s="110">
        <v>0.0</v>
      </c>
      <c r="Y364" s="110">
        <v>0.0</v>
      </c>
      <c r="Z364" s="110">
        <v>0.0</v>
      </c>
      <c r="AA364" s="110">
        <v>0.0</v>
      </c>
      <c r="AB364" s="110">
        <v>0.0</v>
      </c>
      <c r="AC364" s="110">
        <v>0.0</v>
      </c>
      <c r="AD364" s="110">
        <v>0.0</v>
      </c>
      <c r="AE364" s="110">
        <v>0.0</v>
      </c>
      <c r="AF364" s="110">
        <v>0.0</v>
      </c>
      <c r="AG364" s="110">
        <v>0.0</v>
      </c>
      <c r="AH364" s="110">
        <v>0.0</v>
      </c>
      <c r="AI364" s="110">
        <v>0.0</v>
      </c>
      <c r="AJ364" s="110">
        <v>0.0</v>
      </c>
      <c r="AK364" s="110">
        <v>0.0</v>
      </c>
      <c r="AL364" s="110">
        <v>0.0</v>
      </c>
      <c r="AM364" s="110">
        <v>0.0</v>
      </c>
      <c r="AN364" s="112">
        <v>15.0</v>
      </c>
    </row>
    <row r="365">
      <c r="A365" s="104"/>
      <c r="B365" s="111" t="s">
        <v>201</v>
      </c>
      <c r="C365" s="112">
        <v>0.0</v>
      </c>
      <c r="D365" s="112">
        <v>0.0</v>
      </c>
      <c r="E365" s="112">
        <v>0.0</v>
      </c>
      <c r="F365" s="112">
        <v>0.0</v>
      </c>
      <c r="G365" s="112">
        <v>0.0</v>
      </c>
      <c r="H365" s="112">
        <v>0.0</v>
      </c>
      <c r="I365" s="112">
        <v>0.0</v>
      </c>
      <c r="J365" s="112">
        <v>0.0</v>
      </c>
      <c r="K365" s="112">
        <v>0.0</v>
      </c>
      <c r="L365" s="112">
        <v>0.0</v>
      </c>
      <c r="M365" s="112">
        <v>0.0</v>
      </c>
      <c r="N365" s="112">
        <v>0.0</v>
      </c>
      <c r="O365" s="112">
        <v>0.0</v>
      </c>
      <c r="P365" s="110">
        <v>0.0</v>
      </c>
      <c r="Q365" s="110">
        <v>0.0</v>
      </c>
      <c r="R365" s="110">
        <v>0.0</v>
      </c>
      <c r="S365" s="110">
        <v>0.0</v>
      </c>
      <c r="T365" s="110">
        <v>0.0</v>
      </c>
      <c r="U365" s="110">
        <v>0.0</v>
      </c>
      <c r="V365" s="110">
        <v>0.0</v>
      </c>
      <c r="W365" s="110">
        <v>0.0</v>
      </c>
      <c r="X365" s="110">
        <v>0.0</v>
      </c>
      <c r="Y365" s="110">
        <v>0.0</v>
      </c>
      <c r="Z365" s="110">
        <v>0.0</v>
      </c>
      <c r="AA365" s="110">
        <v>0.0</v>
      </c>
      <c r="AB365" s="110">
        <v>0.0</v>
      </c>
      <c r="AC365" s="110">
        <v>0.0</v>
      </c>
      <c r="AD365" s="110">
        <v>0.0</v>
      </c>
      <c r="AE365" s="110">
        <v>0.0</v>
      </c>
      <c r="AF365" s="110">
        <v>0.0</v>
      </c>
      <c r="AG365" s="110">
        <v>0.0</v>
      </c>
      <c r="AH365" s="110">
        <v>0.0</v>
      </c>
      <c r="AI365" s="110">
        <v>0.0</v>
      </c>
      <c r="AJ365" s="110">
        <v>0.0</v>
      </c>
      <c r="AK365" s="110">
        <v>0.0</v>
      </c>
      <c r="AL365" s="110">
        <v>0.0</v>
      </c>
      <c r="AM365" s="110">
        <v>0.0</v>
      </c>
      <c r="AN365" s="112">
        <v>0.0</v>
      </c>
    </row>
    <row r="366">
      <c r="A366" s="113" t="s">
        <v>223</v>
      </c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</row>
    <row r="367">
      <c r="A367" s="107" t="s">
        <v>197</v>
      </c>
      <c r="B367" s="108" t="s">
        <v>198</v>
      </c>
      <c r="C367" s="109">
        <v>212675.0</v>
      </c>
      <c r="D367" s="109">
        <v>78438.0</v>
      </c>
      <c r="E367" s="109">
        <v>134237.0</v>
      </c>
      <c r="F367" s="110">
        <v>0.0</v>
      </c>
      <c r="G367" s="110">
        <v>0.0</v>
      </c>
      <c r="H367" s="110">
        <v>0.0</v>
      </c>
      <c r="I367" s="110">
        <v>0.0</v>
      </c>
      <c r="J367" s="110">
        <v>0.0</v>
      </c>
      <c r="K367" s="110">
        <v>0.0</v>
      </c>
      <c r="L367" s="112">
        <v>172.0</v>
      </c>
      <c r="M367" s="112">
        <v>303.0</v>
      </c>
      <c r="N367" s="112">
        <v>222.0</v>
      </c>
      <c r="O367" s="112">
        <v>518.0</v>
      </c>
      <c r="P367" s="112">
        <v>435.0</v>
      </c>
      <c r="Q367" s="112">
        <v>986.0</v>
      </c>
      <c r="R367" s="112">
        <v>769.0</v>
      </c>
      <c r="S367" s="109">
        <v>1793.0</v>
      </c>
      <c r="T367" s="109">
        <v>1454.0</v>
      </c>
      <c r="U367" s="109">
        <v>2970.0</v>
      </c>
      <c r="V367" s="109">
        <v>2542.0</v>
      </c>
      <c r="W367" s="109">
        <v>5474.0</v>
      </c>
      <c r="X367" s="109">
        <v>4382.0</v>
      </c>
      <c r="Y367" s="109">
        <v>9615.0</v>
      </c>
      <c r="Z367" s="109">
        <v>7437.0</v>
      </c>
      <c r="AA367" s="109">
        <v>15280.0</v>
      </c>
      <c r="AB367" s="109">
        <v>9295.0</v>
      </c>
      <c r="AC367" s="109">
        <v>17390.0</v>
      </c>
      <c r="AD367" s="109">
        <v>10606.0</v>
      </c>
      <c r="AE367" s="109">
        <v>18697.0</v>
      </c>
      <c r="AF367" s="109">
        <v>11359.0</v>
      </c>
      <c r="AG367" s="109">
        <v>18043.0</v>
      </c>
      <c r="AH367" s="109">
        <v>11148.0</v>
      </c>
      <c r="AI367" s="109">
        <v>15869.0</v>
      </c>
      <c r="AJ367" s="109">
        <v>8874.0</v>
      </c>
      <c r="AK367" s="109">
        <v>12074.0</v>
      </c>
      <c r="AL367" s="109">
        <v>9743.0</v>
      </c>
      <c r="AM367" s="109">
        <v>15225.0</v>
      </c>
      <c r="AN367" s="109">
        <v>211021.0</v>
      </c>
    </row>
    <row r="368">
      <c r="A368" s="98"/>
      <c r="B368" s="111" t="s">
        <v>199</v>
      </c>
      <c r="C368" s="109">
        <v>66427.0</v>
      </c>
      <c r="D368" s="109">
        <v>24859.0</v>
      </c>
      <c r="E368" s="109">
        <v>41568.0</v>
      </c>
      <c r="F368" s="110">
        <v>0.0</v>
      </c>
      <c r="G368" s="110">
        <v>0.0</v>
      </c>
      <c r="H368" s="110">
        <v>0.0</v>
      </c>
      <c r="I368" s="110">
        <v>0.0</v>
      </c>
      <c r="J368" s="110">
        <v>0.0</v>
      </c>
      <c r="K368" s="110">
        <v>0.0</v>
      </c>
      <c r="L368" s="112">
        <v>25.0</v>
      </c>
      <c r="M368" s="112">
        <v>35.0</v>
      </c>
      <c r="N368" s="112">
        <v>51.0</v>
      </c>
      <c r="O368" s="112">
        <v>97.0</v>
      </c>
      <c r="P368" s="112">
        <v>111.0</v>
      </c>
      <c r="Q368" s="112">
        <v>215.0</v>
      </c>
      <c r="R368" s="112">
        <v>180.0</v>
      </c>
      <c r="S368" s="112">
        <v>409.0</v>
      </c>
      <c r="T368" s="112">
        <v>353.0</v>
      </c>
      <c r="U368" s="112">
        <v>720.0</v>
      </c>
      <c r="V368" s="112">
        <v>607.0</v>
      </c>
      <c r="W368" s="109">
        <v>1469.0</v>
      </c>
      <c r="X368" s="109">
        <v>1228.0</v>
      </c>
      <c r="Y368" s="109">
        <v>2689.0</v>
      </c>
      <c r="Z368" s="109">
        <v>2200.0</v>
      </c>
      <c r="AA368" s="109">
        <v>4494.0</v>
      </c>
      <c r="AB368" s="109">
        <v>2861.0</v>
      </c>
      <c r="AC368" s="109">
        <v>5484.0</v>
      </c>
      <c r="AD368" s="109">
        <v>3185.0</v>
      </c>
      <c r="AE368" s="109">
        <v>5703.0</v>
      </c>
      <c r="AF368" s="109">
        <v>3657.0</v>
      </c>
      <c r="AG368" s="109">
        <v>6015.0</v>
      </c>
      <c r="AH368" s="109">
        <v>3989.0</v>
      </c>
      <c r="AI368" s="109">
        <v>5584.0</v>
      </c>
      <c r="AJ368" s="109">
        <v>3014.0</v>
      </c>
      <c r="AK368" s="109">
        <v>4167.0</v>
      </c>
      <c r="AL368" s="109">
        <v>3398.0</v>
      </c>
      <c r="AM368" s="109">
        <v>4487.0</v>
      </c>
      <c r="AN368" s="109">
        <v>65605.0</v>
      </c>
    </row>
    <row r="369">
      <c r="A369" s="98"/>
      <c r="B369" s="111" t="s">
        <v>200</v>
      </c>
      <c r="C369" s="109">
        <v>48083.0</v>
      </c>
      <c r="D369" s="109">
        <v>15727.0</v>
      </c>
      <c r="E369" s="109">
        <v>32356.0</v>
      </c>
      <c r="F369" s="110">
        <v>0.0</v>
      </c>
      <c r="G369" s="110">
        <v>0.0</v>
      </c>
      <c r="H369" s="110">
        <v>0.0</v>
      </c>
      <c r="I369" s="110">
        <v>0.0</v>
      </c>
      <c r="J369" s="110">
        <v>0.0</v>
      </c>
      <c r="K369" s="110">
        <v>0.0</v>
      </c>
      <c r="L369" s="112">
        <v>91.0</v>
      </c>
      <c r="M369" s="112">
        <v>188.0</v>
      </c>
      <c r="N369" s="112">
        <v>103.0</v>
      </c>
      <c r="O369" s="112">
        <v>260.0</v>
      </c>
      <c r="P369" s="112">
        <v>194.0</v>
      </c>
      <c r="Q369" s="112">
        <v>562.0</v>
      </c>
      <c r="R369" s="112">
        <v>241.0</v>
      </c>
      <c r="S369" s="112">
        <v>742.0</v>
      </c>
      <c r="T369" s="112">
        <v>385.0</v>
      </c>
      <c r="U369" s="112">
        <v>971.0</v>
      </c>
      <c r="V369" s="112">
        <v>601.0</v>
      </c>
      <c r="W369" s="109">
        <v>1665.0</v>
      </c>
      <c r="X369" s="109">
        <v>1092.0</v>
      </c>
      <c r="Y369" s="109">
        <v>2796.0</v>
      </c>
      <c r="Z369" s="109">
        <v>1668.0</v>
      </c>
      <c r="AA369" s="109">
        <v>4276.0</v>
      </c>
      <c r="AB369" s="109">
        <v>1891.0</v>
      </c>
      <c r="AC369" s="109">
        <v>4524.0</v>
      </c>
      <c r="AD369" s="109">
        <v>2085.0</v>
      </c>
      <c r="AE369" s="109">
        <v>4459.0</v>
      </c>
      <c r="AF369" s="109">
        <v>2253.0</v>
      </c>
      <c r="AG369" s="109">
        <v>4076.0</v>
      </c>
      <c r="AH369" s="109">
        <v>2068.0</v>
      </c>
      <c r="AI369" s="109">
        <v>3392.0</v>
      </c>
      <c r="AJ369" s="109">
        <v>1595.0</v>
      </c>
      <c r="AK369" s="109">
        <v>2304.0</v>
      </c>
      <c r="AL369" s="109">
        <v>1460.0</v>
      </c>
      <c r="AM369" s="109">
        <v>2141.0</v>
      </c>
      <c r="AN369" s="109">
        <v>47202.0</v>
      </c>
    </row>
    <row r="370">
      <c r="A370" s="104"/>
      <c r="B370" s="111" t="s">
        <v>201</v>
      </c>
      <c r="C370" s="109">
        <v>47423.0</v>
      </c>
      <c r="D370" s="109">
        <v>16924.0</v>
      </c>
      <c r="E370" s="109">
        <v>30499.0</v>
      </c>
      <c r="F370" s="110">
        <v>0.0</v>
      </c>
      <c r="G370" s="110">
        <v>0.0</v>
      </c>
      <c r="H370" s="110">
        <v>0.0</v>
      </c>
      <c r="I370" s="110">
        <v>0.0</v>
      </c>
      <c r="J370" s="110">
        <v>0.0</v>
      </c>
      <c r="K370" s="110">
        <v>0.0</v>
      </c>
      <c r="L370" s="112">
        <v>8.0</v>
      </c>
      <c r="M370" s="112">
        <v>33.0</v>
      </c>
      <c r="N370" s="112">
        <v>35.0</v>
      </c>
      <c r="O370" s="112">
        <v>99.0</v>
      </c>
      <c r="P370" s="112">
        <v>88.0</v>
      </c>
      <c r="Q370" s="112">
        <v>160.0</v>
      </c>
      <c r="R370" s="112">
        <v>141.0</v>
      </c>
      <c r="S370" s="112">
        <v>348.0</v>
      </c>
      <c r="T370" s="112">
        <v>321.0</v>
      </c>
      <c r="U370" s="112">
        <v>533.0</v>
      </c>
      <c r="V370" s="112">
        <v>487.0</v>
      </c>
      <c r="W370" s="109">
        <v>1085.0</v>
      </c>
      <c r="X370" s="112">
        <v>881.0</v>
      </c>
      <c r="Y370" s="109">
        <v>2050.0</v>
      </c>
      <c r="Z370" s="109">
        <v>1604.0</v>
      </c>
      <c r="AA370" s="109">
        <v>3417.0</v>
      </c>
      <c r="AB370" s="109">
        <v>1884.0</v>
      </c>
      <c r="AC370" s="109">
        <v>4247.0</v>
      </c>
      <c r="AD370" s="109">
        <v>2135.0</v>
      </c>
      <c r="AE370" s="109">
        <v>4523.0</v>
      </c>
      <c r="AF370" s="109">
        <v>2451.0</v>
      </c>
      <c r="AG370" s="109">
        <v>4607.0</v>
      </c>
      <c r="AH370" s="109">
        <v>2653.0</v>
      </c>
      <c r="AI370" s="109">
        <v>3405.0</v>
      </c>
      <c r="AJ370" s="109">
        <v>2036.0</v>
      </c>
      <c r="AK370" s="109">
        <v>2480.0</v>
      </c>
      <c r="AL370" s="109">
        <v>2200.0</v>
      </c>
      <c r="AM370" s="109">
        <v>3512.0</v>
      </c>
      <c r="AN370" s="109">
        <v>46091.0</v>
      </c>
    </row>
    <row r="371">
      <c r="A371" s="107" t="s">
        <v>202</v>
      </c>
      <c r="B371" s="111" t="s">
        <v>198</v>
      </c>
      <c r="C371" s="112">
        <v>297.0</v>
      </c>
      <c r="D371" s="112">
        <v>152.0</v>
      </c>
      <c r="E371" s="112">
        <v>145.0</v>
      </c>
      <c r="F371" s="112">
        <v>3.0</v>
      </c>
      <c r="G371" s="112">
        <v>1.0</v>
      </c>
      <c r="H371" s="112">
        <v>3.0</v>
      </c>
      <c r="I371" s="112">
        <v>7.0</v>
      </c>
      <c r="J371" s="112">
        <v>1.0</v>
      </c>
      <c r="K371" s="112">
        <v>2.0</v>
      </c>
      <c r="L371" s="112">
        <v>1.0</v>
      </c>
      <c r="M371" s="112">
        <v>3.0</v>
      </c>
      <c r="N371" s="112">
        <v>10.0</v>
      </c>
      <c r="O371" s="112">
        <v>9.0</v>
      </c>
      <c r="P371" s="112">
        <v>12.0</v>
      </c>
      <c r="Q371" s="112">
        <v>17.0</v>
      </c>
      <c r="R371" s="112">
        <v>14.0</v>
      </c>
      <c r="S371" s="112">
        <v>5.0</v>
      </c>
      <c r="T371" s="112">
        <v>13.0</v>
      </c>
      <c r="U371" s="112">
        <v>10.0</v>
      </c>
      <c r="V371" s="112">
        <v>4.0</v>
      </c>
      <c r="W371" s="112">
        <v>4.0</v>
      </c>
      <c r="X371" s="112">
        <v>15.0</v>
      </c>
      <c r="Y371" s="112">
        <v>12.0</v>
      </c>
      <c r="Z371" s="112">
        <v>6.0</v>
      </c>
      <c r="AA371" s="112">
        <v>6.0</v>
      </c>
      <c r="AB371" s="112">
        <v>8.0</v>
      </c>
      <c r="AC371" s="112">
        <v>7.0</v>
      </c>
      <c r="AD371" s="112">
        <v>12.0</v>
      </c>
      <c r="AE371" s="112">
        <v>12.0</v>
      </c>
      <c r="AF371" s="112">
        <v>19.0</v>
      </c>
      <c r="AG371" s="112">
        <v>6.0</v>
      </c>
      <c r="AH371" s="112">
        <v>9.0</v>
      </c>
      <c r="AI371" s="112">
        <v>22.0</v>
      </c>
      <c r="AJ371" s="112">
        <v>19.0</v>
      </c>
      <c r="AK371" s="112">
        <v>13.0</v>
      </c>
      <c r="AL371" s="112">
        <v>3.0</v>
      </c>
      <c r="AM371" s="112">
        <v>9.0</v>
      </c>
      <c r="AN371" s="112">
        <v>290.0</v>
      </c>
    </row>
    <row r="372">
      <c r="A372" s="104"/>
      <c r="B372" s="111" t="s">
        <v>199</v>
      </c>
      <c r="C372" s="112">
        <v>228.0</v>
      </c>
      <c r="D372" s="112">
        <v>118.0</v>
      </c>
      <c r="E372" s="112">
        <v>110.0</v>
      </c>
      <c r="F372" s="112">
        <v>1.0</v>
      </c>
      <c r="G372" s="112">
        <v>3.0</v>
      </c>
      <c r="H372" s="112">
        <v>0.0</v>
      </c>
      <c r="I372" s="112">
        <v>11.0</v>
      </c>
      <c r="J372" s="112">
        <v>3.0</v>
      </c>
      <c r="K372" s="112">
        <v>2.0</v>
      </c>
      <c r="L372" s="112">
        <v>7.0</v>
      </c>
      <c r="M372" s="112">
        <v>1.0</v>
      </c>
      <c r="N372" s="112">
        <v>8.0</v>
      </c>
      <c r="O372" s="112">
        <v>11.0</v>
      </c>
      <c r="P372" s="112">
        <v>8.0</v>
      </c>
      <c r="Q372" s="112">
        <v>7.0</v>
      </c>
      <c r="R372" s="112">
        <v>9.0</v>
      </c>
      <c r="S372" s="112">
        <v>1.0</v>
      </c>
      <c r="T372" s="112">
        <v>5.0</v>
      </c>
      <c r="U372" s="112">
        <v>2.0</v>
      </c>
      <c r="V372" s="112">
        <v>2.0</v>
      </c>
      <c r="W372" s="112">
        <v>7.0</v>
      </c>
      <c r="X372" s="112">
        <v>11.0</v>
      </c>
      <c r="Y372" s="112">
        <v>22.0</v>
      </c>
      <c r="Z372" s="112">
        <v>14.0</v>
      </c>
      <c r="AA372" s="112">
        <v>1.0</v>
      </c>
      <c r="AB372" s="112">
        <v>12.0</v>
      </c>
      <c r="AC372" s="112">
        <v>5.0</v>
      </c>
      <c r="AD372" s="112">
        <v>7.0</v>
      </c>
      <c r="AE372" s="112">
        <v>8.0</v>
      </c>
      <c r="AF372" s="112">
        <v>15.0</v>
      </c>
      <c r="AG372" s="112">
        <v>7.0</v>
      </c>
      <c r="AH372" s="112">
        <v>4.0</v>
      </c>
      <c r="AI372" s="112">
        <v>7.0</v>
      </c>
      <c r="AJ372" s="112">
        <v>9.0</v>
      </c>
      <c r="AK372" s="112">
        <v>11.0</v>
      </c>
      <c r="AL372" s="112">
        <v>3.0</v>
      </c>
      <c r="AM372" s="112">
        <v>4.0</v>
      </c>
      <c r="AN372" s="112">
        <v>212.0</v>
      </c>
    </row>
    <row r="373">
      <c r="A373" s="107" t="s">
        <v>203</v>
      </c>
      <c r="B373" s="111" t="s">
        <v>198</v>
      </c>
      <c r="C373" s="112">
        <v>56.0</v>
      </c>
      <c r="D373" s="112">
        <v>28.0</v>
      </c>
      <c r="E373" s="112">
        <v>28.0</v>
      </c>
      <c r="F373" s="110">
        <v>0.0</v>
      </c>
      <c r="G373" s="110">
        <v>0.0</v>
      </c>
      <c r="H373" s="110">
        <v>0.0</v>
      </c>
      <c r="I373" s="110">
        <v>0.0</v>
      </c>
      <c r="J373" s="110">
        <v>0.0</v>
      </c>
      <c r="K373" s="110">
        <v>0.0</v>
      </c>
      <c r="L373" s="110">
        <v>0.0</v>
      </c>
      <c r="M373" s="110">
        <v>0.0</v>
      </c>
      <c r="N373" s="110">
        <v>0.0</v>
      </c>
      <c r="O373" s="110">
        <v>0.0</v>
      </c>
      <c r="P373" s="110">
        <v>0.0</v>
      </c>
      <c r="Q373" s="110">
        <v>0.0</v>
      </c>
      <c r="R373" s="110">
        <v>0.0</v>
      </c>
      <c r="S373" s="110">
        <v>0.0</v>
      </c>
      <c r="T373" s="110">
        <v>0.0</v>
      </c>
      <c r="U373" s="110">
        <v>0.0</v>
      </c>
      <c r="V373" s="110">
        <v>0.0</v>
      </c>
      <c r="W373" s="110">
        <v>0.0</v>
      </c>
      <c r="X373" s="110">
        <v>0.0</v>
      </c>
      <c r="Y373" s="110">
        <v>0.0</v>
      </c>
      <c r="Z373" s="110">
        <v>0.0</v>
      </c>
      <c r="AA373" s="110">
        <v>0.0</v>
      </c>
      <c r="AB373" s="110">
        <v>0.0</v>
      </c>
      <c r="AC373" s="110">
        <v>0.0</v>
      </c>
      <c r="AD373" s="110">
        <v>0.0</v>
      </c>
      <c r="AE373" s="110">
        <v>0.0</v>
      </c>
      <c r="AF373" s="112">
        <v>4.0</v>
      </c>
      <c r="AG373" s="112">
        <v>4.0</v>
      </c>
      <c r="AH373" s="112">
        <v>5.0</v>
      </c>
      <c r="AI373" s="112">
        <v>7.0</v>
      </c>
      <c r="AJ373" s="112">
        <v>6.0</v>
      </c>
      <c r="AK373" s="112">
        <v>3.0</v>
      </c>
      <c r="AL373" s="112">
        <v>13.0</v>
      </c>
      <c r="AM373" s="112">
        <v>14.0</v>
      </c>
      <c r="AN373" s="112">
        <v>50.0</v>
      </c>
    </row>
    <row r="374">
      <c r="A374" s="104"/>
      <c r="B374" s="111" t="s">
        <v>199</v>
      </c>
      <c r="C374" s="112">
        <v>926.0</v>
      </c>
      <c r="D374" s="112">
        <v>351.0</v>
      </c>
      <c r="E374" s="112">
        <v>575.0</v>
      </c>
      <c r="F374" s="110">
        <v>0.0</v>
      </c>
      <c r="G374" s="110">
        <v>0.0</v>
      </c>
      <c r="H374" s="110">
        <v>0.0</v>
      </c>
      <c r="I374" s="110">
        <v>0.0</v>
      </c>
      <c r="J374" s="110">
        <v>0.0</v>
      </c>
      <c r="K374" s="110">
        <v>0.0</v>
      </c>
      <c r="L374" s="110">
        <v>0.0</v>
      </c>
      <c r="M374" s="110">
        <v>0.0</v>
      </c>
      <c r="N374" s="110">
        <v>0.0</v>
      </c>
      <c r="O374" s="110">
        <v>0.0</v>
      </c>
      <c r="P374" s="110">
        <v>0.0</v>
      </c>
      <c r="Q374" s="110">
        <v>0.0</v>
      </c>
      <c r="R374" s="110">
        <v>0.0</v>
      </c>
      <c r="S374" s="110">
        <v>0.0</v>
      </c>
      <c r="T374" s="110">
        <v>0.0</v>
      </c>
      <c r="U374" s="110">
        <v>0.0</v>
      </c>
      <c r="V374" s="110">
        <v>0.0</v>
      </c>
      <c r="W374" s="110">
        <v>0.0</v>
      </c>
      <c r="X374" s="110">
        <v>0.0</v>
      </c>
      <c r="Y374" s="110">
        <v>0.0</v>
      </c>
      <c r="Z374" s="110">
        <v>0.0</v>
      </c>
      <c r="AA374" s="110">
        <v>0.0</v>
      </c>
      <c r="AB374" s="110">
        <v>0.0</v>
      </c>
      <c r="AC374" s="110">
        <v>0.0</v>
      </c>
      <c r="AD374" s="110">
        <v>0.0</v>
      </c>
      <c r="AE374" s="110">
        <v>0.0</v>
      </c>
      <c r="AF374" s="112">
        <v>92.0</v>
      </c>
      <c r="AG374" s="112">
        <v>181.0</v>
      </c>
      <c r="AH374" s="112">
        <v>108.0</v>
      </c>
      <c r="AI374" s="112">
        <v>174.0</v>
      </c>
      <c r="AJ374" s="112">
        <v>85.0</v>
      </c>
      <c r="AK374" s="112">
        <v>125.0</v>
      </c>
      <c r="AL374" s="112">
        <v>66.0</v>
      </c>
      <c r="AM374" s="112">
        <v>95.0</v>
      </c>
      <c r="AN374" s="112">
        <v>918.0</v>
      </c>
    </row>
    <row r="375">
      <c r="A375" s="107" t="s">
        <v>204</v>
      </c>
      <c r="B375" s="111" t="s">
        <v>198</v>
      </c>
      <c r="C375" s="112">
        <v>17.0</v>
      </c>
      <c r="D375" s="112">
        <v>5.0</v>
      </c>
      <c r="E375" s="112">
        <v>12.0</v>
      </c>
      <c r="F375" s="110">
        <v>0.0</v>
      </c>
      <c r="G375" s="110">
        <v>0.0</v>
      </c>
      <c r="H375" s="110">
        <v>0.0</v>
      </c>
      <c r="I375" s="110">
        <v>0.0</v>
      </c>
      <c r="J375" s="110">
        <v>0.0</v>
      </c>
      <c r="K375" s="110">
        <v>0.0</v>
      </c>
      <c r="L375" s="110">
        <v>0.0</v>
      </c>
      <c r="M375" s="110">
        <v>0.0</v>
      </c>
      <c r="N375" s="110">
        <v>0.0</v>
      </c>
      <c r="O375" s="110">
        <v>0.0</v>
      </c>
      <c r="P375" s="110">
        <v>0.0</v>
      </c>
      <c r="Q375" s="110">
        <v>0.0</v>
      </c>
      <c r="R375" s="110">
        <v>0.0</v>
      </c>
      <c r="S375" s="110">
        <v>0.0</v>
      </c>
      <c r="T375" s="110">
        <v>0.0</v>
      </c>
      <c r="U375" s="110">
        <v>0.0</v>
      </c>
      <c r="V375" s="110">
        <v>0.0</v>
      </c>
      <c r="W375" s="110">
        <v>0.0</v>
      </c>
      <c r="X375" s="110">
        <v>0.0</v>
      </c>
      <c r="Y375" s="110">
        <v>0.0</v>
      </c>
      <c r="Z375" s="110">
        <v>0.0</v>
      </c>
      <c r="AA375" s="110">
        <v>0.0</v>
      </c>
      <c r="AB375" s="110">
        <v>0.0</v>
      </c>
      <c r="AC375" s="110">
        <v>0.0</v>
      </c>
      <c r="AD375" s="110">
        <v>0.0</v>
      </c>
      <c r="AE375" s="110">
        <v>0.0</v>
      </c>
      <c r="AF375" s="112">
        <v>1.0</v>
      </c>
      <c r="AG375" s="112">
        <v>0.0</v>
      </c>
      <c r="AH375" s="112">
        <v>1.0</v>
      </c>
      <c r="AI375" s="112">
        <v>1.0</v>
      </c>
      <c r="AJ375" s="112">
        <v>2.0</v>
      </c>
      <c r="AK375" s="112">
        <v>5.0</v>
      </c>
      <c r="AL375" s="112">
        <v>1.0</v>
      </c>
      <c r="AM375" s="112">
        <v>6.0</v>
      </c>
      <c r="AN375" s="112">
        <v>17.0</v>
      </c>
    </row>
    <row r="376">
      <c r="A376" s="104"/>
      <c r="B376" s="111" t="s">
        <v>199</v>
      </c>
      <c r="C376" s="112">
        <v>645.0</v>
      </c>
      <c r="D376" s="112">
        <v>239.0</v>
      </c>
      <c r="E376" s="112">
        <v>406.0</v>
      </c>
      <c r="F376" s="110">
        <v>0.0</v>
      </c>
      <c r="G376" s="110">
        <v>0.0</v>
      </c>
      <c r="H376" s="110">
        <v>0.0</v>
      </c>
      <c r="I376" s="110">
        <v>0.0</v>
      </c>
      <c r="J376" s="110">
        <v>0.0</v>
      </c>
      <c r="K376" s="110">
        <v>0.0</v>
      </c>
      <c r="L376" s="110">
        <v>0.0</v>
      </c>
      <c r="M376" s="110">
        <v>0.0</v>
      </c>
      <c r="N376" s="110">
        <v>0.0</v>
      </c>
      <c r="O376" s="110">
        <v>0.0</v>
      </c>
      <c r="P376" s="110">
        <v>0.0</v>
      </c>
      <c r="Q376" s="110">
        <v>0.0</v>
      </c>
      <c r="R376" s="110">
        <v>0.0</v>
      </c>
      <c r="S376" s="110">
        <v>0.0</v>
      </c>
      <c r="T376" s="110">
        <v>0.0</v>
      </c>
      <c r="U376" s="110">
        <v>0.0</v>
      </c>
      <c r="V376" s="110">
        <v>0.0</v>
      </c>
      <c r="W376" s="110">
        <v>0.0</v>
      </c>
      <c r="X376" s="110">
        <v>0.0</v>
      </c>
      <c r="Y376" s="110">
        <v>0.0</v>
      </c>
      <c r="Z376" s="110">
        <v>0.0</v>
      </c>
      <c r="AA376" s="110">
        <v>0.0</v>
      </c>
      <c r="AB376" s="110">
        <v>0.0</v>
      </c>
      <c r="AC376" s="110">
        <v>0.0</v>
      </c>
      <c r="AD376" s="110">
        <v>0.0</v>
      </c>
      <c r="AE376" s="110">
        <v>0.0</v>
      </c>
      <c r="AF376" s="112">
        <v>29.0</v>
      </c>
      <c r="AG376" s="112">
        <v>62.0</v>
      </c>
      <c r="AH376" s="112">
        <v>58.0</v>
      </c>
      <c r="AI376" s="112">
        <v>100.0</v>
      </c>
      <c r="AJ376" s="112">
        <v>71.0</v>
      </c>
      <c r="AK376" s="112">
        <v>99.0</v>
      </c>
      <c r="AL376" s="112">
        <v>81.0</v>
      </c>
      <c r="AM376" s="112">
        <v>145.0</v>
      </c>
      <c r="AN376" s="112">
        <v>636.0</v>
      </c>
    </row>
    <row r="377">
      <c r="A377" s="107" t="s">
        <v>205</v>
      </c>
      <c r="B377" s="111" t="s">
        <v>198</v>
      </c>
      <c r="C377" s="112">
        <v>350.0</v>
      </c>
      <c r="D377" s="112">
        <v>50.0</v>
      </c>
      <c r="E377" s="112">
        <v>300.0</v>
      </c>
      <c r="F377" s="112">
        <v>1.0</v>
      </c>
      <c r="G377" s="112">
        <v>1.0</v>
      </c>
      <c r="H377" s="112">
        <v>0.0</v>
      </c>
      <c r="I377" s="112">
        <v>1.0</v>
      </c>
      <c r="J377" s="112">
        <v>3.0</v>
      </c>
      <c r="K377" s="112">
        <v>2.0</v>
      </c>
      <c r="L377" s="112">
        <v>1.0</v>
      </c>
      <c r="M377" s="112">
        <v>5.0</v>
      </c>
      <c r="N377" s="112">
        <v>1.0</v>
      </c>
      <c r="O377" s="112">
        <v>4.0</v>
      </c>
      <c r="P377" s="112">
        <v>0.0</v>
      </c>
      <c r="Q377" s="112">
        <v>9.0</v>
      </c>
      <c r="R377" s="112">
        <v>1.0</v>
      </c>
      <c r="S377" s="112">
        <v>13.0</v>
      </c>
      <c r="T377" s="112">
        <v>1.0</v>
      </c>
      <c r="U377" s="112">
        <v>10.0</v>
      </c>
      <c r="V377" s="112">
        <v>2.0</v>
      </c>
      <c r="W377" s="112">
        <v>10.0</v>
      </c>
      <c r="X377" s="112">
        <v>1.0</v>
      </c>
      <c r="Y377" s="112">
        <v>22.0</v>
      </c>
      <c r="Z377" s="112">
        <v>3.0</v>
      </c>
      <c r="AA377" s="112">
        <v>29.0</v>
      </c>
      <c r="AB377" s="112">
        <v>6.0</v>
      </c>
      <c r="AC377" s="112">
        <v>33.0</v>
      </c>
      <c r="AD377" s="112">
        <v>5.0</v>
      </c>
      <c r="AE377" s="112">
        <v>47.0</v>
      </c>
      <c r="AF377" s="112">
        <v>6.0</v>
      </c>
      <c r="AG377" s="112">
        <v>41.0</v>
      </c>
      <c r="AH377" s="112">
        <v>5.0</v>
      </c>
      <c r="AI377" s="112">
        <v>28.0</v>
      </c>
      <c r="AJ377" s="112">
        <v>6.0</v>
      </c>
      <c r="AK377" s="112">
        <v>23.0</v>
      </c>
      <c r="AL377" s="112">
        <v>8.0</v>
      </c>
      <c r="AM377" s="112">
        <v>22.0</v>
      </c>
      <c r="AN377" s="112">
        <v>347.0</v>
      </c>
    </row>
    <row r="378">
      <c r="A378" s="98"/>
      <c r="B378" s="111" t="s">
        <v>199</v>
      </c>
      <c r="C378" s="112">
        <v>1.0</v>
      </c>
      <c r="D378" s="112">
        <v>0.0</v>
      </c>
      <c r="E378" s="112">
        <v>1.0</v>
      </c>
      <c r="F378" s="112">
        <v>0.0</v>
      </c>
      <c r="G378" s="112">
        <v>0.0</v>
      </c>
      <c r="H378" s="112">
        <v>0.0</v>
      </c>
      <c r="I378" s="112">
        <v>0.0</v>
      </c>
      <c r="J378" s="112">
        <v>0.0</v>
      </c>
      <c r="K378" s="112">
        <v>0.0</v>
      </c>
      <c r="L378" s="112">
        <v>0.0</v>
      </c>
      <c r="M378" s="112">
        <v>0.0</v>
      </c>
      <c r="N378" s="112">
        <v>0.0</v>
      </c>
      <c r="O378" s="112">
        <v>0.0</v>
      </c>
      <c r="P378" s="112">
        <v>0.0</v>
      </c>
      <c r="Q378" s="112">
        <v>0.0</v>
      </c>
      <c r="R378" s="112">
        <v>0.0</v>
      </c>
      <c r="S378" s="112">
        <v>0.0</v>
      </c>
      <c r="T378" s="112">
        <v>0.0</v>
      </c>
      <c r="U378" s="112">
        <v>0.0</v>
      </c>
      <c r="V378" s="112">
        <v>0.0</v>
      </c>
      <c r="W378" s="112">
        <v>0.0</v>
      </c>
      <c r="X378" s="112">
        <v>0.0</v>
      </c>
      <c r="Y378" s="112">
        <v>0.0</v>
      </c>
      <c r="Z378" s="112">
        <v>0.0</v>
      </c>
      <c r="AA378" s="112">
        <v>0.0</v>
      </c>
      <c r="AB378" s="112">
        <v>0.0</v>
      </c>
      <c r="AC378" s="112">
        <v>0.0</v>
      </c>
      <c r="AD378" s="112">
        <v>0.0</v>
      </c>
      <c r="AE378" s="112">
        <v>0.0</v>
      </c>
      <c r="AF378" s="112">
        <v>0.0</v>
      </c>
      <c r="AG378" s="112">
        <v>0.0</v>
      </c>
      <c r="AH378" s="112">
        <v>0.0</v>
      </c>
      <c r="AI378" s="112">
        <v>0.0</v>
      </c>
      <c r="AJ378" s="112">
        <v>0.0</v>
      </c>
      <c r="AK378" s="112">
        <v>0.0</v>
      </c>
      <c r="AL378" s="112">
        <v>0.0</v>
      </c>
      <c r="AM378" s="112">
        <v>1.0</v>
      </c>
      <c r="AN378" s="112">
        <v>1.0</v>
      </c>
    </row>
    <row r="379">
      <c r="A379" s="104"/>
      <c r="B379" s="111" t="s">
        <v>206</v>
      </c>
      <c r="C379" s="112">
        <v>431.0</v>
      </c>
      <c r="D379" s="112">
        <v>76.0</v>
      </c>
      <c r="E379" s="112">
        <v>355.0</v>
      </c>
      <c r="F379" s="112">
        <v>1.0</v>
      </c>
      <c r="G379" s="112">
        <v>0.0</v>
      </c>
      <c r="H379" s="112">
        <v>0.0</v>
      </c>
      <c r="I379" s="112">
        <v>7.0</v>
      </c>
      <c r="J379" s="112">
        <v>0.0</v>
      </c>
      <c r="K379" s="112">
        <v>2.0</v>
      </c>
      <c r="L379" s="112">
        <v>11.0</v>
      </c>
      <c r="M379" s="112">
        <v>57.0</v>
      </c>
      <c r="N379" s="112">
        <v>19.0</v>
      </c>
      <c r="O379" s="112">
        <v>55.0</v>
      </c>
      <c r="P379" s="112">
        <v>11.0</v>
      </c>
      <c r="Q379" s="112">
        <v>57.0</v>
      </c>
      <c r="R379" s="112">
        <v>6.0</v>
      </c>
      <c r="S379" s="112">
        <v>43.0</v>
      </c>
      <c r="T379" s="112">
        <v>1.0</v>
      </c>
      <c r="U379" s="112">
        <v>35.0</v>
      </c>
      <c r="V379" s="112">
        <v>4.0</v>
      </c>
      <c r="W379" s="112">
        <v>27.0</v>
      </c>
      <c r="X379" s="112">
        <v>2.0</v>
      </c>
      <c r="Y379" s="112">
        <v>18.0</v>
      </c>
      <c r="Z379" s="112">
        <v>0.0</v>
      </c>
      <c r="AA379" s="112">
        <v>26.0</v>
      </c>
      <c r="AB379" s="112">
        <v>5.0</v>
      </c>
      <c r="AC379" s="112">
        <v>7.0</v>
      </c>
      <c r="AD379" s="112">
        <v>4.0</v>
      </c>
      <c r="AE379" s="112">
        <v>11.0</v>
      </c>
      <c r="AF379" s="112">
        <v>11.0</v>
      </c>
      <c r="AG379" s="112">
        <v>4.0</v>
      </c>
      <c r="AH379" s="112">
        <v>1.0</v>
      </c>
      <c r="AI379" s="112">
        <v>0.0</v>
      </c>
      <c r="AJ379" s="112">
        <v>0.0</v>
      </c>
      <c r="AK379" s="112">
        <v>0.0</v>
      </c>
      <c r="AL379" s="112">
        <v>0.0</v>
      </c>
      <c r="AM379" s="112">
        <v>6.0</v>
      </c>
      <c r="AN379" s="112">
        <v>427.0</v>
      </c>
    </row>
    <row r="380">
      <c r="A380" s="107" t="s">
        <v>207</v>
      </c>
      <c r="B380" s="111" t="s">
        <v>198</v>
      </c>
      <c r="C380" s="109">
        <v>33544.0</v>
      </c>
      <c r="D380" s="109">
        <v>9175.0</v>
      </c>
      <c r="E380" s="109">
        <v>24369.0</v>
      </c>
      <c r="F380" s="112">
        <v>331.0</v>
      </c>
      <c r="G380" s="112">
        <v>321.0</v>
      </c>
      <c r="H380" s="112">
        <v>290.0</v>
      </c>
      <c r="I380" s="112">
        <v>319.0</v>
      </c>
      <c r="J380" s="112">
        <v>280.0</v>
      </c>
      <c r="K380" s="112">
        <v>310.0</v>
      </c>
      <c r="L380" s="112">
        <v>332.0</v>
      </c>
      <c r="M380" s="112">
        <v>557.0</v>
      </c>
      <c r="N380" s="112">
        <v>192.0</v>
      </c>
      <c r="O380" s="112">
        <v>589.0</v>
      </c>
      <c r="P380" s="112">
        <v>247.0</v>
      </c>
      <c r="Q380" s="112">
        <v>889.0</v>
      </c>
      <c r="R380" s="112">
        <v>261.0</v>
      </c>
      <c r="S380" s="109">
        <v>1057.0</v>
      </c>
      <c r="T380" s="112">
        <v>317.0</v>
      </c>
      <c r="U380" s="109">
        <v>1241.0</v>
      </c>
      <c r="V380" s="112">
        <v>417.0</v>
      </c>
      <c r="W380" s="109">
        <v>1526.0</v>
      </c>
      <c r="X380" s="112">
        <v>544.0</v>
      </c>
      <c r="Y380" s="109">
        <v>2063.0</v>
      </c>
      <c r="Z380" s="112">
        <v>740.0</v>
      </c>
      <c r="AA380" s="109">
        <v>2791.0</v>
      </c>
      <c r="AB380" s="112">
        <v>861.0</v>
      </c>
      <c r="AC380" s="109">
        <v>2858.0</v>
      </c>
      <c r="AD380" s="112">
        <v>908.0</v>
      </c>
      <c r="AE380" s="109">
        <v>2629.0</v>
      </c>
      <c r="AF380" s="112">
        <v>997.0</v>
      </c>
      <c r="AG380" s="109">
        <v>2384.0</v>
      </c>
      <c r="AH380" s="112">
        <v>939.0</v>
      </c>
      <c r="AI380" s="109">
        <v>1923.0</v>
      </c>
      <c r="AJ380" s="112">
        <v>720.0</v>
      </c>
      <c r="AK380" s="109">
        <v>1393.0</v>
      </c>
      <c r="AL380" s="112">
        <v>799.0</v>
      </c>
      <c r="AM380" s="109">
        <v>1519.0</v>
      </c>
      <c r="AN380" s="109">
        <v>33017.0</v>
      </c>
    </row>
    <row r="381">
      <c r="A381" s="98"/>
      <c r="B381" s="111" t="s">
        <v>199</v>
      </c>
      <c r="C381" s="109">
        <v>2722.0</v>
      </c>
      <c r="D381" s="109">
        <v>1034.0</v>
      </c>
      <c r="E381" s="109">
        <v>1688.0</v>
      </c>
      <c r="F381" s="112">
        <v>11.0</v>
      </c>
      <c r="G381" s="112">
        <v>4.0</v>
      </c>
      <c r="H381" s="112">
        <v>4.0</v>
      </c>
      <c r="I381" s="112">
        <v>4.0</v>
      </c>
      <c r="J381" s="112">
        <v>8.0</v>
      </c>
      <c r="K381" s="112">
        <v>12.0</v>
      </c>
      <c r="L381" s="112">
        <v>3.0</v>
      </c>
      <c r="M381" s="112">
        <v>9.0</v>
      </c>
      <c r="N381" s="112">
        <v>3.0</v>
      </c>
      <c r="O381" s="112">
        <v>7.0</v>
      </c>
      <c r="P381" s="112">
        <v>1.0</v>
      </c>
      <c r="Q381" s="112">
        <v>15.0</v>
      </c>
      <c r="R381" s="112">
        <v>12.0</v>
      </c>
      <c r="S381" s="112">
        <v>34.0</v>
      </c>
      <c r="T381" s="112">
        <v>10.0</v>
      </c>
      <c r="U381" s="112">
        <v>44.0</v>
      </c>
      <c r="V381" s="112">
        <v>28.0</v>
      </c>
      <c r="W381" s="112">
        <v>55.0</v>
      </c>
      <c r="X381" s="112">
        <v>44.0</v>
      </c>
      <c r="Y381" s="112">
        <v>95.0</v>
      </c>
      <c r="Z381" s="112">
        <v>74.0</v>
      </c>
      <c r="AA381" s="112">
        <v>190.0</v>
      </c>
      <c r="AB381" s="112">
        <v>102.0</v>
      </c>
      <c r="AC381" s="112">
        <v>169.0</v>
      </c>
      <c r="AD381" s="112">
        <v>151.0</v>
      </c>
      <c r="AE381" s="112">
        <v>217.0</v>
      </c>
      <c r="AF381" s="112">
        <v>154.0</v>
      </c>
      <c r="AG381" s="112">
        <v>215.0</v>
      </c>
      <c r="AH381" s="112">
        <v>158.0</v>
      </c>
      <c r="AI381" s="112">
        <v>231.0</v>
      </c>
      <c r="AJ381" s="112">
        <v>157.0</v>
      </c>
      <c r="AK381" s="112">
        <v>190.0</v>
      </c>
      <c r="AL381" s="112">
        <v>114.0</v>
      </c>
      <c r="AM381" s="112">
        <v>197.0</v>
      </c>
      <c r="AN381" s="109">
        <v>2658.0</v>
      </c>
    </row>
    <row r="382">
      <c r="A382" s="98"/>
      <c r="B382" s="111" t="s">
        <v>206</v>
      </c>
      <c r="C382" s="109">
        <v>1127.0</v>
      </c>
      <c r="D382" s="112">
        <v>282.0</v>
      </c>
      <c r="E382" s="112">
        <v>845.0</v>
      </c>
      <c r="F382" s="112">
        <v>192.0</v>
      </c>
      <c r="G382" s="112">
        <v>161.0</v>
      </c>
      <c r="H382" s="112">
        <v>7.0</v>
      </c>
      <c r="I382" s="112">
        <v>66.0</v>
      </c>
      <c r="J382" s="112">
        <v>1.0</v>
      </c>
      <c r="K382" s="112">
        <v>3.0</v>
      </c>
      <c r="L382" s="112">
        <v>5.0</v>
      </c>
      <c r="M382" s="112">
        <v>179.0</v>
      </c>
      <c r="N382" s="112">
        <v>17.0</v>
      </c>
      <c r="O382" s="112">
        <v>65.0</v>
      </c>
      <c r="P382" s="112">
        <v>14.0</v>
      </c>
      <c r="Q382" s="112">
        <v>85.0</v>
      </c>
      <c r="R382" s="112">
        <v>15.0</v>
      </c>
      <c r="S382" s="112">
        <v>65.0</v>
      </c>
      <c r="T382" s="112">
        <v>17.0</v>
      </c>
      <c r="U382" s="112">
        <v>105.0</v>
      </c>
      <c r="V382" s="112">
        <v>1.0</v>
      </c>
      <c r="W382" s="112">
        <v>23.0</v>
      </c>
      <c r="X382" s="112">
        <v>1.0</v>
      </c>
      <c r="Y382" s="112">
        <v>17.0</v>
      </c>
      <c r="Z382" s="112">
        <v>2.0</v>
      </c>
      <c r="AA382" s="112">
        <v>26.0</v>
      </c>
      <c r="AB382" s="112">
        <v>3.0</v>
      </c>
      <c r="AC382" s="112">
        <v>24.0</v>
      </c>
      <c r="AD382" s="112">
        <v>1.0</v>
      </c>
      <c r="AE382" s="112">
        <v>13.0</v>
      </c>
      <c r="AF382" s="112">
        <v>1.0</v>
      </c>
      <c r="AG382" s="112">
        <v>8.0</v>
      </c>
      <c r="AH382" s="112">
        <v>1.0</v>
      </c>
      <c r="AI382" s="112">
        <v>2.0</v>
      </c>
      <c r="AJ382" s="112">
        <v>4.0</v>
      </c>
      <c r="AK382" s="112">
        <v>1.0</v>
      </c>
      <c r="AL382" s="112">
        <v>0.0</v>
      </c>
      <c r="AM382" s="112">
        <v>2.0</v>
      </c>
      <c r="AN382" s="109">
        <v>1130.0</v>
      </c>
    </row>
    <row r="383">
      <c r="A383" s="98"/>
      <c r="B383" s="111" t="s">
        <v>200</v>
      </c>
      <c r="C383" s="109">
        <v>12315.0</v>
      </c>
      <c r="D383" s="109">
        <v>4465.0</v>
      </c>
      <c r="E383" s="109">
        <v>7850.0</v>
      </c>
      <c r="F383" s="109">
        <v>2093.0</v>
      </c>
      <c r="G383" s="109">
        <v>2030.0</v>
      </c>
      <c r="H383" s="112">
        <v>780.0</v>
      </c>
      <c r="I383" s="112">
        <v>794.0</v>
      </c>
      <c r="J383" s="112">
        <v>262.0</v>
      </c>
      <c r="K383" s="112">
        <v>369.0</v>
      </c>
      <c r="L383" s="112">
        <v>116.0</v>
      </c>
      <c r="M383" s="112">
        <v>503.0</v>
      </c>
      <c r="N383" s="112">
        <v>60.0</v>
      </c>
      <c r="O383" s="112">
        <v>489.0</v>
      </c>
      <c r="P383" s="112">
        <v>80.0</v>
      </c>
      <c r="Q383" s="112">
        <v>564.0</v>
      </c>
      <c r="R383" s="112">
        <v>67.0</v>
      </c>
      <c r="S383" s="112">
        <v>468.0</v>
      </c>
      <c r="T383" s="112">
        <v>91.0</v>
      </c>
      <c r="U383" s="112">
        <v>411.0</v>
      </c>
      <c r="V383" s="112">
        <v>97.0</v>
      </c>
      <c r="W383" s="112">
        <v>335.0</v>
      </c>
      <c r="X383" s="112">
        <v>97.0</v>
      </c>
      <c r="Y383" s="112">
        <v>340.0</v>
      </c>
      <c r="Z383" s="112">
        <v>114.0</v>
      </c>
      <c r="AA383" s="112">
        <v>345.0</v>
      </c>
      <c r="AB383" s="112">
        <v>110.0</v>
      </c>
      <c r="AC383" s="112">
        <v>339.0</v>
      </c>
      <c r="AD383" s="112">
        <v>99.0</v>
      </c>
      <c r="AE383" s="112">
        <v>237.0</v>
      </c>
      <c r="AF383" s="112">
        <v>94.0</v>
      </c>
      <c r="AG383" s="112">
        <v>189.0</v>
      </c>
      <c r="AH383" s="112">
        <v>109.0</v>
      </c>
      <c r="AI383" s="112">
        <v>166.0</v>
      </c>
      <c r="AJ383" s="112">
        <v>95.0</v>
      </c>
      <c r="AK383" s="112">
        <v>128.0</v>
      </c>
      <c r="AL383" s="112">
        <v>101.0</v>
      </c>
      <c r="AM383" s="112">
        <v>143.0</v>
      </c>
      <c r="AN383" s="109">
        <v>11885.0</v>
      </c>
    </row>
    <row r="384">
      <c r="A384" s="104"/>
      <c r="B384" s="111" t="s">
        <v>201</v>
      </c>
      <c r="C384" s="109">
        <v>2381.0</v>
      </c>
      <c r="D384" s="112">
        <v>816.0</v>
      </c>
      <c r="E384" s="109">
        <v>1565.0</v>
      </c>
      <c r="F384" s="112">
        <v>82.0</v>
      </c>
      <c r="G384" s="112">
        <v>85.0</v>
      </c>
      <c r="H384" s="112">
        <v>40.0</v>
      </c>
      <c r="I384" s="112">
        <v>44.0</v>
      </c>
      <c r="J384" s="112">
        <v>44.0</v>
      </c>
      <c r="K384" s="112">
        <v>48.0</v>
      </c>
      <c r="L384" s="112">
        <v>15.0</v>
      </c>
      <c r="M384" s="112">
        <v>68.0</v>
      </c>
      <c r="N384" s="112">
        <v>22.0</v>
      </c>
      <c r="O384" s="112">
        <v>45.0</v>
      </c>
      <c r="P384" s="112">
        <v>25.0</v>
      </c>
      <c r="Q384" s="112">
        <v>84.0</v>
      </c>
      <c r="R384" s="112">
        <v>16.0</v>
      </c>
      <c r="S384" s="112">
        <v>95.0</v>
      </c>
      <c r="T384" s="112">
        <v>41.0</v>
      </c>
      <c r="U384" s="112">
        <v>84.0</v>
      </c>
      <c r="V384" s="112">
        <v>43.0</v>
      </c>
      <c r="W384" s="112">
        <v>115.0</v>
      </c>
      <c r="X384" s="112">
        <v>47.0</v>
      </c>
      <c r="Y384" s="112">
        <v>119.0</v>
      </c>
      <c r="Z384" s="112">
        <v>70.0</v>
      </c>
      <c r="AA384" s="112">
        <v>172.0</v>
      </c>
      <c r="AB384" s="112">
        <v>43.0</v>
      </c>
      <c r="AC384" s="112">
        <v>109.0</v>
      </c>
      <c r="AD384" s="112">
        <v>57.0</v>
      </c>
      <c r="AE384" s="112">
        <v>112.0</v>
      </c>
      <c r="AF384" s="112">
        <v>92.0</v>
      </c>
      <c r="AG384" s="112">
        <v>135.0</v>
      </c>
      <c r="AH384" s="112">
        <v>82.0</v>
      </c>
      <c r="AI384" s="112">
        <v>107.0</v>
      </c>
      <c r="AJ384" s="112">
        <v>38.0</v>
      </c>
      <c r="AK384" s="112">
        <v>72.0</v>
      </c>
      <c r="AL384" s="112">
        <v>59.0</v>
      </c>
      <c r="AM384" s="112">
        <v>71.0</v>
      </c>
      <c r="AN384" s="109">
        <v>2313.0</v>
      </c>
    </row>
    <row r="385">
      <c r="A385" s="107" t="s">
        <v>208</v>
      </c>
      <c r="B385" s="111" t="s">
        <v>198</v>
      </c>
      <c r="C385" s="112">
        <v>28.0</v>
      </c>
      <c r="D385" s="112">
        <v>16.0</v>
      </c>
      <c r="E385" s="112">
        <v>12.0</v>
      </c>
      <c r="F385" s="112">
        <v>14.0</v>
      </c>
      <c r="G385" s="112">
        <v>12.0</v>
      </c>
      <c r="H385" s="112">
        <v>1.0</v>
      </c>
      <c r="I385" s="112">
        <v>0.0</v>
      </c>
      <c r="J385" s="112">
        <v>1.0</v>
      </c>
      <c r="K385" s="112">
        <v>0.0</v>
      </c>
      <c r="L385" s="112">
        <v>0.0</v>
      </c>
      <c r="M385" s="112">
        <v>0.0</v>
      </c>
      <c r="N385" s="112">
        <v>0.0</v>
      </c>
      <c r="O385" s="112">
        <v>0.0</v>
      </c>
      <c r="P385" s="110">
        <v>0.0</v>
      </c>
      <c r="Q385" s="110">
        <v>0.0</v>
      </c>
      <c r="R385" s="110">
        <v>0.0</v>
      </c>
      <c r="S385" s="110">
        <v>0.0</v>
      </c>
      <c r="T385" s="110">
        <v>0.0</v>
      </c>
      <c r="U385" s="110">
        <v>0.0</v>
      </c>
      <c r="V385" s="110">
        <v>0.0</v>
      </c>
      <c r="W385" s="110">
        <v>0.0</v>
      </c>
      <c r="X385" s="110">
        <v>0.0</v>
      </c>
      <c r="Y385" s="110">
        <v>0.0</v>
      </c>
      <c r="Z385" s="110">
        <v>0.0</v>
      </c>
      <c r="AA385" s="110">
        <v>0.0</v>
      </c>
      <c r="AB385" s="110">
        <v>0.0</v>
      </c>
      <c r="AC385" s="110">
        <v>0.0</v>
      </c>
      <c r="AD385" s="110">
        <v>0.0</v>
      </c>
      <c r="AE385" s="110">
        <v>0.0</v>
      </c>
      <c r="AF385" s="110">
        <v>0.0</v>
      </c>
      <c r="AG385" s="110">
        <v>0.0</v>
      </c>
      <c r="AH385" s="110">
        <v>0.0</v>
      </c>
      <c r="AI385" s="110">
        <v>0.0</v>
      </c>
      <c r="AJ385" s="110">
        <v>0.0</v>
      </c>
      <c r="AK385" s="110">
        <v>0.0</v>
      </c>
      <c r="AL385" s="110">
        <v>0.0</v>
      </c>
      <c r="AM385" s="110">
        <v>0.0</v>
      </c>
      <c r="AN385" s="112">
        <v>28.0</v>
      </c>
    </row>
    <row r="386">
      <c r="A386" s="98"/>
      <c r="B386" s="111" t="s">
        <v>199</v>
      </c>
      <c r="C386" s="112">
        <v>276.0</v>
      </c>
      <c r="D386" s="112">
        <v>169.0</v>
      </c>
      <c r="E386" s="112">
        <v>107.0</v>
      </c>
      <c r="F386" s="112">
        <v>151.0</v>
      </c>
      <c r="G386" s="112">
        <v>85.0</v>
      </c>
      <c r="H386" s="112">
        <v>17.0</v>
      </c>
      <c r="I386" s="112">
        <v>22.0</v>
      </c>
      <c r="J386" s="112">
        <v>0.0</v>
      </c>
      <c r="K386" s="112">
        <v>0.0</v>
      </c>
      <c r="L386" s="112">
        <v>0.0</v>
      </c>
      <c r="M386" s="112">
        <v>0.0</v>
      </c>
      <c r="N386" s="112">
        <v>1.0</v>
      </c>
      <c r="O386" s="112">
        <v>0.0</v>
      </c>
      <c r="P386" s="110">
        <v>0.0</v>
      </c>
      <c r="Q386" s="110">
        <v>0.0</v>
      </c>
      <c r="R386" s="110">
        <v>0.0</v>
      </c>
      <c r="S386" s="110">
        <v>0.0</v>
      </c>
      <c r="T386" s="110">
        <v>0.0</v>
      </c>
      <c r="U386" s="110">
        <v>0.0</v>
      </c>
      <c r="V386" s="110">
        <v>0.0</v>
      </c>
      <c r="W386" s="110">
        <v>0.0</v>
      </c>
      <c r="X386" s="110">
        <v>0.0</v>
      </c>
      <c r="Y386" s="110">
        <v>0.0</v>
      </c>
      <c r="Z386" s="110">
        <v>0.0</v>
      </c>
      <c r="AA386" s="110">
        <v>0.0</v>
      </c>
      <c r="AB386" s="110">
        <v>0.0</v>
      </c>
      <c r="AC386" s="110">
        <v>0.0</v>
      </c>
      <c r="AD386" s="110">
        <v>0.0</v>
      </c>
      <c r="AE386" s="110">
        <v>0.0</v>
      </c>
      <c r="AF386" s="110">
        <v>0.0</v>
      </c>
      <c r="AG386" s="110">
        <v>0.0</v>
      </c>
      <c r="AH386" s="110">
        <v>0.0</v>
      </c>
      <c r="AI386" s="110">
        <v>0.0</v>
      </c>
      <c r="AJ386" s="110">
        <v>0.0</v>
      </c>
      <c r="AK386" s="110">
        <v>0.0</v>
      </c>
      <c r="AL386" s="110">
        <v>0.0</v>
      </c>
      <c r="AM386" s="110">
        <v>0.0</v>
      </c>
      <c r="AN386" s="112">
        <v>268.0</v>
      </c>
    </row>
    <row r="387">
      <c r="A387" s="98"/>
      <c r="B387" s="111" t="s">
        <v>206</v>
      </c>
      <c r="C387" s="112">
        <v>7.0</v>
      </c>
      <c r="D387" s="112">
        <v>7.0</v>
      </c>
      <c r="E387" s="112">
        <v>0.0</v>
      </c>
      <c r="F387" s="112">
        <v>7.0</v>
      </c>
      <c r="G387" s="112">
        <v>0.0</v>
      </c>
      <c r="H387" s="112">
        <v>0.0</v>
      </c>
      <c r="I387" s="112">
        <v>0.0</v>
      </c>
      <c r="J387" s="112">
        <v>0.0</v>
      </c>
      <c r="K387" s="112">
        <v>0.0</v>
      </c>
      <c r="L387" s="112">
        <v>0.0</v>
      </c>
      <c r="M387" s="112">
        <v>0.0</v>
      </c>
      <c r="N387" s="112">
        <v>0.0</v>
      </c>
      <c r="O387" s="112">
        <v>0.0</v>
      </c>
      <c r="P387" s="110">
        <v>0.0</v>
      </c>
      <c r="Q387" s="110">
        <v>0.0</v>
      </c>
      <c r="R387" s="110">
        <v>0.0</v>
      </c>
      <c r="S387" s="110">
        <v>0.0</v>
      </c>
      <c r="T387" s="110">
        <v>0.0</v>
      </c>
      <c r="U387" s="110">
        <v>0.0</v>
      </c>
      <c r="V387" s="110">
        <v>0.0</v>
      </c>
      <c r="W387" s="110">
        <v>0.0</v>
      </c>
      <c r="X387" s="110">
        <v>0.0</v>
      </c>
      <c r="Y387" s="110">
        <v>0.0</v>
      </c>
      <c r="Z387" s="110">
        <v>0.0</v>
      </c>
      <c r="AA387" s="110">
        <v>0.0</v>
      </c>
      <c r="AB387" s="110">
        <v>0.0</v>
      </c>
      <c r="AC387" s="110">
        <v>0.0</v>
      </c>
      <c r="AD387" s="110">
        <v>0.0</v>
      </c>
      <c r="AE387" s="110">
        <v>0.0</v>
      </c>
      <c r="AF387" s="110">
        <v>0.0</v>
      </c>
      <c r="AG387" s="110">
        <v>0.0</v>
      </c>
      <c r="AH387" s="110">
        <v>0.0</v>
      </c>
      <c r="AI387" s="110">
        <v>0.0</v>
      </c>
      <c r="AJ387" s="110">
        <v>0.0</v>
      </c>
      <c r="AK387" s="110">
        <v>0.0</v>
      </c>
      <c r="AL387" s="110">
        <v>0.0</v>
      </c>
      <c r="AM387" s="110">
        <v>0.0</v>
      </c>
      <c r="AN387" s="112">
        <v>6.0</v>
      </c>
    </row>
    <row r="388">
      <c r="A388" s="98"/>
      <c r="B388" s="111" t="s">
        <v>200</v>
      </c>
      <c r="C388" s="112">
        <v>131.0</v>
      </c>
      <c r="D388" s="112">
        <v>74.0</v>
      </c>
      <c r="E388" s="112">
        <v>57.0</v>
      </c>
      <c r="F388" s="112">
        <v>68.0</v>
      </c>
      <c r="G388" s="112">
        <v>52.0</v>
      </c>
      <c r="H388" s="112">
        <v>6.0</v>
      </c>
      <c r="I388" s="112">
        <v>5.0</v>
      </c>
      <c r="J388" s="112">
        <v>0.0</v>
      </c>
      <c r="K388" s="112">
        <v>0.0</v>
      </c>
      <c r="L388" s="112">
        <v>0.0</v>
      </c>
      <c r="M388" s="112">
        <v>0.0</v>
      </c>
      <c r="N388" s="112">
        <v>0.0</v>
      </c>
      <c r="O388" s="112">
        <v>0.0</v>
      </c>
      <c r="P388" s="110">
        <v>0.0</v>
      </c>
      <c r="Q388" s="110">
        <v>0.0</v>
      </c>
      <c r="R388" s="110">
        <v>0.0</v>
      </c>
      <c r="S388" s="110">
        <v>0.0</v>
      </c>
      <c r="T388" s="110">
        <v>0.0</v>
      </c>
      <c r="U388" s="110">
        <v>0.0</v>
      </c>
      <c r="V388" s="110">
        <v>0.0</v>
      </c>
      <c r="W388" s="110">
        <v>0.0</v>
      </c>
      <c r="X388" s="110">
        <v>0.0</v>
      </c>
      <c r="Y388" s="110">
        <v>0.0</v>
      </c>
      <c r="Z388" s="110">
        <v>0.0</v>
      </c>
      <c r="AA388" s="110">
        <v>0.0</v>
      </c>
      <c r="AB388" s="110">
        <v>0.0</v>
      </c>
      <c r="AC388" s="110">
        <v>0.0</v>
      </c>
      <c r="AD388" s="110">
        <v>0.0</v>
      </c>
      <c r="AE388" s="110">
        <v>0.0</v>
      </c>
      <c r="AF388" s="110">
        <v>0.0</v>
      </c>
      <c r="AG388" s="110">
        <v>0.0</v>
      </c>
      <c r="AH388" s="110">
        <v>0.0</v>
      </c>
      <c r="AI388" s="110">
        <v>0.0</v>
      </c>
      <c r="AJ388" s="110">
        <v>0.0</v>
      </c>
      <c r="AK388" s="110">
        <v>0.0</v>
      </c>
      <c r="AL388" s="110">
        <v>0.0</v>
      </c>
      <c r="AM388" s="110">
        <v>0.0</v>
      </c>
      <c r="AN388" s="112">
        <v>131.0</v>
      </c>
    </row>
    <row r="389">
      <c r="A389" s="104"/>
      <c r="B389" s="111" t="s">
        <v>201</v>
      </c>
      <c r="C389" s="112">
        <v>13.0</v>
      </c>
      <c r="D389" s="112">
        <v>8.0</v>
      </c>
      <c r="E389" s="112">
        <v>5.0</v>
      </c>
      <c r="F389" s="112">
        <v>8.0</v>
      </c>
      <c r="G389" s="112">
        <v>2.0</v>
      </c>
      <c r="H389" s="112">
        <v>0.0</v>
      </c>
      <c r="I389" s="112">
        <v>3.0</v>
      </c>
      <c r="J389" s="112">
        <v>0.0</v>
      </c>
      <c r="K389" s="112">
        <v>0.0</v>
      </c>
      <c r="L389" s="112">
        <v>0.0</v>
      </c>
      <c r="M389" s="112">
        <v>0.0</v>
      </c>
      <c r="N389" s="112">
        <v>0.0</v>
      </c>
      <c r="O389" s="112">
        <v>0.0</v>
      </c>
      <c r="P389" s="110">
        <v>0.0</v>
      </c>
      <c r="Q389" s="110">
        <v>0.0</v>
      </c>
      <c r="R389" s="110">
        <v>0.0</v>
      </c>
      <c r="S389" s="110">
        <v>0.0</v>
      </c>
      <c r="T389" s="110">
        <v>0.0</v>
      </c>
      <c r="U389" s="110">
        <v>0.0</v>
      </c>
      <c r="V389" s="110">
        <v>0.0</v>
      </c>
      <c r="W389" s="110">
        <v>0.0</v>
      </c>
      <c r="X389" s="110">
        <v>0.0</v>
      </c>
      <c r="Y389" s="110">
        <v>0.0</v>
      </c>
      <c r="Z389" s="110">
        <v>0.0</v>
      </c>
      <c r="AA389" s="110">
        <v>0.0</v>
      </c>
      <c r="AB389" s="110">
        <v>0.0</v>
      </c>
      <c r="AC389" s="110">
        <v>0.0</v>
      </c>
      <c r="AD389" s="110">
        <v>0.0</v>
      </c>
      <c r="AE389" s="110">
        <v>0.0</v>
      </c>
      <c r="AF389" s="110">
        <v>0.0</v>
      </c>
      <c r="AG389" s="110">
        <v>0.0</v>
      </c>
      <c r="AH389" s="110">
        <v>0.0</v>
      </c>
      <c r="AI389" s="110">
        <v>0.0</v>
      </c>
      <c r="AJ389" s="110">
        <v>0.0</v>
      </c>
      <c r="AK389" s="110">
        <v>0.0</v>
      </c>
      <c r="AL389" s="110">
        <v>0.0</v>
      </c>
      <c r="AM389" s="110">
        <v>0.0</v>
      </c>
      <c r="AN389" s="112">
        <v>13.0</v>
      </c>
    </row>
    <row r="390">
      <c r="A390" s="113" t="s">
        <v>224</v>
      </c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</row>
    <row r="391">
      <c r="A391" s="107" t="s">
        <v>197</v>
      </c>
      <c r="B391" s="108" t="s">
        <v>198</v>
      </c>
      <c r="C391" s="109">
        <v>227140.0</v>
      </c>
      <c r="D391" s="109">
        <v>85218.0</v>
      </c>
      <c r="E391" s="109">
        <v>141922.0</v>
      </c>
      <c r="F391" s="110">
        <v>0.0</v>
      </c>
      <c r="G391" s="110">
        <v>0.0</v>
      </c>
      <c r="H391" s="110">
        <v>0.0</v>
      </c>
      <c r="I391" s="110">
        <v>0.0</v>
      </c>
      <c r="J391" s="110">
        <v>0.0</v>
      </c>
      <c r="K391" s="110">
        <v>0.0</v>
      </c>
      <c r="L391" s="112">
        <v>130.0</v>
      </c>
      <c r="M391" s="112">
        <v>154.0</v>
      </c>
      <c r="N391" s="112">
        <v>234.0</v>
      </c>
      <c r="O391" s="112">
        <v>366.0</v>
      </c>
      <c r="P391" s="112">
        <v>440.0</v>
      </c>
      <c r="Q391" s="112">
        <v>814.0</v>
      </c>
      <c r="R391" s="112">
        <v>766.0</v>
      </c>
      <c r="S391" s="109">
        <v>1378.0</v>
      </c>
      <c r="T391" s="109">
        <v>1420.0</v>
      </c>
      <c r="U391" s="109">
        <v>2898.0</v>
      </c>
      <c r="V391" s="109">
        <v>2649.0</v>
      </c>
      <c r="W391" s="109">
        <v>5601.0</v>
      </c>
      <c r="X391" s="109">
        <v>4557.0</v>
      </c>
      <c r="Y391" s="109">
        <v>10209.0</v>
      </c>
      <c r="Z391" s="109">
        <v>7787.0</v>
      </c>
      <c r="AA391" s="109">
        <v>16358.0</v>
      </c>
      <c r="AB391" s="109">
        <v>9899.0</v>
      </c>
      <c r="AC391" s="109">
        <v>19015.0</v>
      </c>
      <c r="AD391" s="109">
        <v>11573.0</v>
      </c>
      <c r="AE391" s="109">
        <v>20213.0</v>
      </c>
      <c r="AF391" s="109">
        <v>13009.0</v>
      </c>
      <c r="AG391" s="109">
        <v>19736.0</v>
      </c>
      <c r="AH391" s="109">
        <v>12731.0</v>
      </c>
      <c r="AI391" s="109">
        <v>17366.0</v>
      </c>
      <c r="AJ391" s="109">
        <v>10030.0</v>
      </c>
      <c r="AK391" s="109">
        <v>13018.0</v>
      </c>
      <c r="AL391" s="109">
        <v>9988.0</v>
      </c>
      <c r="AM391" s="109">
        <v>14714.0</v>
      </c>
      <c r="AN391" s="109">
        <v>222217.0</v>
      </c>
    </row>
    <row r="392">
      <c r="A392" s="98"/>
      <c r="B392" s="111" t="s">
        <v>199</v>
      </c>
      <c r="C392" s="109">
        <v>104319.0</v>
      </c>
      <c r="D392" s="109">
        <v>39469.0</v>
      </c>
      <c r="E392" s="109">
        <v>64850.0</v>
      </c>
      <c r="F392" s="110">
        <v>0.0</v>
      </c>
      <c r="G392" s="110">
        <v>0.0</v>
      </c>
      <c r="H392" s="110">
        <v>0.0</v>
      </c>
      <c r="I392" s="110">
        <v>0.0</v>
      </c>
      <c r="J392" s="110">
        <v>0.0</v>
      </c>
      <c r="K392" s="110">
        <v>0.0</v>
      </c>
      <c r="L392" s="112">
        <v>24.0</v>
      </c>
      <c r="M392" s="112">
        <v>31.0</v>
      </c>
      <c r="N392" s="112">
        <v>84.0</v>
      </c>
      <c r="O392" s="112">
        <v>103.0</v>
      </c>
      <c r="P392" s="112">
        <v>153.0</v>
      </c>
      <c r="Q392" s="112">
        <v>272.0</v>
      </c>
      <c r="R392" s="112">
        <v>292.0</v>
      </c>
      <c r="S392" s="112">
        <v>496.0</v>
      </c>
      <c r="T392" s="112">
        <v>541.0</v>
      </c>
      <c r="U392" s="109">
        <v>1135.0</v>
      </c>
      <c r="V392" s="109">
        <v>1058.0</v>
      </c>
      <c r="W392" s="109">
        <v>2240.0</v>
      </c>
      <c r="X392" s="109">
        <v>1839.0</v>
      </c>
      <c r="Y392" s="109">
        <v>4336.0</v>
      </c>
      <c r="Z392" s="109">
        <v>3170.0</v>
      </c>
      <c r="AA392" s="109">
        <v>6962.0</v>
      </c>
      <c r="AB392" s="109">
        <v>4100.0</v>
      </c>
      <c r="AC392" s="109">
        <v>7947.0</v>
      </c>
      <c r="AD392" s="109">
        <v>4794.0</v>
      </c>
      <c r="AE392" s="109">
        <v>8824.0</v>
      </c>
      <c r="AF392" s="109">
        <v>6291.0</v>
      </c>
      <c r="AG392" s="109">
        <v>9874.0</v>
      </c>
      <c r="AH392" s="109">
        <v>6738.0</v>
      </c>
      <c r="AI392" s="109">
        <v>8932.0</v>
      </c>
      <c r="AJ392" s="109">
        <v>5241.0</v>
      </c>
      <c r="AK392" s="109">
        <v>6679.0</v>
      </c>
      <c r="AL392" s="109">
        <v>5145.0</v>
      </c>
      <c r="AM392" s="109">
        <v>7018.0</v>
      </c>
      <c r="AN392" s="109">
        <v>101312.0</v>
      </c>
    </row>
    <row r="393">
      <c r="A393" s="98"/>
      <c r="B393" s="111" t="s">
        <v>200</v>
      </c>
      <c r="C393" s="109">
        <v>91589.0</v>
      </c>
      <c r="D393" s="109">
        <v>32569.0</v>
      </c>
      <c r="E393" s="109">
        <v>59020.0</v>
      </c>
      <c r="F393" s="110">
        <v>0.0</v>
      </c>
      <c r="G393" s="110">
        <v>0.0</v>
      </c>
      <c r="H393" s="110">
        <v>0.0</v>
      </c>
      <c r="I393" s="110">
        <v>0.0</v>
      </c>
      <c r="J393" s="110">
        <v>0.0</v>
      </c>
      <c r="K393" s="110">
        <v>0.0</v>
      </c>
      <c r="L393" s="112">
        <v>78.0</v>
      </c>
      <c r="M393" s="112">
        <v>127.0</v>
      </c>
      <c r="N393" s="112">
        <v>120.0</v>
      </c>
      <c r="O393" s="112">
        <v>251.0</v>
      </c>
      <c r="P393" s="112">
        <v>220.0</v>
      </c>
      <c r="Q393" s="112">
        <v>469.0</v>
      </c>
      <c r="R393" s="112">
        <v>360.0</v>
      </c>
      <c r="S393" s="112">
        <v>744.0</v>
      </c>
      <c r="T393" s="112">
        <v>636.0</v>
      </c>
      <c r="U393" s="109">
        <v>1444.0</v>
      </c>
      <c r="V393" s="109">
        <v>1170.0</v>
      </c>
      <c r="W393" s="109">
        <v>2571.0</v>
      </c>
      <c r="X393" s="109">
        <v>1862.0</v>
      </c>
      <c r="Y393" s="109">
        <v>4739.0</v>
      </c>
      <c r="Z393" s="109">
        <v>3104.0</v>
      </c>
      <c r="AA393" s="109">
        <v>7301.0</v>
      </c>
      <c r="AB393" s="109">
        <v>3715.0</v>
      </c>
      <c r="AC393" s="109">
        <v>8116.0</v>
      </c>
      <c r="AD393" s="109">
        <v>4193.0</v>
      </c>
      <c r="AE393" s="109">
        <v>8218.0</v>
      </c>
      <c r="AF393" s="109">
        <v>4898.0</v>
      </c>
      <c r="AG393" s="109">
        <v>8042.0</v>
      </c>
      <c r="AH393" s="109">
        <v>4984.0</v>
      </c>
      <c r="AI393" s="109">
        <v>6899.0</v>
      </c>
      <c r="AJ393" s="109">
        <v>3669.0</v>
      </c>
      <c r="AK393" s="109">
        <v>5034.0</v>
      </c>
      <c r="AL393" s="109">
        <v>3560.0</v>
      </c>
      <c r="AM393" s="109">
        <v>5064.0</v>
      </c>
      <c r="AN393" s="109">
        <v>88403.0</v>
      </c>
    </row>
    <row r="394">
      <c r="A394" s="104"/>
      <c r="B394" s="111" t="s">
        <v>201</v>
      </c>
      <c r="C394" s="109">
        <v>3982.0</v>
      </c>
      <c r="D394" s="109">
        <v>1616.0</v>
      </c>
      <c r="E394" s="109">
        <v>2366.0</v>
      </c>
      <c r="F394" s="110">
        <v>0.0</v>
      </c>
      <c r="G394" s="110">
        <v>0.0</v>
      </c>
      <c r="H394" s="110">
        <v>0.0</v>
      </c>
      <c r="I394" s="110">
        <v>0.0</v>
      </c>
      <c r="J394" s="110">
        <v>0.0</v>
      </c>
      <c r="K394" s="110">
        <v>0.0</v>
      </c>
      <c r="L394" s="112">
        <v>2.0</v>
      </c>
      <c r="M394" s="112">
        <v>3.0</v>
      </c>
      <c r="N394" s="112">
        <v>5.0</v>
      </c>
      <c r="O394" s="112">
        <v>11.0</v>
      </c>
      <c r="P394" s="112">
        <v>5.0</v>
      </c>
      <c r="Q394" s="112">
        <v>8.0</v>
      </c>
      <c r="R394" s="112">
        <v>12.0</v>
      </c>
      <c r="S394" s="112">
        <v>27.0</v>
      </c>
      <c r="T394" s="112">
        <v>49.0</v>
      </c>
      <c r="U394" s="112">
        <v>70.0</v>
      </c>
      <c r="V394" s="112">
        <v>39.0</v>
      </c>
      <c r="W394" s="112">
        <v>89.0</v>
      </c>
      <c r="X394" s="112">
        <v>94.0</v>
      </c>
      <c r="Y394" s="112">
        <v>166.0</v>
      </c>
      <c r="Z394" s="112">
        <v>134.0</v>
      </c>
      <c r="AA394" s="112">
        <v>269.0</v>
      </c>
      <c r="AB394" s="112">
        <v>176.0</v>
      </c>
      <c r="AC394" s="112">
        <v>322.0</v>
      </c>
      <c r="AD394" s="112">
        <v>212.0</v>
      </c>
      <c r="AE394" s="112">
        <v>312.0</v>
      </c>
      <c r="AF394" s="112">
        <v>266.0</v>
      </c>
      <c r="AG394" s="112">
        <v>366.0</v>
      </c>
      <c r="AH394" s="112">
        <v>268.0</v>
      </c>
      <c r="AI394" s="112">
        <v>268.0</v>
      </c>
      <c r="AJ394" s="112">
        <v>211.0</v>
      </c>
      <c r="AK394" s="112">
        <v>219.0</v>
      </c>
      <c r="AL394" s="112">
        <v>143.0</v>
      </c>
      <c r="AM394" s="112">
        <v>236.0</v>
      </c>
      <c r="AN394" s="109">
        <v>3879.0</v>
      </c>
    </row>
    <row r="395">
      <c r="A395" s="107" t="s">
        <v>202</v>
      </c>
      <c r="B395" s="111" t="s">
        <v>198</v>
      </c>
      <c r="C395" s="112">
        <v>225.0</v>
      </c>
      <c r="D395" s="112">
        <v>135.0</v>
      </c>
      <c r="E395" s="112">
        <v>90.0</v>
      </c>
      <c r="F395" s="112">
        <v>1.0</v>
      </c>
      <c r="G395" s="112">
        <v>0.0</v>
      </c>
      <c r="H395" s="112">
        <v>0.0</v>
      </c>
      <c r="I395" s="112">
        <v>0.0</v>
      </c>
      <c r="J395" s="112">
        <v>0.0</v>
      </c>
      <c r="K395" s="112">
        <v>5.0</v>
      </c>
      <c r="L395" s="112">
        <v>5.0</v>
      </c>
      <c r="M395" s="112">
        <v>2.0</v>
      </c>
      <c r="N395" s="112">
        <v>9.0</v>
      </c>
      <c r="O395" s="112">
        <v>2.0</v>
      </c>
      <c r="P395" s="112">
        <v>11.0</v>
      </c>
      <c r="Q395" s="112">
        <v>6.0</v>
      </c>
      <c r="R395" s="112">
        <v>13.0</v>
      </c>
      <c r="S395" s="112">
        <v>13.0</v>
      </c>
      <c r="T395" s="112">
        <v>2.0</v>
      </c>
      <c r="U395" s="112">
        <v>4.0</v>
      </c>
      <c r="V395" s="112">
        <v>7.0</v>
      </c>
      <c r="W395" s="112">
        <v>1.0</v>
      </c>
      <c r="X395" s="112">
        <v>7.0</v>
      </c>
      <c r="Y395" s="112">
        <v>9.0</v>
      </c>
      <c r="Z395" s="112">
        <v>5.0</v>
      </c>
      <c r="AA395" s="112">
        <v>8.0</v>
      </c>
      <c r="AB395" s="112">
        <v>36.0</v>
      </c>
      <c r="AC395" s="112">
        <v>2.0</v>
      </c>
      <c r="AD395" s="112">
        <v>18.0</v>
      </c>
      <c r="AE395" s="112">
        <v>19.0</v>
      </c>
      <c r="AF395" s="112">
        <v>4.0</v>
      </c>
      <c r="AG395" s="112">
        <v>7.0</v>
      </c>
      <c r="AH395" s="112">
        <v>10.0</v>
      </c>
      <c r="AI395" s="112">
        <v>4.0</v>
      </c>
      <c r="AJ395" s="112">
        <v>1.0</v>
      </c>
      <c r="AK395" s="112">
        <v>6.0</v>
      </c>
      <c r="AL395" s="112">
        <v>6.0</v>
      </c>
      <c r="AM395" s="112">
        <v>2.0</v>
      </c>
      <c r="AN395" s="112">
        <v>205.0</v>
      </c>
    </row>
    <row r="396">
      <c r="A396" s="104"/>
      <c r="B396" s="111" t="s">
        <v>199</v>
      </c>
      <c r="C396" s="112">
        <v>135.0</v>
      </c>
      <c r="D396" s="112">
        <v>77.0</v>
      </c>
      <c r="E396" s="112">
        <v>58.0</v>
      </c>
      <c r="F396" s="112">
        <v>7.0</v>
      </c>
      <c r="G396" s="112">
        <v>4.0</v>
      </c>
      <c r="H396" s="112">
        <v>1.0</v>
      </c>
      <c r="I396" s="112">
        <v>1.0</v>
      </c>
      <c r="J396" s="112">
        <v>0.0</v>
      </c>
      <c r="K396" s="112">
        <v>1.0</v>
      </c>
      <c r="L396" s="112">
        <v>2.0</v>
      </c>
      <c r="M396" s="112">
        <v>1.0</v>
      </c>
      <c r="N396" s="112">
        <v>4.0</v>
      </c>
      <c r="O396" s="112">
        <v>4.0</v>
      </c>
      <c r="P396" s="112">
        <v>4.0</v>
      </c>
      <c r="Q396" s="112">
        <v>2.0</v>
      </c>
      <c r="R396" s="112">
        <v>4.0</v>
      </c>
      <c r="S396" s="112">
        <v>7.0</v>
      </c>
      <c r="T396" s="112">
        <v>2.0</v>
      </c>
      <c r="U396" s="112">
        <v>2.0</v>
      </c>
      <c r="V396" s="112">
        <v>4.0</v>
      </c>
      <c r="W396" s="112">
        <v>1.0</v>
      </c>
      <c r="X396" s="112">
        <v>7.0</v>
      </c>
      <c r="Y396" s="112">
        <v>9.0</v>
      </c>
      <c r="Z396" s="112">
        <v>3.0</v>
      </c>
      <c r="AA396" s="112">
        <v>10.0</v>
      </c>
      <c r="AB396" s="112">
        <v>11.0</v>
      </c>
      <c r="AC396" s="112">
        <v>2.0</v>
      </c>
      <c r="AD396" s="112">
        <v>10.0</v>
      </c>
      <c r="AE396" s="112">
        <v>1.0</v>
      </c>
      <c r="AF396" s="112">
        <v>1.0</v>
      </c>
      <c r="AG396" s="112">
        <v>5.0</v>
      </c>
      <c r="AH396" s="112">
        <v>9.0</v>
      </c>
      <c r="AI396" s="112">
        <v>3.0</v>
      </c>
      <c r="AJ396" s="112">
        <v>3.0</v>
      </c>
      <c r="AK396" s="112">
        <v>4.0</v>
      </c>
      <c r="AL396" s="112">
        <v>5.0</v>
      </c>
      <c r="AM396" s="112">
        <v>1.0</v>
      </c>
      <c r="AN396" s="112">
        <v>90.0</v>
      </c>
    </row>
    <row r="397">
      <c r="A397" s="107" t="s">
        <v>203</v>
      </c>
      <c r="B397" s="111" t="s">
        <v>198</v>
      </c>
      <c r="C397" s="112">
        <v>30.0</v>
      </c>
      <c r="D397" s="112">
        <v>14.0</v>
      </c>
      <c r="E397" s="112">
        <v>16.0</v>
      </c>
      <c r="F397" s="110">
        <v>0.0</v>
      </c>
      <c r="G397" s="110">
        <v>0.0</v>
      </c>
      <c r="H397" s="110">
        <v>0.0</v>
      </c>
      <c r="I397" s="110">
        <v>0.0</v>
      </c>
      <c r="J397" s="110">
        <v>0.0</v>
      </c>
      <c r="K397" s="110">
        <v>0.0</v>
      </c>
      <c r="L397" s="110">
        <v>0.0</v>
      </c>
      <c r="M397" s="110">
        <v>0.0</v>
      </c>
      <c r="N397" s="110">
        <v>0.0</v>
      </c>
      <c r="O397" s="110">
        <v>0.0</v>
      </c>
      <c r="P397" s="110">
        <v>0.0</v>
      </c>
      <c r="Q397" s="110">
        <v>0.0</v>
      </c>
      <c r="R397" s="110">
        <v>0.0</v>
      </c>
      <c r="S397" s="110">
        <v>0.0</v>
      </c>
      <c r="T397" s="110">
        <v>0.0</v>
      </c>
      <c r="U397" s="110">
        <v>0.0</v>
      </c>
      <c r="V397" s="110">
        <v>0.0</v>
      </c>
      <c r="W397" s="110">
        <v>0.0</v>
      </c>
      <c r="X397" s="110">
        <v>0.0</v>
      </c>
      <c r="Y397" s="110">
        <v>0.0</v>
      </c>
      <c r="Z397" s="110">
        <v>0.0</v>
      </c>
      <c r="AA397" s="110">
        <v>0.0</v>
      </c>
      <c r="AB397" s="110">
        <v>0.0</v>
      </c>
      <c r="AC397" s="110">
        <v>0.0</v>
      </c>
      <c r="AD397" s="110">
        <v>0.0</v>
      </c>
      <c r="AE397" s="110">
        <v>0.0</v>
      </c>
      <c r="AF397" s="112">
        <v>2.0</v>
      </c>
      <c r="AG397" s="112">
        <v>1.0</v>
      </c>
      <c r="AH397" s="112">
        <v>3.0</v>
      </c>
      <c r="AI397" s="112">
        <v>2.0</v>
      </c>
      <c r="AJ397" s="112">
        <v>6.0</v>
      </c>
      <c r="AK397" s="112">
        <v>5.0</v>
      </c>
      <c r="AL397" s="112">
        <v>3.0</v>
      </c>
      <c r="AM397" s="112">
        <v>8.0</v>
      </c>
      <c r="AN397" s="112">
        <v>29.0</v>
      </c>
    </row>
    <row r="398">
      <c r="A398" s="104"/>
      <c r="B398" s="111" t="s">
        <v>199</v>
      </c>
      <c r="C398" s="109">
        <v>1211.0</v>
      </c>
      <c r="D398" s="112">
        <v>515.0</v>
      </c>
      <c r="E398" s="112">
        <v>696.0</v>
      </c>
      <c r="F398" s="110">
        <v>0.0</v>
      </c>
      <c r="G398" s="110">
        <v>0.0</v>
      </c>
      <c r="H398" s="110">
        <v>0.0</v>
      </c>
      <c r="I398" s="110">
        <v>0.0</v>
      </c>
      <c r="J398" s="110">
        <v>0.0</v>
      </c>
      <c r="K398" s="110">
        <v>0.0</v>
      </c>
      <c r="L398" s="110">
        <v>0.0</v>
      </c>
      <c r="M398" s="110">
        <v>0.0</v>
      </c>
      <c r="N398" s="110">
        <v>0.0</v>
      </c>
      <c r="O398" s="110">
        <v>0.0</v>
      </c>
      <c r="P398" s="110">
        <v>0.0</v>
      </c>
      <c r="Q398" s="110">
        <v>0.0</v>
      </c>
      <c r="R398" s="110">
        <v>0.0</v>
      </c>
      <c r="S398" s="110">
        <v>0.0</v>
      </c>
      <c r="T398" s="110">
        <v>0.0</v>
      </c>
      <c r="U398" s="110">
        <v>0.0</v>
      </c>
      <c r="V398" s="110">
        <v>0.0</v>
      </c>
      <c r="W398" s="110">
        <v>0.0</v>
      </c>
      <c r="X398" s="110">
        <v>0.0</v>
      </c>
      <c r="Y398" s="110">
        <v>0.0</v>
      </c>
      <c r="Z398" s="110">
        <v>0.0</v>
      </c>
      <c r="AA398" s="110">
        <v>0.0</v>
      </c>
      <c r="AB398" s="110">
        <v>0.0</v>
      </c>
      <c r="AC398" s="110">
        <v>0.0</v>
      </c>
      <c r="AD398" s="110">
        <v>0.0</v>
      </c>
      <c r="AE398" s="110">
        <v>0.0</v>
      </c>
      <c r="AF398" s="112">
        <v>163.0</v>
      </c>
      <c r="AG398" s="112">
        <v>246.0</v>
      </c>
      <c r="AH398" s="112">
        <v>183.0</v>
      </c>
      <c r="AI398" s="112">
        <v>226.0</v>
      </c>
      <c r="AJ398" s="112">
        <v>119.0</v>
      </c>
      <c r="AK398" s="112">
        <v>135.0</v>
      </c>
      <c r="AL398" s="112">
        <v>50.0</v>
      </c>
      <c r="AM398" s="112">
        <v>89.0</v>
      </c>
      <c r="AN398" s="109">
        <v>1106.0</v>
      </c>
    </row>
    <row r="399">
      <c r="A399" s="107" t="s">
        <v>204</v>
      </c>
      <c r="B399" s="111" t="s">
        <v>198</v>
      </c>
      <c r="C399" s="112">
        <v>12.0</v>
      </c>
      <c r="D399" s="112">
        <v>7.0</v>
      </c>
      <c r="E399" s="112">
        <v>5.0</v>
      </c>
      <c r="F399" s="110">
        <v>0.0</v>
      </c>
      <c r="G399" s="110">
        <v>0.0</v>
      </c>
      <c r="H399" s="110">
        <v>0.0</v>
      </c>
      <c r="I399" s="110">
        <v>0.0</v>
      </c>
      <c r="J399" s="110">
        <v>0.0</v>
      </c>
      <c r="K399" s="110">
        <v>0.0</v>
      </c>
      <c r="L399" s="110">
        <v>0.0</v>
      </c>
      <c r="M399" s="110">
        <v>0.0</v>
      </c>
      <c r="N399" s="110">
        <v>0.0</v>
      </c>
      <c r="O399" s="110">
        <v>0.0</v>
      </c>
      <c r="P399" s="110">
        <v>0.0</v>
      </c>
      <c r="Q399" s="110">
        <v>0.0</v>
      </c>
      <c r="R399" s="110">
        <v>0.0</v>
      </c>
      <c r="S399" s="110">
        <v>0.0</v>
      </c>
      <c r="T399" s="110">
        <v>0.0</v>
      </c>
      <c r="U399" s="110">
        <v>0.0</v>
      </c>
      <c r="V399" s="110">
        <v>0.0</v>
      </c>
      <c r="W399" s="110">
        <v>0.0</v>
      </c>
      <c r="X399" s="110">
        <v>0.0</v>
      </c>
      <c r="Y399" s="110">
        <v>0.0</v>
      </c>
      <c r="Z399" s="110">
        <v>0.0</v>
      </c>
      <c r="AA399" s="110">
        <v>0.0</v>
      </c>
      <c r="AB399" s="110">
        <v>0.0</v>
      </c>
      <c r="AC399" s="110">
        <v>0.0</v>
      </c>
      <c r="AD399" s="110">
        <v>0.0</v>
      </c>
      <c r="AE399" s="110">
        <v>0.0</v>
      </c>
      <c r="AF399" s="112">
        <v>0.0</v>
      </c>
      <c r="AG399" s="112">
        <v>1.0</v>
      </c>
      <c r="AH399" s="112">
        <v>0.0</v>
      </c>
      <c r="AI399" s="112">
        <v>1.0</v>
      </c>
      <c r="AJ399" s="112">
        <v>1.0</v>
      </c>
      <c r="AK399" s="112">
        <v>2.0</v>
      </c>
      <c r="AL399" s="112">
        <v>6.0</v>
      </c>
      <c r="AM399" s="112">
        <v>1.0</v>
      </c>
      <c r="AN399" s="112">
        <v>12.0</v>
      </c>
    </row>
    <row r="400">
      <c r="A400" s="104"/>
      <c r="B400" s="111" t="s">
        <v>199</v>
      </c>
      <c r="C400" s="112">
        <v>948.0</v>
      </c>
      <c r="D400" s="112">
        <v>444.0</v>
      </c>
      <c r="E400" s="112">
        <v>504.0</v>
      </c>
      <c r="F400" s="110">
        <v>0.0</v>
      </c>
      <c r="G400" s="110">
        <v>0.0</v>
      </c>
      <c r="H400" s="110">
        <v>0.0</v>
      </c>
      <c r="I400" s="110">
        <v>0.0</v>
      </c>
      <c r="J400" s="110">
        <v>0.0</v>
      </c>
      <c r="K400" s="110">
        <v>0.0</v>
      </c>
      <c r="L400" s="110">
        <v>0.0</v>
      </c>
      <c r="M400" s="110">
        <v>0.0</v>
      </c>
      <c r="N400" s="110">
        <v>0.0</v>
      </c>
      <c r="O400" s="110">
        <v>0.0</v>
      </c>
      <c r="P400" s="110">
        <v>0.0</v>
      </c>
      <c r="Q400" s="110">
        <v>0.0</v>
      </c>
      <c r="R400" s="110">
        <v>0.0</v>
      </c>
      <c r="S400" s="110">
        <v>0.0</v>
      </c>
      <c r="T400" s="110">
        <v>0.0</v>
      </c>
      <c r="U400" s="110">
        <v>0.0</v>
      </c>
      <c r="V400" s="110">
        <v>0.0</v>
      </c>
      <c r="W400" s="110">
        <v>0.0</v>
      </c>
      <c r="X400" s="110">
        <v>0.0</v>
      </c>
      <c r="Y400" s="110">
        <v>0.0</v>
      </c>
      <c r="Z400" s="110">
        <v>0.0</v>
      </c>
      <c r="AA400" s="110">
        <v>0.0</v>
      </c>
      <c r="AB400" s="110">
        <v>0.0</v>
      </c>
      <c r="AC400" s="110">
        <v>0.0</v>
      </c>
      <c r="AD400" s="110">
        <v>0.0</v>
      </c>
      <c r="AE400" s="110">
        <v>0.0</v>
      </c>
      <c r="AF400" s="112">
        <v>52.0</v>
      </c>
      <c r="AG400" s="112">
        <v>91.0</v>
      </c>
      <c r="AH400" s="112">
        <v>124.0</v>
      </c>
      <c r="AI400" s="112">
        <v>127.0</v>
      </c>
      <c r="AJ400" s="112">
        <v>105.0</v>
      </c>
      <c r="AK400" s="112">
        <v>109.0</v>
      </c>
      <c r="AL400" s="112">
        <v>163.0</v>
      </c>
      <c r="AM400" s="112">
        <v>177.0</v>
      </c>
      <c r="AN400" s="112">
        <v>899.0</v>
      </c>
    </row>
    <row r="401">
      <c r="A401" s="107" t="s">
        <v>205</v>
      </c>
      <c r="B401" s="111" t="s">
        <v>198</v>
      </c>
      <c r="C401" s="109">
        <v>1180.0</v>
      </c>
      <c r="D401" s="112">
        <v>369.0</v>
      </c>
      <c r="E401" s="112">
        <v>811.0</v>
      </c>
      <c r="F401" s="112">
        <v>17.0</v>
      </c>
      <c r="G401" s="112">
        <v>22.0</v>
      </c>
      <c r="H401" s="112">
        <v>18.0</v>
      </c>
      <c r="I401" s="112">
        <v>19.0</v>
      </c>
      <c r="J401" s="112">
        <v>7.0</v>
      </c>
      <c r="K401" s="112">
        <v>17.0</v>
      </c>
      <c r="L401" s="112">
        <v>23.0</v>
      </c>
      <c r="M401" s="112">
        <v>37.0</v>
      </c>
      <c r="N401" s="112">
        <v>50.0</v>
      </c>
      <c r="O401" s="112">
        <v>33.0</v>
      </c>
      <c r="P401" s="112">
        <v>18.0</v>
      </c>
      <c r="Q401" s="112">
        <v>59.0</v>
      </c>
      <c r="R401" s="112">
        <v>15.0</v>
      </c>
      <c r="S401" s="112">
        <v>35.0</v>
      </c>
      <c r="T401" s="112">
        <v>8.0</v>
      </c>
      <c r="U401" s="112">
        <v>36.0</v>
      </c>
      <c r="V401" s="112">
        <v>23.0</v>
      </c>
      <c r="W401" s="112">
        <v>46.0</v>
      </c>
      <c r="X401" s="112">
        <v>17.0</v>
      </c>
      <c r="Y401" s="112">
        <v>76.0</v>
      </c>
      <c r="Z401" s="112">
        <v>22.0</v>
      </c>
      <c r="AA401" s="112">
        <v>65.0</v>
      </c>
      <c r="AB401" s="112">
        <v>20.0</v>
      </c>
      <c r="AC401" s="112">
        <v>87.0</v>
      </c>
      <c r="AD401" s="112">
        <v>23.0</v>
      </c>
      <c r="AE401" s="112">
        <v>68.0</v>
      </c>
      <c r="AF401" s="112">
        <v>30.0</v>
      </c>
      <c r="AG401" s="112">
        <v>59.0</v>
      </c>
      <c r="AH401" s="112">
        <v>29.0</v>
      </c>
      <c r="AI401" s="112">
        <v>64.0</v>
      </c>
      <c r="AJ401" s="112">
        <v>25.0</v>
      </c>
      <c r="AK401" s="112">
        <v>42.0</v>
      </c>
      <c r="AL401" s="112">
        <v>24.0</v>
      </c>
      <c r="AM401" s="112">
        <v>46.0</v>
      </c>
      <c r="AN401" s="109">
        <v>1179.0</v>
      </c>
    </row>
    <row r="402">
      <c r="A402" s="98"/>
      <c r="B402" s="111" t="s">
        <v>199</v>
      </c>
      <c r="C402" s="112">
        <v>32.0</v>
      </c>
      <c r="D402" s="112">
        <v>11.0</v>
      </c>
      <c r="E402" s="112">
        <v>21.0</v>
      </c>
      <c r="F402" s="112">
        <v>0.0</v>
      </c>
      <c r="G402" s="112">
        <v>0.0</v>
      </c>
      <c r="H402" s="112">
        <v>0.0</v>
      </c>
      <c r="I402" s="112">
        <v>0.0</v>
      </c>
      <c r="J402" s="112">
        <v>0.0</v>
      </c>
      <c r="K402" s="112">
        <v>0.0</v>
      </c>
      <c r="L402" s="112">
        <v>0.0</v>
      </c>
      <c r="M402" s="112">
        <v>1.0</v>
      </c>
      <c r="N402" s="112">
        <v>4.0</v>
      </c>
      <c r="O402" s="112">
        <v>4.0</v>
      </c>
      <c r="P402" s="112">
        <v>0.0</v>
      </c>
      <c r="Q402" s="112">
        <v>4.0</v>
      </c>
      <c r="R402" s="112">
        <v>0.0</v>
      </c>
      <c r="S402" s="112">
        <v>4.0</v>
      </c>
      <c r="T402" s="112">
        <v>0.0</v>
      </c>
      <c r="U402" s="112">
        <v>1.0</v>
      </c>
      <c r="V402" s="112">
        <v>2.0</v>
      </c>
      <c r="W402" s="112">
        <v>2.0</v>
      </c>
      <c r="X402" s="112">
        <v>2.0</v>
      </c>
      <c r="Y402" s="112">
        <v>2.0</v>
      </c>
      <c r="Z402" s="112">
        <v>0.0</v>
      </c>
      <c r="AA402" s="112">
        <v>0.0</v>
      </c>
      <c r="AB402" s="112">
        <v>0.0</v>
      </c>
      <c r="AC402" s="112">
        <v>0.0</v>
      </c>
      <c r="AD402" s="112">
        <v>0.0</v>
      </c>
      <c r="AE402" s="112">
        <v>0.0</v>
      </c>
      <c r="AF402" s="112">
        <v>0.0</v>
      </c>
      <c r="AG402" s="112">
        <v>2.0</v>
      </c>
      <c r="AH402" s="112">
        <v>2.0</v>
      </c>
      <c r="AI402" s="112">
        <v>0.0</v>
      </c>
      <c r="AJ402" s="112">
        <v>0.0</v>
      </c>
      <c r="AK402" s="112">
        <v>0.0</v>
      </c>
      <c r="AL402" s="112">
        <v>1.0</v>
      </c>
      <c r="AM402" s="112">
        <v>1.0</v>
      </c>
      <c r="AN402" s="112">
        <v>32.0</v>
      </c>
    </row>
    <row r="403">
      <c r="A403" s="104"/>
      <c r="B403" s="111" t="s">
        <v>206</v>
      </c>
      <c r="C403" s="112">
        <v>502.0</v>
      </c>
      <c r="D403" s="112">
        <v>67.0</v>
      </c>
      <c r="E403" s="112">
        <v>435.0</v>
      </c>
      <c r="F403" s="112">
        <v>0.0</v>
      </c>
      <c r="G403" s="112">
        <v>0.0</v>
      </c>
      <c r="H403" s="112">
        <v>0.0</v>
      </c>
      <c r="I403" s="112">
        <v>0.0</v>
      </c>
      <c r="J403" s="112">
        <v>0.0</v>
      </c>
      <c r="K403" s="112">
        <v>0.0</v>
      </c>
      <c r="L403" s="112">
        <v>2.0</v>
      </c>
      <c r="M403" s="112">
        <v>34.0</v>
      </c>
      <c r="N403" s="112">
        <v>16.0</v>
      </c>
      <c r="O403" s="112">
        <v>62.0</v>
      </c>
      <c r="P403" s="112">
        <v>17.0</v>
      </c>
      <c r="Q403" s="112">
        <v>55.0</v>
      </c>
      <c r="R403" s="112">
        <v>4.0</v>
      </c>
      <c r="S403" s="112">
        <v>64.0</v>
      </c>
      <c r="T403" s="112">
        <v>3.0</v>
      </c>
      <c r="U403" s="112">
        <v>86.0</v>
      </c>
      <c r="V403" s="112">
        <v>5.0</v>
      </c>
      <c r="W403" s="112">
        <v>57.0</v>
      </c>
      <c r="X403" s="112">
        <v>9.0</v>
      </c>
      <c r="Y403" s="112">
        <v>47.0</v>
      </c>
      <c r="Z403" s="112">
        <v>1.0</v>
      </c>
      <c r="AA403" s="112">
        <v>10.0</v>
      </c>
      <c r="AB403" s="112">
        <v>3.0</v>
      </c>
      <c r="AC403" s="112">
        <v>5.0</v>
      </c>
      <c r="AD403" s="112">
        <v>4.0</v>
      </c>
      <c r="AE403" s="112">
        <v>4.0</v>
      </c>
      <c r="AF403" s="112">
        <v>0.0</v>
      </c>
      <c r="AG403" s="112">
        <v>4.0</v>
      </c>
      <c r="AH403" s="112">
        <v>0.0</v>
      </c>
      <c r="AI403" s="112">
        <v>4.0</v>
      </c>
      <c r="AJ403" s="112">
        <v>2.0</v>
      </c>
      <c r="AK403" s="112">
        <v>1.0</v>
      </c>
      <c r="AL403" s="112">
        <v>1.0</v>
      </c>
      <c r="AM403" s="112">
        <v>2.0</v>
      </c>
      <c r="AN403" s="112">
        <v>502.0</v>
      </c>
    </row>
    <row r="404">
      <c r="A404" s="107" t="s">
        <v>207</v>
      </c>
      <c r="B404" s="111" t="s">
        <v>198</v>
      </c>
      <c r="C404" s="109">
        <v>68093.0</v>
      </c>
      <c r="D404" s="109">
        <v>19180.0</v>
      </c>
      <c r="E404" s="109">
        <v>48913.0</v>
      </c>
      <c r="F404" s="112">
        <v>773.0</v>
      </c>
      <c r="G404" s="112">
        <v>592.0</v>
      </c>
      <c r="H404" s="112">
        <v>433.0</v>
      </c>
      <c r="I404" s="112">
        <v>446.0</v>
      </c>
      <c r="J404" s="112">
        <v>500.0</v>
      </c>
      <c r="K404" s="112">
        <v>494.0</v>
      </c>
      <c r="L404" s="112">
        <v>505.0</v>
      </c>
      <c r="M404" s="112">
        <v>866.0</v>
      </c>
      <c r="N404" s="112">
        <v>431.0</v>
      </c>
      <c r="O404" s="112">
        <v>999.0</v>
      </c>
      <c r="P404" s="112">
        <v>390.0</v>
      </c>
      <c r="Q404" s="109">
        <v>1377.0</v>
      </c>
      <c r="R404" s="112">
        <v>381.0</v>
      </c>
      <c r="S404" s="109">
        <v>1633.0</v>
      </c>
      <c r="T404" s="112">
        <v>562.0</v>
      </c>
      <c r="U404" s="109">
        <v>2019.0</v>
      </c>
      <c r="V404" s="112">
        <v>719.0</v>
      </c>
      <c r="W404" s="109">
        <v>2669.0</v>
      </c>
      <c r="X404" s="112">
        <v>960.0</v>
      </c>
      <c r="Y404" s="109">
        <v>3850.0</v>
      </c>
      <c r="Z404" s="109">
        <v>1360.0</v>
      </c>
      <c r="AA404" s="109">
        <v>5182.0</v>
      </c>
      <c r="AB404" s="109">
        <v>1848.0</v>
      </c>
      <c r="AC404" s="109">
        <v>6004.0</v>
      </c>
      <c r="AD404" s="109">
        <v>2128.0</v>
      </c>
      <c r="AE404" s="109">
        <v>5921.0</v>
      </c>
      <c r="AF404" s="109">
        <v>2233.0</v>
      </c>
      <c r="AG404" s="109">
        <v>5558.0</v>
      </c>
      <c r="AH404" s="109">
        <v>2277.0</v>
      </c>
      <c r="AI404" s="109">
        <v>4616.0</v>
      </c>
      <c r="AJ404" s="109">
        <v>1814.0</v>
      </c>
      <c r="AK404" s="109">
        <v>3273.0</v>
      </c>
      <c r="AL404" s="109">
        <v>1866.0</v>
      </c>
      <c r="AM404" s="109">
        <v>3414.0</v>
      </c>
      <c r="AN404" s="109">
        <v>67117.0</v>
      </c>
    </row>
    <row r="405">
      <c r="A405" s="98"/>
      <c r="B405" s="111" t="s">
        <v>199</v>
      </c>
      <c r="C405" s="109">
        <v>3513.0</v>
      </c>
      <c r="D405" s="109">
        <v>1305.0</v>
      </c>
      <c r="E405" s="109">
        <v>2208.0</v>
      </c>
      <c r="F405" s="112">
        <v>336.0</v>
      </c>
      <c r="G405" s="112">
        <v>295.0</v>
      </c>
      <c r="H405" s="112">
        <v>1.0</v>
      </c>
      <c r="I405" s="112">
        <v>2.0</v>
      </c>
      <c r="J405" s="112">
        <v>2.0</v>
      </c>
      <c r="K405" s="112">
        <v>4.0</v>
      </c>
      <c r="L405" s="112">
        <v>2.0</v>
      </c>
      <c r="M405" s="112">
        <v>7.0</v>
      </c>
      <c r="N405" s="112">
        <v>2.0</v>
      </c>
      <c r="O405" s="112">
        <v>10.0</v>
      </c>
      <c r="P405" s="112">
        <v>1.0</v>
      </c>
      <c r="Q405" s="112">
        <v>23.0</v>
      </c>
      <c r="R405" s="112">
        <v>6.0</v>
      </c>
      <c r="S405" s="112">
        <v>22.0</v>
      </c>
      <c r="T405" s="112">
        <v>11.0</v>
      </c>
      <c r="U405" s="112">
        <v>38.0</v>
      </c>
      <c r="V405" s="112">
        <v>22.0</v>
      </c>
      <c r="W405" s="112">
        <v>59.0</v>
      </c>
      <c r="X405" s="112">
        <v>30.0</v>
      </c>
      <c r="Y405" s="112">
        <v>97.0</v>
      </c>
      <c r="Z405" s="112">
        <v>57.0</v>
      </c>
      <c r="AA405" s="112">
        <v>159.0</v>
      </c>
      <c r="AB405" s="112">
        <v>59.0</v>
      </c>
      <c r="AC405" s="112">
        <v>160.0</v>
      </c>
      <c r="AD405" s="112">
        <v>82.0</v>
      </c>
      <c r="AE405" s="112">
        <v>246.0</v>
      </c>
      <c r="AF405" s="112">
        <v>135.0</v>
      </c>
      <c r="AG405" s="112">
        <v>303.0</v>
      </c>
      <c r="AH405" s="112">
        <v>214.0</v>
      </c>
      <c r="AI405" s="112">
        <v>271.0</v>
      </c>
      <c r="AJ405" s="112">
        <v>161.0</v>
      </c>
      <c r="AK405" s="112">
        <v>227.0</v>
      </c>
      <c r="AL405" s="112">
        <v>184.0</v>
      </c>
      <c r="AM405" s="112">
        <v>285.0</v>
      </c>
      <c r="AN405" s="109">
        <v>3459.0</v>
      </c>
    </row>
    <row r="406">
      <c r="A406" s="98"/>
      <c r="B406" s="111" t="s">
        <v>206</v>
      </c>
      <c r="C406" s="112">
        <v>278.0</v>
      </c>
      <c r="D406" s="112">
        <v>73.0</v>
      </c>
      <c r="E406" s="112">
        <v>205.0</v>
      </c>
      <c r="F406" s="112">
        <v>2.0</v>
      </c>
      <c r="G406" s="112">
        <v>2.0</v>
      </c>
      <c r="H406" s="112">
        <v>1.0</v>
      </c>
      <c r="I406" s="112">
        <v>4.0</v>
      </c>
      <c r="J406" s="112">
        <v>0.0</v>
      </c>
      <c r="K406" s="112">
        <v>3.0</v>
      </c>
      <c r="L406" s="112">
        <v>4.0</v>
      </c>
      <c r="M406" s="112">
        <v>8.0</v>
      </c>
      <c r="N406" s="112">
        <v>3.0</v>
      </c>
      <c r="O406" s="112">
        <v>12.0</v>
      </c>
      <c r="P406" s="112">
        <v>5.0</v>
      </c>
      <c r="Q406" s="112">
        <v>9.0</v>
      </c>
      <c r="R406" s="112">
        <v>1.0</v>
      </c>
      <c r="S406" s="112">
        <v>14.0</v>
      </c>
      <c r="T406" s="112">
        <v>12.0</v>
      </c>
      <c r="U406" s="112">
        <v>8.0</v>
      </c>
      <c r="V406" s="112">
        <v>4.0</v>
      </c>
      <c r="W406" s="112">
        <v>12.0</v>
      </c>
      <c r="X406" s="112">
        <v>5.0</v>
      </c>
      <c r="Y406" s="112">
        <v>20.0</v>
      </c>
      <c r="Z406" s="112">
        <v>7.0</v>
      </c>
      <c r="AA406" s="112">
        <v>26.0</v>
      </c>
      <c r="AB406" s="112">
        <v>4.0</v>
      </c>
      <c r="AC406" s="112">
        <v>16.0</v>
      </c>
      <c r="AD406" s="112">
        <v>4.0</v>
      </c>
      <c r="AE406" s="112">
        <v>20.0</v>
      </c>
      <c r="AF406" s="112">
        <v>2.0</v>
      </c>
      <c r="AG406" s="112">
        <v>19.0</v>
      </c>
      <c r="AH406" s="112">
        <v>11.0</v>
      </c>
      <c r="AI406" s="112">
        <v>6.0</v>
      </c>
      <c r="AJ406" s="112">
        <v>4.0</v>
      </c>
      <c r="AK406" s="112">
        <v>14.0</v>
      </c>
      <c r="AL406" s="112">
        <v>4.0</v>
      </c>
      <c r="AM406" s="112">
        <v>12.0</v>
      </c>
      <c r="AN406" s="112">
        <v>273.0</v>
      </c>
    </row>
    <row r="407">
      <c r="A407" s="98"/>
      <c r="B407" s="111" t="s">
        <v>200</v>
      </c>
      <c r="C407" s="109">
        <v>4816.0</v>
      </c>
      <c r="D407" s="109">
        <v>1416.0</v>
      </c>
      <c r="E407" s="109">
        <v>3400.0</v>
      </c>
      <c r="F407" s="112">
        <v>221.0</v>
      </c>
      <c r="G407" s="112">
        <v>214.0</v>
      </c>
      <c r="H407" s="112">
        <v>95.0</v>
      </c>
      <c r="I407" s="112">
        <v>116.0</v>
      </c>
      <c r="J407" s="112">
        <v>73.0</v>
      </c>
      <c r="K407" s="112">
        <v>68.0</v>
      </c>
      <c r="L407" s="112">
        <v>41.0</v>
      </c>
      <c r="M407" s="112">
        <v>108.0</v>
      </c>
      <c r="N407" s="112">
        <v>21.0</v>
      </c>
      <c r="O407" s="112">
        <v>85.0</v>
      </c>
      <c r="P407" s="112">
        <v>21.0</v>
      </c>
      <c r="Q407" s="112">
        <v>123.0</v>
      </c>
      <c r="R407" s="112">
        <v>26.0</v>
      </c>
      <c r="S407" s="112">
        <v>136.0</v>
      </c>
      <c r="T407" s="112">
        <v>26.0</v>
      </c>
      <c r="U407" s="112">
        <v>150.0</v>
      </c>
      <c r="V407" s="112">
        <v>42.0</v>
      </c>
      <c r="W407" s="112">
        <v>192.0</v>
      </c>
      <c r="X407" s="112">
        <v>51.0</v>
      </c>
      <c r="Y407" s="112">
        <v>253.0</v>
      </c>
      <c r="Z407" s="112">
        <v>85.0</v>
      </c>
      <c r="AA407" s="112">
        <v>369.0</v>
      </c>
      <c r="AB407" s="112">
        <v>100.0</v>
      </c>
      <c r="AC407" s="112">
        <v>317.0</v>
      </c>
      <c r="AD407" s="112">
        <v>109.0</v>
      </c>
      <c r="AE407" s="112">
        <v>345.0</v>
      </c>
      <c r="AF407" s="112">
        <v>149.0</v>
      </c>
      <c r="AG407" s="112">
        <v>324.0</v>
      </c>
      <c r="AH407" s="112">
        <v>144.0</v>
      </c>
      <c r="AI407" s="112">
        <v>285.0</v>
      </c>
      <c r="AJ407" s="112">
        <v>103.0</v>
      </c>
      <c r="AK407" s="112">
        <v>148.0</v>
      </c>
      <c r="AL407" s="112">
        <v>109.0</v>
      </c>
      <c r="AM407" s="112">
        <v>167.0</v>
      </c>
      <c r="AN407" s="109">
        <v>4679.0</v>
      </c>
    </row>
    <row r="408">
      <c r="A408" s="104"/>
      <c r="B408" s="111" t="s">
        <v>201</v>
      </c>
      <c r="C408" s="109">
        <v>6092.0</v>
      </c>
      <c r="D408" s="109">
        <v>2915.0</v>
      </c>
      <c r="E408" s="109">
        <v>3177.0</v>
      </c>
      <c r="F408" s="112">
        <v>619.0</v>
      </c>
      <c r="G408" s="112">
        <v>578.0</v>
      </c>
      <c r="H408" s="112">
        <v>80.0</v>
      </c>
      <c r="I408" s="112">
        <v>79.0</v>
      </c>
      <c r="J408" s="112">
        <v>50.0</v>
      </c>
      <c r="K408" s="112">
        <v>54.0</v>
      </c>
      <c r="L408" s="112">
        <v>35.0</v>
      </c>
      <c r="M408" s="112">
        <v>91.0</v>
      </c>
      <c r="N408" s="112">
        <v>39.0</v>
      </c>
      <c r="O408" s="112">
        <v>78.0</v>
      </c>
      <c r="P408" s="112">
        <v>26.0</v>
      </c>
      <c r="Q408" s="112">
        <v>84.0</v>
      </c>
      <c r="R408" s="112">
        <v>66.0</v>
      </c>
      <c r="S408" s="112">
        <v>99.0</v>
      </c>
      <c r="T408" s="112">
        <v>87.0</v>
      </c>
      <c r="U408" s="112">
        <v>134.0</v>
      </c>
      <c r="V408" s="112">
        <v>75.0</v>
      </c>
      <c r="W408" s="112">
        <v>173.0</v>
      </c>
      <c r="X408" s="112">
        <v>102.0</v>
      </c>
      <c r="Y408" s="112">
        <v>156.0</v>
      </c>
      <c r="Z408" s="112">
        <v>181.0</v>
      </c>
      <c r="AA408" s="112">
        <v>265.0</v>
      </c>
      <c r="AB408" s="112">
        <v>161.0</v>
      </c>
      <c r="AC408" s="112">
        <v>267.0</v>
      </c>
      <c r="AD408" s="112">
        <v>241.0</v>
      </c>
      <c r="AE408" s="112">
        <v>243.0</v>
      </c>
      <c r="AF408" s="112">
        <v>251.0</v>
      </c>
      <c r="AG408" s="112">
        <v>238.0</v>
      </c>
      <c r="AH408" s="112">
        <v>315.0</v>
      </c>
      <c r="AI408" s="112">
        <v>144.0</v>
      </c>
      <c r="AJ408" s="112">
        <v>251.0</v>
      </c>
      <c r="AK408" s="112">
        <v>249.0</v>
      </c>
      <c r="AL408" s="112">
        <v>336.0</v>
      </c>
      <c r="AM408" s="112">
        <v>245.0</v>
      </c>
      <c r="AN408" s="109">
        <v>6091.0</v>
      </c>
    </row>
    <row r="409">
      <c r="A409" s="107" t="s">
        <v>208</v>
      </c>
      <c r="B409" s="111" t="s">
        <v>198</v>
      </c>
      <c r="C409" s="112">
        <v>42.0</v>
      </c>
      <c r="D409" s="112">
        <v>22.0</v>
      </c>
      <c r="E409" s="112">
        <v>20.0</v>
      </c>
      <c r="F409" s="112">
        <v>14.0</v>
      </c>
      <c r="G409" s="112">
        <v>12.0</v>
      </c>
      <c r="H409" s="112">
        <v>2.0</v>
      </c>
      <c r="I409" s="112">
        <v>5.0</v>
      </c>
      <c r="J409" s="112">
        <v>1.0</v>
      </c>
      <c r="K409" s="112">
        <v>1.0</v>
      </c>
      <c r="L409" s="112">
        <v>1.0</v>
      </c>
      <c r="M409" s="112">
        <v>0.0</v>
      </c>
      <c r="N409" s="112">
        <v>4.0</v>
      </c>
      <c r="O409" s="112">
        <v>2.0</v>
      </c>
      <c r="P409" s="110">
        <v>0.0</v>
      </c>
      <c r="Q409" s="110">
        <v>0.0</v>
      </c>
      <c r="R409" s="110">
        <v>0.0</v>
      </c>
      <c r="S409" s="110">
        <v>0.0</v>
      </c>
      <c r="T409" s="110">
        <v>0.0</v>
      </c>
      <c r="U409" s="110">
        <v>0.0</v>
      </c>
      <c r="V409" s="110">
        <v>0.0</v>
      </c>
      <c r="W409" s="110">
        <v>0.0</v>
      </c>
      <c r="X409" s="110">
        <v>0.0</v>
      </c>
      <c r="Y409" s="110">
        <v>0.0</v>
      </c>
      <c r="Z409" s="110">
        <v>0.0</v>
      </c>
      <c r="AA409" s="110">
        <v>0.0</v>
      </c>
      <c r="AB409" s="110">
        <v>0.0</v>
      </c>
      <c r="AC409" s="110">
        <v>0.0</v>
      </c>
      <c r="AD409" s="110">
        <v>0.0</v>
      </c>
      <c r="AE409" s="110">
        <v>0.0</v>
      </c>
      <c r="AF409" s="110">
        <v>0.0</v>
      </c>
      <c r="AG409" s="110">
        <v>0.0</v>
      </c>
      <c r="AH409" s="110">
        <v>0.0</v>
      </c>
      <c r="AI409" s="110">
        <v>0.0</v>
      </c>
      <c r="AJ409" s="110">
        <v>0.0</v>
      </c>
      <c r="AK409" s="110">
        <v>0.0</v>
      </c>
      <c r="AL409" s="110">
        <v>0.0</v>
      </c>
      <c r="AM409" s="110">
        <v>0.0</v>
      </c>
      <c r="AN409" s="112">
        <v>63.0</v>
      </c>
    </row>
    <row r="410">
      <c r="A410" s="98"/>
      <c r="B410" s="111" t="s">
        <v>199</v>
      </c>
      <c r="C410" s="112">
        <v>371.0</v>
      </c>
      <c r="D410" s="112">
        <v>186.0</v>
      </c>
      <c r="E410" s="112">
        <v>185.0</v>
      </c>
      <c r="F410" s="112">
        <v>131.0</v>
      </c>
      <c r="G410" s="112">
        <v>142.0</v>
      </c>
      <c r="H410" s="112">
        <v>33.0</v>
      </c>
      <c r="I410" s="112">
        <v>26.0</v>
      </c>
      <c r="J410" s="112">
        <v>18.0</v>
      </c>
      <c r="K410" s="112">
        <v>12.0</v>
      </c>
      <c r="L410" s="112">
        <v>4.0</v>
      </c>
      <c r="M410" s="112">
        <v>5.0</v>
      </c>
      <c r="N410" s="112">
        <v>0.0</v>
      </c>
      <c r="O410" s="112">
        <v>0.0</v>
      </c>
      <c r="P410" s="110">
        <v>0.0</v>
      </c>
      <c r="Q410" s="110">
        <v>0.0</v>
      </c>
      <c r="R410" s="110">
        <v>0.0</v>
      </c>
      <c r="S410" s="110">
        <v>0.0</v>
      </c>
      <c r="T410" s="110">
        <v>0.0</v>
      </c>
      <c r="U410" s="110">
        <v>0.0</v>
      </c>
      <c r="V410" s="110">
        <v>0.0</v>
      </c>
      <c r="W410" s="110">
        <v>0.0</v>
      </c>
      <c r="X410" s="110">
        <v>0.0</v>
      </c>
      <c r="Y410" s="110">
        <v>0.0</v>
      </c>
      <c r="Z410" s="110">
        <v>0.0</v>
      </c>
      <c r="AA410" s="110">
        <v>0.0</v>
      </c>
      <c r="AB410" s="110">
        <v>0.0</v>
      </c>
      <c r="AC410" s="110">
        <v>0.0</v>
      </c>
      <c r="AD410" s="110">
        <v>0.0</v>
      </c>
      <c r="AE410" s="110">
        <v>0.0</v>
      </c>
      <c r="AF410" s="110">
        <v>0.0</v>
      </c>
      <c r="AG410" s="110">
        <v>0.0</v>
      </c>
      <c r="AH410" s="110">
        <v>0.0</v>
      </c>
      <c r="AI410" s="110">
        <v>0.0</v>
      </c>
      <c r="AJ410" s="110">
        <v>0.0</v>
      </c>
      <c r="AK410" s="110">
        <v>0.0</v>
      </c>
      <c r="AL410" s="110">
        <v>0.0</v>
      </c>
      <c r="AM410" s="110">
        <v>0.0</v>
      </c>
      <c r="AN410" s="112">
        <v>346.0</v>
      </c>
    </row>
    <row r="411">
      <c r="A411" s="98"/>
      <c r="B411" s="111" t="s">
        <v>206</v>
      </c>
      <c r="C411" s="112">
        <v>38.0</v>
      </c>
      <c r="D411" s="112">
        <v>19.0</v>
      </c>
      <c r="E411" s="112">
        <v>19.0</v>
      </c>
      <c r="F411" s="112">
        <v>5.0</v>
      </c>
      <c r="G411" s="112">
        <v>6.0</v>
      </c>
      <c r="H411" s="112">
        <v>1.0</v>
      </c>
      <c r="I411" s="112">
        <v>0.0</v>
      </c>
      <c r="J411" s="112">
        <v>8.0</v>
      </c>
      <c r="K411" s="112">
        <v>8.0</v>
      </c>
      <c r="L411" s="112">
        <v>5.0</v>
      </c>
      <c r="M411" s="112">
        <v>5.0</v>
      </c>
      <c r="N411" s="112">
        <v>0.0</v>
      </c>
      <c r="O411" s="112">
        <v>0.0</v>
      </c>
      <c r="P411" s="110">
        <v>0.0</v>
      </c>
      <c r="Q411" s="110">
        <v>0.0</v>
      </c>
      <c r="R411" s="110">
        <v>0.0</v>
      </c>
      <c r="S411" s="110">
        <v>0.0</v>
      </c>
      <c r="T411" s="110">
        <v>0.0</v>
      </c>
      <c r="U411" s="110">
        <v>0.0</v>
      </c>
      <c r="V411" s="110">
        <v>0.0</v>
      </c>
      <c r="W411" s="110">
        <v>0.0</v>
      </c>
      <c r="X411" s="110">
        <v>0.0</v>
      </c>
      <c r="Y411" s="110">
        <v>0.0</v>
      </c>
      <c r="Z411" s="110">
        <v>0.0</v>
      </c>
      <c r="AA411" s="110">
        <v>0.0</v>
      </c>
      <c r="AB411" s="110">
        <v>0.0</v>
      </c>
      <c r="AC411" s="110">
        <v>0.0</v>
      </c>
      <c r="AD411" s="110">
        <v>0.0</v>
      </c>
      <c r="AE411" s="110">
        <v>0.0</v>
      </c>
      <c r="AF411" s="110">
        <v>0.0</v>
      </c>
      <c r="AG411" s="110">
        <v>0.0</v>
      </c>
      <c r="AH411" s="110">
        <v>0.0</v>
      </c>
      <c r="AI411" s="110">
        <v>0.0</v>
      </c>
      <c r="AJ411" s="110">
        <v>0.0</v>
      </c>
      <c r="AK411" s="110">
        <v>0.0</v>
      </c>
      <c r="AL411" s="110">
        <v>0.0</v>
      </c>
      <c r="AM411" s="110">
        <v>0.0</v>
      </c>
      <c r="AN411" s="112">
        <v>34.0</v>
      </c>
    </row>
    <row r="412">
      <c r="A412" s="98"/>
      <c r="B412" s="111" t="s">
        <v>200</v>
      </c>
      <c r="C412" s="112">
        <v>207.0</v>
      </c>
      <c r="D412" s="112">
        <v>93.0</v>
      </c>
      <c r="E412" s="112">
        <v>114.0</v>
      </c>
      <c r="F412" s="112">
        <v>56.0</v>
      </c>
      <c r="G412" s="112">
        <v>80.0</v>
      </c>
      <c r="H412" s="112">
        <v>26.0</v>
      </c>
      <c r="I412" s="112">
        <v>16.0</v>
      </c>
      <c r="J412" s="112">
        <v>9.0</v>
      </c>
      <c r="K412" s="112">
        <v>10.0</v>
      </c>
      <c r="L412" s="112">
        <v>2.0</v>
      </c>
      <c r="M412" s="112">
        <v>5.0</v>
      </c>
      <c r="N412" s="112">
        <v>0.0</v>
      </c>
      <c r="O412" s="112">
        <v>3.0</v>
      </c>
      <c r="P412" s="110">
        <v>0.0</v>
      </c>
      <c r="Q412" s="110">
        <v>0.0</v>
      </c>
      <c r="R412" s="110">
        <v>0.0</v>
      </c>
      <c r="S412" s="110">
        <v>0.0</v>
      </c>
      <c r="T412" s="110">
        <v>0.0</v>
      </c>
      <c r="U412" s="110">
        <v>0.0</v>
      </c>
      <c r="V412" s="110">
        <v>0.0</v>
      </c>
      <c r="W412" s="110">
        <v>0.0</v>
      </c>
      <c r="X412" s="110">
        <v>0.0</v>
      </c>
      <c r="Y412" s="110">
        <v>0.0</v>
      </c>
      <c r="Z412" s="110">
        <v>0.0</v>
      </c>
      <c r="AA412" s="110">
        <v>0.0</v>
      </c>
      <c r="AB412" s="110">
        <v>0.0</v>
      </c>
      <c r="AC412" s="110">
        <v>0.0</v>
      </c>
      <c r="AD412" s="110">
        <v>0.0</v>
      </c>
      <c r="AE412" s="110">
        <v>0.0</v>
      </c>
      <c r="AF412" s="110">
        <v>0.0</v>
      </c>
      <c r="AG412" s="110">
        <v>0.0</v>
      </c>
      <c r="AH412" s="110">
        <v>0.0</v>
      </c>
      <c r="AI412" s="110">
        <v>0.0</v>
      </c>
      <c r="AJ412" s="110">
        <v>0.0</v>
      </c>
      <c r="AK412" s="110">
        <v>0.0</v>
      </c>
      <c r="AL412" s="110">
        <v>0.0</v>
      </c>
      <c r="AM412" s="110">
        <v>0.0</v>
      </c>
      <c r="AN412" s="112">
        <v>176.0</v>
      </c>
    </row>
    <row r="413">
      <c r="A413" s="104"/>
      <c r="B413" s="111" t="s">
        <v>201</v>
      </c>
      <c r="C413" s="112">
        <v>28.0</v>
      </c>
      <c r="D413" s="112">
        <v>22.0</v>
      </c>
      <c r="E413" s="112">
        <v>6.0</v>
      </c>
      <c r="F413" s="112">
        <v>8.0</v>
      </c>
      <c r="G413" s="112">
        <v>4.0</v>
      </c>
      <c r="H413" s="112">
        <v>1.0</v>
      </c>
      <c r="I413" s="112">
        <v>0.0</v>
      </c>
      <c r="J413" s="112">
        <v>10.0</v>
      </c>
      <c r="K413" s="112">
        <v>2.0</v>
      </c>
      <c r="L413" s="112">
        <v>3.0</v>
      </c>
      <c r="M413" s="112">
        <v>0.0</v>
      </c>
      <c r="N413" s="112">
        <v>0.0</v>
      </c>
      <c r="O413" s="112">
        <v>0.0</v>
      </c>
      <c r="P413" s="110">
        <v>0.0</v>
      </c>
      <c r="Q413" s="110">
        <v>0.0</v>
      </c>
      <c r="R413" s="110">
        <v>0.0</v>
      </c>
      <c r="S413" s="110">
        <v>0.0</v>
      </c>
      <c r="T413" s="110">
        <v>0.0</v>
      </c>
      <c r="U413" s="110">
        <v>0.0</v>
      </c>
      <c r="V413" s="110">
        <v>0.0</v>
      </c>
      <c r="W413" s="110">
        <v>0.0</v>
      </c>
      <c r="X413" s="110">
        <v>0.0</v>
      </c>
      <c r="Y413" s="110">
        <v>0.0</v>
      </c>
      <c r="Z413" s="110">
        <v>0.0</v>
      </c>
      <c r="AA413" s="110">
        <v>0.0</v>
      </c>
      <c r="AB413" s="110">
        <v>0.0</v>
      </c>
      <c r="AC413" s="110">
        <v>0.0</v>
      </c>
      <c r="AD413" s="110">
        <v>0.0</v>
      </c>
      <c r="AE413" s="110">
        <v>0.0</v>
      </c>
      <c r="AF413" s="110">
        <v>0.0</v>
      </c>
      <c r="AG413" s="110">
        <v>0.0</v>
      </c>
      <c r="AH413" s="110">
        <v>0.0</v>
      </c>
      <c r="AI413" s="110">
        <v>0.0</v>
      </c>
      <c r="AJ413" s="110">
        <v>0.0</v>
      </c>
      <c r="AK413" s="110">
        <v>0.0</v>
      </c>
      <c r="AL413" s="110">
        <v>0.0</v>
      </c>
      <c r="AM413" s="110">
        <v>0.0</v>
      </c>
      <c r="AN413" s="112">
        <v>29.0</v>
      </c>
    </row>
    <row r="414">
      <c r="A414" s="113" t="s">
        <v>225</v>
      </c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</row>
    <row r="415">
      <c r="A415" s="107" t="s">
        <v>197</v>
      </c>
      <c r="B415" s="108" t="s">
        <v>198</v>
      </c>
      <c r="C415" s="109">
        <v>109375.0</v>
      </c>
      <c r="D415" s="109">
        <v>40788.0</v>
      </c>
      <c r="E415" s="109">
        <v>68587.0</v>
      </c>
      <c r="F415" s="110">
        <v>0.0</v>
      </c>
      <c r="G415" s="110">
        <v>0.0</v>
      </c>
      <c r="H415" s="110">
        <v>0.0</v>
      </c>
      <c r="I415" s="110">
        <v>0.0</v>
      </c>
      <c r="J415" s="110">
        <v>0.0</v>
      </c>
      <c r="K415" s="110">
        <v>0.0</v>
      </c>
      <c r="L415" s="112">
        <v>131.0</v>
      </c>
      <c r="M415" s="112">
        <v>196.0</v>
      </c>
      <c r="N415" s="112">
        <v>149.0</v>
      </c>
      <c r="O415" s="112">
        <v>352.0</v>
      </c>
      <c r="P415" s="112">
        <v>283.0</v>
      </c>
      <c r="Q415" s="112">
        <v>677.0</v>
      </c>
      <c r="R415" s="112">
        <v>468.0</v>
      </c>
      <c r="S415" s="112">
        <v>970.0</v>
      </c>
      <c r="T415" s="112">
        <v>787.0</v>
      </c>
      <c r="U415" s="109">
        <v>1786.0</v>
      </c>
      <c r="V415" s="109">
        <v>1455.0</v>
      </c>
      <c r="W415" s="109">
        <v>3199.0</v>
      </c>
      <c r="X415" s="109">
        <v>2593.0</v>
      </c>
      <c r="Y415" s="109">
        <v>5648.0</v>
      </c>
      <c r="Z415" s="109">
        <v>4171.0</v>
      </c>
      <c r="AA415" s="109">
        <v>8109.0</v>
      </c>
      <c r="AB415" s="109">
        <v>5104.0</v>
      </c>
      <c r="AC415" s="109">
        <v>9288.0</v>
      </c>
      <c r="AD415" s="109">
        <v>5644.0</v>
      </c>
      <c r="AE415" s="109">
        <v>9069.0</v>
      </c>
      <c r="AF415" s="109">
        <v>5541.0</v>
      </c>
      <c r="AG415" s="109">
        <v>8517.0</v>
      </c>
      <c r="AH415" s="109">
        <v>5646.0</v>
      </c>
      <c r="AI415" s="109">
        <v>7902.0</v>
      </c>
      <c r="AJ415" s="109">
        <v>4320.0</v>
      </c>
      <c r="AK415" s="109">
        <v>5990.0</v>
      </c>
      <c r="AL415" s="109">
        <v>4496.0</v>
      </c>
      <c r="AM415" s="109">
        <v>6884.0</v>
      </c>
      <c r="AN415" s="109">
        <v>109023.0</v>
      </c>
    </row>
    <row r="416">
      <c r="A416" s="98"/>
      <c r="B416" s="111" t="s">
        <v>199</v>
      </c>
      <c r="C416" s="109">
        <v>68336.0</v>
      </c>
      <c r="D416" s="109">
        <v>25358.0</v>
      </c>
      <c r="E416" s="109">
        <v>42978.0</v>
      </c>
      <c r="F416" s="110">
        <v>0.0</v>
      </c>
      <c r="G416" s="110">
        <v>0.0</v>
      </c>
      <c r="H416" s="110">
        <v>0.0</v>
      </c>
      <c r="I416" s="110">
        <v>0.0</v>
      </c>
      <c r="J416" s="110">
        <v>0.0</v>
      </c>
      <c r="K416" s="110">
        <v>0.0</v>
      </c>
      <c r="L416" s="112">
        <v>34.0</v>
      </c>
      <c r="M416" s="112">
        <v>46.0</v>
      </c>
      <c r="N416" s="112">
        <v>60.0</v>
      </c>
      <c r="O416" s="112">
        <v>106.0</v>
      </c>
      <c r="P416" s="112">
        <v>132.0</v>
      </c>
      <c r="Q416" s="112">
        <v>260.0</v>
      </c>
      <c r="R416" s="112">
        <v>241.0</v>
      </c>
      <c r="S416" s="112">
        <v>422.0</v>
      </c>
      <c r="T416" s="112">
        <v>410.0</v>
      </c>
      <c r="U416" s="112">
        <v>887.0</v>
      </c>
      <c r="V416" s="112">
        <v>783.0</v>
      </c>
      <c r="W416" s="109">
        <v>1770.0</v>
      </c>
      <c r="X416" s="109">
        <v>1510.0</v>
      </c>
      <c r="Y416" s="109">
        <v>3406.0</v>
      </c>
      <c r="Z416" s="109">
        <v>2441.0</v>
      </c>
      <c r="AA416" s="109">
        <v>4850.0</v>
      </c>
      <c r="AB416" s="109">
        <v>2996.0</v>
      </c>
      <c r="AC416" s="109">
        <v>5701.0</v>
      </c>
      <c r="AD416" s="109">
        <v>3505.0</v>
      </c>
      <c r="AE416" s="109">
        <v>5927.0</v>
      </c>
      <c r="AF416" s="109">
        <v>3652.0</v>
      </c>
      <c r="AG416" s="109">
        <v>5710.0</v>
      </c>
      <c r="AH416" s="109">
        <v>3752.0</v>
      </c>
      <c r="AI416" s="109">
        <v>5292.0</v>
      </c>
      <c r="AJ416" s="109">
        <v>2887.0</v>
      </c>
      <c r="AK416" s="109">
        <v>4006.0</v>
      </c>
      <c r="AL416" s="109">
        <v>2955.0</v>
      </c>
      <c r="AM416" s="109">
        <v>4595.0</v>
      </c>
      <c r="AN416" s="109">
        <v>67986.0</v>
      </c>
    </row>
    <row r="417">
      <c r="A417" s="98"/>
      <c r="B417" s="111" t="s">
        <v>200</v>
      </c>
      <c r="C417" s="109">
        <v>71897.0</v>
      </c>
      <c r="D417" s="109">
        <v>25718.0</v>
      </c>
      <c r="E417" s="109">
        <v>46179.0</v>
      </c>
      <c r="F417" s="110">
        <v>0.0</v>
      </c>
      <c r="G417" s="110">
        <v>0.0</v>
      </c>
      <c r="H417" s="110">
        <v>0.0</v>
      </c>
      <c r="I417" s="110">
        <v>0.0</v>
      </c>
      <c r="J417" s="110">
        <v>0.0</v>
      </c>
      <c r="K417" s="110">
        <v>0.0</v>
      </c>
      <c r="L417" s="112">
        <v>57.0</v>
      </c>
      <c r="M417" s="112">
        <v>150.0</v>
      </c>
      <c r="N417" s="112">
        <v>95.0</v>
      </c>
      <c r="O417" s="112">
        <v>264.0</v>
      </c>
      <c r="P417" s="112">
        <v>189.0</v>
      </c>
      <c r="Q417" s="112">
        <v>468.0</v>
      </c>
      <c r="R417" s="112">
        <v>301.0</v>
      </c>
      <c r="S417" s="112">
        <v>666.0</v>
      </c>
      <c r="T417" s="112">
        <v>497.0</v>
      </c>
      <c r="U417" s="109">
        <v>1197.0</v>
      </c>
      <c r="V417" s="112">
        <v>940.0</v>
      </c>
      <c r="W417" s="109">
        <v>2206.0</v>
      </c>
      <c r="X417" s="109">
        <v>1673.0</v>
      </c>
      <c r="Y417" s="109">
        <v>3822.0</v>
      </c>
      <c r="Z417" s="109">
        <v>2678.0</v>
      </c>
      <c r="AA417" s="109">
        <v>5611.0</v>
      </c>
      <c r="AB417" s="109">
        <v>3066.0</v>
      </c>
      <c r="AC417" s="109">
        <v>6127.0</v>
      </c>
      <c r="AD417" s="109">
        <v>3538.0</v>
      </c>
      <c r="AE417" s="109">
        <v>6125.0</v>
      </c>
      <c r="AF417" s="109">
        <v>3506.0</v>
      </c>
      <c r="AG417" s="109">
        <v>5901.0</v>
      </c>
      <c r="AH417" s="109">
        <v>3670.0</v>
      </c>
      <c r="AI417" s="109">
        <v>5324.0</v>
      </c>
      <c r="AJ417" s="109">
        <v>2809.0</v>
      </c>
      <c r="AK417" s="109">
        <v>3976.0</v>
      </c>
      <c r="AL417" s="109">
        <v>2699.0</v>
      </c>
      <c r="AM417" s="109">
        <v>4342.0</v>
      </c>
      <c r="AN417" s="109">
        <v>71742.0</v>
      </c>
    </row>
    <row r="418">
      <c r="A418" s="104"/>
      <c r="B418" s="111" t="s">
        <v>201</v>
      </c>
      <c r="C418" s="112">
        <v>883.0</v>
      </c>
      <c r="D418" s="112">
        <v>412.0</v>
      </c>
      <c r="E418" s="112">
        <v>471.0</v>
      </c>
      <c r="F418" s="110">
        <v>0.0</v>
      </c>
      <c r="G418" s="110">
        <v>0.0</v>
      </c>
      <c r="H418" s="110">
        <v>0.0</v>
      </c>
      <c r="I418" s="110">
        <v>0.0</v>
      </c>
      <c r="J418" s="110">
        <v>0.0</v>
      </c>
      <c r="K418" s="110">
        <v>0.0</v>
      </c>
      <c r="L418" s="112">
        <v>14.0</v>
      </c>
      <c r="M418" s="112">
        <v>16.0</v>
      </c>
      <c r="N418" s="112">
        <v>9.0</v>
      </c>
      <c r="O418" s="112">
        <v>8.0</v>
      </c>
      <c r="P418" s="112">
        <v>5.0</v>
      </c>
      <c r="Q418" s="112">
        <v>16.0</v>
      </c>
      <c r="R418" s="112">
        <v>8.0</v>
      </c>
      <c r="S418" s="112">
        <v>13.0</v>
      </c>
      <c r="T418" s="112">
        <v>7.0</v>
      </c>
      <c r="U418" s="112">
        <v>20.0</v>
      </c>
      <c r="V418" s="112">
        <v>26.0</v>
      </c>
      <c r="W418" s="112">
        <v>49.0</v>
      </c>
      <c r="X418" s="112">
        <v>42.0</v>
      </c>
      <c r="Y418" s="112">
        <v>47.0</v>
      </c>
      <c r="Z418" s="112">
        <v>43.0</v>
      </c>
      <c r="AA418" s="112">
        <v>58.0</v>
      </c>
      <c r="AB418" s="112">
        <v>45.0</v>
      </c>
      <c r="AC418" s="112">
        <v>43.0</v>
      </c>
      <c r="AD418" s="112">
        <v>64.0</v>
      </c>
      <c r="AE418" s="112">
        <v>52.0</v>
      </c>
      <c r="AF418" s="112">
        <v>52.0</v>
      </c>
      <c r="AG418" s="112">
        <v>50.0</v>
      </c>
      <c r="AH418" s="112">
        <v>53.0</v>
      </c>
      <c r="AI418" s="112">
        <v>56.0</v>
      </c>
      <c r="AJ418" s="112">
        <v>28.0</v>
      </c>
      <c r="AK418" s="112">
        <v>23.0</v>
      </c>
      <c r="AL418" s="112">
        <v>16.0</v>
      </c>
      <c r="AM418" s="112">
        <v>20.0</v>
      </c>
      <c r="AN418" s="112">
        <v>883.0</v>
      </c>
    </row>
    <row r="419">
      <c r="A419" s="107" t="s">
        <v>202</v>
      </c>
      <c r="B419" s="111" t="s">
        <v>198</v>
      </c>
      <c r="C419" s="112">
        <v>273.0</v>
      </c>
      <c r="D419" s="112">
        <v>158.0</v>
      </c>
      <c r="E419" s="112">
        <v>115.0</v>
      </c>
      <c r="F419" s="112">
        <v>3.0</v>
      </c>
      <c r="G419" s="112">
        <v>2.0</v>
      </c>
      <c r="H419" s="112">
        <v>10.0</v>
      </c>
      <c r="I419" s="112">
        <v>1.0</v>
      </c>
      <c r="J419" s="112">
        <v>1.0</v>
      </c>
      <c r="K419" s="112">
        <v>6.0</v>
      </c>
      <c r="L419" s="112">
        <v>7.0</v>
      </c>
      <c r="M419" s="112">
        <v>3.0</v>
      </c>
      <c r="N419" s="112">
        <v>9.0</v>
      </c>
      <c r="O419" s="112">
        <v>5.0</v>
      </c>
      <c r="P419" s="112">
        <v>15.0</v>
      </c>
      <c r="Q419" s="112">
        <v>4.0</v>
      </c>
      <c r="R419" s="112">
        <v>15.0</v>
      </c>
      <c r="S419" s="112">
        <v>10.0</v>
      </c>
      <c r="T419" s="112">
        <v>4.0</v>
      </c>
      <c r="U419" s="112">
        <v>4.0</v>
      </c>
      <c r="V419" s="112">
        <v>7.0</v>
      </c>
      <c r="W419" s="112">
        <v>5.0</v>
      </c>
      <c r="X419" s="112">
        <v>20.0</v>
      </c>
      <c r="Y419" s="112">
        <v>7.0</v>
      </c>
      <c r="Z419" s="112">
        <v>12.0</v>
      </c>
      <c r="AA419" s="112">
        <v>6.0</v>
      </c>
      <c r="AB419" s="112">
        <v>3.0</v>
      </c>
      <c r="AC419" s="112">
        <v>13.0</v>
      </c>
      <c r="AD419" s="112">
        <v>6.0</v>
      </c>
      <c r="AE419" s="112">
        <v>14.0</v>
      </c>
      <c r="AF419" s="112">
        <v>12.0</v>
      </c>
      <c r="AG419" s="112">
        <v>18.0</v>
      </c>
      <c r="AH419" s="112">
        <v>15.0</v>
      </c>
      <c r="AI419" s="112">
        <v>5.0</v>
      </c>
      <c r="AJ419" s="112">
        <v>13.0</v>
      </c>
      <c r="AK419" s="112">
        <v>3.0</v>
      </c>
      <c r="AL419" s="112">
        <v>6.0</v>
      </c>
      <c r="AM419" s="112">
        <v>9.0</v>
      </c>
      <c r="AN419" s="112">
        <v>271.0</v>
      </c>
    </row>
    <row r="420">
      <c r="A420" s="104"/>
      <c r="B420" s="111" t="s">
        <v>199</v>
      </c>
      <c r="C420" s="112">
        <v>40.0</v>
      </c>
      <c r="D420" s="112">
        <v>23.0</v>
      </c>
      <c r="E420" s="112">
        <v>17.0</v>
      </c>
      <c r="F420" s="112">
        <v>0.0</v>
      </c>
      <c r="G420" s="112">
        <v>0.0</v>
      </c>
      <c r="H420" s="112">
        <v>0.0</v>
      </c>
      <c r="I420" s="112">
        <v>2.0</v>
      </c>
      <c r="J420" s="112">
        <v>0.0</v>
      </c>
      <c r="K420" s="112">
        <v>0.0</v>
      </c>
      <c r="L420" s="112">
        <v>4.0</v>
      </c>
      <c r="M420" s="112">
        <v>0.0</v>
      </c>
      <c r="N420" s="112">
        <v>1.0</v>
      </c>
      <c r="O420" s="112">
        <v>0.0</v>
      </c>
      <c r="P420" s="112">
        <v>4.0</v>
      </c>
      <c r="Q420" s="112">
        <v>3.0</v>
      </c>
      <c r="R420" s="112">
        <v>0.0</v>
      </c>
      <c r="S420" s="112">
        <v>0.0</v>
      </c>
      <c r="T420" s="112">
        <v>0.0</v>
      </c>
      <c r="U420" s="112">
        <v>0.0</v>
      </c>
      <c r="V420" s="112">
        <v>2.0</v>
      </c>
      <c r="W420" s="112">
        <v>1.0</v>
      </c>
      <c r="X420" s="112">
        <v>4.0</v>
      </c>
      <c r="Y420" s="112">
        <v>1.0</v>
      </c>
      <c r="Z420" s="112">
        <v>1.0</v>
      </c>
      <c r="AA420" s="112">
        <v>1.0</v>
      </c>
      <c r="AB420" s="112">
        <v>1.0</v>
      </c>
      <c r="AC420" s="112">
        <v>1.0</v>
      </c>
      <c r="AD420" s="112">
        <v>2.0</v>
      </c>
      <c r="AE420" s="112">
        <v>0.0</v>
      </c>
      <c r="AF420" s="112">
        <v>2.0</v>
      </c>
      <c r="AG420" s="112">
        <v>4.0</v>
      </c>
      <c r="AH420" s="112">
        <v>2.0</v>
      </c>
      <c r="AI420" s="112">
        <v>0.0</v>
      </c>
      <c r="AJ420" s="112">
        <v>0.0</v>
      </c>
      <c r="AK420" s="112">
        <v>1.0</v>
      </c>
      <c r="AL420" s="112">
        <v>0.0</v>
      </c>
      <c r="AM420" s="112">
        <v>3.0</v>
      </c>
      <c r="AN420" s="112">
        <v>40.0</v>
      </c>
    </row>
    <row r="421">
      <c r="A421" s="107" t="s">
        <v>203</v>
      </c>
      <c r="B421" s="111" t="s">
        <v>198</v>
      </c>
      <c r="C421" s="112">
        <v>1.0</v>
      </c>
      <c r="D421" s="112">
        <v>0.0</v>
      </c>
      <c r="E421" s="112">
        <v>1.0</v>
      </c>
      <c r="F421" s="110">
        <v>0.0</v>
      </c>
      <c r="G421" s="110">
        <v>0.0</v>
      </c>
      <c r="H421" s="110">
        <v>0.0</v>
      </c>
      <c r="I421" s="110">
        <v>0.0</v>
      </c>
      <c r="J421" s="110">
        <v>0.0</v>
      </c>
      <c r="K421" s="110">
        <v>0.0</v>
      </c>
      <c r="L421" s="110">
        <v>0.0</v>
      </c>
      <c r="M421" s="110">
        <v>0.0</v>
      </c>
      <c r="N421" s="110">
        <v>0.0</v>
      </c>
      <c r="O421" s="110">
        <v>0.0</v>
      </c>
      <c r="P421" s="110">
        <v>0.0</v>
      </c>
      <c r="Q421" s="110">
        <v>0.0</v>
      </c>
      <c r="R421" s="110">
        <v>0.0</v>
      </c>
      <c r="S421" s="110">
        <v>0.0</v>
      </c>
      <c r="T421" s="110">
        <v>0.0</v>
      </c>
      <c r="U421" s="110">
        <v>0.0</v>
      </c>
      <c r="V421" s="110">
        <v>0.0</v>
      </c>
      <c r="W421" s="110">
        <v>0.0</v>
      </c>
      <c r="X421" s="110">
        <v>0.0</v>
      </c>
      <c r="Y421" s="110">
        <v>0.0</v>
      </c>
      <c r="Z421" s="110">
        <v>0.0</v>
      </c>
      <c r="AA421" s="110">
        <v>0.0</v>
      </c>
      <c r="AB421" s="110">
        <v>0.0</v>
      </c>
      <c r="AC421" s="110">
        <v>0.0</v>
      </c>
      <c r="AD421" s="110">
        <v>0.0</v>
      </c>
      <c r="AE421" s="110">
        <v>0.0</v>
      </c>
      <c r="AF421" s="112">
        <v>0.0</v>
      </c>
      <c r="AG421" s="112">
        <v>1.0</v>
      </c>
      <c r="AH421" s="112">
        <v>0.0</v>
      </c>
      <c r="AI421" s="112">
        <v>0.0</v>
      </c>
      <c r="AJ421" s="112">
        <v>0.0</v>
      </c>
      <c r="AK421" s="112">
        <v>0.0</v>
      </c>
      <c r="AL421" s="112">
        <v>0.0</v>
      </c>
      <c r="AM421" s="112">
        <v>0.0</v>
      </c>
      <c r="AN421" s="112">
        <v>1.0</v>
      </c>
    </row>
    <row r="422">
      <c r="A422" s="104"/>
      <c r="B422" s="111" t="s">
        <v>199</v>
      </c>
      <c r="C422" s="112">
        <v>568.0</v>
      </c>
      <c r="D422" s="112">
        <v>240.0</v>
      </c>
      <c r="E422" s="112">
        <v>328.0</v>
      </c>
      <c r="F422" s="110">
        <v>0.0</v>
      </c>
      <c r="G422" s="110">
        <v>0.0</v>
      </c>
      <c r="H422" s="110">
        <v>0.0</v>
      </c>
      <c r="I422" s="110">
        <v>0.0</v>
      </c>
      <c r="J422" s="110">
        <v>0.0</v>
      </c>
      <c r="K422" s="110">
        <v>0.0</v>
      </c>
      <c r="L422" s="110">
        <v>0.0</v>
      </c>
      <c r="M422" s="110">
        <v>0.0</v>
      </c>
      <c r="N422" s="110">
        <v>0.0</v>
      </c>
      <c r="O422" s="110">
        <v>0.0</v>
      </c>
      <c r="P422" s="110">
        <v>0.0</v>
      </c>
      <c r="Q422" s="110">
        <v>0.0</v>
      </c>
      <c r="R422" s="110">
        <v>0.0</v>
      </c>
      <c r="S422" s="110">
        <v>0.0</v>
      </c>
      <c r="T422" s="110">
        <v>0.0</v>
      </c>
      <c r="U422" s="110">
        <v>0.0</v>
      </c>
      <c r="V422" s="110">
        <v>0.0</v>
      </c>
      <c r="W422" s="110">
        <v>0.0</v>
      </c>
      <c r="X422" s="110">
        <v>0.0</v>
      </c>
      <c r="Y422" s="110">
        <v>0.0</v>
      </c>
      <c r="Z422" s="110">
        <v>0.0</v>
      </c>
      <c r="AA422" s="110">
        <v>0.0</v>
      </c>
      <c r="AB422" s="110">
        <v>0.0</v>
      </c>
      <c r="AC422" s="110">
        <v>0.0</v>
      </c>
      <c r="AD422" s="110">
        <v>0.0</v>
      </c>
      <c r="AE422" s="110">
        <v>0.0</v>
      </c>
      <c r="AF422" s="112">
        <v>63.0</v>
      </c>
      <c r="AG422" s="112">
        <v>93.0</v>
      </c>
      <c r="AH422" s="112">
        <v>69.0</v>
      </c>
      <c r="AI422" s="112">
        <v>99.0</v>
      </c>
      <c r="AJ422" s="112">
        <v>67.0</v>
      </c>
      <c r="AK422" s="112">
        <v>60.0</v>
      </c>
      <c r="AL422" s="112">
        <v>41.0</v>
      </c>
      <c r="AM422" s="112">
        <v>76.0</v>
      </c>
      <c r="AN422" s="112">
        <v>568.0</v>
      </c>
    </row>
    <row r="423">
      <c r="A423" s="107" t="s">
        <v>204</v>
      </c>
      <c r="B423" s="111" t="s">
        <v>198</v>
      </c>
      <c r="C423" s="112">
        <v>0.0</v>
      </c>
      <c r="D423" s="112">
        <v>0.0</v>
      </c>
      <c r="E423" s="112">
        <v>0.0</v>
      </c>
      <c r="F423" s="110">
        <v>0.0</v>
      </c>
      <c r="G423" s="110">
        <v>0.0</v>
      </c>
      <c r="H423" s="110">
        <v>0.0</v>
      </c>
      <c r="I423" s="110">
        <v>0.0</v>
      </c>
      <c r="J423" s="110">
        <v>0.0</v>
      </c>
      <c r="K423" s="110">
        <v>0.0</v>
      </c>
      <c r="L423" s="110">
        <v>0.0</v>
      </c>
      <c r="M423" s="110">
        <v>0.0</v>
      </c>
      <c r="N423" s="110">
        <v>0.0</v>
      </c>
      <c r="O423" s="110">
        <v>0.0</v>
      </c>
      <c r="P423" s="110">
        <v>0.0</v>
      </c>
      <c r="Q423" s="110">
        <v>0.0</v>
      </c>
      <c r="R423" s="110">
        <v>0.0</v>
      </c>
      <c r="S423" s="110">
        <v>0.0</v>
      </c>
      <c r="T423" s="110">
        <v>0.0</v>
      </c>
      <c r="U423" s="110">
        <v>0.0</v>
      </c>
      <c r="V423" s="110">
        <v>0.0</v>
      </c>
      <c r="W423" s="110">
        <v>0.0</v>
      </c>
      <c r="X423" s="110">
        <v>0.0</v>
      </c>
      <c r="Y423" s="110">
        <v>0.0</v>
      </c>
      <c r="Z423" s="110">
        <v>0.0</v>
      </c>
      <c r="AA423" s="110">
        <v>0.0</v>
      </c>
      <c r="AB423" s="110">
        <v>0.0</v>
      </c>
      <c r="AC423" s="110">
        <v>0.0</v>
      </c>
      <c r="AD423" s="110">
        <v>0.0</v>
      </c>
      <c r="AE423" s="110">
        <v>0.0</v>
      </c>
      <c r="AF423" s="112">
        <v>0.0</v>
      </c>
      <c r="AG423" s="112">
        <v>0.0</v>
      </c>
      <c r="AH423" s="112">
        <v>0.0</v>
      </c>
      <c r="AI423" s="112">
        <v>0.0</v>
      </c>
      <c r="AJ423" s="112">
        <v>0.0</v>
      </c>
      <c r="AK423" s="112">
        <v>0.0</v>
      </c>
      <c r="AL423" s="112">
        <v>0.0</v>
      </c>
      <c r="AM423" s="112">
        <v>0.0</v>
      </c>
      <c r="AN423" s="112">
        <v>0.0</v>
      </c>
    </row>
    <row r="424">
      <c r="A424" s="104"/>
      <c r="B424" s="111" t="s">
        <v>199</v>
      </c>
      <c r="C424" s="112">
        <v>527.0</v>
      </c>
      <c r="D424" s="112">
        <v>246.0</v>
      </c>
      <c r="E424" s="112">
        <v>281.0</v>
      </c>
      <c r="F424" s="110">
        <v>0.0</v>
      </c>
      <c r="G424" s="110">
        <v>0.0</v>
      </c>
      <c r="H424" s="110">
        <v>0.0</v>
      </c>
      <c r="I424" s="110">
        <v>0.0</v>
      </c>
      <c r="J424" s="110">
        <v>0.0</v>
      </c>
      <c r="K424" s="110">
        <v>0.0</v>
      </c>
      <c r="L424" s="110">
        <v>0.0</v>
      </c>
      <c r="M424" s="110">
        <v>0.0</v>
      </c>
      <c r="N424" s="110">
        <v>0.0</v>
      </c>
      <c r="O424" s="110">
        <v>0.0</v>
      </c>
      <c r="P424" s="110">
        <v>0.0</v>
      </c>
      <c r="Q424" s="110">
        <v>0.0</v>
      </c>
      <c r="R424" s="110">
        <v>0.0</v>
      </c>
      <c r="S424" s="110">
        <v>0.0</v>
      </c>
      <c r="T424" s="110">
        <v>0.0</v>
      </c>
      <c r="U424" s="110">
        <v>0.0</v>
      </c>
      <c r="V424" s="110">
        <v>0.0</v>
      </c>
      <c r="W424" s="110">
        <v>0.0</v>
      </c>
      <c r="X424" s="110">
        <v>0.0</v>
      </c>
      <c r="Y424" s="110">
        <v>0.0</v>
      </c>
      <c r="Z424" s="110">
        <v>0.0</v>
      </c>
      <c r="AA424" s="110">
        <v>0.0</v>
      </c>
      <c r="AB424" s="110">
        <v>0.0</v>
      </c>
      <c r="AC424" s="110">
        <v>0.0</v>
      </c>
      <c r="AD424" s="110">
        <v>0.0</v>
      </c>
      <c r="AE424" s="110">
        <v>0.0</v>
      </c>
      <c r="AF424" s="112">
        <v>27.0</v>
      </c>
      <c r="AG424" s="112">
        <v>34.0</v>
      </c>
      <c r="AH424" s="112">
        <v>60.0</v>
      </c>
      <c r="AI424" s="112">
        <v>51.0</v>
      </c>
      <c r="AJ424" s="112">
        <v>53.0</v>
      </c>
      <c r="AK424" s="112">
        <v>62.0</v>
      </c>
      <c r="AL424" s="112">
        <v>106.0</v>
      </c>
      <c r="AM424" s="112">
        <v>134.0</v>
      </c>
      <c r="AN424" s="112">
        <v>526.0</v>
      </c>
    </row>
    <row r="425">
      <c r="A425" s="107" t="s">
        <v>205</v>
      </c>
      <c r="B425" s="111" t="s">
        <v>198</v>
      </c>
      <c r="C425" s="112">
        <v>0.0</v>
      </c>
      <c r="D425" s="112">
        <v>0.0</v>
      </c>
      <c r="E425" s="112">
        <v>0.0</v>
      </c>
      <c r="F425" s="112">
        <v>0.0</v>
      </c>
      <c r="G425" s="112">
        <v>0.0</v>
      </c>
      <c r="H425" s="112">
        <v>0.0</v>
      </c>
      <c r="I425" s="112">
        <v>0.0</v>
      </c>
      <c r="J425" s="112">
        <v>0.0</v>
      </c>
      <c r="K425" s="112">
        <v>0.0</v>
      </c>
      <c r="L425" s="112">
        <v>0.0</v>
      </c>
      <c r="M425" s="112">
        <v>0.0</v>
      </c>
      <c r="N425" s="112">
        <v>0.0</v>
      </c>
      <c r="O425" s="112">
        <v>0.0</v>
      </c>
      <c r="P425" s="112">
        <v>0.0</v>
      </c>
      <c r="Q425" s="112">
        <v>0.0</v>
      </c>
      <c r="R425" s="112">
        <v>0.0</v>
      </c>
      <c r="S425" s="112">
        <v>0.0</v>
      </c>
      <c r="T425" s="112">
        <v>0.0</v>
      </c>
      <c r="U425" s="112">
        <v>0.0</v>
      </c>
      <c r="V425" s="112">
        <v>0.0</v>
      </c>
      <c r="W425" s="112">
        <v>0.0</v>
      </c>
      <c r="X425" s="112">
        <v>0.0</v>
      </c>
      <c r="Y425" s="112">
        <v>0.0</v>
      </c>
      <c r="Z425" s="112">
        <v>0.0</v>
      </c>
      <c r="AA425" s="112">
        <v>0.0</v>
      </c>
      <c r="AB425" s="112">
        <v>0.0</v>
      </c>
      <c r="AC425" s="112">
        <v>0.0</v>
      </c>
      <c r="AD425" s="112">
        <v>0.0</v>
      </c>
      <c r="AE425" s="112">
        <v>0.0</v>
      </c>
      <c r="AF425" s="112">
        <v>0.0</v>
      </c>
      <c r="AG425" s="112">
        <v>0.0</v>
      </c>
      <c r="AH425" s="112">
        <v>0.0</v>
      </c>
      <c r="AI425" s="112">
        <v>0.0</v>
      </c>
      <c r="AJ425" s="112">
        <v>0.0</v>
      </c>
      <c r="AK425" s="112">
        <v>0.0</v>
      </c>
      <c r="AL425" s="112">
        <v>0.0</v>
      </c>
      <c r="AM425" s="112">
        <v>0.0</v>
      </c>
      <c r="AN425" s="112">
        <v>0.0</v>
      </c>
    </row>
    <row r="426">
      <c r="A426" s="98"/>
      <c r="B426" s="111" t="s">
        <v>199</v>
      </c>
      <c r="C426" s="112">
        <v>0.0</v>
      </c>
      <c r="D426" s="112">
        <v>0.0</v>
      </c>
      <c r="E426" s="112">
        <v>0.0</v>
      </c>
      <c r="F426" s="112">
        <v>0.0</v>
      </c>
      <c r="G426" s="112">
        <v>0.0</v>
      </c>
      <c r="H426" s="112">
        <v>0.0</v>
      </c>
      <c r="I426" s="112">
        <v>0.0</v>
      </c>
      <c r="J426" s="112">
        <v>0.0</v>
      </c>
      <c r="K426" s="112">
        <v>0.0</v>
      </c>
      <c r="L426" s="112">
        <v>0.0</v>
      </c>
      <c r="M426" s="112">
        <v>0.0</v>
      </c>
      <c r="N426" s="112">
        <v>0.0</v>
      </c>
      <c r="O426" s="112">
        <v>0.0</v>
      </c>
      <c r="P426" s="112">
        <v>0.0</v>
      </c>
      <c r="Q426" s="112">
        <v>0.0</v>
      </c>
      <c r="R426" s="112">
        <v>0.0</v>
      </c>
      <c r="S426" s="112">
        <v>0.0</v>
      </c>
      <c r="T426" s="112">
        <v>0.0</v>
      </c>
      <c r="U426" s="112">
        <v>0.0</v>
      </c>
      <c r="V426" s="112">
        <v>0.0</v>
      </c>
      <c r="W426" s="112">
        <v>0.0</v>
      </c>
      <c r="X426" s="112">
        <v>0.0</v>
      </c>
      <c r="Y426" s="112">
        <v>0.0</v>
      </c>
      <c r="Z426" s="112">
        <v>0.0</v>
      </c>
      <c r="AA426" s="112">
        <v>0.0</v>
      </c>
      <c r="AB426" s="112">
        <v>0.0</v>
      </c>
      <c r="AC426" s="112">
        <v>0.0</v>
      </c>
      <c r="AD426" s="112">
        <v>0.0</v>
      </c>
      <c r="AE426" s="112">
        <v>0.0</v>
      </c>
      <c r="AF426" s="112">
        <v>0.0</v>
      </c>
      <c r="AG426" s="112">
        <v>0.0</v>
      </c>
      <c r="AH426" s="112">
        <v>0.0</v>
      </c>
      <c r="AI426" s="112">
        <v>0.0</v>
      </c>
      <c r="AJ426" s="112">
        <v>0.0</v>
      </c>
      <c r="AK426" s="112">
        <v>0.0</v>
      </c>
      <c r="AL426" s="112">
        <v>0.0</v>
      </c>
      <c r="AM426" s="112">
        <v>0.0</v>
      </c>
      <c r="AN426" s="112">
        <v>0.0</v>
      </c>
    </row>
    <row r="427">
      <c r="A427" s="104"/>
      <c r="B427" s="111" t="s">
        <v>206</v>
      </c>
      <c r="C427" s="112">
        <v>0.0</v>
      </c>
      <c r="D427" s="112">
        <v>0.0</v>
      </c>
      <c r="E427" s="112">
        <v>0.0</v>
      </c>
      <c r="F427" s="112">
        <v>0.0</v>
      </c>
      <c r="G427" s="112">
        <v>0.0</v>
      </c>
      <c r="H427" s="112">
        <v>0.0</v>
      </c>
      <c r="I427" s="112">
        <v>0.0</v>
      </c>
      <c r="J427" s="112">
        <v>0.0</v>
      </c>
      <c r="K427" s="112">
        <v>0.0</v>
      </c>
      <c r="L427" s="112">
        <v>0.0</v>
      </c>
      <c r="M427" s="112">
        <v>0.0</v>
      </c>
      <c r="N427" s="112">
        <v>0.0</v>
      </c>
      <c r="O427" s="112">
        <v>0.0</v>
      </c>
      <c r="P427" s="112">
        <v>0.0</v>
      </c>
      <c r="Q427" s="112">
        <v>0.0</v>
      </c>
      <c r="R427" s="112">
        <v>0.0</v>
      </c>
      <c r="S427" s="112">
        <v>0.0</v>
      </c>
      <c r="T427" s="112">
        <v>0.0</v>
      </c>
      <c r="U427" s="112">
        <v>0.0</v>
      </c>
      <c r="V427" s="112">
        <v>0.0</v>
      </c>
      <c r="W427" s="112">
        <v>0.0</v>
      </c>
      <c r="X427" s="112">
        <v>0.0</v>
      </c>
      <c r="Y427" s="112">
        <v>0.0</v>
      </c>
      <c r="Z427" s="112">
        <v>0.0</v>
      </c>
      <c r="AA427" s="112">
        <v>0.0</v>
      </c>
      <c r="AB427" s="112">
        <v>0.0</v>
      </c>
      <c r="AC427" s="112">
        <v>0.0</v>
      </c>
      <c r="AD427" s="112">
        <v>0.0</v>
      </c>
      <c r="AE427" s="112">
        <v>0.0</v>
      </c>
      <c r="AF427" s="112">
        <v>0.0</v>
      </c>
      <c r="AG427" s="112">
        <v>0.0</v>
      </c>
      <c r="AH427" s="112">
        <v>0.0</v>
      </c>
      <c r="AI427" s="112">
        <v>0.0</v>
      </c>
      <c r="AJ427" s="112">
        <v>0.0</v>
      </c>
      <c r="AK427" s="112">
        <v>0.0</v>
      </c>
      <c r="AL427" s="112">
        <v>0.0</v>
      </c>
      <c r="AM427" s="112">
        <v>0.0</v>
      </c>
      <c r="AN427" s="112">
        <v>0.0</v>
      </c>
    </row>
    <row r="428">
      <c r="A428" s="107" t="s">
        <v>207</v>
      </c>
      <c r="B428" s="111" t="s">
        <v>198</v>
      </c>
      <c r="C428" s="109">
        <v>27726.0</v>
      </c>
      <c r="D428" s="109">
        <v>7667.0</v>
      </c>
      <c r="E428" s="109">
        <v>20059.0</v>
      </c>
      <c r="F428" s="112">
        <v>263.0</v>
      </c>
      <c r="G428" s="112">
        <v>178.0</v>
      </c>
      <c r="H428" s="112">
        <v>161.0</v>
      </c>
      <c r="I428" s="112">
        <v>136.0</v>
      </c>
      <c r="J428" s="112">
        <v>190.0</v>
      </c>
      <c r="K428" s="112">
        <v>230.0</v>
      </c>
      <c r="L428" s="112">
        <v>156.0</v>
      </c>
      <c r="M428" s="112">
        <v>294.0</v>
      </c>
      <c r="N428" s="112">
        <v>118.0</v>
      </c>
      <c r="O428" s="112">
        <v>320.0</v>
      </c>
      <c r="P428" s="112">
        <v>139.0</v>
      </c>
      <c r="Q428" s="112">
        <v>473.0</v>
      </c>
      <c r="R428" s="112">
        <v>159.0</v>
      </c>
      <c r="S428" s="112">
        <v>514.0</v>
      </c>
      <c r="T428" s="112">
        <v>196.0</v>
      </c>
      <c r="U428" s="112">
        <v>642.0</v>
      </c>
      <c r="V428" s="112">
        <v>250.0</v>
      </c>
      <c r="W428" s="109">
        <v>1028.0</v>
      </c>
      <c r="X428" s="112">
        <v>425.0</v>
      </c>
      <c r="Y428" s="109">
        <v>1460.0</v>
      </c>
      <c r="Z428" s="112">
        <v>567.0</v>
      </c>
      <c r="AA428" s="109">
        <v>2020.0</v>
      </c>
      <c r="AB428" s="112">
        <v>670.0</v>
      </c>
      <c r="AC428" s="109">
        <v>2537.0</v>
      </c>
      <c r="AD428" s="112">
        <v>937.0</v>
      </c>
      <c r="AE428" s="109">
        <v>2476.0</v>
      </c>
      <c r="AF428" s="112">
        <v>929.0</v>
      </c>
      <c r="AG428" s="109">
        <v>2342.0</v>
      </c>
      <c r="AH428" s="112">
        <v>852.0</v>
      </c>
      <c r="AI428" s="109">
        <v>1985.0</v>
      </c>
      <c r="AJ428" s="112">
        <v>750.0</v>
      </c>
      <c r="AK428" s="109">
        <v>1696.0</v>
      </c>
      <c r="AL428" s="112">
        <v>905.0</v>
      </c>
      <c r="AM428" s="109">
        <v>1728.0</v>
      </c>
      <c r="AN428" s="109">
        <v>27711.0</v>
      </c>
    </row>
    <row r="429">
      <c r="A429" s="98"/>
      <c r="B429" s="111" t="s">
        <v>199</v>
      </c>
      <c r="C429" s="109">
        <v>4752.0</v>
      </c>
      <c r="D429" s="109">
        <v>1334.0</v>
      </c>
      <c r="E429" s="109">
        <v>3418.0</v>
      </c>
      <c r="F429" s="112">
        <v>11.0</v>
      </c>
      <c r="G429" s="112">
        <v>10.0</v>
      </c>
      <c r="H429" s="112">
        <v>10.0</v>
      </c>
      <c r="I429" s="112">
        <v>21.0</v>
      </c>
      <c r="J429" s="112">
        <v>11.0</v>
      </c>
      <c r="K429" s="112">
        <v>18.0</v>
      </c>
      <c r="L429" s="112">
        <v>19.0</v>
      </c>
      <c r="M429" s="112">
        <v>42.0</v>
      </c>
      <c r="N429" s="112">
        <v>14.0</v>
      </c>
      <c r="O429" s="112">
        <v>40.0</v>
      </c>
      <c r="P429" s="112">
        <v>20.0</v>
      </c>
      <c r="Q429" s="112">
        <v>70.0</v>
      </c>
      <c r="R429" s="112">
        <v>18.0</v>
      </c>
      <c r="S429" s="112">
        <v>61.0</v>
      </c>
      <c r="T429" s="112">
        <v>20.0</v>
      </c>
      <c r="U429" s="112">
        <v>98.0</v>
      </c>
      <c r="V429" s="112">
        <v>36.0</v>
      </c>
      <c r="W429" s="112">
        <v>158.0</v>
      </c>
      <c r="X429" s="112">
        <v>60.0</v>
      </c>
      <c r="Y429" s="112">
        <v>232.0</v>
      </c>
      <c r="Z429" s="112">
        <v>75.0</v>
      </c>
      <c r="AA429" s="112">
        <v>295.0</v>
      </c>
      <c r="AB429" s="112">
        <v>117.0</v>
      </c>
      <c r="AC429" s="112">
        <v>392.0</v>
      </c>
      <c r="AD429" s="112">
        <v>153.0</v>
      </c>
      <c r="AE429" s="112">
        <v>432.0</v>
      </c>
      <c r="AF429" s="112">
        <v>184.0</v>
      </c>
      <c r="AG429" s="112">
        <v>454.0</v>
      </c>
      <c r="AH429" s="112">
        <v>181.0</v>
      </c>
      <c r="AI429" s="112">
        <v>410.0</v>
      </c>
      <c r="AJ429" s="112">
        <v>176.0</v>
      </c>
      <c r="AK429" s="112">
        <v>311.0</v>
      </c>
      <c r="AL429" s="112">
        <v>229.0</v>
      </c>
      <c r="AM429" s="112">
        <v>374.0</v>
      </c>
      <c r="AN429" s="109">
        <v>4751.0</v>
      </c>
    </row>
    <row r="430">
      <c r="A430" s="98"/>
      <c r="B430" s="111" t="s">
        <v>206</v>
      </c>
      <c r="C430" s="112">
        <v>41.0</v>
      </c>
      <c r="D430" s="112">
        <v>12.0</v>
      </c>
      <c r="E430" s="112">
        <v>29.0</v>
      </c>
      <c r="F430" s="112">
        <v>0.0</v>
      </c>
      <c r="G430" s="112">
        <v>0.0</v>
      </c>
      <c r="H430" s="112">
        <v>0.0</v>
      </c>
      <c r="I430" s="112">
        <v>0.0</v>
      </c>
      <c r="J430" s="112">
        <v>0.0</v>
      </c>
      <c r="K430" s="112">
        <v>0.0</v>
      </c>
      <c r="L430" s="112">
        <v>1.0</v>
      </c>
      <c r="M430" s="112">
        <v>1.0</v>
      </c>
      <c r="N430" s="112">
        <v>0.0</v>
      </c>
      <c r="O430" s="112">
        <v>1.0</v>
      </c>
      <c r="P430" s="112">
        <v>0.0</v>
      </c>
      <c r="Q430" s="112">
        <v>3.0</v>
      </c>
      <c r="R430" s="112">
        <v>1.0</v>
      </c>
      <c r="S430" s="112">
        <v>3.0</v>
      </c>
      <c r="T430" s="112">
        <v>1.0</v>
      </c>
      <c r="U430" s="112">
        <v>1.0</v>
      </c>
      <c r="V430" s="112">
        <v>1.0</v>
      </c>
      <c r="W430" s="112">
        <v>2.0</v>
      </c>
      <c r="X430" s="112">
        <v>1.0</v>
      </c>
      <c r="Y430" s="112">
        <v>1.0</v>
      </c>
      <c r="Z430" s="112">
        <v>2.0</v>
      </c>
      <c r="AA430" s="112">
        <v>5.0</v>
      </c>
      <c r="AB430" s="112">
        <v>1.0</v>
      </c>
      <c r="AC430" s="112">
        <v>6.0</v>
      </c>
      <c r="AD430" s="112">
        <v>1.0</v>
      </c>
      <c r="AE430" s="112">
        <v>1.0</v>
      </c>
      <c r="AF430" s="112">
        <v>1.0</v>
      </c>
      <c r="AG430" s="112">
        <v>0.0</v>
      </c>
      <c r="AH430" s="112">
        <v>0.0</v>
      </c>
      <c r="AI430" s="112">
        <v>3.0</v>
      </c>
      <c r="AJ430" s="112">
        <v>1.0</v>
      </c>
      <c r="AK430" s="112">
        <v>1.0</v>
      </c>
      <c r="AL430" s="112">
        <v>1.0</v>
      </c>
      <c r="AM430" s="112">
        <v>1.0</v>
      </c>
      <c r="AN430" s="112">
        <v>44.0</v>
      </c>
    </row>
    <row r="431">
      <c r="A431" s="98"/>
      <c r="B431" s="111" t="s">
        <v>200</v>
      </c>
      <c r="C431" s="109">
        <v>7883.0</v>
      </c>
      <c r="D431" s="109">
        <v>2345.0</v>
      </c>
      <c r="E431" s="109">
        <v>5538.0</v>
      </c>
      <c r="F431" s="112">
        <v>938.0</v>
      </c>
      <c r="G431" s="109">
        <v>1028.0</v>
      </c>
      <c r="H431" s="112">
        <v>222.0</v>
      </c>
      <c r="I431" s="112">
        <v>248.0</v>
      </c>
      <c r="J431" s="112">
        <v>105.0</v>
      </c>
      <c r="K431" s="112">
        <v>138.0</v>
      </c>
      <c r="L431" s="112">
        <v>71.0</v>
      </c>
      <c r="M431" s="112">
        <v>192.0</v>
      </c>
      <c r="N431" s="112">
        <v>32.0</v>
      </c>
      <c r="O431" s="112">
        <v>311.0</v>
      </c>
      <c r="P431" s="112">
        <v>29.0</v>
      </c>
      <c r="Q431" s="112">
        <v>324.0</v>
      </c>
      <c r="R431" s="112">
        <v>44.0</v>
      </c>
      <c r="S431" s="112">
        <v>286.0</v>
      </c>
      <c r="T431" s="112">
        <v>48.0</v>
      </c>
      <c r="U431" s="112">
        <v>281.0</v>
      </c>
      <c r="V431" s="112">
        <v>50.0</v>
      </c>
      <c r="W431" s="112">
        <v>300.0</v>
      </c>
      <c r="X431" s="112">
        <v>72.0</v>
      </c>
      <c r="Y431" s="112">
        <v>351.0</v>
      </c>
      <c r="Z431" s="112">
        <v>80.0</v>
      </c>
      <c r="AA431" s="112">
        <v>368.0</v>
      </c>
      <c r="AB431" s="112">
        <v>92.0</v>
      </c>
      <c r="AC431" s="112">
        <v>366.0</v>
      </c>
      <c r="AD431" s="112">
        <v>118.0</v>
      </c>
      <c r="AE431" s="112">
        <v>349.0</v>
      </c>
      <c r="AF431" s="112">
        <v>108.0</v>
      </c>
      <c r="AG431" s="112">
        <v>327.0</v>
      </c>
      <c r="AH431" s="112">
        <v>133.0</v>
      </c>
      <c r="AI431" s="112">
        <v>249.0</v>
      </c>
      <c r="AJ431" s="112">
        <v>103.0</v>
      </c>
      <c r="AK431" s="112">
        <v>208.0</v>
      </c>
      <c r="AL431" s="112">
        <v>100.0</v>
      </c>
      <c r="AM431" s="112">
        <v>212.0</v>
      </c>
      <c r="AN431" s="109">
        <v>7742.0</v>
      </c>
    </row>
    <row r="432">
      <c r="A432" s="104"/>
      <c r="B432" s="111" t="s">
        <v>201</v>
      </c>
      <c r="C432" s="109">
        <v>2678.0</v>
      </c>
      <c r="D432" s="109">
        <v>1156.0</v>
      </c>
      <c r="E432" s="109">
        <v>1522.0</v>
      </c>
      <c r="F432" s="112">
        <v>24.0</v>
      </c>
      <c r="G432" s="112">
        <v>29.0</v>
      </c>
      <c r="H432" s="112">
        <v>44.0</v>
      </c>
      <c r="I432" s="112">
        <v>97.0</v>
      </c>
      <c r="J432" s="112">
        <v>68.0</v>
      </c>
      <c r="K432" s="112">
        <v>89.0</v>
      </c>
      <c r="L432" s="112">
        <v>82.0</v>
      </c>
      <c r="M432" s="112">
        <v>90.0</v>
      </c>
      <c r="N432" s="112">
        <v>72.0</v>
      </c>
      <c r="O432" s="112">
        <v>90.0</v>
      </c>
      <c r="P432" s="112">
        <v>65.0</v>
      </c>
      <c r="Q432" s="112">
        <v>90.0</v>
      </c>
      <c r="R432" s="112">
        <v>62.0</v>
      </c>
      <c r="S432" s="112">
        <v>95.0</v>
      </c>
      <c r="T432" s="112">
        <v>69.0</v>
      </c>
      <c r="U432" s="112">
        <v>112.0</v>
      </c>
      <c r="V432" s="112">
        <v>86.0</v>
      </c>
      <c r="W432" s="112">
        <v>96.0</v>
      </c>
      <c r="X432" s="112">
        <v>68.0</v>
      </c>
      <c r="Y432" s="112">
        <v>129.0</v>
      </c>
      <c r="Z432" s="112">
        <v>115.0</v>
      </c>
      <c r="AA432" s="112">
        <v>109.0</v>
      </c>
      <c r="AB432" s="112">
        <v>86.0</v>
      </c>
      <c r="AC432" s="112">
        <v>101.0</v>
      </c>
      <c r="AD432" s="112">
        <v>62.0</v>
      </c>
      <c r="AE432" s="112">
        <v>97.0</v>
      </c>
      <c r="AF432" s="112">
        <v>74.0</v>
      </c>
      <c r="AG432" s="112">
        <v>88.0</v>
      </c>
      <c r="AH432" s="112">
        <v>72.0</v>
      </c>
      <c r="AI432" s="112">
        <v>88.0</v>
      </c>
      <c r="AJ432" s="112">
        <v>63.0</v>
      </c>
      <c r="AK432" s="112">
        <v>66.0</v>
      </c>
      <c r="AL432" s="112">
        <v>44.0</v>
      </c>
      <c r="AM432" s="112">
        <v>56.0</v>
      </c>
      <c r="AN432" s="109">
        <v>2677.0</v>
      </c>
    </row>
    <row r="433">
      <c r="A433" s="107" t="s">
        <v>208</v>
      </c>
      <c r="B433" s="111" t="s">
        <v>198</v>
      </c>
      <c r="C433" s="112">
        <v>4.0</v>
      </c>
      <c r="D433" s="112">
        <v>4.0</v>
      </c>
      <c r="E433" s="112">
        <v>0.0</v>
      </c>
      <c r="F433" s="112">
        <v>4.0</v>
      </c>
      <c r="G433" s="112">
        <v>0.0</v>
      </c>
      <c r="H433" s="112">
        <v>0.0</v>
      </c>
      <c r="I433" s="112">
        <v>0.0</v>
      </c>
      <c r="J433" s="112">
        <v>0.0</v>
      </c>
      <c r="K433" s="112">
        <v>0.0</v>
      </c>
      <c r="L433" s="112">
        <v>0.0</v>
      </c>
      <c r="M433" s="112">
        <v>0.0</v>
      </c>
      <c r="N433" s="112">
        <v>0.0</v>
      </c>
      <c r="O433" s="112">
        <v>0.0</v>
      </c>
      <c r="P433" s="110">
        <v>0.0</v>
      </c>
      <c r="Q433" s="110">
        <v>0.0</v>
      </c>
      <c r="R433" s="110">
        <v>0.0</v>
      </c>
      <c r="S433" s="110">
        <v>0.0</v>
      </c>
      <c r="T433" s="110">
        <v>0.0</v>
      </c>
      <c r="U433" s="110">
        <v>0.0</v>
      </c>
      <c r="V433" s="110">
        <v>0.0</v>
      </c>
      <c r="W433" s="110">
        <v>0.0</v>
      </c>
      <c r="X433" s="110">
        <v>0.0</v>
      </c>
      <c r="Y433" s="110">
        <v>0.0</v>
      </c>
      <c r="Z433" s="110">
        <v>0.0</v>
      </c>
      <c r="AA433" s="110">
        <v>0.0</v>
      </c>
      <c r="AB433" s="110">
        <v>0.0</v>
      </c>
      <c r="AC433" s="110">
        <v>0.0</v>
      </c>
      <c r="AD433" s="110">
        <v>0.0</v>
      </c>
      <c r="AE433" s="110">
        <v>0.0</v>
      </c>
      <c r="AF433" s="110">
        <v>0.0</v>
      </c>
      <c r="AG433" s="110">
        <v>0.0</v>
      </c>
      <c r="AH433" s="110">
        <v>0.0</v>
      </c>
      <c r="AI433" s="110">
        <v>0.0</v>
      </c>
      <c r="AJ433" s="110">
        <v>0.0</v>
      </c>
      <c r="AK433" s="110">
        <v>0.0</v>
      </c>
      <c r="AL433" s="110">
        <v>0.0</v>
      </c>
      <c r="AM433" s="110">
        <v>0.0</v>
      </c>
      <c r="AN433" s="112">
        <v>4.0</v>
      </c>
    </row>
    <row r="434">
      <c r="A434" s="98"/>
      <c r="B434" s="111" t="s">
        <v>199</v>
      </c>
      <c r="C434" s="112">
        <v>8.0</v>
      </c>
      <c r="D434" s="112">
        <v>5.0</v>
      </c>
      <c r="E434" s="112">
        <v>3.0</v>
      </c>
      <c r="F434" s="112">
        <v>2.0</v>
      </c>
      <c r="G434" s="112">
        <v>3.0</v>
      </c>
      <c r="H434" s="112">
        <v>3.0</v>
      </c>
      <c r="I434" s="112">
        <v>0.0</v>
      </c>
      <c r="J434" s="112">
        <v>0.0</v>
      </c>
      <c r="K434" s="112">
        <v>0.0</v>
      </c>
      <c r="L434" s="112">
        <v>0.0</v>
      </c>
      <c r="M434" s="112">
        <v>0.0</v>
      </c>
      <c r="N434" s="112">
        <v>0.0</v>
      </c>
      <c r="O434" s="112">
        <v>0.0</v>
      </c>
      <c r="P434" s="110">
        <v>0.0</v>
      </c>
      <c r="Q434" s="110">
        <v>0.0</v>
      </c>
      <c r="R434" s="110">
        <v>0.0</v>
      </c>
      <c r="S434" s="110">
        <v>0.0</v>
      </c>
      <c r="T434" s="110">
        <v>0.0</v>
      </c>
      <c r="U434" s="110">
        <v>0.0</v>
      </c>
      <c r="V434" s="110">
        <v>0.0</v>
      </c>
      <c r="W434" s="110">
        <v>0.0</v>
      </c>
      <c r="X434" s="110">
        <v>0.0</v>
      </c>
      <c r="Y434" s="110">
        <v>0.0</v>
      </c>
      <c r="Z434" s="110">
        <v>0.0</v>
      </c>
      <c r="AA434" s="110">
        <v>0.0</v>
      </c>
      <c r="AB434" s="110">
        <v>0.0</v>
      </c>
      <c r="AC434" s="110">
        <v>0.0</v>
      </c>
      <c r="AD434" s="110">
        <v>0.0</v>
      </c>
      <c r="AE434" s="110">
        <v>0.0</v>
      </c>
      <c r="AF434" s="110">
        <v>0.0</v>
      </c>
      <c r="AG434" s="110">
        <v>0.0</v>
      </c>
      <c r="AH434" s="110">
        <v>0.0</v>
      </c>
      <c r="AI434" s="110">
        <v>0.0</v>
      </c>
      <c r="AJ434" s="110">
        <v>0.0</v>
      </c>
      <c r="AK434" s="110">
        <v>0.0</v>
      </c>
      <c r="AL434" s="110">
        <v>0.0</v>
      </c>
      <c r="AM434" s="110">
        <v>0.0</v>
      </c>
      <c r="AN434" s="112">
        <v>8.0</v>
      </c>
    </row>
    <row r="435">
      <c r="A435" s="98"/>
      <c r="B435" s="111" t="s">
        <v>206</v>
      </c>
      <c r="C435" s="112">
        <v>0.0</v>
      </c>
      <c r="D435" s="112">
        <v>0.0</v>
      </c>
      <c r="E435" s="112">
        <v>0.0</v>
      </c>
      <c r="F435" s="112">
        <v>0.0</v>
      </c>
      <c r="G435" s="112">
        <v>0.0</v>
      </c>
      <c r="H435" s="112">
        <v>0.0</v>
      </c>
      <c r="I435" s="112">
        <v>0.0</v>
      </c>
      <c r="J435" s="112">
        <v>0.0</v>
      </c>
      <c r="K435" s="112">
        <v>0.0</v>
      </c>
      <c r="L435" s="112">
        <v>0.0</v>
      </c>
      <c r="M435" s="112">
        <v>0.0</v>
      </c>
      <c r="N435" s="112">
        <v>0.0</v>
      </c>
      <c r="O435" s="112">
        <v>0.0</v>
      </c>
      <c r="P435" s="110">
        <v>0.0</v>
      </c>
      <c r="Q435" s="110">
        <v>0.0</v>
      </c>
      <c r="R435" s="110">
        <v>0.0</v>
      </c>
      <c r="S435" s="110">
        <v>0.0</v>
      </c>
      <c r="T435" s="110">
        <v>0.0</v>
      </c>
      <c r="U435" s="110">
        <v>0.0</v>
      </c>
      <c r="V435" s="110">
        <v>0.0</v>
      </c>
      <c r="W435" s="110">
        <v>0.0</v>
      </c>
      <c r="X435" s="110">
        <v>0.0</v>
      </c>
      <c r="Y435" s="110">
        <v>0.0</v>
      </c>
      <c r="Z435" s="110">
        <v>0.0</v>
      </c>
      <c r="AA435" s="110">
        <v>0.0</v>
      </c>
      <c r="AB435" s="110">
        <v>0.0</v>
      </c>
      <c r="AC435" s="110">
        <v>0.0</v>
      </c>
      <c r="AD435" s="110">
        <v>0.0</v>
      </c>
      <c r="AE435" s="110">
        <v>0.0</v>
      </c>
      <c r="AF435" s="110">
        <v>0.0</v>
      </c>
      <c r="AG435" s="110">
        <v>0.0</v>
      </c>
      <c r="AH435" s="110">
        <v>0.0</v>
      </c>
      <c r="AI435" s="110">
        <v>0.0</v>
      </c>
      <c r="AJ435" s="110">
        <v>0.0</v>
      </c>
      <c r="AK435" s="110">
        <v>0.0</v>
      </c>
      <c r="AL435" s="110">
        <v>0.0</v>
      </c>
      <c r="AM435" s="110">
        <v>0.0</v>
      </c>
      <c r="AN435" s="112">
        <v>0.0</v>
      </c>
    </row>
    <row r="436">
      <c r="A436" s="98"/>
      <c r="B436" s="111" t="s">
        <v>200</v>
      </c>
      <c r="C436" s="112">
        <v>0.0</v>
      </c>
      <c r="D436" s="112">
        <v>0.0</v>
      </c>
      <c r="E436" s="112">
        <v>0.0</v>
      </c>
      <c r="F436" s="112">
        <v>0.0</v>
      </c>
      <c r="G436" s="112">
        <v>0.0</v>
      </c>
      <c r="H436" s="112">
        <v>0.0</v>
      </c>
      <c r="I436" s="112">
        <v>0.0</v>
      </c>
      <c r="J436" s="112">
        <v>0.0</v>
      </c>
      <c r="K436" s="112">
        <v>0.0</v>
      </c>
      <c r="L436" s="112">
        <v>0.0</v>
      </c>
      <c r="M436" s="112">
        <v>0.0</v>
      </c>
      <c r="N436" s="112">
        <v>0.0</v>
      </c>
      <c r="O436" s="112">
        <v>0.0</v>
      </c>
      <c r="P436" s="110">
        <v>0.0</v>
      </c>
      <c r="Q436" s="110">
        <v>0.0</v>
      </c>
      <c r="R436" s="110">
        <v>0.0</v>
      </c>
      <c r="S436" s="110">
        <v>0.0</v>
      </c>
      <c r="T436" s="110">
        <v>0.0</v>
      </c>
      <c r="U436" s="110">
        <v>0.0</v>
      </c>
      <c r="V436" s="110">
        <v>0.0</v>
      </c>
      <c r="W436" s="110">
        <v>0.0</v>
      </c>
      <c r="X436" s="110">
        <v>0.0</v>
      </c>
      <c r="Y436" s="110">
        <v>0.0</v>
      </c>
      <c r="Z436" s="110">
        <v>0.0</v>
      </c>
      <c r="AA436" s="110">
        <v>0.0</v>
      </c>
      <c r="AB436" s="110">
        <v>0.0</v>
      </c>
      <c r="AC436" s="110">
        <v>0.0</v>
      </c>
      <c r="AD436" s="110">
        <v>0.0</v>
      </c>
      <c r="AE436" s="110">
        <v>0.0</v>
      </c>
      <c r="AF436" s="110">
        <v>0.0</v>
      </c>
      <c r="AG436" s="110">
        <v>0.0</v>
      </c>
      <c r="AH436" s="110">
        <v>0.0</v>
      </c>
      <c r="AI436" s="110">
        <v>0.0</v>
      </c>
      <c r="AJ436" s="110">
        <v>0.0</v>
      </c>
      <c r="AK436" s="110">
        <v>0.0</v>
      </c>
      <c r="AL436" s="110">
        <v>0.0</v>
      </c>
      <c r="AM436" s="110">
        <v>0.0</v>
      </c>
      <c r="AN436" s="112">
        <v>0.0</v>
      </c>
    </row>
    <row r="437">
      <c r="A437" s="104"/>
      <c r="B437" s="111" t="s">
        <v>201</v>
      </c>
      <c r="C437" s="112">
        <v>1.0</v>
      </c>
      <c r="D437" s="112">
        <v>0.0</v>
      </c>
      <c r="E437" s="112">
        <v>1.0</v>
      </c>
      <c r="F437" s="112">
        <v>0.0</v>
      </c>
      <c r="G437" s="112">
        <v>1.0</v>
      </c>
      <c r="H437" s="112">
        <v>0.0</v>
      </c>
      <c r="I437" s="112">
        <v>0.0</v>
      </c>
      <c r="J437" s="112">
        <v>0.0</v>
      </c>
      <c r="K437" s="112">
        <v>0.0</v>
      </c>
      <c r="L437" s="112">
        <v>0.0</v>
      </c>
      <c r="M437" s="112">
        <v>0.0</v>
      </c>
      <c r="N437" s="112">
        <v>0.0</v>
      </c>
      <c r="O437" s="112">
        <v>0.0</v>
      </c>
      <c r="P437" s="110">
        <v>0.0</v>
      </c>
      <c r="Q437" s="110">
        <v>0.0</v>
      </c>
      <c r="R437" s="110">
        <v>0.0</v>
      </c>
      <c r="S437" s="110">
        <v>0.0</v>
      </c>
      <c r="T437" s="110">
        <v>0.0</v>
      </c>
      <c r="U437" s="110">
        <v>0.0</v>
      </c>
      <c r="V437" s="110">
        <v>0.0</v>
      </c>
      <c r="W437" s="110">
        <v>0.0</v>
      </c>
      <c r="X437" s="110">
        <v>0.0</v>
      </c>
      <c r="Y437" s="110">
        <v>0.0</v>
      </c>
      <c r="Z437" s="110">
        <v>0.0</v>
      </c>
      <c r="AA437" s="110">
        <v>0.0</v>
      </c>
      <c r="AB437" s="110">
        <v>0.0</v>
      </c>
      <c r="AC437" s="110">
        <v>0.0</v>
      </c>
      <c r="AD437" s="110">
        <v>0.0</v>
      </c>
      <c r="AE437" s="110">
        <v>0.0</v>
      </c>
      <c r="AF437" s="110">
        <v>0.0</v>
      </c>
      <c r="AG437" s="110">
        <v>0.0</v>
      </c>
      <c r="AH437" s="110">
        <v>0.0</v>
      </c>
      <c r="AI437" s="110">
        <v>0.0</v>
      </c>
      <c r="AJ437" s="110">
        <v>0.0</v>
      </c>
      <c r="AK437" s="110">
        <v>0.0</v>
      </c>
      <c r="AL437" s="110">
        <v>0.0</v>
      </c>
      <c r="AM437" s="110">
        <v>0.0</v>
      </c>
      <c r="AN437" s="112">
        <v>1.0</v>
      </c>
    </row>
    <row r="438">
      <c r="A438" s="113" t="s">
        <v>226</v>
      </c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</row>
    <row r="439">
      <c r="A439" s="107" t="s">
        <v>197</v>
      </c>
      <c r="B439" s="108" t="s">
        <v>198</v>
      </c>
      <c r="C439" s="109">
        <v>94844.0</v>
      </c>
      <c r="D439" s="109">
        <v>32809.0</v>
      </c>
      <c r="E439" s="109">
        <v>62035.0</v>
      </c>
      <c r="F439" s="110">
        <v>0.0</v>
      </c>
      <c r="G439" s="110">
        <v>0.0</v>
      </c>
      <c r="H439" s="110">
        <v>0.0</v>
      </c>
      <c r="I439" s="110">
        <v>0.0</v>
      </c>
      <c r="J439" s="110">
        <v>0.0</v>
      </c>
      <c r="K439" s="110">
        <v>0.0</v>
      </c>
      <c r="L439" s="112">
        <v>51.0</v>
      </c>
      <c r="M439" s="112">
        <v>103.0</v>
      </c>
      <c r="N439" s="112">
        <v>80.0</v>
      </c>
      <c r="O439" s="112">
        <v>176.0</v>
      </c>
      <c r="P439" s="112">
        <v>130.0</v>
      </c>
      <c r="Q439" s="112">
        <v>314.0</v>
      </c>
      <c r="R439" s="112">
        <v>235.0</v>
      </c>
      <c r="S439" s="112">
        <v>573.0</v>
      </c>
      <c r="T439" s="112">
        <v>463.0</v>
      </c>
      <c r="U439" s="109">
        <v>1072.0</v>
      </c>
      <c r="V439" s="112">
        <v>906.0</v>
      </c>
      <c r="W439" s="109">
        <v>2116.0</v>
      </c>
      <c r="X439" s="109">
        <v>1693.0</v>
      </c>
      <c r="Y439" s="109">
        <v>4113.0</v>
      </c>
      <c r="Z439" s="109">
        <v>2970.0</v>
      </c>
      <c r="AA439" s="109">
        <v>7183.0</v>
      </c>
      <c r="AB439" s="109">
        <v>4158.0</v>
      </c>
      <c r="AC439" s="109">
        <v>8587.0</v>
      </c>
      <c r="AD439" s="109">
        <v>4893.0</v>
      </c>
      <c r="AE439" s="109">
        <v>9298.0</v>
      </c>
      <c r="AF439" s="109">
        <v>5128.0</v>
      </c>
      <c r="AG439" s="109">
        <v>8840.0</v>
      </c>
      <c r="AH439" s="109">
        <v>4844.0</v>
      </c>
      <c r="AI439" s="109">
        <v>7805.0</v>
      </c>
      <c r="AJ439" s="109">
        <v>3664.0</v>
      </c>
      <c r="AK439" s="109">
        <v>5853.0</v>
      </c>
      <c r="AL439" s="109">
        <v>3594.0</v>
      </c>
      <c r="AM439" s="109">
        <v>6002.0</v>
      </c>
      <c r="AN439" s="109">
        <v>94269.0</v>
      </c>
    </row>
    <row r="440">
      <c r="A440" s="98"/>
      <c r="B440" s="111" t="s">
        <v>199</v>
      </c>
      <c r="C440" s="109">
        <v>63041.0</v>
      </c>
      <c r="D440" s="109">
        <v>21663.0</v>
      </c>
      <c r="E440" s="109">
        <v>41378.0</v>
      </c>
      <c r="F440" s="110">
        <v>0.0</v>
      </c>
      <c r="G440" s="110">
        <v>0.0</v>
      </c>
      <c r="H440" s="110">
        <v>0.0</v>
      </c>
      <c r="I440" s="110">
        <v>0.0</v>
      </c>
      <c r="J440" s="110">
        <v>0.0</v>
      </c>
      <c r="K440" s="110">
        <v>0.0</v>
      </c>
      <c r="L440" s="112">
        <v>16.0</v>
      </c>
      <c r="M440" s="112">
        <v>52.0</v>
      </c>
      <c r="N440" s="112">
        <v>87.0</v>
      </c>
      <c r="O440" s="112">
        <v>175.0</v>
      </c>
      <c r="P440" s="112">
        <v>114.0</v>
      </c>
      <c r="Q440" s="112">
        <v>218.0</v>
      </c>
      <c r="R440" s="112">
        <v>182.0</v>
      </c>
      <c r="S440" s="112">
        <v>387.0</v>
      </c>
      <c r="T440" s="112">
        <v>367.0</v>
      </c>
      <c r="U440" s="112">
        <v>784.0</v>
      </c>
      <c r="V440" s="112">
        <v>675.0</v>
      </c>
      <c r="W440" s="109">
        <v>1566.0</v>
      </c>
      <c r="X440" s="109">
        <v>1304.0</v>
      </c>
      <c r="Y440" s="109">
        <v>3091.0</v>
      </c>
      <c r="Z440" s="109">
        <v>2285.0</v>
      </c>
      <c r="AA440" s="109">
        <v>5307.0</v>
      </c>
      <c r="AB440" s="109">
        <v>3141.0</v>
      </c>
      <c r="AC440" s="109">
        <v>6420.0</v>
      </c>
      <c r="AD440" s="109">
        <v>3577.0</v>
      </c>
      <c r="AE440" s="109">
        <v>6939.0</v>
      </c>
      <c r="AF440" s="109">
        <v>2912.0</v>
      </c>
      <c r="AG440" s="109">
        <v>5002.0</v>
      </c>
      <c r="AH440" s="109">
        <v>2850.0</v>
      </c>
      <c r="AI440" s="109">
        <v>4517.0</v>
      </c>
      <c r="AJ440" s="109">
        <v>2079.0</v>
      </c>
      <c r="AK440" s="109">
        <v>3349.0</v>
      </c>
      <c r="AL440" s="109">
        <v>2074.0</v>
      </c>
      <c r="AM440" s="109">
        <v>3571.0</v>
      </c>
      <c r="AN440" s="109">
        <v>62739.0</v>
      </c>
    </row>
    <row r="441">
      <c r="A441" s="98"/>
      <c r="B441" s="111" t="s">
        <v>200</v>
      </c>
      <c r="C441" s="109">
        <v>49161.0</v>
      </c>
      <c r="D441" s="109">
        <v>16171.0</v>
      </c>
      <c r="E441" s="109">
        <v>32990.0</v>
      </c>
      <c r="F441" s="110">
        <v>0.0</v>
      </c>
      <c r="G441" s="110">
        <v>0.0</v>
      </c>
      <c r="H441" s="110">
        <v>0.0</v>
      </c>
      <c r="I441" s="110">
        <v>0.0</v>
      </c>
      <c r="J441" s="110">
        <v>0.0</v>
      </c>
      <c r="K441" s="110">
        <v>0.0</v>
      </c>
      <c r="L441" s="112">
        <v>36.0</v>
      </c>
      <c r="M441" s="112">
        <v>65.0</v>
      </c>
      <c r="N441" s="112">
        <v>169.0</v>
      </c>
      <c r="O441" s="112">
        <v>289.0</v>
      </c>
      <c r="P441" s="112">
        <v>93.0</v>
      </c>
      <c r="Q441" s="112">
        <v>240.0</v>
      </c>
      <c r="R441" s="112">
        <v>142.0</v>
      </c>
      <c r="S441" s="112">
        <v>408.0</v>
      </c>
      <c r="T441" s="112">
        <v>412.0</v>
      </c>
      <c r="U441" s="112">
        <v>888.0</v>
      </c>
      <c r="V441" s="112">
        <v>460.0</v>
      </c>
      <c r="W441" s="109">
        <v>1237.0</v>
      </c>
      <c r="X441" s="112">
        <v>859.0</v>
      </c>
      <c r="Y441" s="109">
        <v>2369.0</v>
      </c>
      <c r="Z441" s="109">
        <v>1459.0</v>
      </c>
      <c r="AA441" s="109">
        <v>3858.0</v>
      </c>
      <c r="AB441" s="109">
        <v>1925.0</v>
      </c>
      <c r="AC441" s="109">
        <v>4499.0</v>
      </c>
      <c r="AD441" s="109">
        <v>2175.0</v>
      </c>
      <c r="AE441" s="109">
        <v>4644.0</v>
      </c>
      <c r="AF441" s="109">
        <v>2543.0</v>
      </c>
      <c r="AG441" s="109">
        <v>4536.0</v>
      </c>
      <c r="AH441" s="109">
        <v>2443.0</v>
      </c>
      <c r="AI441" s="109">
        <v>4050.0</v>
      </c>
      <c r="AJ441" s="109">
        <v>1712.0</v>
      </c>
      <c r="AK441" s="109">
        <v>2968.0</v>
      </c>
      <c r="AL441" s="109">
        <v>1743.0</v>
      </c>
      <c r="AM441" s="109">
        <v>2939.0</v>
      </c>
      <c r="AN441" s="109">
        <v>48702.0</v>
      </c>
    </row>
    <row r="442">
      <c r="A442" s="104"/>
      <c r="B442" s="111" t="s">
        <v>201</v>
      </c>
      <c r="C442" s="109">
        <v>11594.0</v>
      </c>
      <c r="D442" s="109">
        <v>4436.0</v>
      </c>
      <c r="E442" s="109">
        <v>7158.0</v>
      </c>
      <c r="F442" s="110">
        <v>0.0</v>
      </c>
      <c r="G442" s="110">
        <v>0.0</v>
      </c>
      <c r="H442" s="110">
        <v>0.0</v>
      </c>
      <c r="I442" s="110">
        <v>0.0</v>
      </c>
      <c r="J442" s="110">
        <v>0.0</v>
      </c>
      <c r="K442" s="110">
        <v>0.0</v>
      </c>
      <c r="L442" s="112">
        <v>0.0</v>
      </c>
      <c r="M442" s="112">
        <v>0.0</v>
      </c>
      <c r="N442" s="112">
        <v>4.0</v>
      </c>
      <c r="O442" s="112">
        <v>5.0</v>
      </c>
      <c r="P442" s="112">
        <v>9.0</v>
      </c>
      <c r="Q442" s="112">
        <v>36.0</v>
      </c>
      <c r="R442" s="112">
        <v>64.0</v>
      </c>
      <c r="S442" s="112">
        <v>179.0</v>
      </c>
      <c r="T442" s="112">
        <v>134.0</v>
      </c>
      <c r="U442" s="112">
        <v>303.0</v>
      </c>
      <c r="V442" s="112">
        <v>191.0</v>
      </c>
      <c r="W442" s="112">
        <v>445.0</v>
      </c>
      <c r="X442" s="112">
        <v>277.0</v>
      </c>
      <c r="Y442" s="112">
        <v>588.0</v>
      </c>
      <c r="Z442" s="112">
        <v>371.0</v>
      </c>
      <c r="AA442" s="112">
        <v>744.0</v>
      </c>
      <c r="AB442" s="112">
        <v>467.0</v>
      </c>
      <c r="AC442" s="112">
        <v>914.0</v>
      </c>
      <c r="AD442" s="112">
        <v>645.0</v>
      </c>
      <c r="AE442" s="109">
        <v>1173.0</v>
      </c>
      <c r="AF442" s="112">
        <v>891.0</v>
      </c>
      <c r="AG442" s="109">
        <v>1111.0</v>
      </c>
      <c r="AH442" s="112">
        <v>689.0</v>
      </c>
      <c r="AI442" s="112">
        <v>855.0</v>
      </c>
      <c r="AJ442" s="112">
        <v>444.0</v>
      </c>
      <c r="AK442" s="112">
        <v>544.0</v>
      </c>
      <c r="AL442" s="112">
        <v>250.0</v>
      </c>
      <c r="AM442" s="112">
        <v>261.0</v>
      </c>
      <c r="AN442" s="109">
        <v>10568.0</v>
      </c>
    </row>
    <row r="443">
      <c r="A443" s="107" t="s">
        <v>202</v>
      </c>
      <c r="B443" s="111" t="s">
        <v>198</v>
      </c>
      <c r="C443" s="112">
        <v>507.0</v>
      </c>
      <c r="D443" s="112">
        <v>294.0</v>
      </c>
      <c r="E443" s="112">
        <v>213.0</v>
      </c>
      <c r="F443" s="112">
        <v>8.0</v>
      </c>
      <c r="G443" s="112">
        <v>2.0</v>
      </c>
      <c r="H443" s="112">
        <v>10.0</v>
      </c>
      <c r="I443" s="112">
        <v>7.0</v>
      </c>
      <c r="J443" s="112">
        <v>5.0</v>
      </c>
      <c r="K443" s="112">
        <v>14.0</v>
      </c>
      <c r="L443" s="112">
        <v>9.0</v>
      </c>
      <c r="M443" s="112">
        <v>1.0</v>
      </c>
      <c r="N443" s="112">
        <v>13.0</v>
      </c>
      <c r="O443" s="112">
        <v>13.0</v>
      </c>
      <c r="P443" s="112">
        <v>16.0</v>
      </c>
      <c r="Q443" s="112">
        <v>10.0</v>
      </c>
      <c r="R443" s="112">
        <v>27.0</v>
      </c>
      <c r="S443" s="112">
        <v>16.0</v>
      </c>
      <c r="T443" s="112">
        <v>5.0</v>
      </c>
      <c r="U443" s="112">
        <v>9.0</v>
      </c>
      <c r="V443" s="112">
        <v>15.0</v>
      </c>
      <c r="W443" s="112">
        <v>5.0</v>
      </c>
      <c r="X443" s="112">
        <v>27.0</v>
      </c>
      <c r="Y443" s="112">
        <v>15.0</v>
      </c>
      <c r="Z443" s="112">
        <v>55.0</v>
      </c>
      <c r="AA443" s="112">
        <v>24.0</v>
      </c>
      <c r="AB443" s="112">
        <v>41.0</v>
      </c>
      <c r="AC443" s="112">
        <v>18.0</v>
      </c>
      <c r="AD443" s="112">
        <v>16.0</v>
      </c>
      <c r="AE443" s="112">
        <v>25.0</v>
      </c>
      <c r="AF443" s="112">
        <v>14.0</v>
      </c>
      <c r="AG443" s="112">
        <v>15.0</v>
      </c>
      <c r="AH443" s="112">
        <v>3.0</v>
      </c>
      <c r="AI443" s="112">
        <v>7.0</v>
      </c>
      <c r="AJ443" s="112">
        <v>19.0</v>
      </c>
      <c r="AK443" s="112">
        <v>18.0</v>
      </c>
      <c r="AL443" s="112">
        <v>11.0</v>
      </c>
      <c r="AM443" s="112">
        <v>14.0</v>
      </c>
      <c r="AN443" s="112">
        <v>498.0</v>
      </c>
    </row>
    <row r="444">
      <c r="A444" s="104"/>
      <c r="B444" s="111" t="s">
        <v>199</v>
      </c>
      <c r="C444" s="112">
        <v>402.0</v>
      </c>
      <c r="D444" s="112">
        <v>217.0</v>
      </c>
      <c r="E444" s="112">
        <v>185.0</v>
      </c>
      <c r="F444" s="112">
        <v>13.0</v>
      </c>
      <c r="G444" s="112">
        <v>13.0</v>
      </c>
      <c r="H444" s="112">
        <v>12.0</v>
      </c>
      <c r="I444" s="112">
        <v>12.0</v>
      </c>
      <c r="J444" s="112">
        <v>7.0</v>
      </c>
      <c r="K444" s="112">
        <v>16.0</v>
      </c>
      <c r="L444" s="112">
        <v>11.0</v>
      </c>
      <c r="M444" s="112">
        <v>1.0</v>
      </c>
      <c r="N444" s="112">
        <v>10.0</v>
      </c>
      <c r="O444" s="112">
        <v>20.0</v>
      </c>
      <c r="P444" s="112">
        <v>27.0</v>
      </c>
      <c r="Q444" s="112">
        <v>8.0</v>
      </c>
      <c r="R444" s="112">
        <v>30.0</v>
      </c>
      <c r="S444" s="112">
        <v>15.0</v>
      </c>
      <c r="T444" s="112">
        <v>10.0</v>
      </c>
      <c r="U444" s="112">
        <v>13.0</v>
      </c>
      <c r="V444" s="112">
        <v>6.0</v>
      </c>
      <c r="W444" s="112">
        <v>3.0</v>
      </c>
      <c r="X444" s="112">
        <v>4.0</v>
      </c>
      <c r="Y444" s="112">
        <v>6.0</v>
      </c>
      <c r="Z444" s="112">
        <v>21.0</v>
      </c>
      <c r="AA444" s="112">
        <v>12.0</v>
      </c>
      <c r="AB444" s="112">
        <v>8.0</v>
      </c>
      <c r="AC444" s="112">
        <v>10.0</v>
      </c>
      <c r="AD444" s="112">
        <v>17.0</v>
      </c>
      <c r="AE444" s="112">
        <v>18.0</v>
      </c>
      <c r="AF444" s="112">
        <v>12.0</v>
      </c>
      <c r="AG444" s="112">
        <v>13.0</v>
      </c>
      <c r="AH444" s="112">
        <v>13.0</v>
      </c>
      <c r="AI444" s="112">
        <v>8.0</v>
      </c>
      <c r="AJ444" s="112">
        <v>8.0</v>
      </c>
      <c r="AK444" s="112">
        <v>5.0</v>
      </c>
      <c r="AL444" s="112">
        <v>8.0</v>
      </c>
      <c r="AM444" s="112">
        <v>12.0</v>
      </c>
      <c r="AN444" s="112">
        <v>399.0</v>
      </c>
    </row>
    <row r="445">
      <c r="A445" s="107" t="s">
        <v>203</v>
      </c>
      <c r="B445" s="111" t="s">
        <v>198</v>
      </c>
      <c r="C445" s="112">
        <v>1.0</v>
      </c>
      <c r="D445" s="112">
        <v>0.0</v>
      </c>
      <c r="E445" s="112">
        <v>1.0</v>
      </c>
      <c r="F445" s="110">
        <v>0.0</v>
      </c>
      <c r="G445" s="110">
        <v>0.0</v>
      </c>
      <c r="H445" s="110">
        <v>0.0</v>
      </c>
      <c r="I445" s="110">
        <v>0.0</v>
      </c>
      <c r="J445" s="110">
        <v>0.0</v>
      </c>
      <c r="K445" s="110">
        <v>0.0</v>
      </c>
      <c r="L445" s="110">
        <v>0.0</v>
      </c>
      <c r="M445" s="110">
        <v>0.0</v>
      </c>
      <c r="N445" s="110">
        <v>0.0</v>
      </c>
      <c r="O445" s="110">
        <v>0.0</v>
      </c>
      <c r="P445" s="110">
        <v>0.0</v>
      </c>
      <c r="Q445" s="110">
        <v>0.0</v>
      </c>
      <c r="R445" s="110">
        <v>0.0</v>
      </c>
      <c r="S445" s="110">
        <v>0.0</v>
      </c>
      <c r="T445" s="110">
        <v>0.0</v>
      </c>
      <c r="U445" s="110">
        <v>0.0</v>
      </c>
      <c r="V445" s="110">
        <v>0.0</v>
      </c>
      <c r="W445" s="110">
        <v>0.0</v>
      </c>
      <c r="X445" s="110">
        <v>0.0</v>
      </c>
      <c r="Y445" s="110">
        <v>0.0</v>
      </c>
      <c r="Z445" s="110">
        <v>0.0</v>
      </c>
      <c r="AA445" s="110">
        <v>0.0</v>
      </c>
      <c r="AB445" s="110">
        <v>0.0</v>
      </c>
      <c r="AC445" s="110">
        <v>0.0</v>
      </c>
      <c r="AD445" s="110">
        <v>0.0</v>
      </c>
      <c r="AE445" s="110">
        <v>0.0</v>
      </c>
      <c r="AF445" s="112">
        <v>0.0</v>
      </c>
      <c r="AG445" s="112">
        <v>0.0</v>
      </c>
      <c r="AH445" s="112">
        <v>0.0</v>
      </c>
      <c r="AI445" s="112">
        <v>0.0</v>
      </c>
      <c r="AJ445" s="112">
        <v>0.0</v>
      </c>
      <c r="AK445" s="112">
        <v>1.0</v>
      </c>
      <c r="AL445" s="112">
        <v>0.0</v>
      </c>
      <c r="AM445" s="112">
        <v>0.0</v>
      </c>
      <c r="AN445" s="112">
        <v>1.0</v>
      </c>
    </row>
    <row r="446">
      <c r="A446" s="104"/>
      <c r="B446" s="111" t="s">
        <v>199</v>
      </c>
      <c r="C446" s="109">
        <v>1440.0</v>
      </c>
      <c r="D446" s="112">
        <v>507.0</v>
      </c>
      <c r="E446" s="112">
        <v>933.0</v>
      </c>
      <c r="F446" s="110">
        <v>0.0</v>
      </c>
      <c r="G446" s="110">
        <v>0.0</v>
      </c>
      <c r="H446" s="110">
        <v>0.0</v>
      </c>
      <c r="I446" s="110">
        <v>0.0</v>
      </c>
      <c r="J446" s="110">
        <v>0.0</v>
      </c>
      <c r="K446" s="110">
        <v>0.0</v>
      </c>
      <c r="L446" s="110">
        <v>0.0</v>
      </c>
      <c r="M446" s="110">
        <v>0.0</v>
      </c>
      <c r="N446" s="110">
        <v>0.0</v>
      </c>
      <c r="O446" s="110">
        <v>0.0</v>
      </c>
      <c r="P446" s="110">
        <v>0.0</v>
      </c>
      <c r="Q446" s="110">
        <v>0.0</v>
      </c>
      <c r="R446" s="110">
        <v>0.0</v>
      </c>
      <c r="S446" s="110">
        <v>0.0</v>
      </c>
      <c r="T446" s="110">
        <v>0.0</v>
      </c>
      <c r="U446" s="110">
        <v>0.0</v>
      </c>
      <c r="V446" s="110">
        <v>0.0</v>
      </c>
      <c r="W446" s="110">
        <v>0.0</v>
      </c>
      <c r="X446" s="110">
        <v>0.0</v>
      </c>
      <c r="Y446" s="110">
        <v>0.0</v>
      </c>
      <c r="Z446" s="110">
        <v>0.0</v>
      </c>
      <c r="AA446" s="110">
        <v>0.0</v>
      </c>
      <c r="AB446" s="110">
        <v>0.0</v>
      </c>
      <c r="AC446" s="110">
        <v>0.0</v>
      </c>
      <c r="AD446" s="110">
        <v>0.0</v>
      </c>
      <c r="AE446" s="110">
        <v>0.0</v>
      </c>
      <c r="AF446" s="112">
        <v>158.0</v>
      </c>
      <c r="AG446" s="112">
        <v>272.0</v>
      </c>
      <c r="AH446" s="112">
        <v>135.0</v>
      </c>
      <c r="AI446" s="112">
        <v>265.0</v>
      </c>
      <c r="AJ446" s="112">
        <v>118.0</v>
      </c>
      <c r="AK446" s="112">
        <v>203.0</v>
      </c>
      <c r="AL446" s="112">
        <v>96.0</v>
      </c>
      <c r="AM446" s="112">
        <v>193.0</v>
      </c>
      <c r="AN446" s="109">
        <v>1423.0</v>
      </c>
    </row>
    <row r="447">
      <c r="A447" s="107" t="s">
        <v>204</v>
      </c>
      <c r="B447" s="111" t="s">
        <v>198</v>
      </c>
      <c r="C447" s="112">
        <v>2.0</v>
      </c>
      <c r="D447" s="112">
        <v>0.0</v>
      </c>
      <c r="E447" s="112">
        <v>2.0</v>
      </c>
      <c r="F447" s="110">
        <v>0.0</v>
      </c>
      <c r="G447" s="110">
        <v>0.0</v>
      </c>
      <c r="H447" s="110">
        <v>0.0</v>
      </c>
      <c r="I447" s="110">
        <v>0.0</v>
      </c>
      <c r="J447" s="110">
        <v>0.0</v>
      </c>
      <c r="K447" s="110">
        <v>0.0</v>
      </c>
      <c r="L447" s="110">
        <v>0.0</v>
      </c>
      <c r="M447" s="110">
        <v>0.0</v>
      </c>
      <c r="N447" s="110">
        <v>0.0</v>
      </c>
      <c r="O447" s="110">
        <v>0.0</v>
      </c>
      <c r="P447" s="110">
        <v>0.0</v>
      </c>
      <c r="Q447" s="110">
        <v>0.0</v>
      </c>
      <c r="R447" s="110">
        <v>0.0</v>
      </c>
      <c r="S447" s="110">
        <v>0.0</v>
      </c>
      <c r="T447" s="110">
        <v>0.0</v>
      </c>
      <c r="U447" s="110">
        <v>0.0</v>
      </c>
      <c r="V447" s="110">
        <v>0.0</v>
      </c>
      <c r="W447" s="110">
        <v>0.0</v>
      </c>
      <c r="X447" s="110">
        <v>0.0</v>
      </c>
      <c r="Y447" s="110">
        <v>0.0</v>
      </c>
      <c r="Z447" s="110">
        <v>0.0</v>
      </c>
      <c r="AA447" s="110">
        <v>0.0</v>
      </c>
      <c r="AB447" s="110">
        <v>0.0</v>
      </c>
      <c r="AC447" s="110">
        <v>0.0</v>
      </c>
      <c r="AD447" s="110">
        <v>0.0</v>
      </c>
      <c r="AE447" s="110">
        <v>0.0</v>
      </c>
      <c r="AF447" s="112">
        <v>0.0</v>
      </c>
      <c r="AG447" s="112">
        <v>0.0</v>
      </c>
      <c r="AH447" s="112">
        <v>0.0</v>
      </c>
      <c r="AI447" s="112">
        <v>0.0</v>
      </c>
      <c r="AJ447" s="112">
        <v>0.0</v>
      </c>
      <c r="AK447" s="112">
        <v>2.0</v>
      </c>
      <c r="AL447" s="112">
        <v>0.0</v>
      </c>
      <c r="AM447" s="112">
        <v>0.0</v>
      </c>
      <c r="AN447" s="112">
        <v>2.0</v>
      </c>
    </row>
    <row r="448">
      <c r="A448" s="104"/>
      <c r="B448" s="111" t="s">
        <v>199</v>
      </c>
      <c r="C448" s="112">
        <v>426.0</v>
      </c>
      <c r="D448" s="112">
        <v>122.0</v>
      </c>
      <c r="E448" s="112">
        <v>304.0</v>
      </c>
      <c r="F448" s="110">
        <v>0.0</v>
      </c>
      <c r="G448" s="110">
        <v>0.0</v>
      </c>
      <c r="H448" s="110">
        <v>0.0</v>
      </c>
      <c r="I448" s="110">
        <v>0.0</v>
      </c>
      <c r="J448" s="110">
        <v>0.0</v>
      </c>
      <c r="K448" s="110">
        <v>0.0</v>
      </c>
      <c r="L448" s="110">
        <v>0.0</v>
      </c>
      <c r="M448" s="110">
        <v>0.0</v>
      </c>
      <c r="N448" s="110">
        <v>0.0</v>
      </c>
      <c r="O448" s="110">
        <v>0.0</v>
      </c>
      <c r="P448" s="110">
        <v>0.0</v>
      </c>
      <c r="Q448" s="110">
        <v>0.0</v>
      </c>
      <c r="R448" s="110">
        <v>0.0</v>
      </c>
      <c r="S448" s="110">
        <v>0.0</v>
      </c>
      <c r="T448" s="110">
        <v>0.0</v>
      </c>
      <c r="U448" s="110">
        <v>0.0</v>
      </c>
      <c r="V448" s="110">
        <v>0.0</v>
      </c>
      <c r="W448" s="110">
        <v>0.0</v>
      </c>
      <c r="X448" s="110">
        <v>0.0</v>
      </c>
      <c r="Y448" s="110">
        <v>0.0</v>
      </c>
      <c r="Z448" s="110">
        <v>0.0</v>
      </c>
      <c r="AA448" s="110">
        <v>0.0</v>
      </c>
      <c r="AB448" s="110">
        <v>0.0</v>
      </c>
      <c r="AC448" s="110">
        <v>0.0</v>
      </c>
      <c r="AD448" s="110">
        <v>0.0</v>
      </c>
      <c r="AE448" s="110">
        <v>0.0</v>
      </c>
      <c r="AF448" s="112">
        <v>14.0</v>
      </c>
      <c r="AG448" s="112">
        <v>39.0</v>
      </c>
      <c r="AH448" s="112">
        <v>18.0</v>
      </c>
      <c r="AI448" s="112">
        <v>64.0</v>
      </c>
      <c r="AJ448" s="112">
        <v>32.0</v>
      </c>
      <c r="AK448" s="112">
        <v>69.0</v>
      </c>
      <c r="AL448" s="112">
        <v>58.0</v>
      </c>
      <c r="AM448" s="112">
        <v>132.0</v>
      </c>
      <c r="AN448" s="112">
        <v>426.0</v>
      </c>
    </row>
    <row r="449">
      <c r="A449" s="107" t="s">
        <v>205</v>
      </c>
      <c r="B449" s="111" t="s">
        <v>198</v>
      </c>
      <c r="C449" s="112">
        <v>70.0</v>
      </c>
      <c r="D449" s="112">
        <v>19.0</v>
      </c>
      <c r="E449" s="112">
        <v>51.0</v>
      </c>
      <c r="F449" s="112">
        <v>0.0</v>
      </c>
      <c r="G449" s="112">
        <v>0.0</v>
      </c>
      <c r="H449" s="112">
        <v>1.0</v>
      </c>
      <c r="I449" s="112">
        <v>2.0</v>
      </c>
      <c r="J449" s="112">
        <v>0.0</v>
      </c>
      <c r="K449" s="112">
        <v>0.0</v>
      </c>
      <c r="L449" s="112">
        <v>0.0</v>
      </c>
      <c r="M449" s="112">
        <v>2.0</v>
      </c>
      <c r="N449" s="112">
        <v>2.0</v>
      </c>
      <c r="O449" s="112">
        <v>2.0</v>
      </c>
      <c r="P449" s="112">
        <v>0.0</v>
      </c>
      <c r="Q449" s="112">
        <v>3.0</v>
      </c>
      <c r="R449" s="112">
        <v>3.0</v>
      </c>
      <c r="S449" s="112">
        <v>1.0</v>
      </c>
      <c r="T449" s="112">
        <v>0.0</v>
      </c>
      <c r="U449" s="112">
        <v>0.0</v>
      </c>
      <c r="V449" s="112">
        <v>0.0</v>
      </c>
      <c r="W449" s="112">
        <v>0.0</v>
      </c>
      <c r="X449" s="112">
        <v>2.0</v>
      </c>
      <c r="Y449" s="112">
        <v>2.0</v>
      </c>
      <c r="Z449" s="112">
        <v>0.0</v>
      </c>
      <c r="AA449" s="112">
        <v>4.0</v>
      </c>
      <c r="AB449" s="112">
        <v>0.0</v>
      </c>
      <c r="AC449" s="112">
        <v>7.0</v>
      </c>
      <c r="AD449" s="112">
        <v>3.0</v>
      </c>
      <c r="AE449" s="112">
        <v>7.0</v>
      </c>
      <c r="AF449" s="112">
        <v>2.0</v>
      </c>
      <c r="AG449" s="112">
        <v>7.0</v>
      </c>
      <c r="AH449" s="112">
        <v>1.0</v>
      </c>
      <c r="AI449" s="112">
        <v>6.0</v>
      </c>
      <c r="AJ449" s="112">
        <v>2.0</v>
      </c>
      <c r="AK449" s="112">
        <v>5.0</v>
      </c>
      <c r="AL449" s="112">
        <v>3.0</v>
      </c>
      <c r="AM449" s="112">
        <v>3.0</v>
      </c>
      <c r="AN449" s="112">
        <v>70.0</v>
      </c>
    </row>
    <row r="450">
      <c r="A450" s="98"/>
      <c r="B450" s="111" t="s">
        <v>199</v>
      </c>
      <c r="C450" s="112">
        <v>0.0</v>
      </c>
      <c r="D450" s="112">
        <v>0.0</v>
      </c>
      <c r="E450" s="112">
        <v>0.0</v>
      </c>
      <c r="F450" s="112">
        <v>0.0</v>
      </c>
      <c r="G450" s="112">
        <v>0.0</v>
      </c>
      <c r="H450" s="112">
        <v>0.0</v>
      </c>
      <c r="I450" s="112">
        <v>0.0</v>
      </c>
      <c r="J450" s="112">
        <v>0.0</v>
      </c>
      <c r="K450" s="112">
        <v>0.0</v>
      </c>
      <c r="L450" s="112">
        <v>0.0</v>
      </c>
      <c r="M450" s="112">
        <v>0.0</v>
      </c>
      <c r="N450" s="112">
        <v>0.0</v>
      </c>
      <c r="O450" s="112">
        <v>0.0</v>
      </c>
      <c r="P450" s="112">
        <v>0.0</v>
      </c>
      <c r="Q450" s="112">
        <v>0.0</v>
      </c>
      <c r="R450" s="112">
        <v>0.0</v>
      </c>
      <c r="S450" s="112">
        <v>0.0</v>
      </c>
      <c r="T450" s="112">
        <v>0.0</v>
      </c>
      <c r="U450" s="112">
        <v>0.0</v>
      </c>
      <c r="V450" s="112">
        <v>0.0</v>
      </c>
      <c r="W450" s="112">
        <v>0.0</v>
      </c>
      <c r="X450" s="112">
        <v>0.0</v>
      </c>
      <c r="Y450" s="112">
        <v>0.0</v>
      </c>
      <c r="Z450" s="112">
        <v>0.0</v>
      </c>
      <c r="AA450" s="112">
        <v>0.0</v>
      </c>
      <c r="AB450" s="112">
        <v>0.0</v>
      </c>
      <c r="AC450" s="112">
        <v>0.0</v>
      </c>
      <c r="AD450" s="112">
        <v>0.0</v>
      </c>
      <c r="AE450" s="112">
        <v>0.0</v>
      </c>
      <c r="AF450" s="112">
        <v>0.0</v>
      </c>
      <c r="AG450" s="112">
        <v>0.0</v>
      </c>
      <c r="AH450" s="112">
        <v>0.0</v>
      </c>
      <c r="AI450" s="112">
        <v>0.0</v>
      </c>
      <c r="AJ450" s="112">
        <v>0.0</v>
      </c>
      <c r="AK450" s="112">
        <v>0.0</v>
      </c>
      <c r="AL450" s="112">
        <v>0.0</v>
      </c>
      <c r="AM450" s="112">
        <v>0.0</v>
      </c>
      <c r="AN450" s="112">
        <v>0.0</v>
      </c>
    </row>
    <row r="451">
      <c r="A451" s="104"/>
      <c r="B451" s="111" t="s">
        <v>206</v>
      </c>
      <c r="C451" s="112">
        <v>620.0</v>
      </c>
      <c r="D451" s="112">
        <v>267.0</v>
      </c>
      <c r="E451" s="112">
        <v>353.0</v>
      </c>
      <c r="F451" s="112">
        <v>0.0</v>
      </c>
      <c r="G451" s="112">
        <v>0.0</v>
      </c>
      <c r="H451" s="112">
        <v>0.0</v>
      </c>
      <c r="I451" s="112">
        <v>0.0</v>
      </c>
      <c r="J451" s="112">
        <v>0.0</v>
      </c>
      <c r="K451" s="112">
        <v>6.0</v>
      </c>
      <c r="L451" s="112">
        <v>47.0</v>
      </c>
      <c r="M451" s="112">
        <v>72.0</v>
      </c>
      <c r="N451" s="112">
        <v>63.0</v>
      </c>
      <c r="O451" s="112">
        <v>76.0</v>
      </c>
      <c r="P451" s="112">
        <v>71.0</v>
      </c>
      <c r="Q451" s="112">
        <v>70.0</v>
      </c>
      <c r="R451" s="112">
        <v>23.0</v>
      </c>
      <c r="S451" s="112">
        <v>27.0</v>
      </c>
      <c r="T451" s="112">
        <v>12.0</v>
      </c>
      <c r="U451" s="112">
        <v>32.0</v>
      </c>
      <c r="V451" s="112">
        <v>9.0</v>
      </c>
      <c r="W451" s="112">
        <v>27.0</v>
      </c>
      <c r="X451" s="112">
        <v>4.0</v>
      </c>
      <c r="Y451" s="112">
        <v>19.0</v>
      </c>
      <c r="Z451" s="112">
        <v>14.0</v>
      </c>
      <c r="AA451" s="112">
        <v>4.0</v>
      </c>
      <c r="AB451" s="112">
        <v>12.0</v>
      </c>
      <c r="AC451" s="112">
        <v>11.0</v>
      </c>
      <c r="AD451" s="112">
        <v>4.0</v>
      </c>
      <c r="AE451" s="112">
        <v>3.0</v>
      </c>
      <c r="AF451" s="112">
        <v>7.0</v>
      </c>
      <c r="AG451" s="112">
        <v>0.0</v>
      </c>
      <c r="AH451" s="112">
        <v>1.0</v>
      </c>
      <c r="AI451" s="112">
        <v>5.0</v>
      </c>
      <c r="AJ451" s="112">
        <v>0.0</v>
      </c>
      <c r="AK451" s="112">
        <v>1.0</v>
      </c>
      <c r="AL451" s="112">
        <v>0.0</v>
      </c>
      <c r="AM451" s="112">
        <v>0.0</v>
      </c>
      <c r="AN451" s="112">
        <v>620.0</v>
      </c>
    </row>
    <row r="452">
      <c r="A452" s="107" t="s">
        <v>207</v>
      </c>
      <c r="B452" s="111" t="s">
        <v>198</v>
      </c>
      <c r="C452" s="109">
        <v>11541.0</v>
      </c>
      <c r="D452" s="109">
        <v>2782.0</v>
      </c>
      <c r="E452" s="109">
        <v>8759.0</v>
      </c>
      <c r="F452" s="112">
        <v>62.0</v>
      </c>
      <c r="G452" s="112">
        <v>68.0</v>
      </c>
      <c r="H452" s="112">
        <v>118.0</v>
      </c>
      <c r="I452" s="112">
        <v>118.0</v>
      </c>
      <c r="J452" s="112">
        <v>119.0</v>
      </c>
      <c r="K452" s="112">
        <v>143.0</v>
      </c>
      <c r="L452" s="112">
        <v>93.0</v>
      </c>
      <c r="M452" s="112">
        <v>138.0</v>
      </c>
      <c r="N452" s="112">
        <v>74.0</v>
      </c>
      <c r="O452" s="112">
        <v>179.0</v>
      </c>
      <c r="P452" s="112">
        <v>68.0</v>
      </c>
      <c r="Q452" s="112">
        <v>217.0</v>
      </c>
      <c r="R452" s="112">
        <v>85.0</v>
      </c>
      <c r="S452" s="112">
        <v>285.0</v>
      </c>
      <c r="T452" s="112">
        <v>80.0</v>
      </c>
      <c r="U452" s="112">
        <v>305.0</v>
      </c>
      <c r="V452" s="112">
        <v>90.0</v>
      </c>
      <c r="W452" s="112">
        <v>471.0</v>
      </c>
      <c r="X452" s="112">
        <v>145.0</v>
      </c>
      <c r="Y452" s="112">
        <v>658.0</v>
      </c>
      <c r="Z452" s="112">
        <v>205.0</v>
      </c>
      <c r="AA452" s="112">
        <v>964.0</v>
      </c>
      <c r="AB452" s="112">
        <v>293.0</v>
      </c>
      <c r="AC452" s="109">
        <v>1086.0</v>
      </c>
      <c r="AD452" s="112">
        <v>271.0</v>
      </c>
      <c r="AE452" s="109">
        <v>1100.0</v>
      </c>
      <c r="AF452" s="112">
        <v>322.0</v>
      </c>
      <c r="AG452" s="109">
        <v>1018.0</v>
      </c>
      <c r="AH452" s="112">
        <v>304.0</v>
      </c>
      <c r="AI452" s="112">
        <v>842.0</v>
      </c>
      <c r="AJ452" s="112">
        <v>224.0</v>
      </c>
      <c r="AK452" s="112">
        <v>619.0</v>
      </c>
      <c r="AL452" s="112">
        <v>229.0</v>
      </c>
      <c r="AM452" s="112">
        <v>548.0</v>
      </c>
      <c r="AN452" s="109">
        <v>11341.0</v>
      </c>
    </row>
    <row r="453">
      <c r="A453" s="98"/>
      <c r="B453" s="111" t="s">
        <v>199</v>
      </c>
      <c r="C453" s="109">
        <v>3383.0</v>
      </c>
      <c r="D453" s="112">
        <v>888.0</v>
      </c>
      <c r="E453" s="109">
        <v>2495.0</v>
      </c>
      <c r="F453" s="112">
        <v>3.0</v>
      </c>
      <c r="G453" s="112">
        <v>8.0</v>
      </c>
      <c r="H453" s="112">
        <v>5.0</v>
      </c>
      <c r="I453" s="112">
        <v>12.0</v>
      </c>
      <c r="J453" s="112">
        <v>30.0</v>
      </c>
      <c r="K453" s="112">
        <v>34.0</v>
      </c>
      <c r="L453" s="112">
        <v>29.0</v>
      </c>
      <c r="M453" s="112">
        <v>49.0</v>
      </c>
      <c r="N453" s="112">
        <v>14.0</v>
      </c>
      <c r="O453" s="112">
        <v>53.0</v>
      </c>
      <c r="P453" s="112">
        <v>22.0</v>
      </c>
      <c r="Q453" s="112">
        <v>85.0</v>
      </c>
      <c r="R453" s="112">
        <v>29.0</v>
      </c>
      <c r="S453" s="112">
        <v>85.0</v>
      </c>
      <c r="T453" s="112">
        <v>30.0</v>
      </c>
      <c r="U453" s="112">
        <v>124.0</v>
      </c>
      <c r="V453" s="112">
        <v>47.0</v>
      </c>
      <c r="W453" s="112">
        <v>168.0</v>
      </c>
      <c r="X453" s="112">
        <v>55.0</v>
      </c>
      <c r="Y453" s="112">
        <v>272.0</v>
      </c>
      <c r="Z453" s="112">
        <v>79.0</v>
      </c>
      <c r="AA453" s="112">
        <v>346.0</v>
      </c>
      <c r="AB453" s="112">
        <v>131.0</v>
      </c>
      <c r="AC453" s="112">
        <v>321.0</v>
      </c>
      <c r="AD453" s="112">
        <v>134.0</v>
      </c>
      <c r="AE453" s="112">
        <v>286.0</v>
      </c>
      <c r="AF453" s="112">
        <v>109.0</v>
      </c>
      <c r="AG453" s="112">
        <v>238.0</v>
      </c>
      <c r="AH453" s="112">
        <v>63.0</v>
      </c>
      <c r="AI453" s="112">
        <v>177.0</v>
      </c>
      <c r="AJ453" s="112">
        <v>52.0</v>
      </c>
      <c r="AK453" s="112">
        <v>124.0</v>
      </c>
      <c r="AL453" s="112">
        <v>56.0</v>
      </c>
      <c r="AM453" s="112">
        <v>113.0</v>
      </c>
      <c r="AN453" s="109">
        <v>3348.0</v>
      </c>
    </row>
    <row r="454">
      <c r="A454" s="98"/>
      <c r="B454" s="111" t="s">
        <v>206</v>
      </c>
      <c r="C454" s="112">
        <v>12.0</v>
      </c>
      <c r="D454" s="112">
        <v>3.0</v>
      </c>
      <c r="E454" s="112">
        <v>9.0</v>
      </c>
      <c r="F454" s="112">
        <v>0.0</v>
      </c>
      <c r="G454" s="112">
        <v>0.0</v>
      </c>
      <c r="H454" s="112">
        <v>0.0</v>
      </c>
      <c r="I454" s="112">
        <v>0.0</v>
      </c>
      <c r="J454" s="112">
        <v>1.0</v>
      </c>
      <c r="K454" s="112">
        <v>0.0</v>
      </c>
      <c r="L454" s="112">
        <v>0.0</v>
      </c>
      <c r="M454" s="112">
        <v>1.0</v>
      </c>
      <c r="N454" s="112">
        <v>0.0</v>
      </c>
      <c r="O454" s="112">
        <v>0.0</v>
      </c>
      <c r="P454" s="112">
        <v>0.0</v>
      </c>
      <c r="Q454" s="112">
        <v>0.0</v>
      </c>
      <c r="R454" s="112">
        <v>0.0</v>
      </c>
      <c r="S454" s="112">
        <v>0.0</v>
      </c>
      <c r="T454" s="112">
        <v>0.0</v>
      </c>
      <c r="U454" s="112">
        <v>0.0</v>
      </c>
      <c r="V454" s="112">
        <v>1.0</v>
      </c>
      <c r="W454" s="112">
        <v>2.0</v>
      </c>
      <c r="X454" s="112">
        <v>0.0</v>
      </c>
      <c r="Y454" s="112">
        <v>0.0</v>
      </c>
      <c r="Z454" s="112">
        <v>0.0</v>
      </c>
      <c r="AA454" s="112">
        <v>4.0</v>
      </c>
      <c r="AB454" s="112">
        <v>0.0</v>
      </c>
      <c r="AC454" s="112">
        <v>1.0</v>
      </c>
      <c r="AD454" s="112">
        <v>0.0</v>
      </c>
      <c r="AE454" s="112">
        <v>0.0</v>
      </c>
      <c r="AF454" s="112">
        <v>0.0</v>
      </c>
      <c r="AG454" s="112">
        <v>0.0</v>
      </c>
      <c r="AH454" s="112">
        <v>1.0</v>
      </c>
      <c r="AI454" s="112">
        <v>0.0</v>
      </c>
      <c r="AJ454" s="112">
        <v>0.0</v>
      </c>
      <c r="AK454" s="112">
        <v>0.0</v>
      </c>
      <c r="AL454" s="112">
        <v>0.0</v>
      </c>
      <c r="AM454" s="112">
        <v>1.0</v>
      </c>
      <c r="AN454" s="112">
        <v>10.0</v>
      </c>
    </row>
    <row r="455">
      <c r="A455" s="98"/>
      <c r="B455" s="111" t="s">
        <v>200</v>
      </c>
      <c r="C455" s="112">
        <v>871.0</v>
      </c>
      <c r="D455" s="112">
        <v>228.0</v>
      </c>
      <c r="E455" s="112">
        <v>643.0</v>
      </c>
      <c r="F455" s="112">
        <v>69.0</v>
      </c>
      <c r="G455" s="112">
        <v>103.0</v>
      </c>
      <c r="H455" s="112">
        <v>28.0</v>
      </c>
      <c r="I455" s="112">
        <v>27.0</v>
      </c>
      <c r="J455" s="112">
        <v>5.0</v>
      </c>
      <c r="K455" s="112">
        <v>7.0</v>
      </c>
      <c r="L455" s="112">
        <v>10.0</v>
      </c>
      <c r="M455" s="112">
        <v>31.0</v>
      </c>
      <c r="N455" s="112">
        <v>4.0</v>
      </c>
      <c r="O455" s="112">
        <v>25.0</v>
      </c>
      <c r="P455" s="112">
        <v>6.0</v>
      </c>
      <c r="Q455" s="112">
        <v>25.0</v>
      </c>
      <c r="R455" s="112">
        <v>6.0</v>
      </c>
      <c r="S455" s="112">
        <v>33.0</v>
      </c>
      <c r="T455" s="112">
        <v>4.0</v>
      </c>
      <c r="U455" s="112">
        <v>35.0</v>
      </c>
      <c r="V455" s="112">
        <v>4.0</v>
      </c>
      <c r="W455" s="112">
        <v>38.0</v>
      </c>
      <c r="X455" s="112">
        <v>11.0</v>
      </c>
      <c r="Y455" s="112">
        <v>54.0</v>
      </c>
      <c r="Z455" s="112">
        <v>16.0</v>
      </c>
      <c r="AA455" s="112">
        <v>81.0</v>
      </c>
      <c r="AB455" s="112">
        <v>24.0</v>
      </c>
      <c r="AC455" s="112">
        <v>61.0</v>
      </c>
      <c r="AD455" s="112">
        <v>11.0</v>
      </c>
      <c r="AE455" s="112">
        <v>45.0</v>
      </c>
      <c r="AF455" s="112">
        <v>12.0</v>
      </c>
      <c r="AG455" s="112">
        <v>28.0</v>
      </c>
      <c r="AH455" s="112">
        <v>11.0</v>
      </c>
      <c r="AI455" s="112">
        <v>31.0</v>
      </c>
      <c r="AJ455" s="112">
        <v>5.0</v>
      </c>
      <c r="AK455" s="112">
        <v>10.0</v>
      </c>
      <c r="AL455" s="112">
        <v>2.0</v>
      </c>
      <c r="AM455" s="112">
        <v>9.0</v>
      </c>
      <c r="AN455" s="112">
        <v>779.0</v>
      </c>
    </row>
    <row r="456">
      <c r="A456" s="104"/>
      <c r="B456" s="111" t="s">
        <v>201</v>
      </c>
      <c r="C456" s="112">
        <v>0.0</v>
      </c>
      <c r="D456" s="112">
        <v>0.0</v>
      </c>
      <c r="E456" s="112">
        <v>0.0</v>
      </c>
      <c r="F456" s="112">
        <v>0.0</v>
      </c>
      <c r="G456" s="112">
        <v>0.0</v>
      </c>
      <c r="H456" s="112">
        <v>0.0</v>
      </c>
      <c r="I456" s="112">
        <v>0.0</v>
      </c>
      <c r="J456" s="112">
        <v>0.0</v>
      </c>
      <c r="K456" s="112">
        <v>0.0</v>
      </c>
      <c r="L456" s="112">
        <v>0.0</v>
      </c>
      <c r="M456" s="112">
        <v>0.0</v>
      </c>
      <c r="N456" s="112">
        <v>0.0</v>
      </c>
      <c r="O456" s="112">
        <v>0.0</v>
      </c>
      <c r="P456" s="112">
        <v>0.0</v>
      </c>
      <c r="Q456" s="112">
        <v>0.0</v>
      </c>
      <c r="R456" s="112">
        <v>0.0</v>
      </c>
      <c r="S456" s="112">
        <v>0.0</v>
      </c>
      <c r="T456" s="112">
        <v>0.0</v>
      </c>
      <c r="U456" s="112">
        <v>0.0</v>
      </c>
      <c r="V456" s="112">
        <v>0.0</v>
      </c>
      <c r="W456" s="112">
        <v>0.0</v>
      </c>
      <c r="X456" s="112">
        <v>0.0</v>
      </c>
      <c r="Y456" s="112">
        <v>0.0</v>
      </c>
      <c r="Z456" s="112">
        <v>0.0</v>
      </c>
      <c r="AA456" s="112">
        <v>0.0</v>
      </c>
      <c r="AB456" s="112">
        <v>0.0</v>
      </c>
      <c r="AC456" s="112">
        <v>0.0</v>
      </c>
      <c r="AD456" s="112">
        <v>0.0</v>
      </c>
      <c r="AE456" s="112">
        <v>0.0</v>
      </c>
      <c r="AF456" s="112">
        <v>0.0</v>
      </c>
      <c r="AG456" s="112">
        <v>0.0</v>
      </c>
      <c r="AH456" s="112">
        <v>0.0</v>
      </c>
      <c r="AI456" s="112">
        <v>0.0</v>
      </c>
      <c r="AJ456" s="112">
        <v>0.0</v>
      </c>
      <c r="AK456" s="112">
        <v>0.0</v>
      </c>
      <c r="AL456" s="112">
        <v>0.0</v>
      </c>
      <c r="AM456" s="112">
        <v>0.0</v>
      </c>
      <c r="AN456" s="112">
        <v>0.0</v>
      </c>
    </row>
    <row r="457">
      <c r="A457" s="107" t="s">
        <v>208</v>
      </c>
      <c r="B457" s="111" t="s">
        <v>198</v>
      </c>
      <c r="C457" s="112">
        <v>8.0</v>
      </c>
      <c r="D457" s="112">
        <v>6.0</v>
      </c>
      <c r="E457" s="112">
        <v>2.0</v>
      </c>
      <c r="F457" s="112">
        <v>3.0</v>
      </c>
      <c r="G457" s="112">
        <v>0.0</v>
      </c>
      <c r="H457" s="112">
        <v>1.0</v>
      </c>
      <c r="I457" s="112">
        <v>1.0</v>
      </c>
      <c r="J457" s="112">
        <v>1.0</v>
      </c>
      <c r="K457" s="112">
        <v>0.0</v>
      </c>
      <c r="L457" s="112">
        <v>1.0</v>
      </c>
      <c r="M457" s="112">
        <v>1.0</v>
      </c>
      <c r="N457" s="112">
        <v>0.0</v>
      </c>
      <c r="O457" s="112">
        <v>0.0</v>
      </c>
      <c r="P457" s="110">
        <v>0.0</v>
      </c>
      <c r="Q457" s="110">
        <v>0.0</v>
      </c>
      <c r="R457" s="110">
        <v>0.0</v>
      </c>
      <c r="S457" s="110">
        <v>0.0</v>
      </c>
      <c r="T457" s="110">
        <v>0.0</v>
      </c>
      <c r="U457" s="110">
        <v>0.0</v>
      </c>
      <c r="V457" s="110">
        <v>0.0</v>
      </c>
      <c r="W457" s="110">
        <v>0.0</v>
      </c>
      <c r="X457" s="110">
        <v>0.0</v>
      </c>
      <c r="Y457" s="110">
        <v>0.0</v>
      </c>
      <c r="Z457" s="110">
        <v>0.0</v>
      </c>
      <c r="AA457" s="110">
        <v>0.0</v>
      </c>
      <c r="AB457" s="110">
        <v>0.0</v>
      </c>
      <c r="AC457" s="110">
        <v>0.0</v>
      </c>
      <c r="AD457" s="110">
        <v>0.0</v>
      </c>
      <c r="AE457" s="110">
        <v>0.0</v>
      </c>
      <c r="AF457" s="110">
        <v>0.0</v>
      </c>
      <c r="AG457" s="110">
        <v>0.0</v>
      </c>
      <c r="AH457" s="110">
        <v>0.0</v>
      </c>
      <c r="AI457" s="110">
        <v>0.0</v>
      </c>
      <c r="AJ457" s="110">
        <v>0.0</v>
      </c>
      <c r="AK457" s="110">
        <v>0.0</v>
      </c>
      <c r="AL457" s="110">
        <v>0.0</v>
      </c>
      <c r="AM457" s="110">
        <v>0.0</v>
      </c>
      <c r="AN457" s="112">
        <v>6.0</v>
      </c>
    </row>
    <row r="458">
      <c r="A458" s="98"/>
      <c r="B458" s="111" t="s">
        <v>199</v>
      </c>
      <c r="C458" s="112">
        <v>21.0</v>
      </c>
      <c r="D458" s="112">
        <v>18.0</v>
      </c>
      <c r="E458" s="112">
        <v>3.0</v>
      </c>
      <c r="F458" s="112">
        <v>16.0</v>
      </c>
      <c r="G458" s="112">
        <v>2.0</v>
      </c>
      <c r="H458" s="112">
        <v>2.0</v>
      </c>
      <c r="I458" s="112">
        <v>1.0</v>
      </c>
      <c r="J458" s="112">
        <v>0.0</v>
      </c>
      <c r="K458" s="112">
        <v>0.0</v>
      </c>
      <c r="L458" s="112">
        <v>0.0</v>
      </c>
      <c r="M458" s="112">
        <v>0.0</v>
      </c>
      <c r="N458" s="112">
        <v>0.0</v>
      </c>
      <c r="O458" s="112">
        <v>0.0</v>
      </c>
      <c r="P458" s="110">
        <v>0.0</v>
      </c>
      <c r="Q458" s="110">
        <v>0.0</v>
      </c>
      <c r="R458" s="110">
        <v>0.0</v>
      </c>
      <c r="S458" s="110">
        <v>0.0</v>
      </c>
      <c r="T458" s="110">
        <v>0.0</v>
      </c>
      <c r="U458" s="110">
        <v>0.0</v>
      </c>
      <c r="V458" s="110">
        <v>0.0</v>
      </c>
      <c r="W458" s="110">
        <v>0.0</v>
      </c>
      <c r="X458" s="110">
        <v>0.0</v>
      </c>
      <c r="Y458" s="110">
        <v>0.0</v>
      </c>
      <c r="Z458" s="110">
        <v>0.0</v>
      </c>
      <c r="AA458" s="110">
        <v>0.0</v>
      </c>
      <c r="AB458" s="110">
        <v>0.0</v>
      </c>
      <c r="AC458" s="110">
        <v>0.0</v>
      </c>
      <c r="AD458" s="110">
        <v>0.0</v>
      </c>
      <c r="AE458" s="110">
        <v>0.0</v>
      </c>
      <c r="AF458" s="110">
        <v>0.0</v>
      </c>
      <c r="AG458" s="110">
        <v>0.0</v>
      </c>
      <c r="AH458" s="110">
        <v>0.0</v>
      </c>
      <c r="AI458" s="110">
        <v>0.0</v>
      </c>
      <c r="AJ458" s="110">
        <v>0.0</v>
      </c>
      <c r="AK458" s="110">
        <v>0.0</v>
      </c>
      <c r="AL458" s="110">
        <v>0.0</v>
      </c>
      <c r="AM458" s="110">
        <v>0.0</v>
      </c>
      <c r="AN458" s="112">
        <v>18.0</v>
      </c>
    </row>
    <row r="459">
      <c r="A459" s="98"/>
      <c r="B459" s="111" t="s">
        <v>206</v>
      </c>
      <c r="C459" s="112">
        <v>0.0</v>
      </c>
      <c r="D459" s="112">
        <v>0.0</v>
      </c>
      <c r="E459" s="112">
        <v>0.0</v>
      </c>
      <c r="F459" s="112">
        <v>0.0</v>
      </c>
      <c r="G459" s="112">
        <v>0.0</v>
      </c>
      <c r="H459" s="112">
        <v>0.0</v>
      </c>
      <c r="I459" s="112">
        <v>0.0</v>
      </c>
      <c r="J459" s="112">
        <v>0.0</v>
      </c>
      <c r="K459" s="112">
        <v>0.0</v>
      </c>
      <c r="L459" s="112">
        <v>0.0</v>
      </c>
      <c r="M459" s="112">
        <v>0.0</v>
      </c>
      <c r="N459" s="112">
        <v>0.0</v>
      </c>
      <c r="O459" s="112">
        <v>0.0</v>
      </c>
      <c r="P459" s="110">
        <v>0.0</v>
      </c>
      <c r="Q459" s="110">
        <v>0.0</v>
      </c>
      <c r="R459" s="110">
        <v>0.0</v>
      </c>
      <c r="S459" s="110">
        <v>0.0</v>
      </c>
      <c r="T459" s="110">
        <v>0.0</v>
      </c>
      <c r="U459" s="110">
        <v>0.0</v>
      </c>
      <c r="V459" s="110">
        <v>0.0</v>
      </c>
      <c r="W459" s="110">
        <v>0.0</v>
      </c>
      <c r="X459" s="110">
        <v>0.0</v>
      </c>
      <c r="Y459" s="110">
        <v>0.0</v>
      </c>
      <c r="Z459" s="110">
        <v>0.0</v>
      </c>
      <c r="AA459" s="110">
        <v>0.0</v>
      </c>
      <c r="AB459" s="110">
        <v>0.0</v>
      </c>
      <c r="AC459" s="110">
        <v>0.0</v>
      </c>
      <c r="AD459" s="110">
        <v>0.0</v>
      </c>
      <c r="AE459" s="110">
        <v>0.0</v>
      </c>
      <c r="AF459" s="110">
        <v>0.0</v>
      </c>
      <c r="AG459" s="110">
        <v>0.0</v>
      </c>
      <c r="AH459" s="110">
        <v>0.0</v>
      </c>
      <c r="AI459" s="110">
        <v>0.0</v>
      </c>
      <c r="AJ459" s="110">
        <v>0.0</v>
      </c>
      <c r="AK459" s="110">
        <v>0.0</v>
      </c>
      <c r="AL459" s="110">
        <v>0.0</v>
      </c>
      <c r="AM459" s="110">
        <v>0.0</v>
      </c>
      <c r="AN459" s="112">
        <v>0.0</v>
      </c>
    </row>
    <row r="460">
      <c r="A460" s="98"/>
      <c r="B460" s="111" t="s">
        <v>200</v>
      </c>
      <c r="C460" s="112">
        <v>8.0</v>
      </c>
      <c r="D460" s="112">
        <v>2.0</v>
      </c>
      <c r="E460" s="112">
        <v>6.0</v>
      </c>
      <c r="F460" s="112">
        <v>1.0</v>
      </c>
      <c r="G460" s="112">
        <v>3.0</v>
      </c>
      <c r="H460" s="112">
        <v>1.0</v>
      </c>
      <c r="I460" s="112">
        <v>3.0</v>
      </c>
      <c r="J460" s="112">
        <v>0.0</v>
      </c>
      <c r="K460" s="112">
        <v>0.0</v>
      </c>
      <c r="L460" s="112">
        <v>0.0</v>
      </c>
      <c r="M460" s="112">
        <v>0.0</v>
      </c>
      <c r="N460" s="112">
        <v>0.0</v>
      </c>
      <c r="O460" s="112">
        <v>0.0</v>
      </c>
      <c r="P460" s="110">
        <v>0.0</v>
      </c>
      <c r="Q460" s="110">
        <v>0.0</v>
      </c>
      <c r="R460" s="110">
        <v>0.0</v>
      </c>
      <c r="S460" s="110">
        <v>0.0</v>
      </c>
      <c r="T460" s="110">
        <v>0.0</v>
      </c>
      <c r="U460" s="110">
        <v>0.0</v>
      </c>
      <c r="V460" s="110">
        <v>0.0</v>
      </c>
      <c r="W460" s="110">
        <v>0.0</v>
      </c>
      <c r="X460" s="110">
        <v>0.0</v>
      </c>
      <c r="Y460" s="110">
        <v>0.0</v>
      </c>
      <c r="Z460" s="110">
        <v>0.0</v>
      </c>
      <c r="AA460" s="110">
        <v>0.0</v>
      </c>
      <c r="AB460" s="110">
        <v>0.0</v>
      </c>
      <c r="AC460" s="110">
        <v>0.0</v>
      </c>
      <c r="AD460" s="110">
        <v>0.0</v>
      </c>
      <c r="AE460" s="110">
        <v>0.0</v>
      </c>
      <c r="AF460" s="110">
        <v>0.0</v>
      </c>
      <c r="AG460" s="110">
        <v>0.0</v>
      </c>
      <c r="AH460" s="110">
        <v>0.0</v>
      </c>
      <c r="AI460" s="110">
        <v>0.0</v>
      </c>
      <c r="AJ460" s="110">
        <v>0.0</v>
      </c>
      <c r="AK460" s="110">
        <v>0.0</v>
      </c>
      <c r="AL460" s="110">
        <v>0.0</v>
      </c>
      <c r="AM460" s="110">
        <v>0.0</v>
      </c>
      <c r="AN460" s="112">
        <v>8.0</v>
      </c>
    </row>
    <row r="461">
      <c r="A461" s="104"/>
      <c r="B461" s="111" t="s">
        <v>201</v>
      </c>
      <c r="C461" s="112">
        <v>0.0</v>
      </c>
      <c r="D461" s="112">
        <v>0.0</v>
      </c>
      <c r="E461" s="112">
        <v>0.0</v>
      </c>
      <c r="F461" s="112">
        <v>0.0</v>
      </c>
      <c r="G461" s="112">
        <v>0.0</v>
      </c>
      <c r="H461" s="112">
        <v>0.0</v>
      </c>
      <c r="I461" s="112">
        <v>0.0</v>
      </c>
      <c r="J461" s="112">
        <v>0.0</v>
      </c>
      <c r="K461" s="112">
        <v>0.0</v>
      </c>
      <c r="L461" s="112">
        <v>0.0</v>
      </c>
      <c r="M461" s="112">
        <v>0.0</v>
      </c>
      <c r="N461" s="112">
        <v>0.0</v>
      </c>
      <c r="O461" s="112">
        <v>0.0</v>
      </c>
      <c r="P461" s="110">
        <v>0.0</v>
      </c>
      <c r="Q461" s="110">
        <v>0.0</v>
      </c>
      <c r="R461" s="110">
        <v>0.0</v>
      </c>
      <c r="S461" s="110">
        <v>0.0</v>
      </c>
      <c r="T461" s="110">
        <v>0.0</v>
      </c>
      <c r="U461" s="110">
        <v>0.0</v>
      </c>
      <c r="V461" s="110">
        <v>0.0</v>
      </c>
      <c r="W461" s="110">
        <v>0.0</v>
      </c>
      <c r="X461" s="110">
        <v>0.0</v>
      </c>
      <c r="Y461" s="110">
        <v>0.0</v>
      </c>
      <c r="Z461" s="110">
        <v>0.0</v>
      </c>
      <c r="AA461" s="110">
        <v>0.0</v>
      </c>
      <c r="AB461" s="110">
        <v>0.0</v>
      </c>
      <c r="AC461" s="110">
        <v>0.0</v>
      </c>
      <c r="AD461" s="110">
        <v>0.0</v>
      </c>
      <c r="AE461" s="110">
        <v>0.0</v>
      </c>
      <c r="AF461" s="110">
        <v>0.0</v>
      </c>
      <c r="AG461" s="110">
        <v>0.0</v>
      </c>
      <c r="AH461" s="110">
        <v>0.0</v>
      </c>
      <c r="AI461" s="110">
        <v>0.0</v>
      </c>
      <c r="AJ461" s="110">
        <v>0.0</v>
      </c>
      <c r="AK461" s="110">
        <v>0.0</v>
      </c>
      <c r="AL461" s="110">
        <v>0.0</v>
      </c>
      <c r="AM461" s="110">
        <v>0.0</v>
      </c>
      <c r="AN461" s="112">
        <v>0.0</v>
      </c>
    </row>
    <row r="462">
      <c r="A462" s="113" t="s">
        <v>227</v>
      </c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</row>
    <row r="463">
      <c r="A463" s="107" t="s">
        <v>197</v>
      </c>
      <c r="B463" s="108" t="s">
        <v>198</v>
      </c>
      <c r="C463" s="109">
        <v>33208.0</v>
      </c>
      <c r="D463" s="109">
        <v>12135.0</v>
      </c>
      <c r="E463" s="109">
        <v>21073.0</v>
      </c>
      <c r="F463" s="110">
        <v>0.0</v>
      </c>
      <c r="G463" s="110">
        <v>0.0</v>
      </c>
      <c r="H463" s="110">
        <v>0.0</v>
      </c>
      <c r="I463" s="110">
        <v>0.0</v>
      </c>
      <c r="J463" s="110">
        <v>0.0</v>
      </c>
      <c r="K463" s="110">
        <v>0.0</v>
      </c>
      <c r="L463" s="112">
        <v>31.0</v>
      </c>
      <c r="M463" s="112">
        <v>41.0</v>
      </c>
      <c r="N463" s="112">
        <v>17.0</v>
      </c>
      <c r="O463" s="112">
        <v>79.0</v>
      </c>
      <c r="P463" s="112">
        <v>65.0</v>
      </c>
      <c r="Q463" s="112">
        <v>161.0</v>
      </c>
      <c r="R463" s="112">
        <v>110.0</v>
      </c>
      <c r="S463" s="112">
        <v>312.0</v>
      </c>
      <c r="T463" s="112">
        <v>259.0</v>
      </c>
      <c r="U463" s="112">
        <v>549.0</v>
      </c>
      <c r="V463" s="112">
        <v>430.0</v>
      </c>
      <c r="W463" s="109">
        <v>1116.0</v>
      </c>
      <c r="X463" s="112">
        <v>744.0</v>
      </c>
      <c r="Y463" s="109">
        <v>1897.0</v>
      </c>
      <c r="Z463" s="109">
        <v>1274.0</v>
      </c>
      <c r="AA463" s="109">
        <v>2610.0</v>
      </c>
      <c r="AB463" s="109">
        <v>1575.0</v>
      </c>
      <c r="AC463" s="109">
        <v>2922.0</v>
      </c>
      <c r="AD463" s="109">
        <v>1711.0</v>
      </c>
      <c r="AE463" s="109">
        <v>3044.0</v>
      </c>
      <c r="AF463" s="109">
        <v>1759.0</v>
      </c>
      <c r="AG463" s="109">
        <v>2671.0</v>
      </c>
      <c r="AH463" s="109">
        <v>1656.0</v>
      </c>
      <c r="AI463" s="109">
        <v>2195.0</v>
      </c>
      <c r="AJ463" s="109">
        <v>1197.0</v>
      </c>
      <c r="AK463" s="109">
        <v>1625.0</v>
      </c>
      <c r="AL463" s="109">
        <v>1307.0</v>
      </c>
      <c r="AM463" s="109">
        <v>1851.0</v>
      </c>
      <c r="AN463" s="109">
        <v>32636.0</v>
      </c>
    </row>
    <row r="464">
      <c r="A464" s="98"/>
      <c r="B464" s="111" t="s">
        <v>199</v>
      </c>
      <c r="C464" s="109">
        <v>20478.0</v>
      </c>
      <c r="D464" s="109">
        <v>7641.0</v>
      </c>
      <c r="E464" s="109">
        <v>12837.0</v>
      </c>
      <c r="F464" s="110">
        <v>0.0</v>
      </c>
      <c r="G464" s="110">
        <v>0.0</v>
      </c>
      <c r="H464" s="110">
        <v>0.0</v>
      </c>
      <c r="I464" s="110">
        <v>0.0</v>
      </c>
      <c r="J464" s="110">
        <v>0.0</v>
      </c>
      <c r="K464" s="110">
        <v>0.0</v>
      </c>
      <c r="L464" s="112">
        <v>13.0</v>
      </c>
      <c r="M464" s="112">
        <v>15.0</v>
      </c>
      <c r="N464" s="112">
        <v>14.0</v>
      </c>
      <c r="O464" s="112">
        <v>30.0</v>
      </c>
      <c r="P464" s="112">
        <v>36.0</v>
      </c>
      <c r="Q464" s="112">
        <v>70.0</v>
      </c>
      <c r="R464" s="112">
        <v>58.0</v>
      </c>
      <c r="S464" s="112">
        <v>140.0</v>
      </c>
      <c r="T464" s="112">
        <v>126.0</v>
      </c>
      <c r="U464" s="112">
        <v>299.0</v>
      </c>
      <c r="V464" s="112">
        <v>267.0</v>
      </c>
      <c r="W464" s="112">
        <v>620.0</v>
      </c>
      <c r="X464" s="112">
        <v>473.0</v>
      </c>
      <c r="Y464" s="109">
        <v>1008.0</v>
      </c>
      <c r="Z464" s="112">
        <v>731.0</v>
      </c>
      <c r="AA464" s="109">
        <v>1519.0</v>
      </c>
      <c r="AB464" s="112">
        <v>944.0</v>
      </c>
      <c r="AC464" s="109">
        <v>1763.0</v>
      </c>
      <c r="AD464" s="109">
        <v>1009.0</v>
      </c>
      <c r="AE464" s="109">
        <v>1813.0</v>
      </c>
      <c r="AF464" s="109">
        <v>1198.0</v>
      </c>
      <c r="AG464" s="109">
        <v>1752.0</v>
      </c>
      <c r="AH464" s="109">
        <v>1079.0</v>
      </c>
      <c r="AI464" s="109">
        <v>1485.0</v>
      </c>
      <c r="AJ464" s="112">
        <v>792.0</v>
      </c>
      <c r="AK464" s="109">
        <v>1057.0</v>
      </c>
      <c r="AL464" s="112">
        <v>901.0</v>
      </c>
      <c r="AM464" s="109">
        <v>1266.0</v>
      </c>
      <c r="AN464" s="109">
        <v>19997.0</v>
      </c>
    </row>
    <row r="465">
      <c r="A465" s="98"/>
      <c r="B465" s="111" t="s">
        <v>200</v>
      </c>
      <c r="C465" s="109">
        <v>18585.0</v>
      </c>
      <c r="D465" s="109">
        <v>6538.0</v>
      </c>
      <c r="E465" s="109">
        <v>12047.0</v>
      </c>
      <c r="F465" s="110">
        <v>0.0</v>
      </c>
      <c r="G465" s="110">
        <v>0.0</v>
      </c>
      <c r="H465" s="110">
        <v>0.0</v>
      </c>
      <c r="I465" s="110">
        <v>0.0</v>
      </c>
      <c r="J465" s="110">
        <v>0.0</v>
      </c>
      <c r="K465" s="110">
        <v>0.0</v>
      </c>
      <c r="L465" s="112">
        <v>20.0</v>
      </c>
      <c r="M465" s="112">
        <v>34.0</v>
      </c>
      <c r="N465" s="112">
        <v>11.0</v>
      </c>
      <c r="O465" s="112">
        <v>37.0</v>
      </c>
      <c r="P465" s="112">
        <v>35.0</v>
      </c>
      <c r="Q465" s="112">
        <v>103.0</v>
      </c>
      <c r="R465" s="112">
        <v>81.0</v>
      </c>
      <c r="S465" s="112">
        <v>198.0</v>
      </c>
      <c r="T465" s="112">
        <v>159.0</v>
      </c>
      <c r="U465" s="112">
        <v>323.0</v>
      </c>
      <c r="V465" s="112">
        <v>241.0</v>
      </c>
      <c r="W465" s="112">
        <v>628.0</v>
      </c>
      <c r="X465" s="112">
        <v>466.0</v>
      </c>
      <c r="Y465" s="109">
        <v>1102.0</v>
      </c>
      <c r="Z465" s="112">
        <v>702.0</v>
      </c>
      <c r="AA465" s="109">
        <v>1566.0</v>
      </c>
      <c r="AB465" s="112">
        <v>859.0</v>
      </c>
      <c r="AC465" s="109">
        <v>1739.0</v>
      </c>
      <c r="AD465" s="112">
        <v>944.0</v>
      </c>
      <c r="AE465" s="109">
        <v>1780.0</v>
      </c>
      <c r="AF465" s="112">
        <v>932.0</v>
      </c>
      <c r="AG465" s="109">
        <v>1485.0</v>
      </c>
      <c r="AH465" s="112">
        <v>823.0</v>
      </c>
      <c r="AI465" s="109">
        <v>1274.0</v>
      </c>
      <c r="AJ465" s="112">
        <v>610.0</v>
      </c>
      <c r="AK465" s="112">
        <v>883.0</v>
      </c>
      <c r="AL465" s="112">
        <v>655.0</v>
      </c>
      <c r="AM465" s="112">
        <v>895.0</v>
      </c>
      <c r="AN465" s="109">
        <v>18289.0</v>
      </c>
    </row>
    <row r="466">
      <c r="A466" s="104"/>
      <c r="B466" s="111" t="s">
        <v>201</v>
      </c>
      <c r="C466" s="112">
        <v>3.0</v>
      </c>
      <c r="D466" s="112">
        <v>2.0</v>
      </c>
      <c r="E466" s="112">
        <v>1.0</v>
      </c>
      <c r="F466" s="110">
        <v>0.0</v>
      </c>
      <c r="G466" s="110">
        <v>0.0</v>
      </c>
      <c r="H466" s="110">
        <v>0.0</v>
      </c>
      <c r="I466" s="110">
        <v>0.0</v>
      </c>
      <c r="J466" s="110">
        <v>0.0</v>
      </c>
      <c r="K466" s="110">
        <v>0.0</v>
      </c>
      <c r="L466" s="112">
        <v>0.0</v>
      </c>
      <c r="M466" s="112">
        <v>0.0</v>
      </c>
      <c r="N466" s="112">
        <v>0.0</v>
      </c>
      <c r="O466" s="112">
        <v>0.0</v>
      </c>
      <c r="P466" s="112">
        <v>0.0</v>
      </c>
      <c r="Q466" s="112">
        <v>0.0</v>
      </c>
      <c r="R466" s="112">
        <v>0.0</v>
      </c>
      <c r="S466" s="112">
        <v>0.0</v>
      </c>
      <c r="T466" s="112">
        <v>0.0</v>
      </c>
      <c r="U466" s="112">
        <v>1.0</v>
      </c>
      <c r="V466" s="112">
        <v>0.0</v>
      </c>
      <c r="W466" s="112">
        <v>0.0</v>
      </c>
      <c r="X466" s="112">
        <v>0.0</v>
      </c>
      <c r="Y466" s="112">
        <v>0.0</v>
      </c>
      <c r="Z466" s="112">
        <v>1.0</v>
      </c>
      <c r="AA466" s="112">
        <v>0.0</v>
      </c>
      <c r="AB466" s="112">
        <v>0.0</v>
      </c>
      <c r="AC466" s="112">
        <v>0.0</v>
      </c>
      <c r="AD466" s="112">
        <v>1.0</v>
      </c>
      <c r="AE466" s="112">
        <v>0.0</v>
      </c>
      <c r="AF466" s="112">
        <v>0.0</v>
      </c>
      <c r="AG466" s="112">
        <v>0.0</v>
      </c>
      <c r="AH466" s="112">
        <v>0.0</v>
      </c>
      <c r="AI466" s="112">
        <v>0.0</v>
      </c>
      <c r="AJ466" s="112">
        <v>0.0</v>
      </c>
      <c r="AK466" s="112">
        <v>0.0</v>
      </c>
      <c r="AL466" s="112">
        <v>0.0</v>
      </c>
      <c r="AM466" s="112">
        <v>0.0</v>
      </c>
      <c r="AN466" s="112">
        <v>3.0</v>
      </c>
    </row>
    <row r="467">
      <c r="A467" s="107" t="s">
        <v>202</v>
      </c>
      <c r="B467" s="111" t="s">
        <v>198</v>
      </c>
      <c r="C467" s="112">
        <v>119.0</v>
      </c>
      <c r="D467" s="112">
        <v>73.0</v>
      </c>
      <c r="E467" s="112">
        <v>46.0</v>
      </c>
      <c r="F467" s="112">
        <v>0.0</v>
      </c>
      <c r="G467" s="112">
        <v>2.0</v>
      </c>
      <c r="H467" s="112">
        <v>1.0</v>
      </c>
      <c r="I467" s="112">
        <v>1.0</v>
      </c>
      <c r="J467" s="112">
        <v>2.0</v>
      </c>
      <c r="K467" s="112">
        <v>0.0</v>
      </c>
      <c r="L467" s="112">
        <v>11.0</v>
      </c>
      <c r="M467" s="112">
        <v>4.0</v>
      </c>
      <c r="N467" s="112">
        <v>0.0</v>
      </c>
      <c r="O467" s="112">
        <v>2.0</v>
      </c>
      <c r="P467" s="112">
        <v>4.0</v>
      </c>
      <c r="Q467" s="112">
        <v>2.0</v>
      </c>
      <c r="R467" s="112">
        <v>6.0</v>
      </c>
      <c r="S467" s="112">
        <v>2.0</v>
      </c>
      <c r="T467" s="112">
        <v>10.0</v>
      </c>
      <c r="U467" s="112">
        <v>2.0</v>
      </c>
      <c r="V467" s="112">
        <v>11.0</v>
      </c>
      <c r="W467" s="112">
        <v>5.0</v>
      </c>
      <c r="X467" s="112">
        <v>3.0</v>
      </c>
      <c r="Y467" s="112">
        <v>2.0</v>
      </c>
      <c r="Z467" s="112">
        <v>7.0</v>
      </c>
      <c r="AA467" s="112">
        <v>6.0</v>
      </c>
      <c r="AB467" s="112">
        <v>6.0</v>
      </c>
      <c r="AC467" s="112">
        <v>10.0</v>
      </c>
      <c r="AD467" s="112">
        <v>4.0</v>
      </c>
      <c r="AE467" s="112">
        <v>5.0</v>
      </c>
      <c r="AF467" s="112">
        <v>2.0</v>
      </c>
      <c r="AG467" s="112">
        <v>2.0</v>
      </c>
      <c r="AH467" s="112">
        <v>3.0</v>
      </c>
      <c r="AI467" s="112">
        <v>0.0</v>
      </c>
      <c r="AJ467" s="112">
        <v>2.0</v>
      </c>
      <c r="AK467" s="112">
        <v>1.0</v>
      </c>
      <c r="AL467" s="112">
        <v>1.0</v>
      </c>
      <c r="AM467" s="112">
        <v>0.0</v>
      </c>
      <c r="AN467" s="112">
        <v>112.0</v>
      </c>
    </row>
    <row r="468">
      <c r="A468" s="104"/>
      <c r="B468" s="111" t="s">
        <v>199</v>
      </c>
      <c r="C468" s="112">
        <v>36.0</v>
      </c>
      <c r="D468" s="112">
        <v>20.0</v>
      </c>
      <c r="E468" s="112">
        <v>16.0</v>
      </c>
      <c r="F468" s="112">
        <v>2.0</v>
      </c>
      <c r="G468" s="112">
        <v>0.0</v>
      </c>
      <c r="H468" s="112">
        <v>1.0</v>
      </c>
      <c r="I468" s="112">
        <v>2.0</v>
      </c>
      <c r="J468" s="112">
        <v>4.0</v>
      </c>
      <c r="K468" s="112">
        <v>0.0</v>
      </c>
      <c r="L468" s="112">
        <v>0.0</v>
      </c>
      <c r="M468" s="112">
        <v>2.0</v>
      </c>
      <c r="N468" s="112">
        <v>0.0</v>
      </c>
      <c r="O468" s="112">
        <v>0.0</v>
      </c>
      <c r="P468" s="112">
        <v>2.0</v>
      </c>
      <c r="Q468" s="112">
        <v>6.0</v>
      </c>
      <c r="R468" s="112">
        <v>0.0</v>
      </c>
      <c r="S468" s="112">
        <v>1.0</v>
      </c>
      <c r="T468" s="112">
        <v>3.0</v>
      </c>
      <c r="U468" s="112">
        <v>0.0</v>
      </c>
      <c r="V468" s="112">
        <v>1.0</v>
      </c>
      <c r="W468" s="112">
        <v>0.0</v>
      </c>
      <c r="X468" s="112">
        <v>1.0</v>
      </c>
      <c r="Y468" s="112">
        <v>0.0</v>
      </c>
      <c r="Z468" s="112">
        <v>0.0</v>
      </c>
      <c r="AA468" s="112">
        <v>1.0</v>
      </c>
      <c r="AB468" s="112">
        <v>2.0</v>
      </c>
      <c r="AC468" s="112">
        <v>3.0</v>
      </c>
      <c r="AD468" s="112">
        <v>0.0</v>
      </c>
      <c r="AE468" s="112">
        <v>0.0</v>
      </c>
      <c r="AF468" s="112">
        <v>1.0</v>
      </c>
      <c r="AG468" s="112">
        <v>0.0</v>
      </c>
      <c r="AH468" s="112">
        <v>0.0</v>
      </c>
      <c r="AI468" s="112">
        <v>0.0</v>
      </c>
      <c r="AJ468" s="112">
        <v>1.0</v>
      </c>
      <c r="AK468" s="112">
        <v>1.0</v>
      </c>
      <c r="AL468" s="112">
        <v>2.0</v>
      </c>
      <c r="AM468" s="112">
        <v>0.0</v>
      </c>
      <c r="AN468" s="112">
        <v>36.0</v>
      </c>
    </row>
    <row r="469">
      <c r="A469" s="107" t="s">
        <v>203</v>
      </c>
      <c r="B469" s="111" t="s">
        <v>198</v>
      </c>
      <c r="C469" s="112">
        <v>3.0</v>
      </c>
      <c r="D469" s="112">
        <v>0.0</v>
      </c>
      <c r="E469" s="112">
        <v>3.0</v>
      </c>
      <c r="F469" s="110">
        <v>0.0</v>
      </c>
      <c r="G469" s="110">
        <v>0.0</v>
      </c>
      <c r="H469" s="110">
        <v>0.0</v>
      </c>
      <c r="I469" s="110">
        <v>0.0</v>
      </c>
      <c r="J469" s="110">
        <v>0.0</v>
      </c>
      <c r="K469" s="110">
        <v>0.0</v>
      </c>
      <c r="L469" s="110">
        <v>0.0</v>
      </c>
      <c r="M469" s="110">
        <v>0.0</v>
      </c>
      <c r="N469" s="110">
        <v>0.0</v>
      </c>
      <c r="O469" s="110">
        <v>0.0</v>
      </c>
      <c r="P469" s="110">
        <v>0.0</v>
      </c>
      <c r="Q469" s="110">
        <v>0.0</v>
      </c>
      <c r="R469" s="110">
        <v>0.0</v>
      </c>
      <c r="S469" s="110">
        <v>0.0</v>
      </c>
      <c r="T469" s="110">
        <v>0.0</v>
      </c>
      <c r="U469" s="110">
        <v>0.0</v>
      </c>
      <c r="V469" s="110">
        <v>0.0</v>
      </c>
      <c r="W469" s="110">
        <v>0.0</v>
      </c>
      <c r="X469" s="110">
        <v>0.0</v>
      </c>
      <c r="Y469" s="110">
        <v>0.0</v>
      </c>
      <c r="Z469" s="110">
        <v>0.0</v>
      </c>
      <c r="AA469" s="110">
        <v>0.0</v>
      </c>
      <c r="AB469" s="110">
        <v>0.0</v>
      </c>
      <c r="AC469" s="110">
        <v>0.0</v>
      </c>
      <c r="AD469" s="110">
        <v>0.0</v>
      </c>
      <c r="AE469" s="110">
        <v>0.0</v>
      </c>
      <c r="AF469" s="112">
        <v>0.0</v>
      </c>
      <c r="AG469" s="112">
        <v>1.0</v>
      </c>
      <c r="AH469" s="112">
        <v>0.0</v>
      </c>
      <c r="AI469" s="112">
        <v>0.0</v>
      </c>
      <c r="AJ469" s="112">
        <v>0.0</v>
      </c>
      <c r="AK469" s="112">
        <v>1.0</v>
      </c>
      <c r="AL469" s="112">
        <v>0.0</v>
      </c>
      <c r="AM469" s="112">
        <v>1.0</v>
      </c>
      <c r="AN469" s="112">
        <v>3.0</v>
      </c>
    </row>
    <row r="470">
      <c r="A470" s="104"/>
      <c r="B470" s="111" t="s">
        <v>199</v>
      </c>
      <c r="C470" s="112">
        <v>223.0</v>
      </c>
      <c r="D470" s="112">
        <v>92.0</v>
      </c>
      <c r="E470" s="112">
        <v>131.0</v>
      </c>
      <c r="F470" s="110">
        <v>0.0</v>
      </c>
      <c r="G470" s="110">
        <v>0.0</v>
      </c>
      <c r="H470" s="110">
        <v>0.0</v>
      </c>
      <c r="I470" s="110">
        <v>0.0</v>
      </c>
      <c r="J470" s="110">
        <v>0.0</v>
      </c>
      <c r="K470" s="110">
        <v>0.0</v>
      </c>
      <c r="L470" s="110">
        <v>0.0</v>
      </c>
      <c r="M470" s="110">
        <v>0.0</v>
      </c>
      <c r="N470" s="110">
        <v>0.0</v>
      </c>
      <c r="O470" s="110">
        <v>0.0</v>
      </c>
      <c r="P470" s="110">
        <v>0.0</v>
      </c>
      <c r="Q470" s="110">
        <v>0.0</v>
      </c>
      <c r="R470" s="110">
        <v>0.0</v>
      </c>
      <c r="S470" s="110">
        <v>0.0</v>
      </c>
      <c r="T470" s="110">
        <v>0.0</v>
      </c>
      <c r="U470" s="110">
        <v>0.0</v>
      </c>
      <c r="V470" s="110">
        <v>0.0</v>
      </c>
      <c r="W470" s="110">
        <v>0.0</v>
      </c>
      <c r="X470" s="110">
        <v>0.0</v>
      </c>
      <c r="Y470" s="110">
        <v>0.0</v>
      </c>
      <c r="Z470" s="110">
        <v>0.0</v>
      </c>
      <c r="AA470" s="110">
        <v>0.0</v>
      </c>
      <c r="AB470" s="110">
        <v>0.0</v>
      </c>
      <c r="AC470" s="110">
        <v>0.0</v>
      </c>
      <c r="AD470" s="110">
        <v>0.0</v>
      </c>
      <c r="AE470" s="110">
        <v>0.0</v>
      </c>
      <c r="AF470" s="112">
        <v>35.0</v>
      </c>
      <c r="AG470" s="112">
        <v>51.0</v>
      </c>
      <c r="AH470" s="112">
        <v>22.0</v>
      </c>
      <c r="AI470" s="112">
        <v>37.0</v>
      </c>
      <c r="AJ470" s="112">
        <v>18.0</v>
      </c>
      <c r="AK470" s="112">
        <v>19.0</v>
      </c>
      <c r="AL470" s="112">
        <v>17.0</v>
      </c>
      <c r="AM470" s="112">
        <v>24.0</v>
      </c>
      <c r="AN470" s="112">
        <v>222.0</v>
      </c>
    </row>
    <row r="471">
      <c r="A471" s="107" t="s">
        <v>204</v>
      </c>
      <c r="B471" s="111" t="s">
        <v>198</v>
      </c>
      <c r="C471" s="112">
        <v>1.0</v>
      </c>
      <c r="D471" s="112">
        <v>0.0</v>
      </c>
      <c r="E471" s="112">
        <v>1.0</v>
      </c>
      <c r="F471" s="110">
        <v>0.0</v>
      </c>
      <c r="G471" s="110">
        <v>0.0</v>
      </c>
      <c r="H471" s="110">
        <v>0.0</v>
      </c>
      <c r="I471" s="110">
        <v>0.0</v>
      </c>
      <c r="J471" s="110">
        <v>0.0</v>
      </c>
      <c r="K471" s="110">
        <v>0.0</v>
      </c>
      <c r="L471" s="110">
        <v>0.0</v>
      </c>
      <c r="M471" s="110">
        <v>0.0</v>
      </c>
      <c r="N471" s="110">
        <v>0.0</v>
      </c>
      <c r="O471" s="110">
        <v>0.0</v>
      </c>
      <c r="P471" s="110">
        <v>0.0</v>
      </c>
      <c r="Q471" s="110">
        <v>0.0</v>
      </c>
      <c r="R471" s="110">
        <v>0.0</v>
      </c>
      <c r="S471" s="110">
        <v>0.0</v>
      </c>
      <c r="T471" s="110">
        <v>0.0</v>
      </c>
      <c r="U471" s="110">
        <v>0.0</v>
      </c>
      <c r="V471" s="110">
        <v>0.0</v>
      </c>
      <c r="W471" s="110">
        <v>0.0</v>
      </c>
      <c r="X471" s="110">
        <v>0.0</v>
      </c>
      <c r="Y471" s="110">
        <v>0.0</v>
      </c>
      <c r="Z471" s="110">
        <v>0.0</v>
      </c>
      <c r="AA471" s="110">
        <v>0.0</v>
      </c>
      <c r="AB471" s="110">
        <v>0.0</v>
      </c>
      <c r="AC471" s="110">
        <v>0.0</v>
      </c>
      <c r="AD471" s="110">
        <v>0.0</v>
      </c>
      <c r="AE471" s="110">
        <v>0.0</v>
      </c>
      <c r="AF471" s="112">
        <v>0.0</v>
      </c>
      <c r="AG471" s="112">
        <v>1.0</v>
      </c>
      <c r="AH471" s="112">
        <v>0.0</v>
      </c>
      <c r="AI471" s="112">
        <v>0.0</v>
      </c>
      <c r="AJ471" s="112">
        <v>0.0</v>
      </c>
      <c r="AK471" s="112">
        <v>0.0</v>
      </c>
      <c r="AL471" s="112">
        <v>0.0</v>
      </c>
      <c r="AM471" s="112">
        <v>0.0</v>
      </c>
      <c r="AN471" s="112">
        <v>1.0</v>
      </c>
    </row>
    <row r="472">
      <c r="A472" s="104"/>
      <c r="B472" s="111" t="s">
        <v>199</v>
      </c>
      <c r="C472" s="112">
        <v>110.0</v>
      </c>
      <c r="D472" s="112">
        <v>42.0</v>
      </c>
      <c r="E472" s="112">
        <v>68.0</v>
      </c>
      <c r="F472" s="110">
        <v>0.0</v>
      </c>
      <c r="G472" s="110">
        <v>0.0</v>
      </c>
      <c r="H472" s="110">
        <v>0.0</v>
      </c>
      <c r="I472" s="110">
        <v>0.0</v>
      </c>
      <c r="J472" s="110">
        <v>0.0</v>
      </c>
      <c r="K472" s="110">
        <v>0.0</v>
      </c>
      <c r="L472" s="110">
        <v>0.0</v>
      </c>
      <c r="M472" s="110">
        <v>0.0</v>
      </c>
      <c r="N472" s="110">
        <v>0.0</v>
      </c>
      <c r="O472" s="110">
        <v>0.0</v>
      </c>
      <c r="P472" s="110">
        <v>0.0</v>
      </c>
      <c r="Q472" s="110">
        <v>0.0</v>
      </c>
      <c r="R472" s="110">
        <v>0.0</v>
      </c>
      <c r="S472" s="110">
        <v>0.0</v>
      </c>
      <c r="T472" s="110">
        <v>0.0</v>
      </c>
      <c r="U472" s="110">
        <v>0.0</v>
      </c>
      <c r="V472" s="110">
        <v>0.0</v>
      </c>
      <c r="W472" s="110">
        <v>0.0</v>
      </c>
      <c r="X472" s="110">
        <v>0.0</v>
      </c>
      <c r="Y472" s="110">
        <v>0.0</v>
      </c>
      <c r="Z472" s="110">
        <v>0.0</v>
      </c>
      <c r="AA472" s="110">
        <v>0.0</v>
      </c>
      <c r="AB472" s="110">
        <v>0.0</v>
      </c>
      <c r="AC472" s="110">
        <v>0.0</v>
      </c>
      <c r="AD472" s="110">
        <v>0.0</v>
      </c>
      <c r="AE472" s="110">
        <v>0.0</v>
      </c>
      <c r="AF472" s="112">
        <v>10.0</v>
      </c>
      <c r="AG472" s="112">
        <v>22.0</v>
      </c>
      <c r="AH472" s="112">
        <v>12.0</v>
      </c>
      <c r="AI472" s="112">
        <v>17.0</v>
      </c>
      <c r="AJ472" s="112">
        <v>8.0</v>
      </c>
      <c r="AK472" s="112">
        <v>8.0</v>
      </c>
      <c r="AL472" s="112">
        <v>12.0</v>
      </c>
      <c r="AM472" s="112">
        <v>21.0</v>
      </c>
      <c r="AN472" s="112">
        <v>109.0</v>
      </c>
    </row>
    <row r="473">
      <c r="A473" s="107" t="s">
        <v>205</v>
      </c>
      <c r="B473" s="111" t="s">
        <v>198</v>
      </c>
      <c r="C473" s="112">
        <v>21.0</v>
      </c>
      <c r="D473" s="112">
        <v>3.0</v>
      </c>
      <c r="E473" s="112">
        <v>18.0</v>
      </c>
      <c r="F473" s="112">
        <v>1.0</v>
      </c>
      <c r="G473" s="112">
        <v>0.0</v>
      </c>
      <c r="H473" s="112">
        <v>0.0</v>
      </c>
      <c r="I473" s="112">
        <v>0.0</v>
      </c>
      <c r="J473" s="112">
        <v>0.0</v>
      </c>
      <c r="K473" s="112">
        <v>0.0</v>
      </c>
      <c r="L473" s="112">
        <v>0.0</v>
      </c>
      <c r="M473" s="112">
        <v>0.0</v>
      </c>
      <c r="N473" s="112">
        <v>0.0</v>
      </c>
      <c r="O473" s="112">
        <v>1.0</v>
      </c>
      <c r="P473" s="112">
        <v>1.0</v>
      </c>
      <c r="Q473" s="112">
        <v>3.0</v>
      </c>
      <c r="R473" s="112">
        <v>0.0</v>
      </c>
      <c r="S473" s="112">
        <v>0.0</v>
      </c>
      <c r="T473" s="112">
        <v>0.0</v>
      </c>
      <c r="U473" s="112">
        <v>1.0</v>
      </c>
      <c r="V473" s="112">
        <v>0.0</v>
      </c>
      <c r="W473" s="112">
        <v>1.0</v>
      </c>
      <c r="X473" s="112">
        <v>0.0</v>
      </c>
      <c r="Y473" s="112">
        <v>2.0</v>
      </c>
      <c r="Z473" s="112">
        <v>0.0</v>
      </c>
      <c r="AA473" s="112">
        <v>2.0</v>
      </c>
      <c r="AB473" s="112">
        <v>1.0</v>
      </c>
      <c r="AC473" s="112">
        <v>2.0</v>
      </c>
      <c r="AD473" s="112">
        <v>0.0</v>
      </c>
      <c r="AE473" s="112">
        <v>3.0</v>
      </c>
      <c r="AF473" s="112">
        <v>0.0</v>
      </c>
      <c r="AG473" s="112">
        <v>0.0</v>
      </c>
      <c r="AH473" s="112">
        <v>0.0</v>
      </c>
      <c r="AI473" s="112">
        <v>1.0</v>
      </c>
      <c r="AJ473" s="112">
        <v>0.0</v>
      </c>
      <c r="AK473" s="112">
        <v>0.0</v>
      </c>
      <c r="AL473" s="112">
        <v>0.0</v>
      </c>
      <c r="AM473" s="112">
        <v>2.0</v>
      </c>
      <c r="AN473" s="112">
        <v>10.0</v>
      </c>
    </row>
    <row r="474">
      <c r="A474" s="98"/>
      <c r="B474" s="111" t="s">
        <v>199</v>
      </c>
      <c r="C474" s="112">
        <v>0.0</v>
      </c>
      <c r="D474" s="112">
        <v>0.0</v>
      </c>
      <c r="E474" s="112">
        <v>0.0</v>
      </c>
      <c r="F474" s="112">
        <v>0.0</v>
      </c>
      <c r="G474" s="112">
        <v>0.0</v>
      </c>
      <c r="H474" s="112">
        <v>0.0</v>
      </c>
      <c r="I474" s="112">
        <v>0.0</v>
      </c>
      <c r="J474" s="112">
        <v>0.0</v>
      </c>
      <c r="K474" s="112">
        <v>0.0</v>
      </c>
      <c r="L474" s="112">
        <v>0.0</v>
      </c>
      <c r="M474" s="112">
        <v>0.0</v>
      </c>
      <c r="N474" s="112">
        <v>0.0</v>
      </c>
      <c r="O474" s="112">
        <v>0.0</v>
      </c>
      <c r="P474" s="112">
        <v>0.0</v>
      </c>
      <c r="Q474" s="112">
        <v>0.0</v>
      </c>
      <c r="R474" s="112">
        <v>0.0</v>
      </c>
      <c r="S474" s="112">
        <v>0.0</v>
      </c>
      <c r="T474" s="112">
        <v>0.0</v>
      </c>
      <c r="U474" s="112">
        <v>0.0</v>
      </c>
      <c r="V474" s="112">
        <v>0.0</v>
      </c>
      <c r="W474" s="112">
        <v>0.0</v>
      </c>
      <c r="X474" s="112">
        <v>0.0</v>
      </c>
      <c r="Y474" s="112">
        <v>0.0</v>
      </c>
      <c r="Z474" s="112">
        <v>0.0</v>
      </c>
      <c r="AA474" s="112">
        <v>0.0</v>
      </c>
      <c r="AB474" s="112">
        <v>0.0</v>
      </c>
      <c r="AC474" s="112">
        <v>0.0</v>
      </c>
      <c r="AD474" s="112">
        <v>0.0</v>
      </c>
      <c r="AE474" s="112">
        <v>0.0</v>
      </c>
      <c r="AF474" s="112">
        <v>0.0</v>
      </c>
      <c r="AG474" s="112">
        <v>0.0</v>
      </c>
      <c r="AH474" s="112">
        <v>0.0</v>
      </c>
      <c r="AI474" s="112">
        <v>0.0</v>
      </c>
      <c r="AJ474" s="112">
        <v>0.0</v>
      </c>
      <c r="AK474" s="112">
        <v>0.0</v>
      </c>
      <c r="AL474" s="112">
        <v>0.0</v>
      </c>
      <c r="AM474" s="112">
        <v>0.0</v>
      </c>
      <c r="AN474" s="112">
        <v>0.0</v>
      </c>
    </row>
    <row r="475">
      <c r="A475" s="104"/>
      <c r="B475" s="111" t="s">
        <v>206</v>
      </c>
      <c r="C475" s="112">
        <v>17.0</v>
      </c>
      <c r="D475" s="112">
        <v>1.0</v>
      </c>
      <c r="E475" s="112">
        <v>16.0</v>
      </c>
      <c r="F475" s="112">
        <v>0.0</v>
      </c>
      <c r="G475" s="112">
        <v>0.0</v>
      </c>
      <c r="H475" s="112">
        <v>0.0</v>
      </c>
      <c r="I475" s="112">
        <v>0.0</v>
      </c>
      <c r="J475" s="112">
        <v>0.0</v>
      </c>
      <c r="K475" s="112">
        <v>1.0</v>
      </c>
      <c r="L475" s="112">
        <v>0.0</v>
      </c>
      <c r="M475" s="112">
        <v>1.0</v>
      </c>
      <c r="N475" s="112">
        <v>0.0</v>
      </c>
      <c r="O475" s="112">
        <v>6.0</v>
      </c>
      <c r="P475" s="112">
        <v>0.0</v>
      </c>
      <c r="Q475" s="112">
        <v>1.0</v>
      </c>
      <c r="R475" s="112">
        <v>0.0</v>
      </c>
      <c r="S475" s="112">
        <v>2.0</v>
      </c>
      <c r="T475" s="112">
        <v>0.0</v>
      </c>
      <c r="U475" s="112">
        <v>1.0</v>
      </c>
      <c r="V475" s="112">
        <v>0.0</v>
      </c>
      <c r="W475" s="112">
        <v>2.0</v>
      </c>
      <c r="X475" s="112">
        <v>0.0</v>
      </c>
      <c r="Y475" s="112">
        <v>0.0</v>
      </c>
      <c r="Z475" s="112">
        <v>0.0</v>
      </c>
      <c r="AA475" s="112">
        <v>1.0</v>
      </c>
      <c r="AB475" s="112">
        <v>0.0</v>
      </c>
      <c r="AC475" s="112">
        <v>0.0</v>
      </c>
      <c r="AD475" s="112">
        <v>0.0</v>
      </c>
      <c r="AE475" s="112">
        <v>0.0</v>
      </c>
      <c r="AF475" s="112">
        <v>0.0</v>
      </c>
      <c r="AG475" s="112">
        <v>0.0</v>
      </c>
      <c r="AH475" s="112">
        <v>1.0</v>
      </c>
      <c r="AI475" s="112">
        <v>0.0</v>
      </c>
      <c r="AJ475" s="112">
        <v>0.0</v>
      </c>
      <c r="AK475" s="112">
        <v>1.0</v>
      </c>
      <c r="AL475" s="112">
        <v>0.0</v>
      </c>
      <c r="AM475" s="112">
        <v>0.0</v>
      </c>
      <c r="AN475" s="112">
        <v>17.0</v>
      </c>
    </row>
    <row r="476">
      <c r="A476" s="107" t="s">
        <v>207</v>
      </c>
      <c r="B476" s="111" t="s">
        <v>198</v>
      </c>
      <c r="C476" s="109">
        <v>10505.0</v>
      </c>
      <c r="D476" s="109">
        <v>3963.0</v>
      </c>
      <c r="E476" s="109">
        <v>6542.0</v>
      </c>
      <c r="F476" s="112">
        <v>22.0</v>
      </c>
      <c r="G476" s="112">
        <v>18.0</v>
      </c>
      <c r="H476" s="112">
        <v>27.0</v>
      </c>
      <c r="I476" s="112">
        <v>32.0</v>
      </c>
      <c r="J476" s="112">
        <v>33.0</v>
      </c>
      <c r="K476" s="112">
        <v>42.0</v>
      </c>
      <c r="L476" s="112">
        <v>47.0</v>
      </c>
      <c r="M476" s="112">
        <v>59.0</v>
      </c>
      <c r="N476" s="112">
        <v>26.0</v>
      </c>
      <c r="O476" s="112">
        <v>76.0</v>
      </c>
      <c r="P476" s="112">
        <v>33.0</v>
      </c>
      <c r="Q476" s="112">
        <v>130.0</v>
      </c>
      <c r="R476" s="112">
        <v>46.0</v>
      </c>
      <c r="S476" s="112">
        <v>158.0</v>
      </c>
      <c r="T476" s="112">
        <v>67.0</v>
      </c>
      <c r="U476" s="112">
        <v>250.0</v>
      </c>
      <c r="V476" s="112">
        <v>113.0</v>
      </c>
      <c r="W476" s="112">
        <v>394.0</v>
      </c>
      <c r="X476" s="112">
        <v>210.0</v>
      </c>
      <c r="Y476" s="112">
        <v>485.0</v>
      </c>
      <c r="Z476" s="112">
        <v>230.0</v>
      </c>
      <c r="AA476" s="112">
        <v>686.0</v>
      </c>
      <c r="AB476" s="112">
        <v>420.0</v>
      </c>
      <c r="AC476" s="112">
        <v>699.0</v>
      </c>
      <c r="AD476" s="112">
        <v>565.0</v>
      </c>
      <c r="AE476" s="112">
        <v>737.0</v>
      </c>
      <c r="AF476" s="112">
        <v>546.0</v>
      </c>
      <c r="AG476" s="112">
        <v>737.0</v>
      </c>
      <c r="AH476" s="112">
        <v>422.0</v>
      </c>
      <c r="AI476" s="112">
        <v>556.0</v>
      </c>
      <c r="AJ476" s="112">
        <v>551.0</v>
      </c>
      <c r="AK476" s="112">
        <v>571.0</v>
      </c>
      <c r="AL476" s="112">
        <v>605.0</v>
      </c>
      <c r="AM476" s="112">
        <v>912.0</v>
      </c>
      <c r="AN476" s="109">
        <v>10351.0</v>
      </c>
    </row>
    <row r="477">
      <c r="A477" s="98"/>
      <c r="B477" s="111" t="s">
        <v>199</v>
      </c>
      <c r="C477" s="109">
        <v>1549.0</v>
      </c>
      <c r="D477" s="112">
        <v>710.0</v>
      </c>
      <c r="E477" s="112">
        <v>839.0</v>
      </c>
      <c r="F477" s="112">
        <v>4.0</v>
      </c>
      <c r="G477" s="112">
        <v>3.0</v>
      </c>
      <c r="H477" s="112">
        <v>2.0</v>
      </c>
      <c r="I477" s="112">
        <v>1.0</v>
      </c>
      <c r="J477" s="112">
        <v>4.0</v>
      </c>
      <c r="K477" s="112">
        <v>5.0</v>
      </c>
      <c r="L477" s="112">
        <v>3.0</v>
      </c>
      <c r="M477" s="112">
        <v>7.0</v>
      </c>
      <c r="N477" s="112">
        <v>3.0</v>
      </c>
      <c r="O477" s="112">
        <v>14.0</v>
      </c>
      <c r="P477" s="112">
        <v>5.0</v>
      </c>
      <c r="Q477" s="112">
        <v>12.0</v>
      </c>
      <c r="R477" s="112">
        <v>6.0</v>
      </c>
      <c r="S477" s="112">
        <v>16.0</v>
      </c>
      <c r="T477" s="112">
        <v>10.0</v>
      </c>
      <c r="U477" s="112">
        <v>29.0</v>
      </c>
      <c r="V477" s="112">
        <v>23.0</v>
      </c>
      <c r="W477" s="112">
        <v>49.0</v>
      </c>
      <c r="X477" s="112">
        <v>59.0</v>
      </c>
      <c r="Y477" s="112">
        <v>71.0</v>
      </c>
      <c r="Z477" s="112">
        <v>35.0</v>
      </c>
      <c r="AA477" s="112">
        <v>69.0</v>
      </c>
      <c r="AB477" s="112">
        <v>42.0</v>
      </c>
      <c r="AC477" s="112">
        <v>79.0</v>
      </c>
      <c r="AD477" s="112">
        <v>99.0</v>
      </c>
      <c r="AE477" s="112">
        <v>113.0</v>
      </c>
      <c r="AF477" s="112">
        <v>114.0</v>
      </c>
      <c r="AG477" s="112">
        <v>93.0</v>
      </c>
      <c r="AH477" s="112">
        <v>97.0</v>
      </c>
      <c r="AI477" s="112">
        <v>102.0</v>
      </c>
      <c r="AJ477" s="112">
        <v>69.0</v>
      </c>
      <c r="AK477" s="112">
        <v>90.0</v>
      </c>
      <c r="AL477" s="112">
        <v>135.0</v>
      </c>
      <c r="AM477" s="112">
        <v>86.0</v>
      </c>
      <c r="AN477" s="109">
        <v>1514.0</v>
      </c>
    </row>
    <row r="478">
      <c r="A478" s="98"/>
      <c r="B478" s="111" t="s">
        <v>206</v>
      </c>
      <c r="C478" s="112">
        <v>11.0</v>
      </c>
      <c r="D478" s="112">
        <v>2.0</v>
      </c>
      <c r="E478" s="112">
        <v>9.0</v>
      </c>
      <c r="F478" s="112">
        <v>1.0</v>
      </c>
      <c r="G478" s="112">
        <v>0.0</v>
      </c>
      <c r="H478" s="112">
        <v>0.0</v>
      </c>
      <c r="I478" s="112">
        <v>0.0</v>
      </c>
      <c r="J478" s="112">
        <v>0.0</v>
      </c>
      <c r="K478" s="112">
        <v>0.0</v>
      </c>
      <c r="L478" s="112">
        <v>0.0</v>
      </c>
      <c r="M478" s="112">
        <v>0.0</v>
      </c>
      <c r="N478" s="112">
        <v>0.0</v>
      </c>
      <c r="O478" s="112">
        <v>0.0</v>
      </c>
      <c r="P478" s="112">
        <v>0.0</v>
      </c>
      <c r="Q478" s="112">
        <v>2.0</v>
      </c>
      <c r="R478" s="112">
        <v>0.0</v>
      </c>
      <c r="S478" s="112">
        <v>1.0</v>
      </c>
      <c r="T478" s="112">
        <v>0.0</v>
      </c>
      <c r="U478" s="112">
        <v>3.0</v>
      </c>
      <c r="V478" s="112">
        <v>0.0</v>
      </c>
      <c r="W478" s="112">
        <v>0.0</v>
      </c>
      <c r="X478" s="112">
        <v>0.0</v>
      </c>
      <c r="Y478" s="112">
        <v>1.0</v>
      </c>
      <c r="Z478" s="112">
        <v>0.0</v>
      </c>
      <c r="AA478" s="112">
        <v>0.0</v>
      </c>
      <c r="AB478" s="112">
        <v>0.0</v>
      </c>
      <c r="AC478" s="112">
        <v>0.0</v>
      </c>
      <c r="AD478" s="112">
        <v>0.0</v>
      </c>
      <c r="AE478" s="112">
        <v>0.0</v>
      </c>
      <c r="AF478" s="112">
        <v>0.0</v>
      </c>
      <c r="AG478" s="112">
        <v>2.0</v>
      </c>
      <c r="AH478" s="112">
        <v>0.0</v>
      </c>
      <c r="AI478" s="112">
        <v>0.0</v>
      </c>
      <c r="AJ478" s="112">
        <v>1.0</v>
      </c>
      <c r="AK478" s="112">
        <v>0.0</v>
      </c>
      <c r="AL478" s="112">
        <v>0.0</v>
      </c>
      <c r="AM478" s="112">
        <v>0.0</v>
      </c>
      <c r="AN478" s="112">
        <v>11.0</v>
      </c>
    </row>
    <row r="479">
      <c r="A479" s="98"/>
      <c r="B479" s="111" t="s">
        <v>200</v>
      </c>
      <c r="C479" s="112">
        <v>521.0</v>
      </c>
      <c r="D479" s="112">
        <v>110.0</v>
      </c>
      <c r="E479" s="112">
        <v>411.0</v>
      </c>
      <c r="F479" s="112">
        <v>4.0</v>
      </c>
      <c r="G479" s="112">
        <v>6.0</v>
      </c>
      <c r="H479" s="112">
        <v>4.0</v>
      </c>
      <c r="I479" s="112">
        <v>4.0</v>
      </c>
      <c r="J479" s="112">
        <v>6.0</v>
      </c>
      <c r="K479" s="112">
        <v>8.0</v>
      </c>
      <c r="L479" s="112">
        <v>10.0</v>
      </c>
      <c r="M479" s="112">
        <v>25.0</v>
      </c>
      <c r="N479" s="112">
        <v>3.0</v>
      </c>
      <c r="O479" s="112">
        <v>10.0</v>
      </c>
      <c r="P479" s="112">
        <v>3.0</v>
      </c>
      <c r="Q479" s="112">
        <v>34.0</v>
      </c>
      <c r="R479" s="112">
        <v>2.0</v>
      </c>
      <c r="S479" s="112">
        <v>26.0</v>
      </c>
      <c r="T479" s="112">
        <v>7.0</v>
      </c>
      <c r="U479" s="112">
        <v>25.0</v>
      </c>
      <c r="V479" s="112">
        <v>1.0</v>
      </c>
      <c r="W479" s="112">
        <v>30.0</v>
      </c>
      <c r="X479" s="112">
        <v>8.0</v>
      </c>
      <c r="Y479" s="112">
        <v>63.0</v>
      </c>
      <c r="Z479" s="112">
        <v>9.0</v>
      </c>
      <c r="AA479" s="112">
        <v>46.0</v>
      </c>
      <c r="AB479" s="112">
        <v>9.0</v>
      </c>
      <c r="AC479" s="112">
        <v>37.0</v>
      </c>
      <c r="AD479" s="112">
        <v>8.0</v>
      </c>
      <c r="AE479" s="112">
        <v>36.0</v>
      </c>
      <c r="AF479" s="112">
        <v>14.0</v>
      </c>
      <c r="AG479" s="112">
        <v>28.0</v>
      </c>
      <c r="AH479" s="112">
        <v>11.0</v>
      </c>
      <c r="AI479" s="112">
        <v>13.0</v>
      </c>
      <c r="AJ479" s="112">
        <v>5.0</v>
      </c>
      <c r="AK479" s="112">
        <v>12.0</v>
      </c>
      <c r="AL479" s="112">
        <v>6.0</v>
      </c>
      <c r="AM479" s="112">
        <v>8.0</v>
      </c>
      <c r="AN479" s="112">
        <v>484.0</v>
      </c>
    </row>
    <row r="480">
      <c r="A480" s="104"/>
      <c r="B480" s="111" t="s">
        <v>201</v>
      </c>
      <c r="C480" s="112">
        <v>0.0</v>
      </c>
      <c r="D480" s="112">
        <v>0.0</v>
      </c>
      <c r="E480" s="112">
        <v>0.0</v>
      </c>
      <c r="F480" s="112">
        <v>0.0</v>
      </c>
      <c r="G480" s="112">
        <v>0.0</v>
      </c>
      <c r="H480" s="112">
        <v>0.0</v>
      </c>
      <c r="I480" s="112">
        <v>0.0</v>
      </c>
      <c r="J480" s="112">
        <v>0.0</v>
      </c>
      <c r="K480" s="112">
        <v>0.0</v>
      </c>
      <c r="L480" s="112">
        <v>0.0</v>
      </c>
      <c r="M480" s="112">
        <v>0.0</v>
      </c>
      <c r="N480" s="112">
        <v>0.0</v>
      </c>
      <c r="O480" s="112">
        <v>0.0</v>
      </c>
      <c r="P480" s="112">
        <v>0.0</v>
      </c>
      <c r="Q480" s="112">
        <v>0.0</v>
      </c>
      <c r="R480" s="112">
        <v>0.0</v>
      </c>
      <c r="S480" s="112">
        <v>0.0</v>
      </c>
      <c r="T480" s="112">
        <v>0.0</v>
      </c>
      <c r="U480" s="112">
        <v>0.0</v>
      </c>
      <c r="V480" s="112">
        <v>0.0</v>
      </c>
      <c r="W480" s="112">
        <v>0.0</v>
      </c>
      <c r="X480" s="112">
        <v>0.0</v>
      </c>
      <c r="Y480" s="112">
        <v>0.0</v>
      </c>
      <c r="Z480" s="112">
        <v>0.0</v>
      </c>
      <c r="AA480" s="112">
        <v>0.0</v>
      </c>
      <c r="AB480" s="112">
        <v>0.0</v>
      </c>
      <c r="AC480" s="112">
        <v>0.0</v>
      </c>
      <c r="AD480" s="112">
        <v>0.0</v>
      </c>
      <c r="AE480" s="112">
        <v>0.0</v>
      </c>
      <c r="AF480" s="112">
        <v>0.0</v>
      </c>
      <c r="AG480" s="112">
        <v>0.0</v>
      </c>
      <c r="AH480" s="112">
        <v>0.0</v>
      </c>
      <c r="AI480" s="112">
        <v>0.0</v>
      </c>
      <c r="AJ480" s="112">
        <v>0.0</v>
      </c>
      <c r="AK480" s="112">
        <v>0.0</v>
      </c>
      <c r="AL480" s="112">
        <v>0.0</v>
      </c>
      <c r="AM480" s="112">
        <v>0.0</v>
      </c>
      <c r="AN480" s="112">
        <v>0.0</v>
      </c>
    </row>
    <row r="481">
      <c r="A481" s="107" t="s">
        <v>208</v>
      </c>
      <c r="B481" s="111" t="s">
        <v>198</v>
      </c>
      <c r="C481" s="112">
        <v>6.0</v>
      </c>
      <c r="D481" s="112">
        <v>4.0</v>
      </c>
      <c r="E481" s="112">
        <v>2.0</v>
      </c>
      <c r="F481" s="112">
        <v>3.0</v>
      </c>
      <c r="G481" s="112">
        <v>2.0</v>
      </c>
      <c r="H481" s="112">
        <v>0.0</v>
      </c>
      <c r="I481" s="112">
        <v>0.0</v>
      </c>
      <c r="J481" s="112">
        <v>0.0</v>
      </c>
      <c r="K481" s="112">
        <v>0.0</v>
      </c>
      <c r="L481" s="112">
        <v>1.0</v>
      </c>
      <c r="M481" s="112">
        <v>0.0</v>
      </c>
      <c r="N481" s="112">
        <v>0.0</v>
      </c>
      <c r="O481" s="112">
        <v>0.0</v>
      </c>
      <c r="P481" s="110">
        <v>0.0</v>
      </c>
      <c r="Q481" s="110">
        <v>0.0</v>
      </c>
      <c r="R481" s="110">
        <v>0.0</v>
      </c>
      <c r="S481" s="110">
        <v>0.0</v>
      </c>
      <c r="T481" s="110">
        <v>0.0</v>
      </c>
      <c r="U481" s="110">
        <v>0.0</v>
      </c>
      <c r="V481" s="110">
        <v>0.0</v>
      </c>
      <c r="W481" s="110">
        <v>0.0</v>
      </c>
      <c r="X481" s="110">
        <v>0.0</v>
      </c>
      <c r="Y481" s="110">
        <v>0.0</v>
      </c>
      <c r="Z481" s="110">
        <v>0.0</v>
      </c>
      <c r="AA481" s="110">
        <v>0.0</v>
      </c>
      <c r="AB481" s="110">
        <v>0.0</v>
      </c>
      <c r="AC481" s="110">
        <v>0.0</v>
      </c>
      <c r="AD481" s="110">
        <v>0.0</v>
      </c>
      <c r="AE481" s="110">
        <v>0.0</v>
      </c>
      <c r="AF481" s="110">
        <v>0.0</v>
      </c>
      <c r="AG481" s="110">
        <v>0.0</v>
      </c>
      <c r="AH481" s="110">
        <v>0.0</v>
      </c>
      <c r="AI481" s="110">
        <v>0.0</v>
      </c>
      <c r="AJ481" s="110">
        <v>0.0</v>
      </c>
      <c r="AK481" s="110">
        <v>0.0</v>
      </c>
      <c r="AL481" s="110">
        <v>0.0</v>
      </c>
      <c r="AM481" s="110">
        <v>0.0</v>
      </c>
      <c r="AN481" s="112">
        <v>5.0</v>
      </c>
    </row>
    <row r="482">
      <c r="A482" s="98"/>
      <c r="B482" s="111" t="s">
        <v>199</v>
      </c>
      <c r="C482" s="112">
        <v>8.0</v>
      </c>
      <c r="D482" s="112">
        <v>5.0</v>
      </c>
      <c r="E482" s="112">
        <v>3.0</v>
      </c>
      <c r="F482" s="112">
        <v>0.0</v>
      </c>
      <c r="G482" s="112">
        <v>1.0</v>
      </c>
      <c r="H482" s="112">
        <v>0.0</v>
      </c>
      <c r="I482" s="112">
        <v>0.0</v>
      </c>
      <c r="J482" s="112">
        <v>5.0</v>
      </c>
      <c r="K482" s="112">
        <v>1.0</v>
      </c>
      <c r="L482" s="112">
        <v>0.0</v>
      </c>
      <c r="M482" s="112">
        <v>0.0</v>
      </c>
      <c r="N482" s="112">
        <v>0.0</v>
      </c>
      <c r="O482" s="112">
        <v>1.0</v>
      </c>
      <c r="P482" s="110">
        <v>0.0</v>
      </c>
      <c r="Q482" s="110">
        <v>0.0</v>
      </c>
      <c r="R482" s="110">
        <v>0.0</v>
      </c>
      <c r="S482" s="110">
        <v>0.0</v>
      </c>
      <c r="T482" s="110">
        <v>0.0</v>
      </c>
      <c r="U482" s="110">
        <v>0.0</v>
      </c>
      <c r="V482" s="110">
        <v>0.0</v>
      </c>
      <c r="W482" s="110">
        <v>0.0</v>
      </c>
      <c r="X482" s="110">
        <v>0.0</v>
      </c>
      <c r="Y482" s="110">
        <v>0.0</v>
      </c>
      <c r="Z482" s="110">
        <v>0.0</v>
      </c>
      <c r="AA482" s="110">
        <v>0.0</v>
      </c>
      <c r="AB482" s="110">
        <v>0.0</v>
      </c>
      <c r="AC482" s="110">
        <v>0.0</v>
      </c>
      <c r="AD482" s="110">
        <v>0.0</v>
      </c>
      <c r="AE482" s="110">
        <v>0.0</v>
      </c>
      <c r="AF482" s="110">
        <v>0.0</v>
      </c>
      <c r="AG482" s="110">
        <v>0.0</v>
      </c>
      <c r="AH482" s="110">
        <v>0.0</v>
      </c>
      <c r="AI482" s="110">
        <v>0.0</v>
      </c>
      <c r="AJ482" s="110">
        <v>0.0</v>
      </c>
      <c r="AK482" s="110">
        <v>0.0</v>
      </c>
      <c r="AL482" s="110">
        <v>0.0</v>
      </c>
      <c r="AM482" s="110">
        <v>0.0</v>
      </c>
      <c r="AN482" s="112">
        <v>7.0</v>
      </c>
    </row>
    <row r="483">
      <c r="A483" s="98"/>
      <c r="B483" s="111" t="s">
        <v>206</v>
      </c>
      <c r="C483" s="112">
        <v>1.0</v>
      </c>
      <c r="D483" s="112">
        <v>1.0</v>
      </c>
      <c r="E483" s="112">
        <v>0.0</v>
      </c>
      <c r="F483" s="112">
        <v>1.0</v>
      </c>
      <c r="G483" s="112">
        <v>0.0</v>
      </c>
      <c r="H483" s="112">
        <v>0.0</v>
      </c>
      <c r="I483" s="112">
        <v>0.0</v>
      </c>
      <c r="J483" s="112">
        <v>0.0</v>
      </c>
      <c r="K483" s="112">
        <v>0.0</v>
      </c>
      <c r="L483" s="112">
        <v>0.0</v>
      </c>
      <c r="M483" s="112">
        <v>0.0</v>
      </c>
      <c r="N483" s="112">
        <v>0.0</v>
      </c>
      <c r="O483" s="112">
        <v>0.0</v>
      </c>
      <c r="P483" s="110">
        <v>0.0</v>
      </c>
      <c r="Q483" s="110">
        <v>0.0</v>
      </c>
      <c r="R483" s="110">
        <v>0.0</v>
      </c>
      <c r="S483" s="110">
        <v>0.0</v>
      </c>
      <c r="T483" s="110">
        <v>0.0</v>
      </c>
      <c r="U483" s="110">
        <v>0.0</v>
      </c>
      <c r="V483" s="110">
        <v>0.0</v>
      </c>
      <c r="W483" s="110">
        <v>0.0</v>
      </c>
      <c r="X483" s="110">
        <v>0.0</v>
      </c>
      <c r="Y483" s="110">
        <v>0.0</v>
      </c>
      <c r="Z483" s="110">
        <v>0.0</v>
      </c>
      <c r="AA483" s="110">
        <v>0.0</v>
      </c>
      <c r="AB483" s="110">
        <v>0.0</v>
      </c>
      <c r="AC483" s="110">
        <v>0.0</v>
      </c>
      <c r="AD483" s="110">
        <v>0.0</v>
      </c>
      <c r="AE483" s="110">
        <v>0.0</v>
      </c>
      <c r="AF483" s="110">
        <v>0.0</v>
      </c>
      <c r="AG483" s="110">
        <v>0.0</v>
      </c>
      <c r="AH483" s="110">
        <v>0.0</v>
      </c>
      <c r="AI483" s="110">
        <v>0.0</v>
      </c>
      <c r="AJ483" s="110">
        <v>0.0</v>
      </c>
      <c r="AK483" s="110">
        <v>0.0</v>
      </c>
      <c r="AL483" s="110">
        <v>0.0</v>
      </c>
      <c r="AM483" s="110">
        <v>0.0</v>
      </c>
      <c r="AN483" s="112">
        <v>1.0</v>
      </c>
    </row>
    <row r="484">
      <c r="A484" s="98"/>
      <c r="B484" s="111" t="s">
        <v>200</v>
      </c>
      <c r="C484" s="112">
        <v>0.0</v>
      </c>
      <c r="D484" s="112">
        <v>0.0</v>
      </c>
      <c r="E484" s="112">
        <v>0.0</v>
      </c>
      <c r="F484" s="112">
        <v>0.0</v>
      </c>
      <c r="G484" s="112">
        <v>0.0</v>
      </c>
      <c r="H484" s="112">
        <v>0.0</v>
      </c>
      <c r="I484" s="112">
        <v>0.0</v>
      </c>
      <c r="J484" s="112">
        <v>0.0</v>
      </c>
      <c r="K484" s="112">
        <v>0.0</v>
      </c>
      <c r="L484" s="112">
        <v>0.0</v>
      </c>
      <c r="M484" s="112">
        <v>0.0</v>
      </c>
      <c r="N484" s="112">
        <v>0.0</v>
      </c>
      <c r="O484" s="112">
        <v>0.0</v>
      </c>
      <c r="P484" s="110">
        <v>0.0</v>
      </c>
      <c r="Q484" s="110">
        <v>0.0</v>
      </c>
      <c r="R484" s="110">
        <v>0.0</v>
      </c>
      <c r="S484" s="110">
        <v>0.0</v>
      </c>
      <c r="T484" s="110">
        <v>0.0</v>
      </c>
      <c r="U484" s="110">
        <v>0.0</v>
      </c>
      <c r="V484" s="110">
        <v>0.0</v>
      </c>
      <c r="W484" s="110">
        <v>0.0</v>
      </c>
      <c r="X484" s="110">
        <v>0.0</v>
      </c>
      <c r="Y484" s="110">
        <v>0.0</v>
      </c>
      <c r="Z484" s="110">
        <v>0.0</v>
      </c>
      <c r="AA484" s="110">
        <v>0.0</v>
      </c>
      <c r="AB484" s="110">
        <v>0.0</v>
      </c>
      <c r="AC484" s="110">
        <v>0.0</v>
      </c>
      <c r="AD484" s="110">
        <v>0.0</v>
      </c>
      <c r="AE484" s="110">
        <v>0.0</v>
      </c>
      <c r="AF484" s="110">
        <v>0.0</v>
      </c>
      <c r="AG484" s="110">
        <v>0.0</v>
      </c>
      <c r="AH484" s="110">
        <v>0.0</v>
      </c>
      <c r="AI484" s="110">
        <v>0.0</v>
      </c>
      <c r="AJ484" s="110">
        <v>0.0</v>
      </c>
      <c r="AK484" s="110">
        <v>0.0</v>
      </c>
      <c r="AL484" s="110">
        <v>0.0</v>
      </c>
      <c r="AM484" s="110">
        <v>0.0</v>
      </c>
      <c r="AN484" s="112">
        <v>0.0</v>
      </c>
    </row>
    <row r="485">
      <c r="A485" s="104"/>
      <c r="B485" s="111" t="s">
        <v>201</v>
      </c>
      <c r="C485" s="112">
        <v>0.0</v>
      </c>
      <c r="D485" s="112">
        <v>0.0</v>
      </c>
      <c r="E485" s="112">
        <v>0.0</v>
      </c>
      <c r="F485" s="112">
        <v>0.0</v>
      </c>
      <c r="G485" s="112">
        <v>0.0</v>
      </c>
      <c r="H485" s="112">
        <v>0.0</v>
      </c>
      <c r="I485" s="112">
        <v>0.0</v>
      </c>
      <c r="J485" s="112">
        <v>0.0</v>
      </c>
      <c r="K485" s="112">
        <v>0.0</v>
      </c>
      <c r="L485" s="112">
        <v>0.0</v>
      </c>
      <c r="M485" s="112">
        <v>0.0</v>
      </c>
      <c r="N485" s="112">
        <v>0.0</v>
      </c>
      <c r="O485" s="112">
        <v>0.0</v>
      </c>
      <c r="P485" s="110">
        <v>0.0</v>
      </c>
      <c r="Q485" s="110">
        <v>0.0</v>
      </c>
      <c r="R485" s="110">
        <v>0.0</v>
      </c>
      <c r="S485" s="110">
        <v>0.0</v>
      </c>
      <c r="T485" s="110">
        <v>0.0</v>
      </c>
      <c r="U485" s="110">
        <v>0.0</v>
      </c>
      <c r="V485" s="110">
        <v>0.0</v>
      </c>
      <c r="W485" s="110">
        <v>0.0</v>
      </c>
      <c r="X485" s="110">
        <v>0.0</v>
      </c>
      <c r="Y485" s="110">
        <v>0.0</v>
      </c>
      <c r="Z485" s="110">
        <v>0.0</v>
      </c>
      <c r="AA485" s="110">
        <v>0.0</v>
      </c>
      <c r="AB485" s="110">
        <v>0.0</v>
      </c>
      <c r="AC485" s="110">
        <v>0.0</v>
      </c>
      <c r="AD485" s="110">
        <v>0.0</v>
      </c>
      <c r="AE485" s="110">
        <v>0.0</v>
      </c>
      <c r="AF485" s="110">
        <v>0.0</v>
      </c>
      <c r="AG485" s="110">
        <v>0.0</v>
      </c>
      <c r="AH485" s="110">
        <v>0.0</v>
      </c>
      <c r="AI485" s="110">
        <v>0.0</v>
      </c>
      <c r="AJ485" s="110">
        <v>0.0</v>
      </c>
      <c r="AK485" s="110">
        <v>0.0</v>
      </c>
      <c r="AL485" s="110">
        <v>0.0</v>
      </c>
      <c r="AM485" s="110">
        <v>0.0</v>
      </c>
      <c r="AN485" s="112">
        <v>0.0</v>
      </c>
    </row>
    <row r="486">
      <c r="A486" s="113" t="s">
        <v>228</v>
      </c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</row>
    <row r="487">
      <c r="A487" s="107" t="s">
        <v>197</v>
      </c>
      <c r="B487" s="108" t="s">
        <v>198</v>
      </c>
      <c r="C487" s="109">
        <v>65386.0</v>
      </c>
      <c r="D487" s="109">
        <v>23058.0</v>
      </c>
      <c r="E487" s="109">
        <v>42328.0</v>
      </c>
      <c r="F487" s="110">
        <v>0.0</v>
      </c>
      <c r="G487" s="110">
        <v>0.0</v>
      </c>
      <c r="H487" s="110">
        <v>0.0</v>
      </c>
      <c r="I487" s="110">
        <v>0.0</v>
      </c>
      <c r="J487" s="110">
        <v>0.0</v>
      </c>
      <c r="K487" s="110">
        <v>0.0</v>
      </c>
      <c r="L487" s="112">
        <v>39.0</v>
      </c>
      <c r="M487" s="112">
        <v>48.0</v>
      </c>
      <c r="N487" s="112">
        <v>42.0</v>
      </c>
      <c r="O487" s="112">
        <v>109.0</v>
      </c>
      <c r="P487" s="112">
        <v>84.0</v>
      </c>
      <c r="Q487" s="112">
        <v>182.0</v>
      </c>
      <c r="R487" s="112">
        <v>161.0</v>
      </c>
      <c r="S487" s="112">
        <v>325.0</v>
      </c>
      <c r="T487" s="112">
        <v>292.0</v>
      </c>
      <c r="U487" s="112">
        <v>638.0</v>
      </c>
      <c r="V487" s="112">
        <v>628.0</v>
      </c>
      <c r="W487" s="109">
        <v>1178.0</v>
      </c>
      <c r="X487" s="109">
        <v>1118.0</v>
      </c>
      <c r="Y487" s="109">
        <v>2373.0</v>
      </c>
      <c r="Z487" s="109">
        <v>2080.0</v>
      </c>
      <c r="AA487" s="109">
        <v>4596.0</v>
      </c>
      <c r="AB487" s="109">
        <v>2981.0</v>
      </c>
      <c r="AC487" s="109">
        <v>5373.0</v>
      </c>
      <c r="AD487" s="109">
        <v>3318.0</v>
      </c>
      <c r="AE487" s="109">
        <v>6387.0</v>
      </c>
      <c r="AF487" s="109">
        <v>3672.0</v>
      </c>
      <c r="AG487" s="109">
        <v>6062.0</v>
      </c>
      <c r="AH487" s="109">
        <v>3460.0</v>
      </c>
      <c r="AI487" s="109">
        <v>5649.0</v>
      </c>
      <c r="AJ487" s="109">
        <v>2661.0</v>
      </c>
      <c r="AK487" s="109">
        <v>4453.0</v>
      </c>
      <c r="AL487" s="109">
        <v>2522.0</v>
      </c>
      <c r="AM487" s="109">
        <v>4955.0</v>
      </c>
      <c r="AN487" s="109">
        <v>64581.0</v>
      </c>
    </row>
    <row r="488">
      <c r="A488" s="98"/>
      <c r="B488" s="111" t="s">
        <v>199</v>
      </c>
      <c r="C488" s="109">
        <v>35726.0</v>
      </c>
      <c r="D488" s="109">
        <v>12560.0</v>
      </c>
      <c r="E488" s="109">
        <v>23166.0</v>
      </c>
      <c r="F488" s="110">
        <v>0.0</v>
      </c>
      <c r="G488" s="110">
        <v>0.0</v>
      </c>
      <c r="H488" s="110">
        <v>0.0</v>
      </c>
      <c r="I488" s="110">
        <v>0.0</v>
      </c>
      <c r="J488" s="110">
        <v>0.0</v>
      </c>
      <c r="K488" s="110">
        <v>0.0</v>
      </c>
      <c r="L488" s="112">
        <v>15.0</v>
      </c>
      <c r="M488" s="112">
        <v>22.0</v>
      </c>
      <c r="N488" s="112">
        <v>22.0</v>
      </c>
      <c r="O488" s="112">
        <v>40.0</v>
      </c>
      <c r="P488" s="112">
        <v>43.0</v>
      </c>
      <c r="Q488" s="112">
        <v>82.0</v>
      </c>
      <c r="R488" s="112">
        <v>78.0</v>
      </c>
      <c r="S488" s="112">
        <v>117.0</v>
      </c>
      <c r="T488" s="112">
        <v>157.0</v>
      </c>
      <c r="U488" s="112">
        <v>293.0</v>
      </c>
      <c r="V488" s="112">
        <v>350.0</v>
      </c>
      <c r="W488" s="112">
        <v>616.0</v>
      </c>
      <c r="X488" s="112">
        <v>551.0</v>
      </c>
      <c r="Y488" s="109">
        <v>1218.0</v>
      </c>
      <c r="Z488" s="109">
        <v>1025.0</v>
      </c>
      <c r="AA488" s="109">
        <v>2217.0</v>
      </c>
      <c r="AB488" s="109">
        <v>1417.0</v>
      </c>
      <c r="AC488" s="109">
        <v>2757.0</v>
      </c>
      <c r="AD488" s="109">
        <v>1667.0</v>
      </c>
      <c r="AE488" s="109">
        <v>3157.0</v>
      </c>
      <c r="AF488" s="109">
        <v>2139.0</v>
      </c>
      <c r="AG488" s="109">
        <v>3654.0</v>
      </c>
      <c r="AH488" s="109">
        <v>2058.0</v>
      </c>
      <c r="AI488" s="109">
        <v>3364.0</v>
      </c>
      <c r="AJ488" s="109">
        <v>1591.0</v>
      </c>
      <c r="AK488" s="109">
        <v>2704.0</v>
      </c>
      <c r="AL488" s="109">
        <v>1447.0</v>
      </c>
      <c r="AM488" s="109">
        <v>2925.0</v>
      </c>
      <c r="AN488" s="109">
        <v>35653.0</v>
      </c>
    </row>
    <row r="489">
      <c r="A489" s="98"/>
      <c r="B489" s="111" t="s">
        <v>200</v>
      </c>
      <c r="C489" s="109">
        <v>29442.0</v>
      </c>
      <c r="D489" s="109">
        <v>9861.0</v>
      </c>
      <c r="E489" s="109">
        <v>19581.0</v>
      </c>
      <c r="F489" s="110">
        <v>0.0</v>
      </c>
      <c r="G489" s="110">
        <v>0.0</v>
      </c>
      <c r="H489" s="110">
        <v>0.0</v>
      </c>
      <c r="I489" s="110">
        <v>0.0</v>
      </c>
      <c r="J489" s="110">
        <v>0.0</v>
      </c>
      <c r="K489" s="110">
        <v>0.0</v>
      </c>
      <c r="L489" s="112">
        <v>27.0</v>
      </c>
      <c r="M489" s="112">
        <v>34.0</v>
      </c>
      <c r="N489" s="112">
        <v>23.0</v>
      </c>
      <c r="O489" s="112">
        <v>63.0</v>
      </c>
      <c r="P489" s="112">
        <v>42.0</v>
      </c>
      <c r="Q489" s="112">
        <v>95.0</v>
      </c>
      <c r="R489" s="112">
        <v>79.0</v>
      </c>
      <c r="S489" s="112">
        <v>154.0</v>
      </c>
      <c r="T489" s="112">
        <v>148.0</v>
      </c>
      <c r="U489" s="112">
        <v>329.0</v>
      </c>
      <c r="V489" s="112">
        <v>329.0</v>
      </c>
      <c r="W489" s="112">
        <v>660.0</v>
      </c>
      <c r="X489" s="112">
        <v>564.0</v>
      </c>
      <c r="Y489" s="109">
        <v>1294.0</v>
      </c>
      <c r="Z489" s="112">
        <v>884.0</v>
      </c>
      <c r="AA489" s="109">
        <v>2253.0</v>
      </c>
      <c r="AB489" s="109">
        <v>1204.0</v>
      </c>
      <c r="AC489" s="109">
        <v>2549.0</v>
      </c>
      <c r="AD489" s="109">
        <v>1395.0</v>
      </c>
      <c r="AE489" s="109">
        <v>2879.0</v>
      </c>
      <c r="AF489" s="109">
        <v>1539.0</v>
      </c>
      <c r="AG489" s="109">
        <v>2793.0</v>
      </c>
      <c r="AH489" s="109">
        <v>1504.0</v>
      </c>
      <c r="AI489" s="109">
        <v>2664.0</v>
      </c>
      <c r="AJ489" s="109">
        <v>1094.0</v>
      </c>
      <c r="AK489" s="109">
        <v>1939.0</v>
      </c>
      <c r="AL489" s="109">
        <v>1029.0</v>
      </c>
      <c r="AM489" s="109">
        <v>1875.0</v>
      </c>
      <c r="AN489" s="109">
        <v>29292.0</v>
      </c>
    </row>
    <row r="490">
      <c r="A490" s="104"/>
      <c r="B490" s="111" t="s">
        <v>201</v>
      </c>
      <c r="C490" s="112">
        <v>0.0</v>
      </c>
      <c r="D490" s="112">
        <v>0.0</v>
      </c>
      <c r="E490" s="112">
        <v>0.0</v>
      </c>
      <c r="F490" s="110">
        <v>0.0</v>
      </c>
      <c r="G490" s="110">
        <v>0.0</v>
      </c>
      <c r="H490" s="110">
        <v>0.0</v>
      </c>
      <c r="I490" s="110">
        <v>0.0</v>
      </c>
      <c r="J490" s="110">
        <v>0.0</v>
      </c>
      <c r="K490" s="110">
        <v>0.0</v>
      </c>
      <c r="L490" s="112">
        <v>0.0</v>
      </c>
      <c r="M490" s="112">
        <v>0.0</v>
      </c>
      <c r="N490" s="112">
        <v>0.0</v>
      </c>
      <c r="O490" s="112">
        <v>0.0</v>
      </c>
      <c r="P490" s="112">
        <v>0.0</v>
      </c>
      <c r="Q490" s="112">
        <v>0.0</v>
      </c>
      <c r="R490" s="112">
        <v>0.0</v>
      </c>
      <c r="S490" s="112">
        <v>0.0</v>
      </c>
      <c r="T490" s="112">
        <v>0.0</v>
      </c>
      <c r="U490" s="112">
        <v>0.0</v>
      </c>
      <c r="V490" s="112">
        <v>0.0</v>
      </c>
      <c r="W490" s="112">
        <v>0.0</v>
      </c>
      <c r="X490" s="112">
        <v>0.0</v>
      </c>
      <c r="Y490" s="112">
        <v>0.0</v>
      </c>
      <c r="Z490" s="112">
        <v>0.0</v>
      </c>
      <c r="AA490" s="112">
        <v>0.0</v>
      </c>
      <c r="AB490" s="112">
        <v>0.0</v>
      </c>
      <c r="AC490" s="112">
        <v>0.0</v>
      </c>
      <c r="AD490" s="112">
        <v>0.0</v>
      </c>
      <c r="AE490" s="112">
        <v>0.0</v>
      </c>
      <c r="AF490" s="112">
        <v>0.0</v>
      </c>
      <c r="AG490" s="112">
        <v>0.0</v>
      </c>
      <c r="AH490" s="112">
        <v>0.0</v>
      </c>
      <c r="AI490" s="112">
        <v>0.0</v>
      </c>
      <c r="AJ490" s="112">
        <v>0.0</v>
      </c>
      <c r="AK490" s="112">
        <v>0.0</v>
      </c>
      <c r="AL490" s="112">
        <v>0.0</v>
      </c>
      <c r="AM490" s="112">
        <v>0.0</v>
      </c>
      <c r="AN490" s="112">
        <v>0.0</v>
      </c>
    </row>
    <row r="491">
      <c r="A491" s="107" t="s">
        <v>202</v>
      </c>
      <c r="B491" s="111" t="s">
        <v>198</v>
      </c>
      <c r="C491" s="112">
        <v>235.0</v>
      </c>
      <c r="D491" s="112">
        <v>142.0</v>
      </c>
      <c r="E491" s="112">
        <v>93.0</v>
      </c>
      <c r="F491" s="112">
        <v>3.0</v>
      </c>
      <c r="G491" s="112">
        <v>3.0</v>
      </c>
      <c r="H491" s="112">
        <v>6.0</v>
      </c>
      <c r="I491" s="112">
        <v>1.0</v>
      </c>
      <c r="J491" s="112">
        <v>3.0</v>
      </c>
      <c r="K491" s="112">
        <v>0.0</v>
      </c>
      <c r="L491" s="112">
        <v>0.0</v>
      </c>
      <c r="M491" s="112">
        <v>3.0</v>
      </c>
      <c r="N491" s="112">
        <v>6.0</v>
      </c>
      <c r="O491" s="112">
        <v>8.0</v>
      </c>
      <c r="P491" s="112">
        <v>9.0</v>
      </c>
      <c r="Q491" s="112">
        <v>8.0</v>
      </c>
      <c r="R491" s="112">
        <v>0.0</v>
      </c>
      <c r="S491" s="112">
        <v>1.0</v>
      </c>
      <c r="T491" s="112">
        <v>3.0</v>
      </c>
      <c r="U491" s="112">
        <v>3.0</v>
      </c>
      <c r="V491" s="112">
        <v>13.0</v>
      </c>
      <c r="W491" s="112">
        <v>0.0</v>
      </c>
      <c r="X491" s="112">
        <v>13.0</v>
      </c>
      <c r="Y491" s="112">
        <v>5.0</v>
      </c>
      <c r="Z491" s="112">
        <v>26.0</v>
      </c>
      <c r="AA491" s="112">
        <v>9.0</v>
      </c>
      <c r="AB491" s="112">
        <v>35.0</v>
      </c>
      <c r="AC491" s="112">
        <v>16.0</v>
      </c>
      <c r="AD491" s="112">
        <v>4.0</v>
      </c>
      <c r="AE491" s="112">
        <v>6.0</v>
      </c>
      <c r="AF491" s="112">
        <v>6.0</v>
      </c>
      <c r="AG491" s="112">
        <v>9.0</v>
      </c>
      <c r="AH491" s="112">
        <v>8.0</v>
      </c>
      <c r="AI491" s="112">
        <v>2.0</v>
      </c>
      <c r="AJ491" s="112">
        <v>2.0</v>
      </c>
      <c r="AK491" s="112">
        <v>5.0</v>
      </c>
      <c r="AL491" s="112">
        <v>5.0</v>
      </c>
      <c r="AM491" s="112">
        <v>14.0</v>
      </c>
      <c r="AN491" s="112">
        <v>223.0</v>
      </c>
    </row>
    <row r="492">
      <c r="A492" s="104"/>
      <c r="B492" s="111" t="s">
        <v>199</v>
      </c>
      <c r="C492" s="112">
        <v>141.0</v>
      </c>
      <c r="D492" s="112">
        <v>89.0</v>
      </c>
      <c r="E492" s="112">
        <v>52.0</v>
      </c>
      <c r="F492" s="112">
        <v>3.0</v>
      </c>
      <c r="G492" s="112">
        <v>11.0</v>
      </c>
      <c r="H492" s="112">
        <v>4.0</v>
      </c>
      <c r="I492" s="112">
        <v>0.0</v>
      </c>
      <c r="J492" s="112">
        <v>2.0</v>
      </c>
      <c r="K492" s="112">
        <v>0.0</v>
      </c>
      <c r="L492" s="112">
        <v>0.0</v>
      </c>
      <c r="M492" s="112">
        <v>0.0</v>
      </c>
      <c r="N492" s="112">
        <v>0.0</v>
      </c>
      <c r="O492" s="112">
        <v>2.0</v>
      </c>
      <c r="P492" s="112">
        <v>6.0</v>
      </c>
      <c r="Q492" s="112">
        <v>9.0</v>
      </c>
      <c r="R492" s="112">
        <v>2.0</v>
      </c>
      <c r="S492" s="112">
        <v>0.0</v>
      </c>
      <c r="T492" s="112">
        <v>2.0</v>
      </c>
      <c r="U492" s="112">
        <v>3.0</v>
      </c>
      <c r="V492" s="112">
        <v>8.0</v>
      </c>
      <c r="W492" s="112">
        <v>0.0</v>
      </c>
      <c r="X492" s="112">
        <v>22.0</v>
      </c>
      <c r="Y492" s="112">
        <v>5.0</v>
      </c>
      <c r="Z492" s="112">
        <v>2.0</v>
      </c>
      <c r="AA492" s="112">
        <v>0.0</v>
      </c>
      <c r="AB492" s="112">
        <v>26.0</v>
      </c>
      <c r="AC492" s="112">
        <v>8.0</v>
      </c>
      <c r="AD492" s="112">
        <v>3.0</v>
      </c>
      <c r="AE492" s="112">
        <v>5.0</v>
      </c>
      <c r="AF492" s="112">
        <v>3.0</v>
      </c>
      <c r="AG492" s="112">
        <v>1.0</v>
      </c>
      <c r="AH492" s="112">
        <v>2.0</v>
      </c>
      <c r="AI492" s="112">
        <v>3.0</v>
      </c>
      <c r="AJ492" s="112">
        <v>0.0</v>
      </c>
      <c r="AK492" s="112">
        <v>3.0</v>
      </c>
      <c r="AL492" s="112">
        <v>4.0</v>
      </c>
      <c r="AM492" s="112">
        <v>2.0</v>
      </c>
      <c r="AN492" s="112">
        <v>135.0</v>
      </c>
    </row>
    <row r="493">
      <c r="A493" s="107" t="s">
        <v>203</v>
      </c>
      <c r="B493" s="111" t="s">
        <v>198</v>
      </c>
      <c r="C493" s="112">
        <v>12.0</v>
      </c>
      <c r="D493" s="112">
        <v>4.0</v>
      </c>
      <c r="E493" s="112">
        <v>8.0</v>
      </c>
      <c r="F493" s="110">
        <v>0.0</v>
      </c>
      <c r="G493" s="110">
        <v>0.0</v>
      </c>
      <c r="H493" s="110">
        <v>0.0</v>
      </c>
      <c r="I493" s="110">
        <v>0.0</v>
      </c>
      <c r="J493" s="110">
        <v>0.0</v>
      </c>
      <c r="K493" s="110">
        <v>0.0</v>
      </c>
      <c r="L493" s="110">
        <v>0.0</v>
      </c>
      <c r="M493" s="110">
        <v>0.0</v>
      </c>
      <c r="N493" s="110">
        <v>0.0</v>
      </c>
      <c r="O493" s="110">
        <v>0.0</v>
      </c>
      <c r="P493" s="110">
        <v>0.0</v>
      </c>
      <c r="Q493" s="110">
        <v>0.0</v>
      </c>
      <c r="R493" s="110">
        <v>0.0</v>
      </c>
      <c r="S493" s="110">
        <v>0.0</v>
      </c>
      <c r="T493" s="110">
        <v>0.0</v>
      </c>
      <c r="U493" s="110">
        <v>0.0</v>
      </c>
      <c r="V493" s="110">
        <v>0.0</v>
      </c>
      <c r="W493" s="110">
        <v>0.0</v>
      </c>
      <c r="X493" s="110">
        <v>0.0</v>
      </c>
      <c r="Y493" s="110">
        <v>0.0</v>
      </c>
      <c r="Z493" s="110">
        <v>0.0</v>
      </c>
      <c r="AA493" s="110">
        <v>0.0</v>
      </c>
      <c r="AB493" s="110">
        <v>0.0</v>
      </c>
      <c r="AC493" s="110">
        <v>0.0</v>
      </c>
      <c r="AD493" s="110">
        <v>0.0</v>
      </c>
      <c r="AE493" s="110">
        <v>0.0</v>
      </c>
      <c r="AF493" s="112">
        <v>1.0</v>
      </c>
      <c r="AG493" s="112">
        <v>1.0</v>
      </c>
      <c r="AH493" s="112">
        <v>0.0</v>
      </c>
      <c r="AI493" s="112">
        <v>1.0</v>
      </c>
      <c r="AJ493" s="112">
        <v>1.0</v>
      </c>
      <c r="AK493" s="112">
        <v>3.0</v>
      </c>
      <c r="AL493" s="112">
        <v>2.0</v>
      </c>
      <c r="AM493" s="112">
        <v>3.0</v>
      </c>
      <c r="AN493" s="112">
        <v>12.0</v>
      </c>
    </row>
    <row r="494">
      <c r="A494" s="104"/>
      <c r="B494" s="111" t="s">
        <v>199</v>
      </c>
      <c r="C494" s="109">
        <v>1645.0</v>
      </c>
      <c r="D494" s="112">
        <v>606.0</v>
      </c>
      <c r="E494" s="109">
        <v>1039.0</v>
      </c>
      <c r="F494" s="110">
        <v>0.0</v>
      </c>
      <c r="G494" s="110">
        <v>0.0</v>
      </c>
      <c r="H494" s="110">
        <v>0.0</v>
      </c>
      <c r="I494" s="110">
        <v>0.0</v>
      </c>
      <c r="J494" s="110">
        <v>0.0</v>
      </c>
      <c r="K494" s="110">
        <v>0.0</v>
      </c>
      <c r="L494" s="110">
        <v>0.0</v>
      </c>
      <c r="M494" s="110">
        <v>0.0</v>
      </c>
      <c r="N494" s="110">
        <v>0.0</v>
      </c>
      <c r="O494" s="110">
        <v>0.0</v>
      </c>
      <c r="P494" s="110">
        <v>0.0</v>
      </c>
      <c r="Q494" s="110">
        <v>0.0</v>
      </c>
      <c r="R494" s="110">
        <v>0.0</v>
      </c>
      <c r="S494" s="110">
        <v>0.0</v>
      </c>
      <c r="T494" s="110">
        <v>0.0</v>
      </c>
      <c r="U494" s="110">
        <v>0.0</v>
      </c>
      <c r="V494" s="110">
        <v>0.0</v>
      </c>
      <c r="W494" s="110">
        <v>0.0</v>
      </c>
      <c r="X494" s="110">
        <v>0.0</v>
      </c>
      <c r="Y494" s="110">
        <v>0.0</v>
      </c>
      <c r="Z494" s="110">
        <v>0.0</v>
      </c>
      <c r="AA494" s="110">
        <v>0.0</v>
      </c>
      <c r="AB494" s="110">
        <v>0.0</v>
      </c>
      <c r="AC494" s="110">
        <v>0.0</v>
      </c>
      <c r="AD494" s="110">
        <v>0.0</v>
      </c>
      <c r="AE494" s="110">
        <v>0.0</v>
      </c>
      <c r="AF494" s="112">
        <v>175.0</v>
      </c>
      <c r="AG494" s="112">
        <v>329.0</v>
      </c>
      <c r="AH494" s="112">
        <v>198.0</v>
      </c>
      <c r="AI494" s="112">
        <v>324.0</v>
      </c>
      <c r="AJ494" s="112">
        <v>135.0</v>
      </c>
      <c r="AK494" s="112">
        <v>221.0</v>
      </c>
      <c r="AL494" s="112">
        <v>98.0</v>
      </c>
      <c r="AM494" s="112">
        <v>165.0</v>
      </c>
      <c r="AN494" s="109">
        <v>1644.0</v>
      </c>
    </row>
    <row r="495">
      <c r="A495" s="107" t="s">
        <v>204</v>
      </c>
      <c r="B495" s="111" t="s">
        <v>198</v>
      </c>
      <c r="C495" s="112">
        <v>6.0</v>
      </c>
      <c r="D495" s="112">
        <v>4.0</v>
      </c>
      <c r="E495" s="112">
        <v>2.0</v>
      </c>
      <c r="F495" s="110">
        <v>0.0</v>
      </c>
      <c r="G495" s="110">
        <v>0.0</v>
      </c>
      <c r="H495" s="110">
        <v>0.0</v>
      </c>
      <c r="I495" s="110">
        <v>0.0</v>
      </c>
      <c r="J495" s="110">
        <v>0.0</v>
      </c>
      <c r="K495" s="110">
        <v>0.0</v>
      </c>
      <c r="L495" s="110">
        <v>0.0</v>
      </c>
      <c r="M495" s="110">
        <v>0.0</v>
      </c>
      <c r="N495" s="110">
        <v>0.0</v>
      </c>
      <c r="O495" s="110">
        <v>0.0</v>
      </c>
      <c r="P495" s="110">
        <v>0.0</v>
      </c>
      <c r="Q495" s="110">
        <v>0.0</v>
      </c>
      <c r="R495" s="110">
        <v>0.0</v>
      </c>
      <c r="S495" s="110">
        <v>0.0</v>
      </c>
      <c r="T495" s="110">
        <v>0.0</v>
      </c>
      <c r="U495" s="110">
        <v>0.0</v>
      </c>
      <c r="V495" s="110">
        <v>0.0</v>
      </c>
      <c r="W495" s="110">
        <v>0.0</v>
      </c>
      <c r="X495" s="110">
        <v>0.0</v>
      </c>
      <c r="Y495" s="110">
        <v>0.0</v>
      </c>
      <c r="Z495" s="110">
        <v>0.0</v>
      </c>
      <c r="AA495" s="110">
        <v>0.0</v>
      </c>
      <c r="AB495" s="110">
        <v>0.0</v>
      </c>
      <c r="AC495" s="110">
        <v>0.0</v>
      </c>
      <c r="AD495" s="110">
        <v>0.0</v>
      </c>
      <c r="AE495" s="110">
        <v>0.0</v>
      </c>
      <c r="AF495" s="112">
        <v>0.0</v>
      </c>
      <c r="AG495" s="112">
        <v>0.0</v>
      </c>
      <c r="AH495" s="112">
        <v>1.0</v>
      </c>
      <c r="AI495" s="112">
        <v>0.0</v>
      </c>
      <c r="AJ495" s="112">
        <v>0.0</v>
      </c>
      <c r="AK495" s="112">
        <v>0.0</v>
      </c>
      <c r="AL495" s="112">
        <v>3.0</v>
      </c>
      <c r="AM495" s="112">
        <v>2.0</v>
      </c>
      <c r="AN495" s="112">
        <v>6.0</v>
      </c>
    </row>
    <row r="496">
      <c r="A496" s="104"/>
      <c r="B496" s="111" t="s">
        <v>199</v>
      </c>
      <c r="C496" s="112">
        <v>442.0</v>
      </c>
      <c r="D496" s="112">
        <v>139.0</v>
      </c>
      <c r="E496" s="112">
        <v>303.0</v>
      </c>
      <c r="F496" s="110">
        <v>0.0</v>
      </c>
      <c r="G496" s="110">
        <v>0.0</v>
      </c>
      <c r="H496" s="110">
        <v>0.0</v>
      </c>
      <c r="I496" s="110">
        <v>0.0</v>
      </c>
      <c r="J496" s="110">
        <v>0.0</v>
      </c>
      <c r="K496" s="110">
        <v>0.0</v>
      </c>
      <c r="L496" s="110">
        <v>0.0</v>
      </c>
      <c r="M496" s="110">
        <v>0.0</v>
      </c>
      <c r="N496" s="110">
        <v>0.0</v>
      </c>
      <c r="O496" s="110">
        <v>0.0</v>
      </c>
      <c r="P496" s="110">
        <v>0.0</v>
      </c>
      <c r="Q496" s="110">
        <v>0.0</v>
      </c>
      <c r="R496" s="110">
        <v>0.0</v>
      </c>
      <c r="S496" s="110">
        <v>0.0</v>
      </c>
      <c r="T496" s="110">
        <v>0.0</v>
      </c>
      <c r="U496" s="110">
        <v>0.0</v>
      </c>
      <c r="V496" s="110">
        <v>0.0</v>
      </c>
      <c r="W496" s="110">
        <v>0.0</v>
      </c>
      <c r="X496" s="110">
        <v>0.0</v>
      </c>
      <c r="Y496" s="110">
        <v>0.0</v>
      </c>
      <c r="Z496" s="110">
        <v>0.0</v>
      </c>
      <c r="AA496" s="110">
        <v>0.0</v>
      </c>
      <c r="AB496" s="110">
        <v>0.0</v>
      </c>
      <c r="AC496" s="110">
        <v>0.0</v>
      </c>
      <c r="AD496" s="110">
        <v>0.0</v>
      </c>
      <c r="AE496" s="110">
        <v>0.0</v>
      </c>
      <c r="AF496" s="112">
        <v>24.0</v>
      </c>
      <c r="AG496" s="112">
        <v>49.0</v>
      </c>
      <c r="AH496" s="112">
        <v>31.0</v>
      </c>
      <c r="AI496" s="112">
        <v>52.0</v>
      </c>
      <c r="AJ496" s="112">
        <v>33.0</v>
      </c>
      <c r="AK496" s="112">
        <v>67.0</v>
      </c>
      <c r="AL496" s="112">
        <v>51.0</v>
      </c>
      <c r="AM496" s="112">
        <v>135.0</v>
      </c>
      <c r="AN496" s="112">
        <v>440.0</v>
      </c>
    </row>
    <row r="497">
      <c r="A497" s="107" t="s">
        <v>205</v>
      </c>
      <c r="B497" s="111" t="s">
        <v>198</v>
      </c>
      <c r="C497" s="112">
        <v>3.0</v>
      </c>
      <c r="D497" s="112">
        <v>2.0</v>
      </c>
      <c r="E497" s="112">
        <v>1.0</v>
      </c>
      <c r="F497" s="112">
        <v>0.0</v>
      </c>
      <c r="G497" s="112">
        <v>0.0</v>
      </c>
      <c r="H497" s="112">
        <v>0.0</v>
      </c>
      <c r="I497" s="112">
        <v>0.0</v>
      </c>
      <c r="J497" s="112">
        <v>0.0</v>
      </c>
      <c r="K497" s="112">
        <v>0.0</v>
      </c>
      <c r="L497" s="112">
        <v>0.0</v>
      </c>
      <c r="M497" s="112">
        <v>0.0</v>
      </c>
      <c r="N497" s="112">
        <v>1.0</v>
      </c>
      <c r="O497" s="112">
        <v>0.0</v>
      </c>
      <c r="P497" s="112">
        <v>1.0</v>
      </c>
      <c r="Q497" s="112">
        <v>0.0</v>
      </c>
      <c r="R497" s="112">
        <v>0.0</v>
      </c>
      <c r="S497" s="112">
        <v>0.0</v>
      </c>
      <c r="T497" s="112">
        <v>0.0</v>
      </c>
      <c r="U497" s="112">
        <v>1.0</v>
      </c>
      <c r="V497" s="112">
        <v>0.0</v>
      </c>
      <c r="W497" s="112">
        <v>0.0</v>
      </c>
      <c r="X497" s="112">
        <v>0.0</v>
      </c>
      <c r="Y497" s="112">
        <v>0.0</v>
      </c>
      <c r="Z497" s="112">
        <v>0.0</v>
      </c>
      <c r="AA497" s="112">
        <v>0.0</v>
      </c>
      <c r="AB497" s="112">
        <v>0.0</v>
      </c>
      <c r="AC497" s="112">
        <v>0.0</v>
      </c>
      <c r="AD497" s="112">
        <v>0.0</v>
      </c>
      <c r="AE497" s="112">
        <v>0.0</v>
      </c>
      <c r="AF497" s="112">
        <v>0.0</v>
      </c>
      <c r="AG497" s="112">
        <v>0.0</v>
      </c>
      <c r="AH497" s="112">
        <v>0.0</v>
      </c>
      <c r="AI497" s="112">
        <v>0.0</v>
      </c>
      <c r="AJ497" s="112">
        <v>0.0</v>
      </c>
      <c r="AK497" s="112">
        <v>0.0</v>
      </c>
      <c r="AL497" s="112">
        <v>0.0</v>
      </c>
      <c r="AM497" s="112">
        <v>0.0</v>
      </c>
      <c r="AN497" s="112">
        <v>3.0</v>
      </c>
    </row>
    <row r="498">
      <c r="A498" s="98"/>
      <c r="B498" s="111" t="s">
        <v>199</v>
      </c>
      <c r="C498" s="112">
        <v>0.0</v>
      </c>
      <c r="D498" s="112">
        <v>0.0</v>
      </c>
      <c r="E498" s="112">
        <v>0.0</v>
      </c>
      <c r="F498" s="112">
        <v>0.0</v>
      </c>
      <c r="G498" s="112">
        <v>0.0</v>
      </c>
      <c r="H498" s="112">
        <v>0.0</v>
      </c>
      <c r="I498" s="112">
        <v>0.0</v>
      </c>
      <c r="J498" s="112">
        <v>0.0</v>
      </c>
      <c r="K498" s="112">
        <v>0.0</v>
      </c>
      <c r="L498" s="112">
        <v>0.0</v>
      </c>
      <c r="M498" s="112">
        <v>0.0</v>
      </c>
      <c r="N498" s="112">
        <v>0.0</v>
      </c>
      <c r="O498" s="112">
        <v>0.0</v>
      </c>
      <c r="P498" s="112">
        <v>0.0</v>
      </c>
      <c r="Q498" s="112">
        <v>0.0</v>
      </c>
      <c r="R498" s="112">
        <v>0.0</v>
      </c>
      <c r="S498" s="112">
        <v>0.0</v>
      </c>
      <c r="T498" s="112">
        <v>0.0</v>
      </c>
      <c r="U498" s="112">
        <v>0.0</v>
      </c>
      <c r="V498" s="112">
        <v>0.0</v>
      </c>
      <c r="W498" s="112">
        <v>0.0</v>
      </c>
      <c r="X498" s="112">
        <v>0.0</v>
      </c>
      <c r="Y498" s="112">
        <v>0.0</v>
      </c>
      <c r="Z498" s="112">
        <v>0.0</v>
      </c>
      <c r="AA498" s="112">
        <v>0.0</v>
      </c>
      <c r="AB498" s="112">
        <v>0.0</v>
      </c>
      <c r="AC498" s="112">
        <v>0.0</v>
      </c>
      <c r="AD498" s="112">
        <v>0.0</v>
      </c>
      <c r="AE498" s="112">
        <v>0.0</v>
      </c>
      <c r="AF498" s="112">
        <v>0.0</v>
      </c>
      <c r="AG498" s="112">
        <v>0.0</v>
      </c>
      <c r="AH498" s="112">
        <v>0.0</v>
      </c>
      <c r="AI498" s="112">
        <v>0.0</v>
      </c>
      <c r="AJ498" s="112">
        <v>0.0</v>
      </c>
      <c r="AK498" s="112">
        <v>0.0</v>
      </c>
      <c r="AL498" s="112">
        <v>0.0</v>
      </c>
      <c r="AM498" s="112">
        <v>0.0</v>
      </c>
      <c r="AN498" s="112">
        <v>0.0</v>
      </c>
    </row>
    <row r="499">
      <c r="A499" s="104"/>
      <c r="B499" s="111" t="s">
        <v>206</v>
      </c>
      <c r="C499" s="112">
        <v>17.0</v>
      </c>
      <c r="D499" s="112">
        <v>7.0</v>
      </c>
      <c r="E499" s="112">
        <v>10.0</v>
      </c>
      <c r="F499" s="112">
        <v>0.0</v>
      </c>
      <c r="G499" s="112">
        <v>0.0</v>
      </c>
      <c r="H499" s="112">
        <v>0.0</v>
      </c>
      <c r="I499" s="112">
        <v>0.0</v>
      </c>
      <c r="J499" s="112">
        <v>0.0</v>
      </c>
      <c r="K499" s="112">
        <v>0.0</v>
      </c>
      <c r="L499" s="112">
        <v>0.0</v>
      </c>
      <c r="M499" s="112">
        <v>0.0</v>
      </c>
      <c r="N499" s="112">
        <v>2.0</v>
      </c>
      <c r="O499" s="112">
        <v>3.0</v>
      </c>
      <c r="P499" s="112">
        <v>2.0</v>
      </c>
      <c r="Q499" s="112">
        <v>1.0</v>
      </c>
      <c r="R499" s="112">
        <v>0.0</v>
      </c>
      <c r="S499" s="112">
        <v>0.0</v>
      </c>
      <c r="T499" s="112">
        <v>0.0</v>
      </c>
      <c r="U499" s="112">
        <v>2.0</v>
      </c>
      <c r="V499" s="112">
        <v>0.0</v>
      </c>
      <c r="W499" s="112">
        <v>4.0</v>
      </c>
      <c r="X499" s="112">
        <v>2.0</v>
      </c>
      <c r="Y499" s="112">
        <v>0.0</v>
      </c>
      <c r="Z499" s="112">
        <v>1.0</v>
      </c>
      <c r="AA499" s="112">
        <v>0.0</v>
      </c>
      <c r="AB499" s="112">
        <v>0.0</v>
      </c>
      <c r="AC499" s="112">
        <v>0.0</v>
      </c>
      <c r="AD499" s="112">
        <v>0.0</v>
      </c>
      <c r="AE499" s="112">
        <v>0.0</v>
      </c>
      <c r="AF499" s="112">
        <v>0.0</v>
      </c>
      <c r="AG499" s="112">
        <v>0.0</v>
      </c>
      <c r="AH499" s="112">
        <v>0.0</v>
      </c>
      <c r="AI499" s="112">
        <v>0.0</v>
      </c>
      <c r="AJ499" s="112">
        <v>0.0</v>
      </c>
      <c r="AK499" s="112">
        <v>0.0</v>
      </c>
      <c r="AL499" s="112">
        <v>0.0</v>
      </c>
      <c r="AM499" s="112">
        <v>0.0</v>
      </c>
      <c r="AN499" s="112">
        <v>17.0</v>
      </c>
    </row>
    <row r="500">
      <c r="A500" s="107" t="s">
        <v>207</v>
      </c>
      <c r="B500" s="111" t="s">
        <v>198</v>
      </c>
      <c r="C500" s="109">
        <v>10976.0</v>
      </c>
      <c r="D500" s="109">
        <v>2516.0</v>
      </c>
      <c r="E500" s="109">
        <v>8460.0</v>
      </c>
      <c r="F500" s="112">
        <v>36.0</v>
      </c>
      <c r="G500" s="112">
        <v>31.0</v>
      </c>
      <c r="H500" s="112">
        <v>28.0</v>
      </c>
      <c r="I500" s="112">
        <v>46.0</v>
      </c>
      <c r="J500" s="112">
        <v>35.0</v>
      </c>
      <c r="K500" s="112">
        <v>39.0</v>
      </c>
      <c r="L500" s="112">
        <v>57.0</v>
      </c>
      <c r="M500" s="112">
        <v>80.0</v>
      </c>
      <c r="N500" s="112">
        <v>54.0</v>
      </c>
      <c r="O500" s="112">
        <v>147.0</v>
      </c>
      <c r="P500" s="112">
        <v>52.0</v>
      </c>
      <c r="Q500" s="112">
        <v>195.0</v>
      </c>
      <c r="R500" s="112">
        <v>35.0</v>
      </c>
      <c r="S500" s="112">
        <v>207.0</v>
      </c>
      <c r="T500" s="112">
        <v>45.0</v>
      </c>
      <c r="U500" s="112">
        <v>264.0</v>
      </c>
      <c r="V500" s="112">
        <v>73.0</v>
      </c>
      <c r="W500" s="112">
        <v>374.0</v>
      </c>
      <c r="X500" s="112">
        <v>125.0</v>
      </c>
      <c r="Y500" s="112">
        <v>552.0</v>
      </c>
      <c r="Z500" s="112">
        <v>193.0</v>
      </c>
      <c r="AA500" s="112">
        <v>802.0</v>
      </c>
      <c r="AB500" s="112">
        <v>242.0</v>
      </c>
      <c r="AC500" s="112">
        <v>987.0</v>
      </c>
      <c r="AD500" s="112">
        <v>281.0</v>
      </c>
      <c r="AE500" s="109">
        <v>1147.0</v>
      </c>
      <c r="AF500" s="112">
        <v>367.0</v>
      </c>
      <c r="AG500" s="109">
        <v>1029.0</v>
      </c>
      <c r="AH500" s="112">
        <v>326.0</v>
      </c>
      <c r="AI500" s="112">
        <v>956.0</v>
      </c>
      <c r="AJ500" s="112">
        <v>276.0</v>
      </c>
      <c r="AK500" s="112">
        <v>717.0</v>
      </c>
      <c r="AL500" s="112">
        <v>291.0</v>
      </c>
      <c r="AM500" s="112">
        <v>887.0</v>
      </c>
      <c r="AN500" s="109">
        <v>10946.0</v>
      </c>
    </row>
    <row r="501">
      <c r="A501" s="98"/>
      <c r="B501" s="111" t="s">
        <v>199</v>
      </c>
      <c r="C501" s="109">
        <v>4232.0</v>
      </c>
      <c r="D501" s="112">
        <v>923.0</v>
      </c>
      <c r="E501" s="109">
        <v>3309.0</v>
      </c>
      <c r="F501" s="112">
        <v>2.0</v>
      </c>
      <c r="G501" s="112">
        <v>2.0</v>
      </c>
      <c r="H501" s="112">
        <v>3.0</v>
      </c>
      <c r="I501" s="112">
        <v>1.0</v>
      </c>
      <c r="J501" s="112">
        <v>5.0</v>
      </c>
      <c r="K501" s="112">
        <v>8.0</v>
      </c>
      <c r="L501" s="112">
        <v>9.0</v>
      </c>
      <c r="M501" s="112">
        <v>22.0</v>
      </c>
      <c r="N501" s="112">
        <v>15.0</v>
      </c>
      <c r="O501" s="112">
        <v>42.0</v>
      </c>
      <c r="P501" s="112">
        <v>17.0</v>
      </c>
      <c r="Q501" s="112">
        <v>57.0</v>
      </c>
      <c r="R501" s="112">
        <v>12.0</v>
      </c>
      <c r="S501" s="112">
        <v>75.0</v>
      </c>
      <c r="T501" s="112">
        <v>23.0</v>
      </c>
      <c r="U501" s="112">
        <v>105.0</v>
      </c>
      <c r="V501" s="112">
        <v>27.0</v>
      </c>
      <c r="W501" s="112">
        <v>118.0</v>
      </c>
      <c r="X501" s="112">
        <v>34.0</v>
      </c>
      <c r="Y501" s="112">
        <v>203.0</v>
      </c>
      <c r="Z501" s="112">
        <v>59.0</v>
      </c>
      <c r="AA501" s="112">
        <v>323.0</v>
      </c>
      <c r="AB501" s="112">
        <v>123.0</v>
      </c>
      <c r="AC501" s="112">
        <v>380.0</v>
      </c>
      <c r="AD501" s="112">
        <v>110.0</v>
      </c>
      <c r="AE501" s="112">
        <v>410.0</v>
      </c>
      <c r="AF501" s="112">
        <v>139.0</v>
      </c>
      <c r="AG501" s="112">
        <v>464.0</v>
      </c>
      <c r="AH501" s="112">
        <v>140.0</v>
      </c>
      <c r="AI501" s="112">
        <v>420.0</v>
      </c>
      <c r="AJ501" s="112">
        <v>96.0</v>
      </c>
      <c r="AK501" s="112">
        <v>332.0</v>
      </c>
      <c r="AL501" s="112">
        <v>109.0</v>
      </c>
      <c r="AM501" s="112">
        <v>347.0</v>
      </c>
      <c r="AN501" s="109">
        <v>4222.0</v>
      </c>
    </row>
    <row r="502">
      <c r="A502" s="98"/>
      <c r="B502" s="111" t="s">
        <v>206</v>
      </c>
      <c r="C502" s="112">
        <v>27.0</v>
      </c>
      <c r="D502" s="112">
        <v>12.0</v>
      </c>
      <c r="E502" s="112">
        <v>15.0</v>
      </c>
      <c r="F502" s="112">
        <v>2.0</v>
      </c>
      <c r="G502" s="112">
        <v>5.0</v>
      </c>
      <c r="H502" s="112">
        <v>0.0</v>
      </c>
      <c r="I502" s="112">
        <v>0.0</v>
      </c>
      <c r="J502" s="112">
        <v>0.0</v>
      </c>
      <c r="K502" s="112">
        <v>0.0</v>
      </c>
      <c r="L502" s="112">
        <v>0.0</v>
      </c>
      <c r="M502" s="112">
        <v>5.0</v>
      </c>
      <c r="N502" s="112">
        <v>0.0</v>
      </c>
      <c r="O502" s="112">
        <v>0.0</v>
      </c>
      <c r="P502" s="112">
        <v>0.0</v>
      </c>
      <c r="Q502" s="112">
        <v>0.0</v>
      </c>
      <c r="R502" s="112">
        <v>0.0</v>
      </c>
      <c r="S502" s="112">
        <v>0.0</v>
      </c>
      <c r="T502" s="112">
        <v>0.0</v>
      </c>
      <c r="U502" s="112">
        <v>0.0</v>
      </c>
      <c r="V502" s="112">
        <v>0.0</v>
      </c>
      <c r="W502" s="112">
        <v>0.0</v>
      </c>
      <c r="X502" s="112">
        <v>0.0</v>
      </c>
      <c r="Y502" s="112">
        <v>2.0</v>
      </c>
      <c r="Z502" s="112">
        <v>0.0</v>
      </c>
      <c r="AA502" s="112">
        <v>1.0</v>
      </c>
      <c r="AB502" s="112">
        <v>0.0</v>
      </c>
      <c r="AC502" s="112">
        <v>0.0</v>
      </c>
      <c r="AD502" s="112">
        <v>0.0</v>
      </c>
      <c r="AE502" s="112">
        <v>0.0</v>
      </c>
      <c r="AF502" s="112">
        <v>2.0</v>
      </c>
      <c r="AG502" s="112">
        <v>0.0</v>
      </c>
      <c r="AH502" s="112">
        <v>3.0</v>
      </c>
      <c r="AI502" s="112">
        <v>1.0</v>
      </c>
      <c r="AJ502" s="112">
        <v>3.0</v>
      </c>
      <c r="AK502" s="112">
        <v>0.0</v>
      </c>
      <c r="AL502" s="112">
        <v>2.0</v>
      </c>
      <c r="AM502" s="112">
        <v>1.0</v>
      </c>
      <c r="AN502" s="112">
        <v>27.0</v>
      </c>
    </row>
    <row r="503">
      <c r="A503" s="98"/>
      <c r="B503" s="111" t="s">
        <v>200</v>
      </c>
      <c r="C503" s="109">
        <v>3847.0</v>
      </c>
      <c r="D503" s="109">
        <v>1023.0</v>
      </c>
      <c r="E503" s="109">
        <v>2824.0</v>
      </c>
      <c r="F503" s="112">
        <v>306.0</v>
      </c>
      <c r="G503" s="112">
        <v>309.0</v>
      </c>
      <c r="H503" s="112">
        <v>15.0</v>
      </c>
      <c r="I503" s="112">
        <v>10.0</v>
      </c>
      <c r="J503" s="112">
        <v>18.0</v>
      </c>
      <c r="K503" s="112">
        <v>32.0</v>
      </c>
      <c r="L503" s="112">
        <v>29.0</v>
      </c>
      <c r="M503" s="112">
        <v>50.0</v>
      </c>
      <c r="N503" s="112">
        <v>18.0</v>
      </c>
      <c r="O503" s="112">
        <v>67.0</v>
      </c>
      <c r="P503" s="112">
        <v>18.0</v>
      </c>
      <c r="Q503" s="112">
        <v>91.0</v>
      </c>
      <c r="R503" s="112">
        <v>10.0</v>
      </c>
      <c r="S503" s="112">
        <v>103.0</v>
      </c>
      <c r="T503" s="112">
        <v>20.0</v>
      </c>
      <c r="U503" s="112">
        <v>113.0</v>
      </c>
      <c r="V503" s="112">
        <v>21.0</v>
      </c>
      <c r="W503" s="112">
        <v>140.0</v>
      </c>
      <c r="X503" s="112">
        <v>41.0</v>
      </c>
      <c r="Y503" s="112">
        <v>200.0</v>
      </c>
      <c r="Z503" s="112">
        <v>56.0</v>
      </c>
      <c r="AA503" s="112">
        <v>290.0</v>
      </c>
      <c r="AB503" s="112">
        <v>79.0</v>
      </c>
      <c r="AC503" s="112">
        <v>273.0</v>
      </c>
      <c r="AD503" s="112">
        <v>86.0</v>
      </c>
      <c r="AE503" s="112">
        <v>297.0</v>
      </c>
      <c r="AF503" s="112">
        <v>92.0</v>
      </c>
      <c r="AG503" s="112">
        <v>289.0</v>
      </c>
      <c r="AH503" s="112">
        <v>98.0</v>
      </c>
      <c r="AI503" s="112">
        <v>243.0</v>
      </c>
      <c r="AJ503" s="112">
        <v>62.0</v>
      </c>
      <c r="AK503" s="112">
        <v>162.0</v>
      </c>
      <c r="AL503" s="112">
        <v>54.0</v>
      </c>
      <c r="AM503" s="112">
        <v>155.0</v>
      </c>
      <c r="AN503" s="109">
        <v>3831.0</v>
      </c>
    </row>
    <row r="504">
      <c r="A504" s="104"/>
      <c r="B504" s="111" t="s">
        <v>201</v>
      </c>
      <c r="C504" s="112">
        <v>0.0</v>
      </c>
      <c r="D504" s="112">
        <v>0.0</v>
      </c>
      <c r="E504" s="112">
        <v>0.0</v>
      </c>
      <c r="F504" s="112">
        <v>0.0</v>
      </c>
      <c r="G504" s="112">
        <v>0.0</v>
      </c>
      <c r="H504" s="112">
        <v>0.0</v>
      </c>
      <c r="I504" s="112">
        <v>0.0</v>
      </c>
      <c r="J504" s="112">
        <v>0.0</v>
      </c>
      <c r="K504" s="112">
        <v>0.0</v>
      </c>
      <c r="L504" s="112">
        <v>0.0</v>
      </c>
      <c r="M504" s="112">
        <v>0.0</v>
      </c>
      <c r="N504" s="112">
        <v>0.0</v>
      </c>
      <c r="O504" s="112">
        <v>0.0</v>
      </c>
      <c r="P504" s="112">
        <v>0.0</v>
      </c>
      <c r="Q504" s="112">
        <v>0.0</v>
      </c>
      <c r="R504" s="112">
        <v>0.0</v>
      </c>
      <c r="S504" s="112">
        <v>0.0</v>
      </c>
      <c r="T504" s="112">
        <v>0.0</v>
      </c>
      <c r="U504" s="112">
        <v>0.0</v>
      </c>
      <c r="V504" s="112">
        <v>0.0</v>
      </c>
      <c r="W504" s="112">
        <v>0.0</v>
      </c>
      <c r="X504" s="112">
        <v>0.0</v>
      </c>
      <c r="Y504" s="112">
        <v>0.0</v>
      </c>
      <c r="Z504" s="112">
        <v>0.0</v>
      </c>
      <c r="AA504" s="112">
        <v>0.0</v>
      </c>
      <c r="AB504" s="112">
        <v>0.0</v>
      </c>
      <c r="AC504" s="112">
        <v>0.0</v>
      </c>
      <c r="AD504" s="112">
        <v>0.0</v>
      </c>
      <c r="AE504" s="112">
        <v>0.0</v>
      </c>
      <c r="AF504" s="112">
        <v>0.0</v>
      </c>
      <c r="AG504" s="112">
        <v>0.0</v>
      </c>
      <c r="AH504" s="112">
        <v>0.0</v>
      </c>
      <c r="AI504" s="112">
        <v>0.0</v>
      </c>
      <c r="AJ504" s="112">
        <v>0.0</v>
      </c>
      <c r="AK504" s="112">
        <v>0.0</v>
      </c>
      <c r="AL504" s="112">
        <v>0.0</v>
      </c>
      <c r="AM504" s="112">
        <v>0.0</v>
      </c>
      <c r="AN504" s="112">
        <v>0.0</v>
      </c>
    </row>
    <row r="505">
      <c r="A505" s="107" t="s">
        <v>208</v>
      </c>
      <c r="B505" s="111" t="s">
        <v>198</v>
      </c>
      <c r="C505" s="112">
        <v>1.0</v>
      </c>
      <c r="D505" s="112">
        <v>1.0</v>
      </c>
      <c r="E505" s="112">
        <v>0.0</v>
      </c>
      <c r="F505" s="112">
        <v>0.0</v>
      </c>
      <c r="G505" s="112">
        <v>0.0</v>
      </c>
      <c r="H505" s="112">
        <v>1.0</v>
      </c>
      <c r="I505" s="112">
        <v>0.0</v>
      </c>
      <c r="J505" s="112">
        <v>0.0</v>
      </c>
      <c r="K505" s="112">
        <v>0.0</v>
      </c>
      <c r="L505" s="112">
        <v>0.0</v>
      </c>
      <c r="M505" s="112">
        <v>0.0</v>
      </c>
      <c r="N505" s="112">
        <v>0.0</v>
      </c>
      <c r="O505" s="112">
        <v>0.0</v>
      </c>
      <c r="P505" s="110">
        <v>0.0</v>
      </c>
      <c r="Q505" s="110">
        <v>0.0</v>
      </c>
      <c r="R505" s="110">
        <v>0.0</v>
      </c>
      <c r="S505" s="110">
        <v>0.0</v>
      </c>
      <c r="T505" s="110">
        <v>0.0</v>
      </c>
      <c r="U505" s="110">
        <v>0.0</v>
      </c>
      <c r="V505" s="110">
        <v>0.0</v>
      </c>
      <c r="W505" s="110">
        <v>0.0</v>
      </c>
      <c r="X505" s="110">
        <v>0.0</v>
      </c>
      <c r="Y505" s="110">
        <v>0.0</v>
      </c>
      <c r="Z505" s="110">
        <v>0.0</v>
      </c>
      <c r="AA505" s="110">
        <v>0.0</v>
      </c>
      <c r="AB505" s="110">
        <v>0.0</v>
      </c>
      <c r="AC505" s="110">
        <v>0.0</v>
      </c>
      <c r="AD505" s="110">
        <v>0.0</v>
      </c>
      <c r="AE505" s="110">
        <v>0.0</v>
      </c>
      <c r="AF505" s="110">
        <v>0.0</v>
      </c>
      <c r="AG505" s="110">
        <v>0.0</v>
      </c>
      <c r="AH505" s="110">
        <v>0.0</v>
      </c>
      <c r="AI505" s="110">
        <v>0.0</v>
      </c>
      <c r="AJ505" s="110">
        <v>0.0</v>
      </c>
      <c r="AK505" s="110">
        <v>0.0</v>
      </c>
      <c r="AL505" s="110">
        <v>0.0</v>
      </c>
      <c r="AM505" s="110">
        <v>0.0</v>
      </c>
      <c r="AN505" s="112">
        <v>1.0</v>
      </c>
    </row>
    <row r="506">
      <c r="A506" s="98"/>
      <c r="B506" s="111" t="s">
        <v>199</v>
      </c>
      <c r="C506" s="112">
        <v>1.0</v>
      </c>
      <c r="D506" s="112">
        <v>1.0</v>
      </c>
      <c r="E506" s="112">
        <v>0.0</v>
      </c>
      <c r="F506" s="112">
        <v>0.0</v>
      </c>
      <c r="G506" s="112">
        <v>0.0</v>
      </c>
      <c r="H506" s="112">
        <v>1.0</v>
      </c>
      <c r="I506" s="112">
        <v>0.0</v>
      </c>
      <c r="J506" s="112">
        <v>0.0</v>
      </c>
      <c r="K506" s="112">
        <v>0.0</v>
      </c>
      <c r="L506" s="112">
        <v>0.0</v>
      </c>
      <c r="M506" s="112">
        <v>0.0</v>
      </c>
      <c r="N506" s="112">
        <v>0.0</v>
      </c>
      <c r="O506" s="112">
        <v>0.0</v>
      </c>
      <c r="P506" s="110">
        <v>0.0</v>
      </c>
      <c r="Q506" s="110">
        <v>0.0</v>
      </c>
      <c r="R506" s="110">
        <v>0.0</v>
      </c>
      <c r="S506" s="110">
        <v>0.0</v>
      </c>
      <c r="T506" s="110">
        <v>0.0</v>
      </c>
      <c r="U506" s="110">
        <v>0.0</v>
      </c>
      <c r="V506" s="110">
        <v>0.0</v>
      </c>
      <c r="W506" s="110">
        <v>0.0</v>
      </c>
      <c r="X506" s="110">
        <v>0.0</v>
      </c>
      <c r="Y506" s="110">
        <v>0.0</v>
      </c>
      <c r="Z506" s="110">
        <v>0.0</v>
      </c>
      <c r="AA506" s="110">
        <v>0.0</v>
      </c>
      <c r="AB506" s="110">
        <v>0.0</v>
      </c>
      <c r="AC506" s="110">
        <v>0.0</v>
      </c>
      <c r="AD506" s="110">
        <v>0.0</v>
      </c>
      <c r="AE506" s="110">
        <v>0.0</v>
      </c>
      <c r="AF506" s="110">
        <v>0.0</v>
      </c>
      <c r="AG506" s="110">
        <v>0.0</v>
      </c>
      <c r="AH506" s="110">
        <v>0.0</v>
      </c>
      <c r="AI506" s="110">
        <v>0.0</v>
      </c>
      <c r="AJ506" s="110">
        <v>0.0</v>
      </c>
      <c r="AK506" s="110">
        <v>0.0</v>
      </c>
      <c r="AL506" s="110">
        <v>0.0</v>
      </c>
      <c r="AM506" s="110">
        <v>0.0</v>
      </c>
      <c r="AN506" s="112">
        <v>1.0</v>
      </c>
    </row>
    <row r="507">
      <c r="A507" s="98"/>
      <c r="B507" s="111" t="s">
        <v>206</v>
      </c>
      <c r="C507" s="112">
        <v>0.0</v>
      </c>
      <c r="D507" s="112">
        <v>0.0</v>
      </c>
      <c r="E507" s="112">
        <v>0.0</v>
      </c>
      <c r="F507" s="112">
        <v>0.0</v>
      </c>
      <c r="G507" s="112">
        <v>0.0</v>
      </c>
      <c r="H507" s="112">
        <v>0.0</v>
      </c>
      <c r="I507" s="112">
        <v>0.0</v>
      </c>
      <c r="J507" s="112">
        <v>0.0</v>
      </c>
      <c r="K507" s="112">
        <v>0.0</v>
      </c>
      <c r="L507" s="112">
        <v>0.0</v>
      </c>
      <c r="M507" s="112">
        <v>0.0</v>
      </c>
      <c r="N507" s="112">
        <v>0.0</v>
      </c>
      <c r="O507" s="112">
        <v>0.0</v>
      </c>
      <c r="P507" s="110">
        <v>0.0</v>
      </c>
      <c r="Q507" s="110">
        <v>0.0</v>
      </c>
      <c r="R507" s="110">
        <v>0.0</v>
      </c>
      <c r="S507" s="110">
        <v>0.0</v>
      </c>
      <c r="T507" s="110">
        <v>0.0</v>
      </c>
      <c r="U507" s="110">
        <v>0.0</v>
      </c>
      <c r="V507" s="110">
        <v>0.0</v>
      </c>
      <c r="W507" s="110">
        <v>0.0</v>
      </c>
      <c r="X507" s="110">
        <v>0.0</v>
      </c>
      <c r="Y507" s="110">
        <v>0.0</v>
      </c>
      <c r="Z507" s="110">
        <v>0.0</v>
      </c>
      <c r="AA507" s="110">
        <v>0.0</v>
      </c>
      <c r="AB507" s="110">
        <v>0.0</v>
      </c>
      <c r="AC507" s="110">
        <v>0.0</v>
      </c>
      <c r="AD507" s="110">
        <v>0.0</v>
      </c>
      <c r="AE507" s="110">
        <v>0.0</v>
      </c>
      <c r="AF507" s="110">
        <v>0.0</v>
      </c>
      <c r="AG507" s="110">
        <v>0.0</v>
      </c>
      <c r="AH507" s="110">
        <v>0.0</v>
      </c>
      <c r="AI507" s="110">
        <v>0.0</v>
      </c>
      <c r="AJ507" s="110">
        <v>0.0</v>
      </c>
      <c r="AK507" s="110">
        <v>0.0</v>
      </c>
      <c r="AL507" s="110">
        <v>0.0</v>
      </c>
      <c r="AM507" s="110">
        <v>0.0</v>
      </c>
      <c r="AN507" s="112">
        <v>0.0</v>
      </c>
    </row>
    <row r="508">
      <c r="A508" s="98"/>
      <c r="B508" s="111" t="s">
        <v>200</v>
      </c>
      <c r="C508" s="112">
        <v>0.0</v>
      </c>
      <c r="D508" s="112">
        <v>0.0</v>
      </c>
      <c r="E508" s="112">
        <v>0.0</v>
      </c>
      <c r="F508" s="112">
        <v>0.0</v>
      </c>
      <c r="G508" s="112">
        <v>0.0</v>
      </c>
      <c r="H508" s="112">
        <v>0.0</v>
      </c>
      <c r="I508" s="112">
        <v>0.0</v>
      </c>
      <c r="J508" s="112">
        <v>0.0</v>
      </c>
      <c r="K508" s="112">
        <v>0.0</v>
      </c>
      <c r="L508" s="112">
        <v>0.0</v>
      </c>
      <c r="M508" s="112">
        <v>0.0</v>
      </c>
      <c r="N508" s="112">
        <v>0.0</v>
      </c>
      <c r="O508" s="112">
        <v>0.0</v>
      </c>
      <c r="P508" s="110">
        <v>0.0</v>
      </c>
      <c r="Q508" s="110">
        <v>0.0</v>
      </c>
      <c r="R508" s="110">
        <v>0.0</v>
      </c>
      <c r="S508" s="110">
        <v>0.0</v>
      </c>
      <c r="T508" s="110">
        <v>0.0</v>
      </c>
      <c r="U508" s="110">
        <v>0.0</v>
      </c>
      <c r="V508" s="110">
        <v>0.0</v>
      </c>
      <c r="W508" s="110">
        <v>0.0</v>
      </c>
      <c r="X508" s="110">
        <v>0.0</v>
      </c>
      <c r="Y508" s="110">
        <v>0.0</v>
      </c>
      <c r="Z508" s="110">
        <v>0.0</v>
      </c>
      <c r="AA508" s="110">
        <v>0.0</v>
      </c>
      <c r="AB508" s="110">
        <v>0.0</v>
      </c>
      <c r="AC508" s="110">
        <v>0.0</v>
      </c>
      <c r="AD508" s="110">
        <v>0.0</v>
      </c>
      <c r="AE508" s="110">
        <v>0.0</v>
      </c>
      <c r="AF508" s="110">
        <v>0.0</v>
      </c>
      <c r="AG508" s="110">
        <v>0.0</v>
      </c>
      <c r="AH508" s="110">
        <v>0.0</v>
      </c>
      <c r="AI508" s="110">
        <v>0.0</v>
      </c>
      <c r="AJ508" s="110">
        <v>0.0</v>
      </c>
      <c r="AK508" s="110">
        <v>0.0</v>
      </c>
      <c r="AL508" s="110">
        <v>0.0</v>
      </c>
      <c r="AM508" s="110">
        <v>0.0</v>
      </c>
      <c r="AN508" s="112">
        <v>0.0</v>
      </c>
    </row>
    <row r="509">
      <c r="A509" s="104"/>
      <c r="B509" s="111" t="s">
        <v>201</v>
      </c>
      <c r="C509" s="112">
        <v>0.0</v>
      </c>
      <c r="D509" s="112">
        <v>0.0</v>
      </c>
      <c r="E509" s="112">
        <v>0.0</v>
      </c>
      <c r="F509" s="112">
        <v>0.0</v>
      </c>
      <c r="G509" s="112">
        <v>0.0</v>
      </c>
      <c r="H509" s="112">
        <v>0.0</v>
      </c>
      <c r="I509" s="112">
        <v>0.0</v>
      </c>
      <c r="J509" s="112">
        <v>0.0</v>
      </c>
      <c r="K509" s="112">
        <v>0.0</v>
      </c>
      <c r="L509" s="112">
        <v>0.0</v>
      </c>
      <c r="M509" s="112">
        <v>0.0</v>
      </c>
      <c r="N509" s="112">
        <v>0.0</v>
      </c>
      <c r="O509" s="112">
        <v>0.0</v>
      </c>
      <c r="P509" s="110">
        <v>0.0</v>
      </c>
      <c r="Q509" s="110">
        <v>0.0</v>
      </c>
      <c r="R509" s="110">
        <v>0.0</v>
      </c>
      <c r="S509" s="110">
        <v>0.0</v>
      </c>
      <c r="T509" s="110">
        <v>0.0</v>
      </c>
      <c r="U509" s="110">
        <v>0.0</v>
      </c>
      <c r="V509" s="110">
        <v>0.0</v>
      </c>
      <c r="W509" s="110">
        <v>0.0</v>
      </c>
      <c r="X509" s="110">
        <v>0.0</v>
      </c>
      <c r="Y509" s="110">
        <v>0.0</v>
      </c>
      <c r="Z509" s="110">
        <v>0.0</v>
      </c>
      <c r="AA509" s="110">
        <v>0.0</v>
      </c>
      <c r="AB509" s="110">
        <v>0.0</v>
      </c>
      <c r="AC509" s="110">
        <v>0.0</v>
      </c>
      <c r="AD509" s="110">
        <v>0.0</v>
      </c>
      <c r="AE509" s="110">
        <v>0.0</v>
      </c>
      <c r="AF509" s="110">
        <v>0.0</v>
      </c>
      <c r="AG509" s="110">
        <v>0.0</v>
      </c>
      <c r="AH509" s="110">
        <v>0.0</v>
      </c>
      <c r="AI509" s="110">
        <v>0.0</v>
      </c>
      <c r="AJ509" s="110">
        <v>0.0</v>
      </c>
      <c r="AK509" s="110">
        <v>0.0</v>
      </c>
      <c r="AL509" s="110">
        <v>0.0</v>
      </c>
      <c r="AM509" s="110">
        <v>0.0</v>
      </c>
      <c r="AN509" s="112">
        <v>0.0</v>
      </c>
    </row>
    <row r="510">
      <c r="A510" s="113" t="s">
        <v>229</v>
      </c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</row>
    <row r="511">
      <c r="A511" s="107" t="s">
        <v>197</v>
      </c>
      <c r="B511" s="108" t="s">
        <v>198</v>
      </c>
      <c r="C511" s="109">
        <v>84149.0</v>
      </c>
      <c r="D511" s="109">
        <v>26605.0</v>
      </c>
      <c r="E511" s="109">
        <v>57544.0</v>
      </c>
      <c r="F511" s="110">
        <v>0.0</v>
      </c>
      <c r="G511" s="110">
        <v>0.0</v>
      </c>
      <c r="H511" s="110">
        <v>0.0</v>
      </c>
      <c r="I511" s="110">
        <v>0.0</v>
      </c>
      <c r="J511" s="110">
        <v>0.0</v>
      </c>
      <c r="K511" s="110">
        <v>0.0</v>
      </c>
      <c r="L511" s="112">
        <v>70.0</v>
      </c>
      <c r="M511" s="112">
        <v>170.0</v>
      </c>
      <c r="N511" s="112">
        <v>105.0</v>
      </c>
      <c r="O511" s="112">
        <v>278.0</v>
      </c>
      <c r="P511" s="112">
        <v>141.0</v>
      </c>
      <c r="Q511" s="112">
        <v>464.0</v>
      </c>
      <c r="R511" s="112">
        <v>268.0</v>
      </c>
      <c r="S511" s="112">
        <v>750.0</v>
      </c>
      <c r="T511" s="112">
        <v>530.0</v>
      </c>
      <c r="U511" s="109">
        <v>1401.0</v>
      </c>
      <c r="V511" s="112">
        <v>880.0</v>
      </c>
      <c r="W511" s="109">
        <v>2603.0</v>
      </c>
      <c r="X511" s="109">
        <v>1675.0</v>
      </c>
      <c r="Y511" s="109">
        <v>4841.0</v>
      </c>
      <c r="Z511" s="109">
        <v>2652.0</v>
      </c>
      <c r="AA511" s="109">
        <v>6912.0</v>
      </c>
      <c r="AB511" s="109">
        <v>3374.0</v>
      </c>
      <c r="AC511" s="109">
        <v>7644.0</v>
      </c>
      <c r="AD511" s="109">
        <v>3607.0</v>
      </c>
      <c r="AE511" s="109">
        <v>7765.0</v>
      </c>
      <c r="AF511" s="109">
        <v>3632.0</v>
      </c>
      <c r="AG511" s="109">
        <v>7226.0</v>
      </c>
      <c r="AH511" s="109">
        <v>3676.0</v>
      </c>
      <c r="AI511" s="109">
        <v>6668.0</v>
      </c>
      <c r="AJ511" s="109">
        <v>2898.0</v>
      </c>
      <c r="AK511" s="109">
        <v>5036.0</v>
      </c>
      <c r="AL511" s="109">
        <v>3097.0</v>
      </c>
      <c r="AM511" s="109">
        <v>5786.0</v>
      </c>
      <c r="AN511" s="109">
        <v>84111.0</v>
      </c>
    </row>
    <row r="512">
      <c r="A512" s="98"/>
      <c r="B512" s="111" t="s">
        <v>199</v>
      </c>
      <c r="C512" s="109">
        <v>37754.0</v>
      </c>
      <c r="D512" s="109">
        <v>13140.0</v>
      </c>
      <c r="E512" s="109">
        <v>24614.0</v>
      </c>
      <c r="F512" s="110">
        <v>0.0</v>
      </c>
      <c r="G512" s="110">
        <v>0.0</v>
      </c>
      <c r="H512" s="110">
        <v>0.0</v>
      </c>
      <c r="I512" s="110">
        <v>0.0</v>
      </c>
      <c r="J512" s="110">
        <v>0.0</v>
      </c>
      <c r="K512" s="110">
        <v>0.0</v>
      </c>
      <c r="L512" s="112">
        <v>13.0</v>
      </c>
      <c r="M512" s="112">
        <v>25.0</v>
      </c>
      <c r="N512" s="112">
        <v>29.0</v>
      </c>
      <c r="O512" s="112">
        <v>68.0</v>
      </c>
      <c r="P512" s="112">
        <v>45.0</v>
      </c>
      <c r="Q512" s="112">
        <v>108.0</v>
      </c>
      <c r="R512" s="112">
        <v>75.0</v>
      </c>
      <c r="S512" s="112">
        <v>206.0</v>
      </c>
      <c r="T512" s="112">
        <v>169.0</v>
      </c>
      <c r="U512" s="112">
        <v>432.0</v>
      </c>
      <c r="V512" s="112">
        <v>357.0</v>
      </c>
      <c r="W512" s="112">
        <v>888.0</v>
      </c>
      <c r="X512" s="112">
        <v>653.0</v>
      </c>
      <c r="Y512" s="109">
        <v>1666.0</v>
      </c>
      <c r="Z512" s="109">
        <v>1138.0</v>
      </c>
      <c r="AA512" s="109">
        <v>2515.0</v>
      </c>
      <c r="AB512" s="109">
        <v>1433.0</v>
      </c>
      <c r="AC512" s="109">
        <v>3100.0</v>
      </c>
      <c r="AD512" s="109">
        <v>1668.0</v>
      </c>
      <c r="AE512" s="109">
        <v>3178.0</v>
      </c>
      <c r="AF512" s="109">
        <v>2000.0</v>
      </c>
      <c r="AG512" s="109">
        <v>3470.0</v>
      </c>
      <c r="AH512" s="109">
        <v>2138.0</v>
      </c>
      <c r="AI512" s="109">
        <v>3432.0</v>
      </c>
      <c r="AJ512" s="109">
        <v>1690.0</v>
      </c>
      <c r="AK512" s="109">
        <v>2586.0</v>
      </c>
      <c r="AL512" s="109">
        <v>1729.0</v>
      </c>
      <c r="AM512" s="109">
        <v>2941.0</v>
      </c>
      <c r="AN512" s="109">
        <v>37732.0</v>
      </c>
    </row>
    <row r="513">
      <c r="A513" s="98"/>
      <c r="B513" s="111" t="s">
        <v>200</v>
      </c>
      <c r="C513" s="109">
        <v>35737.0</v>
      </c>
      <c r="D513" s="109">
        <v>10835.0</v>
      </c>
      <c r="E513" s="109">
        <v>24901.0</v>
      </c>
      <c r="F513" s="110">
        <v>0.0</v>
      </c>
      <c r="G513" s="110">
        <v>0.0</v>
      </c>
      <c r="H513" s="110">
        <v>0.0</v>
      </c>
      <c r="I513" s="110">
        <v>0.0</v>
      </c>
      <c r="J513" s="110">
        <v>0.0</v>
      </c>
      <c r="K513" s="110">
        <v>0.0</v>
      </c>
      <c r="L513" s="112">
        <v>32.0</v>
      </c>
      <c r="M513" s="112">
        <v>103.0</v>
      </c>
      <c r="N513" s="112">
        <v>51.0</v>
      </c>
      <c r="O513" s="112">
        <v>188.0</v>
      </c>
      <c r="P513" s="112">
        <v>92.0</v>
      </c>
      <c r="Q513" s="112">
        <v>288.0</v>
      </c>
      <c r="R513" s="112">
        <v>140.0</v>
      </c>
      <c r="S513" s="112">
        <v>419.0</v>
      </c>
      <c r="T513" s="112">
        <v>244.0</v>
      </c>
      <c r="U513" s="112">
        <v>700.0</v>
      </c>
      <c r="V513" s="112">
        <v>431.0</v>
      </c>
      <c r="W513" s="109">
        <v>1386.0</v>
      </c>
      <c r="X513" s="112">
        <v>760.0</v>
      </c>
      <c r="Y513" s="109">
        <v>2391.0</v>
      </c>
      <c r="Z513" s="109">
        <v>1129.0</v>
      </c>
      <c r="AA513" s="109">
        <v>3165.0</v>
      </c>
      <c r="AB513" s="109">
        <v>1443.0</v>
      </c>
      <c r="AC513" s="109">
        <v>3465.0</v>
      </c>
      <c r="AD513" s="109">
        <v>1401.0</v>
      </c>
      <c r="AE513" s="109">
        <v>3351.0</v>
      </c>
      <c r="AF513" s="109">
        <v>1491.0</v>
      </c>
      <c r="AG513" s="109">
        <v>2988.0</v>
      </c>
      <c r="AH513" s="109">
        <v>1564.0</v>
      </c>
      <c r="AI513" s="109">
        <v>2712.0</v>
      </c>
      <c r="AJ513" s="109">
        <v>1103.0</v>
      </c>
      <c r="AK513" s="109">
        <v>1894.0</v>
      </c>
      <c r="AL513" s="112">
        <v>955.0</v>
      </c>
      <c r="AM513" s="109">
        <v>1851.0</v>
      </c>
      <c r="AN513" s="109">
        <v>35518.0</v>
      </c>
    </row>
    <row r="514">
      <c r="A514" s="104"/>
      <c r="B514" s="111" t="s">
        <v>201</v>
      </c>
      <c r="C514" s="112">
        <v>468.0</v>
      </c>
      <c r="D514" s="112">
        <v>190.0</v>
      </c>
      <c r="E514" s="112">
        <v>278.0</v>
      </c>
      <c r="F514" s="110">
        <v>0.0</v>
      </c>
      <c r="G514" s="110">
        <v>0.0</v>
      </c>
      <c r="H514" s="110">
        <v>0.0</v>
      </c>
      <c r="I514" s="110">
        <v>0.0</v>
      </c>
      <c r="J514" s="110">
        <v>0.0</v>
      </c>
      <c r="K514" s="110">
        <v>0.0</v>
      </c>
      <c r="L514" s="112">
        <v>1.0</v>
      </c>
      <c r="M514" s="112">
        <v>1.0</v>
      </c>
      <c r="N514" s="112">
        <v>6.0</v>
      </c>
      <c r="O514" s="112">
        <v>1.0</v>
      </c>
      <c r="P514" s="112">
        <v>3.0</v>
      </c>
      <c r="Q514" s="112">
        <v>5.0</v>
      </c>
      <c r="R514" s="112">
        <v>6.0</v>
      </c>
      <c r="S514" s="112">
        <v>11.0</v>
      </c>
      <c r="T514" s="112">
        <v>9.0</v>
      </c>
      <c r="U514" s="112">
        <v>24.0</v>
      </c>
      <c r="V514" s="112">
        <v>10.0</v>
      </c>
      <c r="W514" s="112">
        <v>31.0</v>
      </c>
      <c r="X514" s="112">
        <v>32.0</v>
      </c>
      <c r="Y514" s="112">
        <v>34.0</v>
      </c>
      <c r="Z514" s="112">
        <v>35.0</v>
      </c>
      <c r="AA514" s="112">
        <v>48.0</v>
      </c>
      <c r="AB514" s="112">
        <v>30.0</v>
      </c>
      <c r="AC514" s="112">
        <v>35.0</v>
      </c>
      <c r="AD514" s="112">
        <v>18.0</v>
      </c>
      <c r="AE514" s="112">
        <v>29.0</v>
      </c>
      <c r="AF514" s="112">
        <v>13.0</v>
      </c>
      <c r="AG514" s="112">
        <v>23.0</v>
      </c>
      <c r="AH514" s="112">
        <v>10.0</v>
      </c>
      <c r="AI514" s="112">
        <v>19.0</v>
      </c>
      <c r="AJ514" s="112">
        <v>14.0</v>
      </c>
      <c r="AK514" s="112">
        <v>10.0</v>
      </c>
      <c r="AL514" s="112">
        <v>3.0</v>
      </c>
      <c r="AM514" s="112">
        <v>7.0</v>
      </c>
      <c r="AN514" s="112">
        <v>468.0</v>
      </c>
    </row>
    <row r="515">
      <c r="A515" s="107" t="s">
        <v>202</v>
      </c>
      <c r="B515" s="111" t="s">
        <v>198</v>
      </c>
      <c r="C515" s="112">
        <v>57.0</v>
      </c>
      <c r="D515" s="112">
        <v>38.0</v>
      </c>
      <c r="E515" s="112">
        <v>19.0</v>
      </c>
      <c r="F515" s="112">
        <v>5.0</v>
      </c>
      <c r="G515" s="112">
        <v>1.0</v>
      </c>
      <c r="H515" s="112">
        <v>1.0</v>
      </c>
      <c r="I515" s="112">
        <v>1.0</v>
      </c>
      <c r="J515" s="112">
        <v>0.0</v>
      </c>
      <c r="K515" s="112">
        <v>2.0</v>
      </c>
      <c r="L515" s="112">
        <v>0.0</v>
      </c>
      <c r="M515" s="112">
        <v>0.0</v>
      </c>
      <c r="N515" s="112">
        <v>7.0</v>
      </c>
      <c r="O515" s="112">
        <v>0.0</v>
      </c>
      <c r="P515" s="112">
        <v>1.0</v>
      </c>
      <c r="Q515" s="112">
        <v>0.0</v>
      </c>
      <c r="R515" s="112">
        <v>5.0</v>
      </c>
      <c r="S515" s="112">
        <v>1.0</v>
      </c>
      <c r="T515" s="112">
        <v>1.0</v>
      </c>
      <c r="U515" s="112">
        <v>0.0</v>
      </c>
      <c r="V515" s="112">
        <v>0.0</v>
      </c>
      <c r="W515" s="112">
        <v>0.0</v>
      </c>
      <c r="X515" s="112">
        <v>1.0</v>
      </c>
      <c r="Y515" s="112">
        <v>4.0</v>
      </c>
      <c r="Z515" s="112">
        <v>1.0</v>
      </c>
      <c r="AA515" s="112">
        <v>0.0</v>
      </c>
      <c r="AB515" s="112">
        <v>4.0</v>
      </c>
      <c r="AC515" s="112">
        <v>2.0</v>
      </c>
      <c r="AD515" s="112">
        <v>1.0</v>
      </c>
      <c r="AE515" s="112">
        <v>0.0</v>
      </c>
      <c r="AF515" s="112">
        <v>4.0</v>
      </c>
      <c r="AG515" s="112">
        <v>4.0</v>
      </c>
      <c r="AH515" s="112">
        <v>0.0</v>
      </c>
      <c r="AI515" s="112">
        <v>1.0</v>
      </c>
      <c r="AJ515" s="112">
        <v>1.0</v>
      </c>
      <c r="AK515" s="112">
        <v>1.0</v>
      </c>
      <c r="AL515" s="112">
        <v>6.0</v>
      </c>
      <c r="AM515" s="112">
        <v>2.0</v>
      </c>
      <c r="AN515" s="112">
        <v>54.0</v>
      </c>
    </row>
    <row r="516">
      <c r="A516" s="104"/>
      <c r="B516" s="111" t="s">
        <v>199</v>
      </c>
      <c r="C516" s="112">
        <v>40.0</v>
      </c>
      <c r="D516" s="112">
        <v>23.0</v>
      </c>
      <c r="E516" s="112">
        <v>17.0</v>
      </c>
      <c r="F516" s="112">
        <v>0.0</v>
      </c>
      <c r="G516" s="112">
        <v>2.0</v>
      </c>
      <c r="H516" s="112">
        <v>0.0</v>
      </c>
      <c r="I516" s="112">
        <v>0.0</v>
      </c>
      <c r="J516" s="112">
        <v>2.0</v>
      </c>
      <c r="K516" s="112">
        <v>0.0</v>
      </c>
      <c r="L516" s="112">
        <v>0.0</v>
      </c>
      <c r="M516" s="112">
        <v>0.0</v>
      </c>
      <c r="N516" s="112">
        <v>0.0</v>
      </c>
      <c r="O516" s="112">
        <v>0.0</v>
      </c>
      <c r="P516" s="112">
        <v>0.0</v>
      </c>
      <c r="Q516" s="112">
        <v>0.0</v>
      </c>
      <c r="R516" s="112">
        <v>1.0</v>
      </c>
      <c r="S516" s="112">
        <v>0.0</v>
      </c>
      <c r="T516" s="112">
        <v>4.0</v>
      </c>
      <c r="U516" s="112">
        <v>0.0</v>
      </c>
      <c r="V516" s="112">
        <v>0.0</v>
      </c>
      <c r="W516" s="112">
        <v>0.0</v>
      </c>
      <c r="X516" s="112">
        <v>2.0</v>
      </c>
      <c r="Y516" s="112">
        <v>1.0</v>
      </c>
      <c r="Z516" s="112">
        <v>1.0</v>
      </c>
      <c r="AA516" s="112">
        <v>1.0</v>
      </c>
      <c r="AB516" s="112">
        <v>4.0</v>
      </c>
      <c r="AC516" s="112">
        <v>1.0</v>
      </c>
      <c r="AD516" s="112">
        <v>1.0</v>
      </c>
      <c r="AE516" s="112">
        <v>2.0</v>
      </c>
      <c r="AF516" s="112">
        <v>2.0</v>
      </c>
      <c r="AG516" s="112">
        <v>0.0</v>
      </c>
      <c r="AH516" s="112">
        <v>1.0</v>
      </c>
      <c r="AI516" s="112">
        <v>6.0</v>
      </c>
      <c r="AJ516" s="112">
        <v>5.0</v>
      </c>
      <c r="AK516" s="112">
        <v>3.0</v>
      </c>
      <c r="AL516" s="112">
        <v>0.0</v>
      </c>
      <c r="AM516" s="112">
        <v>1.0</v>
      </c>
      <c r="AN516" s="112">
        <v>40.0</v>
      </c>
    </row>
    <row r="517">
      <c r="A517" s="107" t="s">
        <v>203</v>
      </c>
      <c r="B517" s="111" t="s">
        <v>198</v>
      </c>
      <c r="C517" s="112">
        <v>1.0</v>
      </c>
      <c r="D517" s="112">
        <v>0.0</v>
      </c>
      <c r="E517" s="112">
        <v>1.0</v>
      </c>
      <c r="F517" s="110">
        <v>0.0</v>
      </c>
      <c r="G517" s="110">
        <v>0.0</v>
      </c>
      <c r="H517" s="110">
        <v>0.0</v>
      </c>
      <c r="I517" s="110">
        <v>0.0</v>
      </c>
      <c r="J517" s="110">
        <v>0.0</v>
      </c>
      <c r="K517" s="110">
        <v>0.0</v>
      </c>
      <c r="L517" s="110">
        <v>0.0</v>
      </c>
      <c r="M517" s="110">
        <v>0.0</v>
      </c>
      <c r="N517" s="110">
        <v>0.0</v>
      </c>
      <c r="O517" s="110">
        <v>0.0</v>
      </c>
      <c r="P517" s="110">
        <v>0.0</v>
      </c>
      <c r="Q517" s="110">
        <v>0.0</v>
      </c>
      <c r="R517" s="110">
        <v>0.0</v>
      </c>
      <c r="S517" s="110">
        <v>0.0</v>
      </c>
      <c r="T517" s="110">
        <v>0.0</v>
      </c>
      <c r="U517" s="110">
        <v>0.0</v>
      </c>
      <c r="V517" s="110">
        <v>0.0</v>
      </c>
      <c r="W517" s="110">
        <v>0.0</v>
      </c>
      <c r="X517" s="110">
        <v>0.0</v>
      </c>
      <c r="Y517" s="110">
        <v>0.0</v>
      </c>
      <c r="Z517" s="110">
        <v>0.0</v>
      </c>
      <c r="AA517" s="110">
        <v>0.0</v>
      </c>
      <c r="AB517" s="110">
        <v>0.0</v>
      </c>
      <c r="AC517" s="110">
        <v>0.0</v>
      </c>
      <c r="AD517" s="110">
        <v>0.0</v>
      </c>
      <c r="AE517" s="110">
        <v>0.0</v>
      </c>
      <c r="AF517" s="112">
        <v>0.0</v>
      </c>
      <c r="AG517" s="112">
        <v>1.0</v>
      </c>
      <c r="AH517" s="112">
        <v>0.0</v>
      </c>
      <c r="AI517" s="112">
        <v>0.0</v>
      </c>
      <c r="AJ517" s="112">
        <v>0.0</v>
      </c>
      <c r="AK517" s="112">
        <v>0.0</v>
      </c>
      <c r="AL517" s="112">
        <v>0.0</v>
      </c>
      <c r="AM517" s="112">
        <v>0.0</v>
      </c>
      <c r="AN517" s="112">
        <v>1.0</v>
      </c>
    </row>
    <row r="518">
      <c r="A518" s="104"/>
      <c r="B518" s="111" t="s">
        <v>199</v>
      </c>
      <c r="C518" s="112">
        <v>142.0</v>
      </c>
      <c r="D518" s="112">
        <v>68.0</v>
      </c>
      <c r="E518" s="112">
        <v>74.0</v>
      </c>
      <c r="F518" s="110">
        <v>0.0</v>
      </c>
      <c r="G518" s="110">
        <v>0.0</v>
      </c>
      <c r="H518" s="110">
        <v>0.0</v>
      </c>
      <c r="I518" s="110">
        <v>0.0</v>
      </c>
      <c r="J518" s="110">
        <v>0.0</v>
      </c>
      <c r="K518" s="110">
        <v>0.0</v>
      </c>
      <c r="L518" s="110">
        <v>0.0</v>
      </c>
      <c r="M518" s="110">
        <v>0.0</v>
      </c>
      <c r="N518" s="110">
        <v>0.0</v>
      </c>
      <c r="O518" s="110">
        <v>0.0</v>
      </c>
      <c r="P518" s="110">
        <v>0.0</v>
      </c>
      <c r="Q518" s="110">
        <v>0.0</v>
      </c>
      <c r="R518" s="110">
        <v>0.0</v>
      </c>
      <c r="S518" s="110">
        <v>0.0</v>
      </c>
      <c r="T518" s="110">
        <v>0.0</v>
      </c>
      <c r="U518" s="110">
        <v>0.0</v>
      </c>
      <c r="V518" s="110">
        <v>0.0</v>
      </c>
      <c r="W518" s="110">
        <v>0.0</v>
      </c>
      <c r="X518" s="110">
        <v>0.0</v>
      </c>
      <c r="Y518" s="110">
        <v>0.0</v>
      </c>
      <c r="Z518" s="110">
        <v>0.0</v>
      </c>
      <c r="AA518" s="110">
        <v>0.0</v>
      </c>
      <c r="AB518" s="110">
        <v>0.0</v>
      </c>
      <c r="AC518" s="110">
        <v>0.0</v>
      </c>
      <c r="AD518" s="110">
        <v>0.0</v>
      </c>
      <c r="AE518" s="110">
        <v>0.0</v>
      </c>
      <c r="AF518" s="112">
        <v>11.0</v>
      </c>
      <c r="AG518" s="112">
        <v>22.0</v>
      </c>
      <c r="AH518" s="112">
        <v>29.0</v>
      </c>
      <c r="AI518" s="112">
        <v>22.0</v>
      </c>
      <c r="AJ518" s="112">
        <v>18.0</v>
      </c>
      <c r="AK518" s="112">
        <v>19.0</v>
      </c>
      <c r="AL518" s="112">
        <v>10.0</v>
      </c>
      <c r="AM518" s="112">
        <v>11.0</v>
      </c>
      <c r="AN518" s="112">
        <v>141.0</v>
      </c>
    </row>
    <row r="519">
      <c r="A519" s="107" t="s">
        <v>204</v>
      </c>
      <c r="B519" s="111" t="s">
        <v>198</v>
      </c>
      <c r="C519" s="112">
        <v>0.0</v>
      </c>
      <c r="D519" s="112">
        <v>0.0</v>
      </c>
      <c r="E519" s="112">
        <v>0.0</v>
      </c>
      <c r="F519" s="110">
        <v>0.0</v>
      </c>
      <c r="G519" s="110">
        <v>0.0</v>
      </c>
      <c r="H519" s="110">
        <v>0.0</v>
      </c>
      <c r="I519" s="110">
        <v>0.0</v>
      </c>
      <c r="J519" s="110">
        <v>0.0</v>
      </c>
      <c r="K519" s="110">
        <v>0.0</v>
      </c>
      <c r="L519" s="110">
        <v>0.0</v>
      </c>
      <c r="M519" s="110">
        <v>0.0</v>
      </c>
      <c r="N519" s="110">
        <v>0.0</v>
      </c>
      <c r="O519" s="110">
        <v>0.0</v>
      </c>
      <c r="P519" s="110">
        <v>0.0</v>
      </c>
      <c r="Q519" s="110">
        <v>0.0</v>
      </c>
      <c r="R519" s="110">
        <v>0.0</v>
      </c>
      <c r="S519" s="110">
        <v>0.0</v>
      </c>
      <c r="T519" s="110">
        <v>0.0</v>
      </c>
      <c r="U519" s="110">
        <v>0.0</v>
      </c>
      <c r="V519" s="110">
        <v>0.0</v>
      </c>
      <c r="W519" s="110">
        <v>0.0</v>
      </c>
      <c r="X519" s="110">
        <v>0.0</v>
      </c>
      <c r="Y519" s="110">
        <v>0.0</v>
      </c>
      <c r="Z519" s="110">
        <v>0.0</v>
      </c>
      <c r="AA519" s="110">
        <v>0.0</v>
      </c>
      <c r="AB519" s="110">
        <v>0.0</v>
      </c>
      <c r="AC519" s="110">
        <v>0.0</v>
      </c>
      <c r="AD519" s="110">
        <v>0.0</v>
      </c>
      <c r="AE519" s="110">
        <v>0.0</v>
      </c>
      <c r="AF519" s="112">
        <v>0.0</v>
      </c>
      <c r="AG519" s="112">
        <v>0.0</v>
      </c>
      <c r="AH519" s="112">
        <v>0.0</v>
      </c>
      <c r="AI519" s="112">
        <v>0.0</v>
      </c>
      <c r="AJ519" s="112">
        <v>0.0</v>
      </c>
      <c r="AK519" s="112">
        <v>0.0</v>
      </c>
      <c r="AL519" s="112">
        <v>0.0</v>
      </c>
      <c r="AM519" s="112">
        <v>0.0</v>
      </c>
      <c r="AN519" s="112">
        <v>0.0</v>
      </c>
    </row>
    <row r="520">
      <c r="A520" s="104"/>
      <c r="B520" s="111" t="s">
        <v>199</v>
      </c>
      <c r="C520" s="112">
        <v>198.0</v>
      </c>
      <c r="D520" s="112">
        <v>82.0</v>
      </c>
      <c r="E520" s="112">
        <v>116.0</v>
      </c>
      <c r="F520" s="110">
        <v>0.0</v>
      </c>
      <c r="G520" s="110">
        <v>0.0</v>
      </c>
      <c r="H520" s="110">
        <v>0.0</v>
      </c>
      <c r="I520" s="110">
        <v>0.0</v>
      </c>
      <c r="J520" s="110">
        <v>0.0</v>
      </c>
      <c r="K520" s="110">
        <v>0.0</v>
      </c>
      <c r="L520" s="110">
        <v>0.0</v>
      </c>
      <c r="M520" s="110">
        <v>0.0</v>
      </c>
      <c r="N520" s="110">
        <v>0.0</v>
      </c>
      <c r="O520" s="110">
        <v>0.0</v>
      </c>
      <c r="P520" s="110">
        <v>0.0</v>
      </c>
      <c r="Q520" s="110">
        <v>0.0</v>
      </c>
      <c r="R520" s="110">
        <v>0.0</v>
      </c>
      <c r="S520" s="110">
        <v>0.0</v>
      </c>
      <c r="T520" s="110">
        <v>0.0</v>
      </c>
      <c r="U520" s="110">
        <v>0.0</v>
      </c>
      <c r="V520" s="110">
        <v>0.0</v>
      </c>
      <c r="W520" s="110">
        <v>0.0</v>
      </c>
      <c r="X520" s="110">
        <v>0.0</v>
      </c>
      <c r="Y520" s="110">
        <v>0.0</v>
      </c>
      <c r="Z520" s="110">
        <v>0.0</v>
      </c>
      <c r="AA520" s="110">
        <v>0.0</v>
      </c>
      <c r="AB520" s="110">
        <v>0.0</v>
      </c>
      <c r="AC520" s="110">
        <v>0.0</v>
      </c>
      <c r="AD520" s="110">
        <v>0.0</v>
      </c>
      <c r="AE520" s="110">
        <v>0.0</v>
      </c>
      <c r="AF520" s="112">
        <v>17.0</v>
      </c>
      <c r="AG520" s="112">
        <v>17.0</v>
      </c>
      <c r="AH520" s="112">
        <v>19.0</v>
      </c>
      <c r="AI520" s="112">
        <v>31.0</v>
      </c>
      <c r="AJ520" s="112">
        <v>20.0</v>
      </c>
      <c r="AK520" s="112">
        <v>30.0</v>
      </c>
      <c r="AL520" s="112">
        <v>26.0</v>
      </c>
      <c r="AM520" s="112">
        <v>38.0</v>
      </c>
      <c r="AN520" s="112">
        <v>191.0</v>
      </c>
    </row>
    <row r="521">
      <c r="A521" s="107" t="s">
        <v>205</v>
      </c>
      <c r="B521" s="111" t="s">
        <v>198</v>
      </c>
      <c r="C521" s="112">
        <v>27.0</v>
      </c>
      <c r="D521" s="112">
        <v>6.0</v>
      </c>
      <c r="E521" s="112">
        <v>21.0</v>
      </c>
      <c r="F521" s="112">
        <v>0.0</v>
      </c>
      <c r="G521" s="112">
        <v>0.0</v>
      </c>
      <c r="H521" s="112">
        <v>0.0</v>
      </c>
      <c r="I521" s="112">
        <v>0.0</v>
      </c>
      <c r="J521" s="112">
        <v>0.0</v>
      </c>
      <c r="K521" s="112">
        <v>0.0</v>
      </c>
      <c r="L521" s="112">
        <v>0.0</v>
      </c>
      <c r="M521" s="112">
        <v>0.0</v>
      </c>
      <c r="N521" s="112">
        <v>0.0</v>
      </c>
      <c r="O521" s="112">
        <v>0.0</v>
      </c>
      <c r="P521" s="112">
        <v>0.0</v>
      </c>
      <c r="Q521" s="112">
        <v>0.0</v>
      </c>
      <c r="R521" s="112">
        <v>0.0</v>
      </c>
      <c r="S521" s="112">
        <v>0.0</v>
      </c>
      <c r="T521" s="112">
        <v>0.0</v>
      </c>
      <c r="U521" s="112">
        <v>0.0</v>
      </c>
      <c r="V521" s="112">
        <v>1.0</v>
      </c>
      <c r="W521" s="112">
        <v>0.0</v>
      </c>
      <c r="X521" s="112">
        <v>0.0</v>
      </c>
      <c r="Y521" s="112">
        <v>1.0</v>
      </c>
      <c r="Z521" s="112">
        <v>2.0</v>
      </c>
      <c r="AA521" s="112">
        <v>3.0</v>
      </c>
      <c r="AB521" s="112">
        <v>0.0</v>
      </c>
      <c r="AC521" s="112">
        <v>3.0</v>
      </c>
      <c r="AD521" s="112">
        <v>1.0</v>
      </c>
      <c r="AE521" s="112">
        <v>0.0</v>
      </c>
      <c r="AF521" s="112">
        <v>0.0</v>
      </c>
      <c r="AG521" s="112">
        <v>7.0</v>
      </c>
      <c r="AH521" s="112">
        <v>0.0</v>
      </c>
      <c r="AI521" s="112">
        <v>5.0</v>
      </c>
      <c r="AJ521" s="112">
        <v>2.0</v>
      </c>
      <c r="AK521" s="112">
        <v>0.0</v>
      </c>
      <c r="AL521" s="112">
        <v>0.0</v>
      </c>
      <c r="AM521" s="112">
        <v>2.0</v>
      </c>
      <c r="AN521" s="112">
        <v>27.0</v>
      </c>
    </row>
    <row r="522">
      <c r="A522" s="98"/>
      <c r="B522" s="111" t="s">
        <v>199</v>
      </c>
      <c r="C522" s="112">
        <v>1.0</v>
      </c>
      <c r="D522" s="112">
        <v>0.0</v>
      </c>
      <c r="E522" s="112">
        <v>1.0</v>
      </c>
      <c r="F522" s="112">
        <v>0.0</v>
      </c>
      <c r="G522" s="112">
        <v>1.0</v>
      </c>
      <c r="H522" s="112">
        <v>0.0</v>
      </c>
      <c r="I522" s="112">
        <v>0.0</v>
      </c>
      <c r="J522" s="112">
        <v>0.0</v>
      </c>
      <c r="K522" s="112">
        <v>0.0</v>
      </c>
      <c r="L522" s="112">
        <v>0.0</v>
      </c>
      <c r="M522" s="112">
        <v>0.0</v>
      </c>
      <c r="N522" s="112">
        <v>0.0</v>
      </c>
      <c r="O522" s="112">
        <v>0.0</v>
      </c>
      <c r="P522" s="112">
        <v>0.0</v>
      </c>
      <c r="Q522" s="112">
        <v>0.0</v>
      </c>
      <c r="R522" s="112">
        <v>0.0</v>
      </c>
      <c r="S522" s="112">
        <v>0.0</v>
      </c>
      <c r="T522" s="112">
        <v>0.0</v>
      </c>
      <c r="U522" s="112">
        <v>0.0</v>
      </c>
      <c r="V522" s="112">
        <v>0.0</v>
      </c>
      <c r="W522" s="112">
        <v>0.0</v>
      </c>
      <c r="X522" s="112">
        <v>0.0</v>
      </c>
      <c r="Y522" s="112">
        <v>0.0</v>
      </c>
      <c r="Z522" s="112">
        <v>0.0</v>
      </c>
      <c r="AA522" s="112">
        <v>0.0</v>
      </c>
      <c r="AB522" s="112">
        <v>0.0</v>
      </c>
      <c r="AC522" s="112">
        <v>0.0</v>
      </c>
      <c r="AD522" s="112">
        <v>0.0</v>
      </c>
      <c r="AE522" s="112">
        <v>0.0</v>
      </c>
      <c r="AF522" s="112">
        <v>0.0</v>
      </c>
      <c r="AG522" s="112">
        <v>0.0</v>
      </c>
      <c r="AH522" s="112">
        <v>0.0</v>
      </c>
      <c r="AI522" s="112">
        <v>0.0</v>
      </c>
      <c r="AJ522" s="112">
        <v>0.0</v>
      </c>
      <c r="AK522" s="112">
        <v>0.0</v>
      </c>
      <c r="AL522" s="112">
        <v>0.0</v>
      </c>
      <c r="AM522" s="112">
        <v>0.0</v>
      </c>
      <c r="AN522" s="112">
        <v>1.0</v>
      </c>
    </row>
    <row r="523">
      <c r="A523" s="104"/>
      <c r="B523" s="111" t="s">
        <v>206</v>
      </c>
      <c r="C523" s="112">
        <v>96.0</v>
      </c>
      <c r="D523" s="112">
        <v>35.0</v>
      </c>
      <c r="E523" s="112">
        <v>61.0</v>
      </c>
      <c r="F523" s="112">
        <v>0.0</v>
      </c>
      <c r="G523" s="112">
        <v>0.0</v>
      </c>
      <c r="H523" s="112">
        <v>1.0</v>
      </c>
      <c r="I523" s="112">
        <v>0.0</v>
      </c>
      <c r="J523" s="112">
        <v>2.0</v>
      </c>
      <c r="K523" s="112">
        <v>1.0</v>
      </c>
      <c r="L523" s="112">
        <v>4.0</v>
      </c>
      <c r="M523" s="112">
        <v>3.0</v>
      </c>
      <c r="N523" s="112">
        <v>12.0</v>
      </c>
      <c r="O523" s="112">
        <v>12.0</v>
      </c>
      <c r="P523" s="112">
        <v>3.0</v>
      </c>
      <c r="Q523" s="112">
        <v>15.0</v>
      </c>
      <c r="R523" s="112">
        <v>1.0</v>
      </c>
      <c r="S523" s="112">
        <v>12.0</v>
      </c>
      <c r="T523" s="112">
        <v>2.0</v>
      </c>
      <c r="U523" s="112">
        <v>12.0</v>
      </c>
      <c r="V523" s="112">
        <v>1.0</v>
      </c>
      <c r="W523" s="112">
        <v>2.0</v>
      </c>
      <c r="X523" s="112">
        <v>0.0</v>
      </c>
      <c r="Y523" s="112">
        <v>0.0</v>
      </c>
      <c r="Z523" s="112">
        <v>8.0</v>
      </c>
      <c r="AA523" s="112">
        <v>0.0</v>
      </c>
      <c r="AB523" s="112">
        <v>0.0</v>
      </c>
      <c r="AC523" s="112">
        <v>1.0</v>
      </c>
      <c r="AD523" s="112">
        <v>0.0</v>
      </c>
      <c r="AE523" s="112">
        <v>2.0</v>
      </c>
      <c r="AF523" s="112">
        <v>0.0</v>
      </c>
      <c r="AG523" s="112">
        <v>0.0</v>
      </c>
      <c r="AH523" s="112">
        <v>0.0</v>
      </c>
      <c r="AI523" s="112">
        <v>0.0</v>
      </c>
      <c r="AJ523" s="112">
        <v>0.0</v>
      </c>
      <c r="AK523" s="112">
        <v>1.0</v>
      </c>
      <c r="AL523" s="112">
        <v>1.0</v>
      </c>
      <c r="AM523" s="112">
        <v>0.0</v>
      </c>
      <c r="AN523" s="112">
        <v>95.0</v>
      </c>
    </row>
    <row r="524">
      <c r="A524" s="107" t="s">
        <v>207</v>
      </c>
      <c r="B524" s="111" t="s">
        <v>198</v>
      </c>
      <c r="C524" s="109">
        <v>8080.0</v>
      </c>
      <c r="D524" s="109">
        <v>1815.0</v>
      </c>
      <c r="E524" s="109">
        <v>6265.0</v>
      </c>
      <c r="F524" s="112">
        <v>40.0</v>
      </c>
      <c r="G524" s="112">
        <v>22.0</v>
      </c>
      <c r="H524" s="112">
        <v>32.0</v>
      </c>
      <c r="I524" s="112">
        <v>47.0</v>
      </c>
      <c r="J524" s="112">
        <v>44.0</v>
      </c>
      <c r="K524" s="112">
        <v>70.0</v>
      </c>
      <c r="L524" s="112">
        <v>54.0</v>
      </c>
      <c r="M524" s="112">
        <v>128.0</v>
      </c>
      <c r="N524" s="112">
        <v>55.0</v>
      </c>
      <c r="O524" s="112">
        <v>157.0</v>
      </c>
      <c r="P524" s="112">
        <v>58.0</v>
      </c>
      <c r="Q524" s="112">
        <v>227.0</v>
      </c>
      <c r="R524" s="112">
        <v>60.0</v>
      </c>
      <c r="S524" s="112">
        <v>261.0</v>
      </c>
      <c r="T524" s="112">
        <v>82.0</v>
      </c>
      <c r="U524" s="112">
        <v>378.0</v>
      </c>
      <c r="V524" s="112">
        <v>98.0</v>
      </c>
      <c r="W524" s="112">
        <v>476.0</v>
      </c>
      <c r="X524" s="112">
        <v>135.0</v>
      </c>
      <c r="Y524" s="112">
        <v>715.0</v>
      </c>
      <c r="Z524" s="112">
        <v>173.0</v>
      </c>
      <c r="AA524" s="112">
        <v>759.0</v>
      </c>
      <c r="AB524" s="112">
        <v>195.0</v>
      </c>
      <c r="AC524" s="112">
        <v>709.0</v>
      </c>
      <c r="AD524" s="112">
        <v>169.0</v>
      </c>
      <c r="AE524" s="112">
        <v>612.0</v>
      </c>
      <c r="AF524" s="112">
        <v>177.0</v>
      </c>
      <c r="AG524" s="112">
        <v>589.0</v>
      </c>
      <c r="AH524" s="112">
        <v>183.0</v>
      </c>
      <c r="AI524" s="112">
        <v>470.0</v>
      </c>
      <c r="AJ524" s="112">
        <v>122.0</v>
      </c>
      <c r="AK524" s="112">
        <v>303.0</v>
      </c>
      <c r="AL524" s="112">
        <v>138.0</v>
      </c>
      <c r="AM524" s="112">
        <v>342.0</v>
      </c>
      <c r="AN524" s="109">
        <v>8035.0</v>
      </c>
    </row>
    <row r="525">
      <c r="A525" s="98"/>
      <c r="B525" s="111" t="s">
        <v>199</v>
      </c>
      <c r="C525" s="112">
        <v>910.0</v>
      </c>
      <c r="D525" s="112">
        <v>281.0</v>
      </c>
      <c r="E525" s="112">
        <v>629.0</v>
      </c>
      <c r="F525" s="112">
        <v>8.0</v>
      </c>
      <c r="G525" s="112">
        <v>14.0</v>
      </c>
      <c r="H525" s="112">
        <v>7.0</v>
      </c>
      <c r="I525" s="112">
        <v>6.0</v>
      </c>
      <c r="J525" s="112">
        <v>0.0</v>
      </c>
      <c r="K525" s="112">
        <v>2.0</v>
      </c>
      <c r="L525" s="112">
        <v>0.0</v>
      </c>
      <c r="M525" s="112">
        <v>0.0</v>
      </c>
      <c r="N525" s="112">
        <v>6.0</v>
      </c>
      <c r="O525" s="112">
        <v>11.0</v>
      </c>
      <c r="P525" s="112">
        <v>3.0</v>
      </c>
      <c r="Q525" s="112">
        <v>8.0</v>
      </c>
      <c r="R525" s="112">
        <v>5.0</v>
      </c>
      <c r="S525" s="112">
        <v>14.0</v>
      </c>
      <c r="T525" s="112">
        <v>4.0</v>
      </c>
      <c r="U525" s="112">
        <v>16.0</v>
      </c>
      <c r="V525" s="112">
        <v>7.0</v>
      </c>
      <c r="W525" s="112">
        <v>35.0</v>
      </c>
      <c r="X525" s="112">
        <v>12.0</v>
      </c>
      <c r="Y525" s="112">
        <v>43.0</v>
      </c>
      <c r="Z525" s="112">
        <v>20.0</v>
      </c>
      <c r="AA525" s="112">
        <v>41.0</v>
      </c>
      <c r="AB525" s="112">
        <v>24.0</v>
      </c>
      <c r="AC525" s="112">
        <v>58.0</v>
      </c>
      <c r="AD525" s="112">
        <v>23.0</v>
      </c>
      <c r="AE525" s="112">
        <v>69.0</v>
      </c>
      <c r="AF525" s="112">
        <v>41.0</v>
      </c>
      <c r="AG525" s="112">
        <v>102.0</v>
      </c>
      <c r="AH525" s="112">
        <v>36.0</v>
      </c>
      <c r="AI525" s="112">
        <v>74.0</v>
      </c>
      <c r="AJ525" s="112">
        <v>44.0</v>
      </c>
      <c r="AK525" s="112">
        <v>60.0</v>
      </c>
      <c r="AL525" s="112">
        <v>41.0</v>
      </c>
      <c r="AM525" s="112">
        <v>76.0</v>
      </c>
      <c r="AN525" s="112">
        <v>909.0</v>
      </c>
    </row>
    <row r="526">
      <c r="A526" s="98"/>
      <c r="B526" s="111" t="s">
        <v>206</v>
      </c>
      <c r="C526" s="112">
        <v>235.0</v>
      </c>
      <c r="D526" s="112">
        <v>53.0</v>
      </c>
      <c r="E526" s="112">
        <v>182.0</v>
      </c>
      <c r="F526" s="112">
        <v>38.0</v>
      </c>
      <c r="G526" s="112">
        <v>23.0</v>
      </c>
      <c r="H526" s="112">
        <v>3.0</v>
      </c>
      <c r="I526" s="112">
        <v>3.0</v>
      </c>
      <c r="J526" s="112">
        <v>2.0</v>
      </c>
      <c r="K526" s="112">
        <v>1.0</v>
      </c>
      <c r="L526" s="112">
        <v>1.0</v>
      </c>
      <c r="M526" s="112">
        <v>8.0</v>
      </c>
      <c r="N526" s="112">
        <v>3.0</v>
      </c>
      <c r="O526" s="112">
        <v>7.0</v>
      </c>
      <c r="P526" s="112">
        <v>1.0</v>
      </c>
      <c r="Q526" s="112">
        <v>11.0</v>
      </c>
      <c r="R526" s="112">
        <v>0.0</v>
      </c>
      <c r="S526" s="112">
        <v>1.0</v>
      </c>
      <c r="T526" s="112">
        <v>1.0</v>
      </c>
      <c r="U526" s="112">
        <v>16.0</v>
      </c>
      <c r="V526" s="112">
        <v>0.0</v>
      </c>
      <c r="W526" s="112">
        <v>17.0</v>
      </c>
      <c r="X526" s="112">
        <v>0.0</v>
      </c>
      <c r="Y526" s="112">
        <v>25.0</v>
      </c>
      <c r="Z526" s="112">
        <v>2.0</v>
      </c>
      <c r="AA526" s="112">
        <v>21.0</v>
      </c>
      <c r="AB526" s="112">
        <v>0.0</v>
      </c>
      <c r="AC526" s="112">
        <v>12.0</v>
      </c>
      <c r="AD526" s="112">
        <v>1.0</v>
      </c>
      <c r="AE526" s="112">
        <v>12.0</v>
      </c>
      <c r="AF526" s="112">
        <v>0.0</v>
      </c>
      <c r="AG526" s="112">
        <v>19.0</v>
      </c>
      <c r="AH526" s="112">
        <v>0.0</v>
      </c>
      <c r="AI526" s="112">
        <v>3.0</v>
      </c>
      <c r="AJ526" s="112">
        <v>1.0</v>
      </c>
      <c r="AK526" s="112">
        <v>1.0</v>
      </c>
      <c r="AL526" s="112">
        <v>0.0</v>
      </c>
      <c r="AM526" s="112">
        <v>2.0</v>
      </c>
      <c r="AN526" s="112">
        <v>235.0</v>
      </c>
    </row>
    <row r="527">
      <c r="A527" s="98"/>
      <c r="B527" s="111" t="s">
        <v>200</v>
      </c>
      <c r="C527" s="109">
        <v>1124.0</v>
      </c>
      <c r="D527" s="112">
        <v>348.0</v>
      </c>
      <c r="E527" s="112">
        <v>776.0</v>
      </c>
      <c r="F527" s="112">
        <v>136.0</v>
      </c>
      <c r="G527" s="112">
        <v>99.0</v>
      </c>
      <c r="H527" s="112">
        <v>63.0</v>
      </c>
      <c r="I527" s="112">
        <v>44.0</v>
      </c>
      <c r="J527" s="112">
        <v>16.0</v>
      </c>
      <c r="K527" s="112">
        <v>30.0</v>
      </c>
      <c r="L527" s="112">
        <v>9.0</v>
      </c>
      <c r="M527" s="112">
        <v>30.0</v>
      </c>
      <c r="N527" s="112">
        <v>3.0</v>
      </c>
      <c r="O527" s="112">
        <v>53.0</v>
      </c>
      <c r="P527" s="112">
        <v>0.0</v>
      </c>
      <c r="Q527" s="112">
        <v>51.0</v>
      </c>
      <c r="R527" s="112">
        <v>8.0</v>
      </c>
      <c r="S527" s="112">
        <v>36.0</v>
      </c>
      <c r="T527" s="112">
        <v>10.0</v>
      </c>
      <c r="U527" s="112">
        <v>59.0</v>
      </c>
      <c r="V527" s="112">
        <v>4.0</v>
      </c>
      <c r="W527" s="112">
        <v>40.0</v>
      </c>
      <c r="X527" s="112">
        <v>10.0</v>
      </c>
      <c r="Y527" s="112">
        <v>51.0</v>
      </c>
      <c r="Z527" s="112">
        <v>10.0</v>
      </c>
      <c r="AA527" s="112">
        <v>59.0</v>
      </c>
      <c r="AB527" s="112">
        <v>17.0</v>
      </c>
      <c r="AC527" s="112">
        <v>62.0</v>
      </c>
      <c r="AD527" s="112">
        <v>10.0</v>
      </c>
      <c r="AE527" s="112">
        <v>52.0</v>
      </c>
      <c r="AF527" s="112">
        <v>17.0</v>
      </c>
      <c r="AG527" s="112">
        <v>46.0</v>
      </c>
      <c r="AH527" s="112">
        <v>14.0</v>
      </c>
      <c r="AI527" s="112">
        <v>27.0</v>
      </c>
      <c r="AJ527" s="112">
        <v>13.0</v>
      </c>
      <c r="AK527" s="112">
        <v>19.0</v>
      </c>
      <c r="AL527" s="112">
        <v>8.0</v>
      </c>
      <c r="AM527" s="112">
        <v>18.0</v>
      </c>
      <c r="AN527" s="109">
        <v>1122.0</v>
      </c>
    </row>
    <row r="528">
      <c r="A528" s="104"/>
      <c r="B528" s="111" t="s">
        <v>201</v>
      </c>
      <c r="C528" s="112">
        <v>159.0</v>
      </c>
      <c r="D528" s="112">
        <v>40.0</v>
      </c>
      <c r="E528" s="112">
        <v>119.0</v>
      </c>
      <c r="F528" s="112">
        <v>0.0</v>
      </c>
      <c r="G528" s="112">
        <v>8.0</v>
      </c>
      <c r="H528" s="112">
        <v>5.0</v>
      </c>
      <c r="I528" s="112">
        <v>4.0</v>
      </c>
      <c r="J528" s="112">
        <v>0.0</v>
      </c>
      <c r="K528" s="112">
        <v>4.0</v>
      </c>
      <c r="L528" s="112">
        <v>3.0</v>
      </c>
      <c r="M528" s="112">
        <v>7.0</v>
      </c>
      <c r="N528" s="112">
        <v>1.0</v>
      </c>
      <c r="O528" s="112">
        <v>7.0</v>
      </c>
      <c r="P528" s="112">
        <v>0.0</v>
      </c>
      <c r="Q528" s="112">
        <v>13.0</v>
      </c>
      <c r="R528" s="112">
        <v>0.0</v>
      </c>
      <c r="S528" s="112">
        <v>10.0</v>
      </c>
      <c r="T528" s="112">
        <v>1.0</v>
      </c>
      <c r="U528" s="112">
        <v>10.0</v>
      </c>
      <c r="V528" s="112">
        <v>1.0</v>
      </c>
      <c r="W528" s="112">
        <v>5.0</v>
      </c>
      <c r="X528" s="112">
        <v>5.0</v>
      </c>
      <c r="Y528" s="112">
        <v>9.0</v>
      </c>
      <c r="Z528" s="112">
        <v>3.0</v>
      </c>
      <c r="AA528" s="112">
        <v>5.0</v>
      </c>
      <c r="AB528" s="112">
        <v>6.0</v>
      </c>
      <c r="AC528" s="112">
        <v>8.0</v>
      </c>
      <c r="AD528" s="112">
        <v>5.0</v>
      </c>
      <c r="AE528" s="112">
        <v>8.0</v>
      </c>
      <c r="AF528" s="112">
        <v>3.0</v>
      </c>
      <c r="AG528" s="112">
        <v>6.0</v>
      </c>
      <c r="AH528" s="112">
        <v>4.0</v>
      </c>
      <c r="AI528" s="112">
        <v>4.0</v>
      </c>
      <c r="AJ528" s="112">
        <v>2.0</v>
      </c>
      <c r="AK528" s="112">
        <v>5.0</v>
      </c>
      <c r="AL528" s="112">
        <v>1.0</v>
      </c>
      <c r="AM528" s="112">
        <v>6.0</v>
      </c>
      <c r="AN528" s="112">
        <v>166.0</v>
      </c>
    </row>
    <row r="529">
      <c r="A529" s="107" t="s">
        <v>208</v>
      </c>
      <c r="B529" s="111" t="s">
        <v>198</v>
      </c>
      <c r="C529" s="112">
        <v>1.0</v>
      </c>
      <c r="D529" s="112">
        <v>0.0</v>
      </c>
      <c r="E529" s="112">
        <v>1.0</v>
      </c>
      <c r="F529" s="112">
        <v>0.0</v>
      </c>
      <c r="G529" s="112">
        <v>0.0</v>
      </c>
      <c r="H529" s="112">
        <v>0.0</v>
      </c>
      <c r="I529" s="112">
        <v>0.0</v>
      </c>
      <c r="J529" s="112">
        <v>0.0</v>
      </c>
      <c r="K529" s="112">
        <v>1.0</v>
      </c>
      <c r="L529" s="112">
        <v>0.0</v>
      </c>
      <c r="M529" s="112">
        <v>0.0</v>
      </c>
      <c r="N529" s="112">
        <v>0.0</v>
      </c>
      <c r="O529" s="112">
        <v>0.0</v>
      </c>
      <c r="P529" s="110">
        <v>0.0</v>
      </c>
      <c r="Q529" s="110">
        <v>0.0</v>
      </c>
      <c r="R529" s="110">
        <v>0.0</v>
      </c>
      <c r="S529" s="110">
        <v>0.0</v>
      </c>
      <c r="T529" s="110">
        <v>0.0</v>
      </c>
      <c r="U529" s="110">
        <v>0.0</v>
      </c>
      <c r="V529" s="110">
        <v>0.0</v>
      </c>
      <c r="W529" s="110">
        <v>0.0</v>
      </c>
      <c r="X529" s="110">
        <v>0.0</v>
      </c>
      <c r="Y529" s="110">
        <v>0.0</v>
      </c>
      <c r="Z529" s="110">
        <v>0.0</v>
      </c>
      <c r="AA529" s="110">
        <v>0.0</v>
      </c>
      <c r="AB529" s="110">
        <v>0.0</v>
      </c>
      <c r="AC529" s="110">
        <v>0.0</v>
      </c>
      <c r="AD529" s="110">
        <v>0.0</v>
      </c>
      <c r="AE529" s="110">
        <v>0.0</v>
      </c>
      <c r="AF529" s="110">
        <v>0.0</v>
      </c>
      <c r="AG529" s="110">
        <v>0.0</v>
      </c>
      <c r="AH529" s="110">
        <v>0.0</v>
      </c>
      <c r="AI529" s="110">
        <v>0.0</v>
      </c>
      <c r="AJ529" s="110">
        <v>0.0</v>
      </c>
      <c r="AK529" s="110">
        <v>0.0</v>
      </c>
      <c r="AL529" s="110">
        <v>0.0</v>
      </c>
      <c r="AM529" s="110">
        <v>0.0</v>
      </c>
      <c r="AN529" s="112">
        <v>1.0</v>
      </c>
    </row>
    <row r="530">
      <c r="A530" s="98"/>
      <c r="B530" s="111" t="s">
        <v>199</v>
      </c>
      <c r="C530" s="112">
        <v>4.0</v>
      </c>
      <c r="D530" s="112">
        <v>0.0</v>
      </c>
      <c r="E530" s="112">
        <v>4.0</v>
      </c>
      <c r="F530" s="112">
        <v>0.0</v>
      </c>
      <c r="G530" s="112">
        <v>2.0</v>
      </c>
      <c r="H530" s="112">
        <v>0.0</v>
      </c>
      <c r="I530" s="112">
        <v>0.0</v>
      </c>
      <c r="J530" s="112">
        <v>0.0</v>
      </c>
      <c r="K530" s="112">
        <v>0.0</v>
      </c>
      <c r="L530" s="112">
        <v>0.0</v>
      </c>
      <c r="M530" s="112">
        <v>2.0</v>
      </c>
      <c r="N530" s="112">
        <v>0.0</v>
      </c>
      <c r="O530" s="112">
        <v>0.0</v>
      </c>
      <c r="P530" s="110">
        <v>0.0</v>
      </c>
      <c r="Q530" s="110">
        <v>0.0</v>
      </c>
      <c r="R530" s="110">
        <v>0.0</v>
      </c>
      <c r="S530" s="110">
        <v>0.0</v>
      </c>
      <c r="T530" s="110">
        <v>0.0</v>
      </c>
      <c r="U530" s="110">
        <v>0.0</v>
      </c>
      <c r="V530" s="110">
        <v>0.0</v>
      </c>
      <c r="W530" s="110">
        <v>0.0</v>
      </c>
      <c r="X530" s="110">
        <v>0.0</v>
      </c>
      <c r="Y530" s="110">
        <v>0.0</v>
      </c>
      <c r="Z530" s="110">
        <v>0.0</v>
      </c>
      <c r="AA530" s="110">
        <v>0.0</v>
      </c>
      <c r="AB530" s="110">
        <v>0.0</v>
      </c>
      <c r="AC530" s="110">
        <v>0.0</v>
      </c>
      <c r="AD530" s="110">
        <v>0.0</v>
      </c>
      <c r="AE530" s="110">
        <v>0.0</v>
      </c>
      <c r="AF530" s="110">
        <v>0.0</v>
      </c>
      <c r="AG530" s="110">
        <v>0.0</v>
      </c>
      <c r="AH530" s="110">
        <v>0.0</v>
      </c>
      <c r="AI530" s="110">
        <v>0.0</v>
      </c>
      <c r="AJ530" s="110">
        <v>0.0</v>
      </c>
      <c r="AK530" s="110">
        <v>0.0</v>
      </c>
      <c r="AL530" s="110">
        <v>0.0</v>
      </c>
      <c r="AM530" s="110">
        <v>0.0</v>
      </c>
      <c r="AN530" s="112">
        <v>4.0</v>
      </c>
    </row>
    <row r="531">
      <c r="A531" s="98"/>
      <c r="B531" s="111" t="s">
        <v>206</v>
      </c>
      <c r="C531" s="112">
        <v>1.0</v>
      </c>
      <c r="D531" s="112">
        <v>0.0</v>
      </c>
      <c r="E531" s="112">
        <v>1.0</v>
      </c>
      <c r="F531" s="112">
        <v>0.0</v>
      </c>
      <c r="G531" s="112">
        <v>0.0</v>
      </c>
      <c r="H531" s="112">
        <v>0.0</v>
      </c>
      <c r="I531" s="112">
        <v>0.0</v>
      </c>
      <c r="J531" s="112">
        <v>0.0</v>
      </c>
      <c r="K531" s="112">
        <v>0.0</v>
      </c>
      <c r="L531" s="112">
        <v>0.0</v>
      </c>
      <c r="M531" s="112">
        <v>1.0</v>
      </c>
      <c r="N531" s="112">
        <v>0.0</v>
      </c>
      <c r="O531" s="112">
        <v>0.0</v>
      </c>
      <c r="P531" s="110">
        <v>0.0</v>
      </c>
      <c r="Q531" s="110">
        <v>0.0</v>
      </c>
      <c r="R531" s="110">
        <v>0.0</v>
      </c>
      <c r="S531" s="110">
        <v>0.0</v>
      </c>
      <c r="T531" s="110">
        <v>0.0</v>
      </c>
      <c r="U531" s="110">
        <v>0.0</v>
      </c>
      <c r="V531" s="110">
        <v>0.0</v>
      </c>
      <c r="W531" s="110">
        <v>0.0</v>
      </c>
      <c r="X531" s="110">
        <v>0.0</v>
      </c>
      <c r="Y531" s="110">
        <v>0.0</v>
      </c>
      <c r="Z531" s="110">
        <v>0.0</v>
      </c>
      <c r="AA531" s="110">
        <v>0.0</v>
      </c>
      <c r="AB531" s="110">
        <v>0.0</v>
      </c>
      <c r="AC531" s="110">
        <v>0.0</v>
      </c>
      <c r="AD531" s="110">
        <v>0.0</v>
      </c>
      <c r="AE531" s="110">
        <v>0.0</v>
      </c>
      <c r="AF531" s="110">
        <v>0.0</v>
      </c>
      <c r="AG531" s="110">
        <v>0.0</v>
      </c>
      <c r="AH531" s="110">
        <v>0.0</v>
      </c>
      <c r="AI531" s="110">
        <v>0.0</v>
      </c>
      <c r="AJ531" s="110">
        <v>0.0</v>
      </c>
      <c r="AK531" s="110">
        <v>0.0</v>
      </c>
      <c r="AL531" s="110">
        <v>0.0</v>
      </c>
      <c r="AM531" s="110">
        <v>0.0</v>
      </c>
      <c r="AN531" s="112">
        <v>1.0</v>
      </c>
    </row>
    <row r="532">
      <c r="A532" s="98"/>
      <c r="B532" s="111" t="s">
        <v>200</v>
      </c>
      <c r="C532" s="112">
        <v>1.0</v>
      </c>
      <c r="D532" s="112">
        <v>1.0</v>
      </c>
      <c r="E532" s="112">
        <v>0.0</v>
      </c>
      <c r="F532" s="112">
        <v>0.0</v>
      </c>
      <c r="G532" s="112">
        <v>0.0</v>
      </c>
      <c r="H532" s="112">
        <v>0.0</v>
      </c>
      <c r="I532" s="112">
        <v>0.0</v>
      </c>
      <c r="J532" s="112">
        <v>1.0</v>
      </c>
      <c r="K532" s="112">
        <v>0.0</v>
      </c>
      <c r="L532" s="112">
        <v>0.0</v>
      </c>
      <c r="M532" s="112">
        <v>0.0</v>
      </c>
      <c r="N532" s="112">
        <v>0.0</v>
      </c>
      <c r="O532" s="112">
        <v>0.0</v>
      </c>
      <c r="P532" s="110">
        <v>0.0</v>
      </c>
      <c r="Q532" s="110">
        <v>0.0</v>
      </c>
      <c r="R532" s="110">
        <v>0.0</v>
      </c>
      <c r="S532" s="110">
        <v>0.0</v>
      </c>
      <c r="T532" s="110">
        <v>0.0</v>
      </c>
      <c r="U532" s="110">
        <v>0.0</v>
      </c>
      <c r="V532" s="110">
        <v>0.0</v>
      </c>
      <c r="W532" s="110">
        <v>0.0</v>
      </c>
      <c r="X532" s="110">
        <v>0.0</v>
      </c>
      <c r="Y532" s="110">
        <v>0.0</v>
      </c>
      <c r="Z532" s="110">
        <v>0.0</v>
      </c>
      <c r="AA532" s="110">
        <v>0.0</v>
      </c>
      <c r="AB532" s="110">
        <v>0.0</v>
      </c>
      <c r="AC532" s="110">
        <v>0.0</v>
      </c>
      <c r="AD532" s="110">
        <v>0.0</v>
      </c>
      <c r="AE532" s="110">
        <v>0.0</v>
      </c>
      <c r="AF532" s="110">
        <v>0.0</v>
      </c>
      <c r="AG532" s="110">
        <v>0.0</v>
      </c>
      <c r="AH532" s="110">
        <v>0.0</v>
      </c>
      <c r="AI532" s="110">
        <v>0.0</v>
      </c>
      <c r="AJ532" s="110">
        <v>0.0</v>
      </c>
      <c r="AK532" s="110">
        <v>0.0</v>
      </c>
      <c r="AL532" s="110">
        <v>0.0</v>
      </c>
      <c r="AM532" s="110">
        <v>0.0</v>
      </c>
      <c r="AN532" s="112">
        <v>1.0</v>
      </c>
    </row>
    <row r="533">
      <c r="A533" s="104"/>
      <c r="B533" s="111" t="s">
        <v>201</v>
      </c>
      <c r="C533" s="112">
        <v>1.0</v>
      </c>
      <c r="D533" s="112">
        <v>1.0</v>
      </c>
      <c r="E533" s="112">
        <v>0.0</v>
      </c>
      <c r="F533" s="112">
        <v>0.0</v>
      </c>
      <c r="G533" s="112">
        <v>0.0</v>
      </c>
      <c r="H533" s="112">
        <v>0.0</v>
      </c>
      <c r="I533" s="112">
        <v>0.0</v>
      </c>
      <c r="J533" s="112">
        <v>0.0</v>
      </c>
      <c r="K533" s="112">
        <v>0.0</v>
      </c>
      <c r="L533" s="112">
        <v>1.0</v>
      </c>
      <c r="M533" s="112">
        <v>0.0</v>
      </c>
      <c r="N533" s="112">
        <v>0.0</v>
      </c>
      <c r="O533" s="112">
        <v>0.0</v>
      </c>
      <c r="P533" s="110">
        <v>0.0</v>
      </c>
      <c r="Q533" s="110">
        <v>0.0</v>
      </c>
      <c r="R533" s="110">
        <v>0.0</v>
      </c>
      <c r="S533" s="110">
        <v>0.0</v>
      </c>
      <c r="T533" s="110">
        <v>0.0</v>
      </c>
      <c r="U533" s="110">
        <v>0.0</v>
      </c>
      <c r="V533" s="110">
        <v>0.0</v>
      </c>
      <c r="W533" s="110">
        <v>0.0</v>
      </c>
      <c r="X533" s="110">
        <v>0.0</v>
      </c>
      <c r="Y533" s="110">
        <v>0.0</v>
      </c>
      <c r="Z533" s="110">
        <v>0.0</v>
      </c>
      <c r="AA533" s="110">
        <v>0.0</v>
      </c>
      <c r="AB533" s="110">
        <v>0.0</v>
      </c>
      <c r="AC533" s="110">
        <v>0.0</v>
      </c>
      <c r="AD533" s="110">
        <v>0.0</v>
      </c>
      <c r="AE533" s="110">
        <v>0.0</v>
      </c>
      <c r="AF533" s="110">
        <v>0.0</v>
      </c>
      <c r="AG533" s="110">
        <v>0.0</v>
      </c>
      <c r="AH533" s="110">
        <v>0.0</v>
      </c>
      <c r="AI533" s="110">
        <v>0.0</v>
      </c>
      <c r="AJ533" s="110">
        <v>0.0</v>
      </c>
      <c r="AK533" s="110">
        <v>0.0</v>
      </c>
      <c r="AL533" s="110">
        <v>0.0</v>
      </c>
      <c r="AM533" s="110">
        <v>0.0</v>
      </c>
      <c r="AN533" s="112">
        <v>1.0</v>
      </c>
    </row>
    <row r="534">
      <c r="A534" s="113" t="s">
        <v>230</v>
      </c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</row>
    <row r="535">
      <c r="A535" s="107" t="s">
        <v>197</v>
      </c>
      <c r="B535" s="108" t="s">
        <v>198</v>
      </c>
      <c r="C535" s="109">
        <v>49989.0</v>
      </c>
      <c r="D535" s="109">
        <v>17581.0</v>
      </c>
      <c r="E535" s="109">
        <v>32408.0</v>
      </c>
      <c r="F535" s="110">
        <v>0.0</v>
      </c>
      <c r="G535" s="110">
        <v>0.0</v>
      </c>
      <c r="H535" s="110">
        <v>0.0</v>
      </c>
      <c r="I535" s="110">
        <v>0.0</v>
      </c>
      <c r="J535" s="110">
        <v>0.0</v>
      </c>
      <c r="K535" s="110">
        <v>0.0</v>
      </c>
      <c r="L535" s="112">
        <v>24.0</v>
      </c>
      <c r="M535" s="112">
        <v>44.0</v>
      </c>
      <c r="N535" s="112">
        <v>53.0</v>
      </c>
      <c r="O535" s="112">
        <v>92.0</v>
      </c>
      <c r="P535" s="112">
        <v>98.0</v>
      </c>
      <c r="Q535" s="112">
        <v>193.0</v>
      </c>
      <c r="R535" s="112">
        <v>179.0</v>
      </c>
      <c r="S535" s="112">
        <v>422.0</v>
      </c>
      <c r="T535" s="112">
        <v>295.0</v>
      </c>
      <c r="U535" s="112">
        <v>789.0</v>
      </c>
      <c r="V535" s="112">
        <v>538.0</v>
      </c>
      <c r="W535" s="109">
        <v>1400.0</v>
      </c>
      <c r="X535" s="112">
        <v>995.0</v>
      </c>
      <c r="Y535" s="109">
        <v>2544.0</v>
      </c>
      <c r="Z535" s="109">
        <v>1647.0</v>
      </c>
      <c r="AA535" s="109">
        <v>3899.0</v>
      </c>
      <c r="AB535" s="109">
        <v>1914.0</v>
      </c>
      <c r="AC535" s="109">
        <v>3867.0</v>
      </c>
      <c r="AD535" s="109">
        <v>2467.0</v>
      </c>
      <c r="AE535" s="109">
        <v>4564.0</v>
      </c>
      <c r="AF535" s="109">
        <v>2497.0</v>
      </c>
      <c r="AG535" s="109">
        <v>4203.0</v>
      </c>
      <c r="AH535" s="109">
        <v>2500.0</v>
      </c>
      <c r="AI535" s="109">
        <v>3800.0</v>
      </c>
      <c r="AJ535" s="109">
        <v>2037.0</v>
      </c>
      <c r="AK535" s="109">
        <v>3063.0</v>
      </c>
      <c r="AL535" s="109">
        <v>2337.0</v>
      </c>
      <c r="AM535" s="109">
        <v>3528.0</v>
      </c>
      <c r="AN535" s="109">
        <v>47331.0</v>
      </c>
    </row>
    <row r="536">
      <c r="A536" s="98"/>
      <c r="B536" s="111" t="s">
        <v>199</v>
      </c>
      <c r="C536" s="109">
        <v>31674.0</v>
      </c>
      <c r="D536" s="109">
        <v>11028.0</v>
      </c>
      <c r="E536" s="109">
        <v>20646.0</v>
      </c>
      <c r="F536" s="110">
        <v>0.0</v>
      </c>
      <c r="G536" s="110">
        <v>0.0</v>
      </c>
      <c r="H536" s="110">
        <v>0.0</v>
      </c>
      <c r="I536" s="110">
        <v>0.0</v>
      </c>
      <c r="J536" s="110">
        <v>0.0</v>
      </c>
      <c r="K536" s="110">
        <v>0.0</v>
      </c>
      <c r="L536" s="112">
        <v>11.0</v>
      </c>
      <c r="M536" s="112">
        <v>3.0</v>
      </c>
      <c r="N536" s="112">
        <v>17.0</v>
      </c>
      <c r="O536" s="112">
        <v>39.0</v>
      </c>
      <c r="P536" s="112">
        <v>42.0</v>
      </c>
      <c r="Q536" s="112">
        <v>76.0</v>
      </c>
      <c r="R536" s="112">
        <v>78.0</v>
      </c>
      <c r="S536" s="112">
        <v>181.0</v>
      </c>
      <c r="T536" s="112">
        <v>134.0</v>
      </c>
      <c r="U536" s="112">
        <v>376.0</v>
      </c>
      <c r="V536" s="112">
        <v>253.0</v>
      </c>
      <c r="W536" s="112">
        <v>798.0</v>
      </c>
      <c r="X536" s="112">
        <v>501.0</v>
      </c>
      <c r="Y536" s="109">
        <v>1343.0</v>
      </c>
      <c r="Z536" s="112">
        <v>953.0</v>
      </c>
      <c r="AA536" s="109">
        <v>2335.0</v>
      </c>
      <c r="AB536" s="109">
        <v>1167.0</v>
      </c>
      <c r="AC536" s="109">
        <v>2415.0</v>
      </c>
      <c r="AD536" s="109">
        <v>1438.0</v>
      </c>
      <c r="AE536" s="109">
        <v>2783.0</v>
      </c>
      <c r="AF536" s="109">
        <v>1632.0</v>
      </c>
      <c r="AG536" s="109">
        <v>2909.0</v>
      </c>
      <c r="AH536" s="109">
        <v>1708.0</v>
      </c>
      <c r="AI536" s="109">
        <v>2762.0</v>
      </c>
      <c r="AJ536" s="109">
        <v>1436.0</v>
      </c>
      <c r="AK536" s="109">
        <v>2095.0</v>
      </c>
      <c r="AL536" s="109">
        <v>1658.0</v>
      </c>
      <c r="AM536" s="109">
        <v>2531.0</v>
      </c>
      <c r="AN536" s="109">
        <v>30831.0</v>
      </c>
    </row>
    <row r="537">
      <c r="A537" s="98"/>
      <c r="B537" s="111" t="s">
        <v>200</v>
      </c>
      <c r="C537" s="109">
        <v>10606.0</v>
      </c>
      <c r="D537" s="109">
        <v>3402.0</v>
      </c>
      <c r="E537" s="109">
        <v>7204.0</v>
      </c>
      <c r="F537" s="110">
        <v>0.0</v>
      </c>
      <c r="G537" s="110">
        <v>0.0</v>
      </c>
      <c r="H537" s="110">
        <v>0.0</v>
      </c>
      <c r="I537" s="110">
        <v>0.0</v>
      </c>
      <c r="J537" s="110">
        <v>0.0</v>
      </c>
      <c r="K537" s="110">
        <v>0.0</v>
      </c>
      <c r="L537" s="112">
        <v>1.0</v>
      </c>
      <c r="M537" s="112">
        <v>11.0</v>
      </c>
      <c r="N537" s="112">
        <v>15.0</v>
      </c>
      <c r="O537" s="112">
        <v>26.0</v>
      </c>
      <c r="P537" s="112">
        <v>23.0</v>
      </c>
      <c r="Q537" s="112">
        <v>56.0</v>
      </c>
      <c r="R537" s="112">
        <v>61.0</v>
      </c>
      <c r="S537" s="112">
        <v>102.0</v>
      </c>
      <c r="T537" s="112">
        <v>46.0</v>
      </c>
      <c r="U537" s="112">
        <v>223.0</v>
      </c>
      <c r="V537" s="112">
        <v>115.0</v>
      </c>
      <c r="W537" s="112">
        <v>348.0</v>
      </c>
      <c r="X537" s="112">
        <v>240.0</v>
      </c>
      <c r="Y537" s="112">
        <v>650.0</v>
      </c>
      <c r="Z537" s="112">
        <v>340.0</v>
      </c>
      <c r="AA537" s="112">
        <v>997.0</v>
      </c>
      <c r="AB537" s="112">
        <v>370.0</v>
      </c>
      <c r="AC537" s="112">
        <v>943.0</v>
      </c>
      <c r="AD537" s="112">
        <v>477.0</v>
      </c>
      <c r="AE537" s="112">
        <v>982.0</v>
      </c>
      <c r="AF537" s="112">
        <v>505.0</v>
      </c>
      <c r="AG537" s="109">
        <v>1009.0</v>
      </c>
      <c r="AH537" s="112">
        <v>485.0</v>
      </c>
      <c r="AI537" s="112">
        <v>767.0</v>
      </c>
      <c r="AJ537" s="112">
        <v>362.0</v>
      </c>
      <c r="AK537" s="112">
        <v>525.0</v>
      </c>
      <c r="AL537" s="112">
        <v>362.0</v>
      </c>
      <c r="AM537" s="112">
        <v>565.0</v>
      </c>
      <c r="AN537" s="109">
        <v>10023.0</v>
      </c>
    </row>
    <row r="538">
      <c r="A538" s="104"/>
      <c r="B538" s="111" t="s">
        <v>201</v>
      </c>
      <c r="C538" s="109">
        <v>1061.0</v>
      </c>
      <c r="D538" s="112">
        <v>477.0</v>
      </c>
      <c r="E538" s="112">
        <v>584.0</v>
      </c>
      <c r="F538" s="110">
        <v>0.0</v>
      </c>
      <c r="G538" s="110">
        <v>0.0</v>
      </c>
      <c r="H538" s="110">
        <v>0.0</v>
      </c>
      <c r="I538" s="110">
        <v>0.0</v>
      </c>
      <c r="J538" s="110">
        <v>0.0</v>
      </c>
      <c r="K538" s="110">
        <v>0.0</v>
      </c>
      <c r="L538" s="112">
        <v>1.0</v>
      </c>
      <c r="M538" s="112">
        <v>6.0</v>
      </c>
      <c r="N538" s="112">
        <v>5.0</v>
      </c>
      <c r="O538" s="112">
        <v>2.0</v>
      </c>
      <c r="P538" s="112">
        <v>3.0</v>
      </c>
      <c r="Q538" s="112">
        <v>2.0</v>
      </c>
      <c r="R538" s="112">
        <v>7.0</v>
      </c>
      <c r="S538" s="112">
        <v>13.0</v>
      </c>
      <c r="T538" s="112">
        <v>12.0</v>
      </c>
      <c r="U538" s="112">
        <v>15.0</v>
      </c>
      <c r="V538" s="112">
        <v>28.0</v>
      </c>
      <c r="W538" s="112">
        <v>26.0</v>
      </c>
      <c r="X538" s="112">
        <v>21.0</v>
      </c>
      <c r="Y538" s="112">
        <v>31.0</v>
      </c>
      <c r="Z538" s="112">
        <v>41.0</v>
      </c>
      <c r="AA538" s="112">
        <v>75.0</v>
      </c>
      <c r="AB538" s="112">
        <v>51.0</v>
      </c>
      <c r="AC538" s="112">
        <v>56.0</v>
      </c>
      <c r="AD538" s="112">
        <v>59.0</v>
      </c>
      <c r="AE538" s="112">
        <v>71.0</v>
      </c>
      <c r="AF538" s="112">
        <v>77.0</v>
      </c>
      <c r="AG538" s="112">
        <v>79.0</v>
      </c>
      <c r="AH538" s="112">
        <v>52.0</v>
      </c>
      <c r="AI538" s="112">
        <v>76.0</v>
      </c>
      <c r="AJ538" s="112">
        <v>57.0</v>
      </c>
      <c r="AK538" s="112">
        <v>60.0</v>
      </c>
      <c r="AL538" s="112">
        <v>63.0</v>
      </c>
      <c r="AM538" s="112">
        <v>72.0</v>
      </c>
      <c r="AN538" s="109">
        <v>1024.0</v>
      </c>
    </row>
    <row r="539">
      <c r="A539" s="107" t="s">
        <v>202</v>
      </c>
      <c r="B539" s="111" t="s">
        <v>198</v>
      </c>
      <c r="C539" s="112">
        <v>74.0</v>
      </c>
      <c r="D539" s="112">
        <v>57.0</v>
      </c>
      <c r="E539" s="112">
        <v>17.0</v>
      </c>
      <c r="F539" s="112">
        <v>0.0</v>
      </c>
      <c r="G539" s="112">
        <v>1.0</v>
      </c>
      <c r="H539" s="112">
        <v>0.0</v>
      </c>
      <c r="I539" s="112">
        <v>0.0</v>
      </c>
      <c r="J539" s="112">
        <v>2.0</v>
      </c>
      <c r="K539" s="112">
        <v>2.0</v>
      </c>
      <c r="L539" s="112">
        <v>0.0</v>
      </c>
      <c r="M539" s="112">
        <v>3.0</v>
      </c>
      <c r="N539" s="112">
        <v>1.0</v>
      </c>
      <c r="O539" s="112">
        <v>2.0</v>
      </c>
      <c r="P539" s="112">
        <v>0.0</v>
      </c>
      <c r="Q539" s="112">
        <v>0.0</v>
      </c>
      <c r="R539" s="112">
        <v>4.0</v>
      </c>
      <c r="S539" s="112">
        <v>5.0</v>
      </c>
      <c r="T539" s="112">
        <v>4.0</v>
      </c>
      <c r="U539" s="112">
        <v>0.0</v>
      </c>
      <c r="V539" s="112">
        <v>3.0</v>
      </c>
      <c r="W539" s="112">
        <v>0.0</v>
      </c>
      <c r="X539" s="112">
        <v>16.0</v>
      </c>
      <c r="Y539" s="112">
        <v>0.0</v>
      </c>
      <c r="Z539" s="112">
        <v>4.0</v>
      </c>
      <c r="AA539" s="112">
        <v>3.0</v>
      </c>
      <c r="AB539" s="112">
        <v>2.0</v>
      </c>
      <c r="AC539" s="112">
        <v>0.0</v>
      </c>
      <c r="AD539" s="112">
        <v>6.0</v>
      </c>
      <c r="AE539" s="112">
        <v>0.0</v>
      </c>
      <c r="AF539" s="112">
        <v>0.0</v>
      </c>
      <c r="AG539" s="112">
        <v>0.0</v>
      </c>
      <c r="AH539" s="112">
        <v>4.0</v>
      </c>
      <c r="AI539" s="112">
        <v>1.0</v>
      </c>
      <c r="AJ539" s="112">
        <v>9.0</v>
      </c>
      <c r="AK539" s="112">
        <v>0.0</v>
      </c>
      <c r="AL539" s="112">
        <v>2.0</v>
      </c>
      <c r="AM539" s="112">
        <v>0.0</v>
      </c>
      <c r="AN539" s="112">
        <v>70.0</v>
      </c>
    </row>
    <row r="540">
      <c r="A540" s="104"/>
      <c r="B540" s="111" t="s">
        <v>199</v>
      </c>
      <c r="C540" s="112">
        <v>44.0</v>
      </c>
      <c r="D540" s="112">
        <v>29.0</v>
      </c>
      <c r="E540" s="112">
        <v>15.0</v>
      </c>
      <c r="F540" s="112">
        <v>1.0</v>
      </c>
      <c r="G540" s="112">
        <v>0.0</v>
      </c>
      <c r="H540" s="112">
        <v>1.0</v>
      </c>
      <c r="I540" s="112">
        <v>0.0</v>
      </c>
      <c r="J540" s="112">
        <v>2.0</v>
      </c>
      <c r="K540" s="112">
        <v>1.0</v>
      </c>
      <c r="L540" s="112">
        <v>0.0</v>
      </c>
      <c r="M540" s="112">
        <v>0.0</v>
      </c>
      <c r="N540" s="112">
        <v>1.0</v>
      </c>
      <c r="O540" s="112">
        <v>2.0</v>
      </c>
      <c r="P540" s="112">
        <v>1.0</v>
      </c>
      <c r="Q540" s="112">
        <v>0.0</v>
      </c>
      <c r="R540" s="112">
        <v>1.0</v>
      </c>
      <c r="S540" s="112">
        <v>0.0</v>
      </c>
      <c r="T540" s="112">
        <v>0.0</v>
      </c>
      <c r="U540" s="112">
        <v>1.0</v>
      </c>
      <c r="V540" s="112">
        <v>1.0</v>
      </c>
      <c r="W540" s="112">
        <v>1.0</v>
      </c>
      <c r="X540" s="112">
        <v>1.0</v>
      </c>
      <c r="Y540" s="112">
        <v>1.0</v>
      </c>
      <c r="Z540" s="112">
        <v>3.0</v>
      </c>
      <c r="AA540" s="112">
        <v>4.0</v>
      </c>
      <c r="AB540" s="112">
        <v>5.0</v>
      </c>
      <c r="AC540" s="112">
        <v>2.0</v>
      </c>
      <c r="AD540" s="112">
        <v>3.0</v>
      </c>
      <c r="AE540" s="112">
        <v>1.0</v>
      </c>
      <c r="AF540" s="112">
        <v>1.0</v>
      </c>
      <c r="AG540" s="112">
        <v>1.0</v>
      </c>
      <c r="AH540" s="112">
        <v>3.0</v>
      </c>
      <c r="AI540" s="112">
        <v>0.0</v>
      </c>
      <c r="AJ540" s="112">
        <v>1.0</v>
      </c>
      <c r="AK540" s="112">
        <v>1.0</v>
      </c>
      <c r="AL540" s="112">
        <v>4.0</v>
      </c>
      <c r="AM540" s="112">
        <v>0.0</v>
      </c>
      <c r="AN540" s="112">
        <v>35.0</v>
      </c>
    </row>
    <row r="541">
      <c r="A541" s="107" t="s">
        <v>203</v>
      </c>
      <c r="B541" s="111" t="s">
        <v>198</v>
      </c>
      <c r="C541" s="112">
        <v>0.0</v>
      </c>
      <c r="D541" s="112">
        <v>0.0</v>
      </c>
      <c r="E541" s="112">
        <v>0.0</v>
      </c>
      <c r="F541" s="110">
        <v>0.0</v>
      </c>
      <c r="G541" s="110">
        <v>0.0</v>
      </c>
      <c r="H541" s="110">
        <v>0.0</v>
      </c>
      <c r="I541" s="110">
        <v>0.0</v>
      </c>
      <c r="J541" s="110">
        <v>0.0</v>
      </c>
      <c r="K541" s="110">
        <v>0.0</v>
      </c>
      <c r="L541" s="110">
        <v>0.0</v>
      </c>
      <c r="M541" s="110">
        <v>0.0</v>
      </c>
      <c r="N541" s="110">
        <v>0.0</v>
      </c>
      <c r="O541" s="110">
        <v>0.0</v>
      </c>
      <c r="P541" s="110">
        <v>0.0</v>
      </c>
      <c r="Q541" s="110">
        <v>0.0</v>
      </c>
      <c r="R541" s="110">
        <v>0.0</v>
      </c>
      <c r="S541" s="110">
        <v>0.0</v>
      </c>
      <c r="T541" s="110">
        <v>0.0</v>
      </c>
      <c r="U541" s="110">
        <v>0.0</v>
      </c>
      <c r="V541" s="110">
        <v>0.0</v>
      </c>
      <c r="W541" s="110">
        <v>0.0</v>
      </c>
      <c r="X541" s="110">
        <v>0.0</v>
      </c>
      <c r="Y541" s="110">
        <v>0.0</v>
      </c>
      <c r="Z541" s="110">
        <v>0.0</v>
      </c>
      <c r="AA541" s="110">
        <v>0.0</v>
      </c>
      <c r="AB541" s="110">
        <v>0.0</v>
      </c>
      <c r="AC541" s="110">
        <v>0.0</v>
      </c>
      <c r="AD541" s="110">
        <v>0.0</v>
      </c>
      <c r="AE541" s="110">
        <v>0.0</v>
      </c>
      <c r="AF541" s="112">
        <v>0.0</v>
      </c>
      <c r="AG541" s="112">
        <v>0.0</v>
      </c>
      <c r="AH541" s="112">
        <v>0.0</v>
      </c>
      <c r="AI541" s="112">
        <v>0.0</v>
      </c>
      <c r="AJ541" s="112">
        <v>0.0</v>
      </c>
      <c r="AK541" s="112">
        <v>0.0</v>
      </c>
      <c r="AL541" s="112">
        <v>0.0</v>
      </c>
      <c r="AM541" s="112">
        <v>0.0</v>
      </c>
      <c r="AN541" s="112">
        <v>0.0</v>
      </c>
    </row>
    <row r="542">
      <c r="A542" s="104"/>
      <c r="B542" s="111" t="s">
        <v>199</v>
      </c>
      <c r="C542" s="112">
        <v>74.0</v>
      </c>
      <c r="D542" s="112">
        <v>41.0</v>
      </c>
      <c r="E542" s="112">
        <v>33.0</v>
      </c>
      <c r="F542" s="110">
        <v>0.0</v>
      </c>
      <c r="G542" s="110">
        <v>0.0</v>
      </c>
      <c r="H542" s="110">
        <v>0.0</v>
      </c>
      <c r="I542" s="110">
        <v>0.0</v>
      </c>
      <c r="J542" s="110">
        <v>0.0</v>
      </c>
      <c r="K542" s="110">
        <v>0.0</v>
      </c>
      <c r="L542" s="110">
        <v>0.0</v>
      </c>
      <c r="M542" s="110">
        <v>0.0</v>
      </c>
      <c r="N542" s="110">
        <v>0.0</v>
      </c>
      <c r="O542" s="110">
        <v>0.0</v>
      </c>
      <c r="P542" s="110">
        <v>0.0</v>
      </c>
      <c r="Q542" s="110">
        <v>0.0</v>
      </c>
      <c r="R542" s="110">
        <v>0.0</v>
      </c>
      <c r="S542" s="110">
        <v>0.0</v>
      </c>
      <c r="T542" s="110">
        <v>0.0</v>
      </c>
      <c r="U542" s="110">
        <v>0.0</v>
      </c>
      <c r="V542" s="110">
        <v>0.0</v>
      </c>
      <c r="W542" s="110">
        <v>0.0</v>
      </c>
      <c r="X542" s="110">
        <v>0.0</v>
      </c>
      <c r="Y542" s="110">
        <v>0.0</v>
      </c>
      <c r="Z542" s="110">
        <v>0.0</v>
      </c>
      <c r="AA542" s="110">
        <v>0.0</v>
      </c>
      <c r="AB542" s="110">
        <v>0.0</v>
      </c>
      <c r="AC542" s="110">
        <v>0.0</v>
      </c>
      <c r="AD542" s="110">
        <v>0.0</v>
      </c>
      <c r="AE542" s="110">
        <v>0.0</v>
      </c>
      <c r="AF542" s="112">
        <v>14.0</v>
      </c>
      <c r="AG542" s="112">
        <v>10.0</v>
      </c>
      <c r="AH542" s="112">
        <v>13.0</v>
      </c>
      <c r="AI542" s="112">
        <v>8.0</v>
      </c>
      <c r="AJ542" s="112">
        <v>4.0</v>
      </c>
      <c r="AK542" s="112">
        <v>7.0</v>
      </c>
      <c r="AL542" s="112">
        <v>10.0</v>
      </c>
      <c r="AM542" s="112">
        <v>8.0</v>
      </c>
      <c r="AN542" s="112">
        <v>70.0</v>
      </c>
    </row>
    <row r="543">
      <c r="A543" s="107" t="s">
        <v>204</v>
      </c>
      <c r="B543" s="111" t="s">
        <v>198</v>
      </c>
      <c r="C543" s="112">
        <v>6.0</v>
      </c>
      <c r="D543" s="112">
        <v>2.0</v>
      </c>
      <c r="E543" s="112">
        <v>4.0</v>
      </c>
      <c r="F543" s="110">
        <v>0.0</v>
      </c>
      <c r="G543" s="110">
        <v>0.0</v>
      </c>
      <c r="H543" s="110">
        <v>0.0</v>
      </c>
      <c r="I543" s="110">
        <v>0.0</v>
      </c>
      <c r="J543" s="110">
        <v>0.0</v>
      </c>
      <c r="K543" s="110">
        <v>0.0</v>
      </c>
      <c r="L543" s="110">
        <v>0.0</v>
      </c>
      <c r="M543" s="110">
        <v>0.0</v>
      </c>
      <c r="N543" s="110">
        <v>0.0</v>
      </c>
      <c r="O543" s="110">
        <v>0.0</v>
      </c>
      <c r="P543" s="110">
        <v>0.0</v>
      </c>
      <c r="Q543" s="110">
        <v>0.0</v>
      </c>
      <c r="R543" s="110">
        <v>0.0</v>
      </c>
      <c r="S543" s="110">
        <v>0.0</v>
      </c>
      <c r="T543" s="110">
        <v>0.0</v>
      </c>
      <c r="U543" s="110">
        <v>0.0</v>
      </c>
      <c r="V543" s="110">
        <v>0.0</v>
      </c>
      <c r="W543" s="110">
        <v>0.0</v>
      </c>
      <c r="X543" s="110">
        <v>0.0</v>
      </c>
      <c r="Y543" s="110">
        <v>0.0</v>
      </c>
      <c r="Z543" s="110">
        <v>0.0</v>
      </c>
      <c r="AA543" s="110">
        <v>0.0</v>
      </c>
      <c r="AB543" s="110">
        <v>0.0</v>
      </c>
      <c r="AC543" s="110">
        <v>0.0</v>
      </c>
      <c r="AD543" s="110">
        <v>0.0</v>
      </c>
      <c r="AE543" s="110">
        <v>0.0</v>
      </c>
      <c r="AF543" s="112">
        <v>0.0</v>
      </c>
      <c r="AG543" s="112">
        <v>1.0</v>
      </c>
      <c r="AH543" s="112">
        <v>1.0</v>
      </c>
      <c r="AI543" s="112">
        <v>0.0</v>
      </c>
      <c r="AJ543" s="112">
        <v>0.0</v>
      </c>
      <c r="AK543" s="112">
        <v>1.0</v>
      </c>
      <c r="AL543" s="112">
        <v>1.0</v>
      </c>
      <c r="AM543" s="112">
        <v>2.0</v>
      </c>
      <c r="AN543" s="112">
        <v>6.0</v>
      </c>
    </row>
    <row r="544">
      <c r="A544" s="104"/>
      <c r="B544" s="111" t="s">
        <v>199</v>
      </c>
      <c r="C544" s="112">
        <v>90.0</v>
      </c>
      <c r="D544" s="112">
        <v>35.0</v>
      </c>
      <c r="E544" s="112">
        <v>55.0</v>
      </c>
      <c r="F544" s="110">
        <v>0.0</v>
      </c>
      <c r="G544" s="110">
        <v>0.0</v>
      </c>
      <c r="H544" s="110">
        <v>0.0</v>
      </c>
      <c r="I544" s="110">
        <v>0.0</v>
      </c>
      <c r="J544" s="110">
        <v>0.0</v>
      </c>
      <c r="K544" s="110">
        <v>0.0</v>
      </c>
      <c r="L544" s="110">
        <v>0.0</v>
      </c>
      <c r="M544" s="110">
        <v>0.0</v>
      </c>
      <c r="N544" s="110">
        <v>0.0</v>
      </c>
      <c r="O544" s="110">
        <v>0.0</v>
      </c>
      <c r="P544" s="110">
        <v>0.0</v>
      </c>
      <c r="Q544" s="110">
        <v>0.0</v>
      </c>
      <c r="R544" s="110">
        <v>0.0</v>
      </c>
      <c r="S544" s="110">
        <v>0.0</v>
      </c>
      <c r="T544" s="110">
        <v>0.0</v>
      </c>
      <c r="U544" s="110">
        <v>0.0</v>
      </c>
      <c r="V544" s="110">
        <v>0.0</v>
      </c>
      <c r="W544" s="110">
        <v>0.0</v>
      </c>
      <c r="X544" s="110">
        <v>0.0</v>
      </c>
      <c r="Y544" s="110">
        <v>0.0</v>
      </c>
      <c r="Z544" s="110">
        <v>0.0</v>
      </c>
      <c r="AA544" s="110">
        <v>0.0</v>
      </c>
      <c r="AB544" s="110">
        <v>0.0</v>
      </c>
      <c r="AC544" s="110">
        <v>0.0</v>
      </c>
      <c r="AD544" s="110">
        <v>0.0</v>
      </c>
      <c r="AE544" s="110">
        <v>0.0</v>
      </c>
      <c r="AF544" s="112">
        <v>6.0</v>
      </c>
      <c r="AG544" s="112">
        <v>9.0</v>
      </c>
      <c r="AH544" s="112">
        <v>7.0</v>
      </c>
      <c r="AI544" s="112">
        <v>19.0</v>
      </c>
      <c r="AJ544" s="112">
        <v>8.0</v>
      </c>
      <c r="AK544" s="112">
        <v>12.0</v>
      </c>
      <c r="AL544" s="112">
        <v>14.0</v>
      </c>
      <c r="AM544" s="112">
        <v>15.0</v>
      </c>
      <c r="AN544" s="112">
        <v>90.0</v>
      </c>
    </row>
    <row r="545">
      <c r="A545" s="107" t="s">
        <v>205</v>
      </c>
      <c r="B545" s="111" t="s">
        <v>198</v>
      </c>
      <c r="C545" s="112">
        <v>12.0</v>
      </c>
      <c r="D545" s="112">
        <v>2.0</v>
      </c>
      <c r="E545" s="112">
        <v>10.0</v>
      </c>
      <c r="F545" s="112">
        <v>0.0</v>
      </c>
      <c r="G545" s="112">
        <v>0.0</v>
      </c>
      <c r="H545" s="112">
        <v>0.0</v>
      </c>
      <c r="I545" s="112">
        <v>0.0</v>
      </c>
      <c r="J545" s="112">
        <v>0.0</v>
      </c>
      <c r="K545" s="112">
        <v>0.0</v>
      </c>
      <c r="L545" s="112">
        <v>0.0</v>
      </c>
      <c r="M545" s="112">
        <v>0.0</v>
      </c>
      <c r="N545" s="112">
        <v>0.0</v>
      </c>
      <c r="O545" s="112">
        <v>1.0</v>
      </c>
      <c r="P545" s="112">
        <v>0.0</v>
      </c>
      <c r="Q545" s="112">
        <v>0.0</v>
      </c>
      <c r="R545" s="112">
        <v>1.0</v>
      </c>
      <c r="S545" s="112">
        <v>0.0</v>
      </c>
      <c r="T545" s="112">
        <v>0.0</v>
      </c>
      <c r="U545" s="112">
        <v>1.0</v>
      </c>
      <c r="V545" s="112">
        <v>0.0</v>
      </c>
      <c r="W545" s="112">
        <v>0.0</v>
      </c>
      <c r="X545" s="112">
        <v>0.0</v>
      </c>
      <c r="Y545" s="112">
        <v>4.0</v>
      </c>
      <c r="Z545" s="112">
        <v>0.0</v>
      </c>
      <c r="AA545" s="112">
        <v>2.0</v>
      </c>
      <c r="AB545" s="112">
        <v>0.0</v>
      </c>
      <c r="AC545" s="112">
        <v>0.0</v>
      </c>
      <c r="AD545" s="112">
        <v>0.0</v>
      </c>
      <c r="AE545" s="112">
        <v>0.0</v>
      </c>
      <c r="AF545" s="112">
        <v>1.0</v>
      </c>
      <c r="AG545" s="112">
        <v>2.0</v>
      </c>
      <c r="AH545" s="112">
        <v>0.0</v>
      </c>
      <c r="AI545" s="112">
        <v>0.0</v>
      </c>
      <c r="AJ545" s="112">
        <v>0.0</v>
      </c>
      <c r="AK545" s="112">
        <v>0.0</v>
      </c>
      <c r="AL545" s="112">
        <v>0.0</v>
      </c>
      <c r="AM545" s="112">
        <v>0.0</v>
      </c>
      <c r="AN545" s="112">
        <v>14.0</v>
      </c>
    </row>
    <row r="546">
      <c r="A546" s="98"/>
      <c r="B546" s="111" t="s">
        <v>199</v>
      </c>
      <c r="C546" s="112">
        <v>0.0</v>
      </c>
      <c r="D546" s="112">
        <v>0.0</v>
      </c>
      <c r="E546" s="112">
        <v>0.0</v>
      </c>
      <c r="F546" s="112">
        <v>0.0</v>
      </c>
      <c r="G546" s="112">
        <v>0.0</v>
      </c>
      <c r="H546" s="112">
        <v>0.0</v>
      </c>
      <c r="I546" s="112">
        <v>0.0</v>
      </c>
      <c r="J546" s="112">
        <v>0.0</v>
      </c>
      <c r="K546" s="112">
        <v>0.0</v>
      </c>
      <c r="L546" s="112">
        <v>0.0</v>
      </c>
      <c r="M546" s="112">
        <v>0.0</v>
      </c>
      <c r="N546" s="112">
        <v>0.0</v>
      </c>
      <c r="O546" s="112">
        <v>0.0</v>
      </c>
      <c r="P546" s="112">
        <v>0.0</v>
      </c>
      <c r="Q546" s="112">
        <v>0.0</v>
      </c>
      <c r="R546" s="112">
        <v>0.0</v>
      </c>
      <c r="S546" s="112">
        <v>0.0</v>
      </c>
      <c r="T546" s="112">
        <v>0.0</v>
      </c>
      <c r="U546" s="112">
        <v>0.0</v>
      </c>
      <c r="V546" s="112">
        <v>0.0</v>
      </c>
      <c r="W546" s="112">
        <v>0.0</v>
      </c>
      <c r="X546" s="112">
        <v>0.0</v>
      </c>
      <c r="Y546" s="112">
        <v>0.0</v>
      </c>
      <c r="Z546" s="112">
        <v>0.0</v>
      </c>
      <c r="AA546" s="112">
        <v>0.0</v>
      </c>
      <c r="AB546" s="112">
        <v>0.0</v>
      </c>
      <c r="AC546" s="112">
        <v>0.0</v>
      </c>
      <c r="AD546" s="112">
        <v>0.0</v>
      </c>
      <c r="AE546" s="112">
        <v>0.0</v>
      </c>
      <c r="AF546" s="112">
        <v>0.0</v>
      </c>
      <c r="AG546" s="112">
        <v>0.0</v>
      </c>
      <c r="AH546" s="112">
        <v>0.0</v>
      </c>
      <c r="AI546" s="112">
        <v>0.0</v>
      </c>
      <c r="AJ546" s="112">
        <v>0.0</v>
      </c>
      <c r="AK546" s="112">
        <v>0.0</v>
      </c>
      <c r="AL546" s="112">
        <v>0.0</v>
      </c>
      <c r="AM546" s="112">
        <v>0.0</v>
      </c>
      <c r="AN546" s="112">
        <v>0.0</v>
      </c>
    </row>
    <row r="547">
      <c r="A547" s="104"/>
      <c r="B547" s="111" t="s">
        <v>206</v>
      </c>
      <c r="C547" s="112">
        <v>49.0</v>
      </c>
      <c r="D547" s="112">
        <v>11.0</v>
      </c>
      <c r="E547" s="112">
        <v>38.0</v>
      </c>
      <c r="F547" s="112">
        <v>0.0</v>
      </c>
      <c r="G547" s="112">
        <v>0.0</v>
      </c>
      <c r="H547" s="112">
        <v>0.0</v>
      </c>
      <c r="I547" s="112">
        <v>0.0</v>
      </c>
      <c r="J547" s="112">
        <v>0.0</v>
      </c>
      <c r="K547" s="112">
        <v>0.0</v>
      </c>
      <c r="L547" s="112">
        <v>3.0</v>
      </c>
      <c r="M547" s="112">
        <v>5.0</v>
      </c>
      <c r="N547" s="112">
        <v>5.0</v>
      </c>
      <c r="O547" s="112">
        <v>6.0</v>
      </c>
      <c r="P547" s="112">
        <v>3.0</v>
      </c>
      <c r="Q547" s="112">
        <v>15.0</v>
      </c>
      <c r="R547" s="112">
        <v>0.0</v>
      </c>
      <c r="S547" s="112">
        <v>3.0</v>
      </c>
      <c r="T547" s="112">
        <v>0.0</v>
      </c>
      <c r="U547" s="112">
        <v>6.0</v>
      </c>
      <c r="V547" s="112">
        <v>0.0</v>
      </c>
      <c r="W547" s="112">
        <v>1.0</v>
      </c>
      <c r="X547" s="112">
        <v>0.0</v>
      </c>
      <c r="Y547" s="112">
        <v>0.0</v>
      </c>
      <c r="Z547" s="112">
        <v>0.0</v>
      </c>
      <c r="AA547" s="112">
        <v>1.0</v>
      </c>
      <c r="AB547" s="112">
        <v>0.0</v>
      </c>
      <c r="AC547" s="112">
        <v>0.0</v>
      </c>
      <c r="AD547" s="112">
        <v>0.0</v>
      </c>
      <c r="AE547" s="112">
        <v>0.0</v>
      </c>
      <c r="AF547" s="112">
        <v>0.0</v>
      </c>
      <c r="AG547" s="112">
        <v>0.0</v>
      </c>
      <c r="AH547" s="112">
        <v>0.0</v>
      </c>
      <c r="AI547" s="112">
        <v>0.0</v>
      </c>
      <c r="AJ547" s="112">
        <v>0.0</v>
      </c>
      <c r="AK547" s="112">
        <v>1.0</v>
      </c>
      <c r="AL547" s="112">
        <v>0.0</v>
      </c>
      <c r="AM547" s="112">
        <v>0.0</v>
      </c>
      <c r="AN547" s="112">
        <v>43.0</v>
      </c>
    </row>
    <row r="548">
      <c r="A548" s="107" t="s">
        <v>207</v>
      </c>
      <c r="B548" s="111" t="s">
        <v>198</v>
      </c>
      <c r="C548" s="109">
        <v>10559.0</v>
      </c>
      <c r="D548" s="109">
        <v>2891.0</v>
      </c>
      <c r="E548" s="109">
        <v>7668.0</v>
      </c>
      <c r="F548" s="112">
        <v>73.0</v>
      </c>
      <c r="G548" s="112">
        <v>52.0</v>
      </c>
      <c r="H548" s="112">
        <v>66.0</v>
      </c>
      <c r="I548" s="112">
        <v>41.0</v>
      </c>
      <c r="J548" s="112">
        <v>53.0</v>
      </c>
      <c r="K548" s="112">
        <v>60.0</v>
      </c>
      <c r="L548" s="112">
        <v>48.0</v>
      </c>
      <c r="M548" s="112">
        <v>132.0</v>
      </c>
      <c r="N548" s="112">
        <v>44.0</v>
      </c>
      <c r="O548" s="112">
        <v>161.0</v>
      </c>
      <c r="P548" s="112">
        <v>42.0</v>
      </c>
      <c r="Q548" s="112">
        <v>214.0</v>
      </c>
      <c r="R548" s="112">
        <v>79.0</v>
      </c>
      <c r="S548" s="112">
        <v>218.0</v>
      </c>
      <c r="T548" s="112">
        <v>75.0</v>
      </c>
      <c r="U548" s="112">
        <v>334.0</v>
      </c>
      <c r="V548" s="112">
        <v>100.0</v>
      </c>
      <c r="W548" s="112">
        <v>410.0</v>
      </c>
      <c r="X548" s="112">
        <v>143.0</v>
      </c>
      <c r="Y548" s="112">
        <v>706.0</v>
      </c>
      <c r="Z548" s="112">
        <v>226.0</v>
      </c>
      <c r="AA548" s="112">
        <v>910.0</v>
      </c>
      <c r="AB548" s="112">
        <v>276.0</v>
      </c>
      <c r="AC548" s="112">
        <v>832.0</v>
      </c>
      <c r="AD548" s="112">
        <v>315.0</v>
      </c>
      <c r="AE548" s="112">
        <v>886.0</v>
      </c>
      <c r="AF548" s="112">
        <v>303.0</v>
      </c>
      <c r="AG548" s="112">
        <v>784.0</v>
      </c>
      <c r="AH548" s="112">
        <v>340.0</v>
      </c>
      <c r="AI548" s="112">
        <v>730.0</v>
      </c>
      <c r="AJ548" s="112">
        <v>304.0</v>
      </c>
      <c r="AK548" s="112">
        <v>488.0</v>
      </c>
      <c r="AL548" s="112">
        <v>404.0</v>
      </c>
      <c r="AM548" s="112">
        <v>710.0</v>
      </c>
      <c r="AN548" s="109">
        <v>10012.0</v>
      </c>
    </row>
    <row r="549">
      <c r="A549" s="98"/>
      <c r="B549" s="111" t="s">
        <v>199</v>
      </c>
      <c r="C549" s="109">
        <v>1492.0</v>
      </c>
      <c r="D549" s="112">
        <v>459.0</v>
      </c>
      <c r="E549" s="109">
        <v>1033.0</v>
      </c>
      <c r="F549" s="112">
        <v>3.0</v>
      </c>
      <c r="G549" s="112">
        <v>0.0</v>
      </c>
      <c r="H549" s="112">
        <v>3.0</v>
      </c>
      <c r="I549" s="112">
        <v>0.0</v>
      </c>
      <c r="J549" s="112">
        <v>4.0</v>
      </c>
      <c r="K549" s="112">
        <v>2.0</v>
      </c>
      <c r="L549" s="112">
        <v>6.0</v>
      </c>
      <c r="M549" s="112">
        <v>8.0</v>
      </c>
      <c r="N549" s="112">
        <v>12.0</v>
      </c>
      <c r="O549" s="112">
        <v>10.0</v>
      </c>
      <c r="P549" s="112">
        <v>9.0</v>
      </c>
      <c r="Q549" s="112">
        <v>15.0</v>
      </c>
      <c r="R549" s="112">
        <v>6.0</v>
      </c>
      <c r="S549" s="112">
        <v>21.0</v>
      </c>
      <c r="T549" s="112">
        <v>5.0</v>
      </c>
      <c r="U549" s="112">
        <v>31.0</v>
      </c>
      <c r="V549" s="112">
        <v>12.0</v>
      </c>
      <c r="W549" s="112">
        <v>40.0</v>
      </c>
      <c r="X549" s="112">
        <v>17.0</v>
      </c>
      <c r="Y549" s="112">
        <v>50.0</v>
      </c>
      <c r="Z549" s="112">
        <v>23.0</v>
      </c>
      <c r="AA549" s="112">
        <v>72.0</v>
      </c>
      <c r="AB549" s="112">
        <v>27.0</v>
      </c>
      <c r="AC549" s="112">
        <v>85.0</v>
      </c>
      <c r="AD549" s="112">
        <v>39.0</v>
      </c>
      <c r="AE549" s="112">
        <v>125.0</v>
      </c>
      <c r="AF549" s="112">
        <v>39.0</v>
      </c>
      <c r="AG549" s="112">
        <v>132.0</v>
      </c>
      <c r="AH549" s="112">
        <v>86.0</v>
      </c>
      <c r="AI549" s="112">
        <v>136.0</v>
      </c>
      <c r="AJ549" s="112">
        <v>80.0</v>
      </c>
      <c r="AK549" s="112">
        <v>141.0</v>
      </c>
      <c r="AL549" s="112">
        <v>88.0</v>
      </c>
      <c r="AM549" s="112">
        <v>165.0</v>
      </c>
      <c r="AN549" s="109">
        <v>1468.0</v>
      </c>
    </row>
    <row r="550">
      <c r="A550" s="98"/>
      <c r="B550" s="111" t="s">
        <v>206</v>
      </c>
      <c r="C550" s="112">
        <v>68.0</v>
      </c>
      <c r="D550" s="112">
        <v>7.0</v>
      </c>
      <c r="E550" s="112">
        <v>61.0</v>
      </c>
      <c r="F550" s="112">
        <v>3.0</v>
      </c>
      <c r="G550" s="112">
        <v>3.0</v>
      </c>
      <c r="H550" s="112">
        <v>0.0</v>
      </c>
      <c r="I550" s="112">
        <v>1.0</v>
      </c>
      <c r="J550" s="112">
        <v>0.0</v>
      </c>
      <c r="K550" s="112">
        <v>2.0</v>
      </c>
      <c r="L550" s="112">
        <v>0.0</v>
      </c>
      <c r="M550" s="112">
        <v>7.0</v>
      </c>
      <c r="N550" s="112">
        <v>1.0</v>
      </c>
      <c r="O550" s="112">
        <v>12.0</v>
      </c>
      <c r="P550" s="112">
        <v>1.0</v>
      </c>
      <c r="Q550" s="112">
        <v>7.0</v>
      </c>
      <c r="R550" s="112">
        <v>1.0</v>
      </c>
      <c r="S550" s="112">
        <v>6.0</v>
      </c>
      <c r="T550" s="112">
        <v>0.0</v>
      </c>
      <c r="U550" s="112">
        <v>5.0</v>
      </c>
      <c r="V550" s="112">
        <v>0.0</v>
      </c>
      <c r="W550" s="112">
        <v>0.0</v>
      </c>
      <c r="X550" s="112">
        <v>0.0</v>
      </c>
      <c r="Y550" s="112">
        <v>5.0</v>
      </c>
      <c r="Z550" s="112">
        <v>0.0</v>
      </c>
      <c r="AA550" s="112">
        <v>5.0</v>
      </c>
      <c r="AB550" s="112">
        <v>0.0</v>
      </c>
      <c r="AC550" s="112">
        <v>4.0</v>
      </c>
      <c r="AD550" s="112">
        <v>0.0</v>
      </c>
      <c r="AE550" s="112">
        <v>1.0</v>
      </c>
      <c r="AF550" s="112">
        <v>1.0</v>
      </c>
      <c r="AG550" s="112">
        <v>2.0</v>
      </c>
      <c r="AH550" s="112">
        <v>0.0</v>
      </c>
      <c r="AI550" s="112">
        <v>1.0</v>
      </c>
      <c r="AJ550" s="112">
        <v>0.0</v>
      </c>
      <c r="AK550" s="112">
        <v>0.0</v>
      </c>
      <c r="AL550" s="112">
        <v>0.0</v>
      </c>
      <c r="AM550" s="112">
        <v>0.0</v>
      </c>
      <c r="AN550" s="112">
        <v>63.0</v>
      </c>
    </row>
    <row r="551">
      <c r="A551" s="98"/>
      <c r="B551" s="111" t="s">
        <v>200</v>
      </c>
      <c r="C551" s="112">
        <v>166.0</v>
      </c>
      <c r="D551" s="112">
        <v>63.0</v>
      </c>
      <c r="E551" s="112">
        <v>103.0</v>
      </c>
      <c r="F551" s="112">
        <v>11.0</v>
      </c>
      <c r="G551" s="112">
        <v>11.0</v>
      </c>
      <c r="H551" s="112">
        <v>5.0</v>
      </c>
      <c r="I551" s="112">
        <v>3.0</v>
      </c>
      <c r="J551" s="112">
        <v>1.0</v>
      </c>
      <c r="K551" s="112">
        <v>6.0</v>
      </c>
      <c r="L551" s="112">
        <v>0.0</v>
      </c>
      <c r="M551" s="112">
        <v>6.0</v>
      </c>
      <c r="N551" s="112">
        <v>1.0</v>
      </c>
      <c r="O551" s="112">
        <v>5.0</v>
      </c>
      <c r="P551" s="112">
        <v>4.0</v>
      </c>
      <c r="Q551" s="112">
        <v>10.0</v>
      </c>
      <c r="R551" s="112">
        <v>5.0</v>
      </c>
      <c r="S551" s="112">
        <v>12.0</v>
      </c>
      <c r="T551" s="112">
        <v>6.0</v>
      </c>
      <c r="U551" s="112">
        <v>11.0</v>
      </c>
      <c r="V551" s="112">
        <v>3.0</v>
      </c>
      <c r="W551" s="112">
        <v>8.0</v>
      </c>
      <c r="X551" s="112">
        <v>3.0</v>
      </c>
      <c r="Y551" s="112">
        <v>9.0</v>
      </c>
      <c r="Z551" s="112">
        <v>4.0</v>
      </c>
      <c r="AA551" s="112">
        <v>6.0</v>
      </c>
      <c r="AB551" s="112">
        <v>5.0</v>
      </c>
      <c r="AC551" s="112">
        <v>2.0</v>
      </c>
      <c r="AD551" s="112">
        <v>5.0</v>
      </c>
      <c r="AE551" s="112">
        <v>4.0</v>
      </c>
      <c r="AF551" s="112">
        <v>3.0</v>
      </c>
      <c r="AG551" s="112">
        <v>5.0</v>
      </c>
      <c r="AH551" s="112">
        <v>6.0</v>
      </c>
      <c r="AI551" s="112">
        <v>3.0</v>
      </c>
      <c r="AJ551" s="112">
        <v>1.0</v>
      </c>
      <c r="AK551" s="112">
        <v>2.0</v>
      </c>
      <c r="AL551" s="112">
        <v>0.0</v>
      </c>
      <c r="AM551" s="112">
        <v>0.0</v>
      </c>
      <c r="AN551" s="112">
        <v>147.0</v>
      </c>
    </row>
    <row r="552">
      <c r="A552" s="104"/>
      <c r="B552" s="111" t="s">
        <v>201</v>
      </c>
      <c r="C552" s="109">
        <v>3246.0</v>
      </c>
      <c r="D552" s="109">
        <v>1295.0</v>
      </c>
      <c r="E552" s="109">
        <v>1951.0</v>
      </c>
      <c r="F552" s="112">
        <v>7.0</v>
      </c>
      <c r="G552" s="112">
        <v>0.0</v>
      </c>
      <c r="H552" s="112">
        <v>4.0</v>
      </c>
      <c r="I552" s="112">
        <v>7.0</v>
      </c>
      <c r="J552" s="112">
        <v>14.0</v>
      </c>
      <c r="K552" s="112">
        <v>3.0</v>
      </c>
      <c r="L552" s="112">
        <v>9.0</v>
      </c>
      <c r="M552" s="112">
        <v>6.0</v>
      </c>
      <c r="N552" s="112">
        <v>7.0</v>
      </c>
      <c r="O552" s="112">
        <v>18.0</v>
      </c>
      <c r="P552" s="112">
        <v>13.0</v>
      </c>
      <c r="Q552" s="112">
        <v>9.0</v>
      </c>
      <c r="R552" s="112">
        <v>17.0</v>
      </c>
      <c r="S552" s="112">
        <v>51.0</v>
      </c>
      <c r="T552" s="112">
        <v>10.0</v>
      </c>
      <c r="U552" s="112">
        <v>56.0</v>
      </c>
      <c r="V552" s="112">
        <v>23.0</v>
      </c>
      <c r="W552" s="112">
        <v>45.0</v>
      </c>
      <c r="X552" s="112">
        <v>30.0</v>
      </c>
      <c r="Y552" s="112">
        <v>81.0</v>
      </c>
      <c r="Z552" s="112">
        <v>60.0</v>
      </c>
      <c r="AA552" s="112">
        <v>192.0</v>
      </c>
      <c r="AB552" s="112">
        <v>91.0</v>
      </c>
      <c r="AC552" s="112">
        <v>178.0</v>
      </c>
      <c r="AD552" s="112">
        <v>154.0</v>
      </c>
      <c r="AE552" s="112">
        <v>271.0</v>
      </c>
      <c r="AF552" s="112">
        <v>174.0</v>
      </c>
      <c r="AG552" s="112">
        <v>290.0</v>
      </c>
      <c r="AH552" s="112">
        <v>215.0</v>
      </c>
      <c r="AI552" s="112">
        <v>242.0</v>
      </c>
      <c r="AJ552" s="112">
        <v>205.0</v>
      </c>
      <c r="AK552" s="112">
        <v>207.0</v>
      </c>
      <c r="AL552" s="112">
        <v>262.0</v>
      </c>
      <c r="AM552" s="112">
        <v>295.0</v>
      </c>
      <c r="AN552" s="109">
        <v>3198.0</v>
      </c>
    </row>
    <row r="553">
      <c r="A553" s="107" t="s">
        <v>208</v>
      </c>
      <c r="B553" s="111" t="s">
        <v>198</v>
      </c>
      <c r="C553" s="112">
        <v>47.0</v>
      </c>
      <c r="D553" s="112">
        <v>29.0</v>
      </c>
      <c r="E553" s="112">
        <v>18.0</v>
      </c>
      <c r="F553" s="112">
        <v>28.0</v>
      </c>
      <c r="G553" s="112">
        <v>18.0</v>
      </c>
      <c r="H553" s="112">
        <v>0.0</v>
      </c>
      <c r="I553" s="112">
        <v>0.0</v>
      </c>
      <c r="J553" s="112">
        <v>0.0</v>
      </c>
      <c r="K553" s="112">
        <v>0.0</v>
      </c>
      <c r="L553" s="112">
        <v>1.0</v>
      </c>
      <c r="M553" s="112">
        <v>0.0</v>
      </c>
      <c r="N553" s="112">
        <v>0.0</v>
      </c>
      <c r="O553" s="112">
        <v>0.0</v>
      </c>
      <c r="P553" s="110">
        <v>0.0</v>
      </c>
      <c r="Q553" s="110">
        <v>0.0</v>
      </c>
      <c r="R553" s="110">
        <v>0.0</v>
      </c>
      <c r="S553" s="110">
        <v>0.0</v>
      </c>
      <c r="T553" s="110">
        <v>0.0</v>
      </c>
      <c r="U553" s="110">
        <v>0.0</v>
      </c>
      <c r="V553" s="110">
        <v>0.0</v>
      </c>
      <c r="W553" s="110">
        <v>0.0</v>
      </c>
      <c r="X553" s="110">
        <v>0.0</v>
      </c>
      <c r="Y553" s="110">
        <v>0.0</v>
      </c>
      <c r="Z553" s="110">
        <v>0.0</v>
      </c>
      <c r="AA553" s="110">
        <v>0.0</v>
      </c>
      <c r="AB553" s="110">
        <v>0.0</v>
      </c>
      <c r="AC553" s="110">
        <v>0.0</v>
      </c>
      <c r="AD553" s="110">
        <v>0.0</v>
      </c>
      <c r="AE553" s="110">
        <v>0.0</v>
      </c>
      <c r="AF553" s="110">
        <v>0.0</v>
      </c>
      <c r="AG553" s="110">
        <v>0.0</v>
      </c>
      <c r="AH553" s="110">
        <v>0.0</v>
      </c>
      <c r="AI553" s="110">
        <v>0.0</v>
      </c>
      <c r="AJ553" s="110">
        <v>0.0</v>
      </c>
      <c r="AK553" s="110">
        <v>0.0</v>
      </c>
      <c r="AL553" s="110">
        <v>0.0</v>
      </c>
      <c r="AM553" s="110">
        <v>0.0</v>
      </c>
      <c r="AN553" s="112">
        <v>31.0</v>
      </c>
    </row>
    <row r="554">
      <c r="A554" s="98"/>
      <c r="B554" s="111" t="s">
        <v>199</v>
      </c>
      <c r="C554" s="112">
        <v>2.0</v>
      </c>
      <c r="D554" s="112">
        <v>0.0</v>
      </c>
      <c r="E554" s="112">
        <v>2.0</v>
      </c>
      <c r="F554" s="112">
        <v>0.0</v>
      </c>
      <c r="G554" s="112">
        <v>2.0</v>
      </c>
      <c r="H554" s="112">
        <v>0.0</v>
      </c>
      <c r="I554" s="112">
        <v>0.0</v>
      </c>
      <c r="J554" s="112">
        <v>0.0</v>
      </c>
      <c r="K554" s="112">
        <v>0.0</v>
      </c>
      <c r="L554" s="112">
        <v>0.0</v>
      </c>
      <c r="M554" s="112">
        <v>0.0</v>
      </c>
      <c r="N554" s="112">
        <v>0.0</v>
      </c>
      <c r="O554" s="112">
        <v>0.0</v>
      </c>
      <c r="P554" s="110">
        <v>0.0</v>
      </c>
      <c r="Q554" s="110">
        <v>0.0</v>
      </c>
      <c r="R554" s="110">
        <v>0.0</v>
      </c>
      <c r="S554" s="110">
        <v>0.0</v>
      </c>
      <c r="T554" s="110">
        <v>0.0</v>
      </c>
      <c r="U554" s="110">
        <v>0.0</v>
      </c>
      <c r="V554" s="110">
        <v>0.0</v>
      </c>
      <c r="W554" s="110">
        <v>0.0</v>
      </c>
      <c r="X554" s="110">
        <v>0.0</v>
      </c>
      <c r="Y554" s="110">
        <v>0.0</v>
      </c>
      <c r="Z554" s="110">
        <v>0.0</v>
      </c>
      <c r="AA554" s="110">
        <v>0.0</v>
      </c>
      <c r="AB554" s="110">
        <v>0.0</v>
      </c>
      <c r="AC554" s="110">
        <v>0.0</v>
      </c>
      <c r="AD554" s="110">
        <v>0.0</v>
      </c>
      <c r="AE554" s="110">
        <v>0.0</v>
      </c>
      <c r="AF554" s="110">
        <v>0.0</v>
      </c>
      <c r="AG554" s="110">
        <v>0.0</v>
      </c>
      <c r="AH554" s="110">
        <v>0.0</v>
      </c>
      <c r="AI554" s="110">
        <v>0.0</v>
      </c>
      <c r="AJ554" s="110">
        <v>0.0</v>
      </c>
      <c r="AK554" s="110">
        <v>0.0</v>
      </c>
      <c r="AL554" s="110">
        <v>0.0</v>
      </c>
      <c r="AM554" s="110">
        <v>0.0</v>
      </c>
      <c r="AN554" s="112">
        <v>2.0</v>
      </c>
    </row>
    <row r="555">
      <c r="A555" s="98"/>
      <c r="B555" s="111" t="s">
        <v>206</v>
      </c>
      <c r="C555" s="112">
        <v>0.0</v>
      </c>
      <c r="D555" s="112">
        <v>0.0</v>
      </c>
      <c r="E555" s="112">
        <v>0.0</v>
      </c>
      <c r="F555" s="112">
        <v>0.0</v>
      </c>
      <c r="G555" s="112">
        <v>0.0</v>
      </c>
      <c r="H555" s="112">
        <v>0.0</v>
      </c>
      <c r="I555" s="112">
        <v>0.0</v>
      </c>
      <c r="J555" s="112">
        <v>0.0</v>
      </c>
      <c r="K555" s="112">
        <v>0.0</v>
      </c>
      <c r="L555" s="112">
        <v>0.0</v>
      </c>
      <c r="M555" s="112">
        <v>0.0</v>
      </c>
      <c r="N555" s="112">
        <v>0.0</v>
      </c>
      <c r="O555" s="112">
        <v>0.0</v>
      </c>
      <c r="P555" s="110">
        <v>0.0</v>
      </c>
      <c r="Q555" s="110">
        <v>0.0</v>
      </c>
      <c r="R555" s="110">
        <v>0.0</v>
      </c>
      <c r="S555" s="110">
        <v>0.0</v>
      </c>
      <c r="T555" s="110">
        <v>0.0</v>
      </c>
      <c r="U555" s="110">
        <v>0.0</v>
      </c>
      <c r="V555" s="110">
        <v>0.0</v>
      </c>
      <c r="W555" s="110">
        <v>0.0</v>
      </c>
      <c r="X555" s="110">
        <v>0.0</v>
      </c>
      <c r="Y555" s="110">
        <v>0.0</v>
      </c>
      <c r="Z555" s="110">
        <v>0.0</v>
      </c>
      <c r="AA555" s="110">
        <v>0.0</v>
      </c>
      <c r="AB555" s="110">
        <v>0.0</v>
      </c>
      <c r="AC555" s="110">
        <v>0.0</v>
      </c>
      <c r="AD555" s="110">
        <v>0.0</v>
      </c>
      <c r="AE555" s="110">
        <v>0.0</v>
      </c>
      <c r="AF555" s="110">
        <v>0.0</v>
      </c>
      <c r="AG555" s="110">
        <v>0.0</v>
      </c>
      <c r="AH555" s="110">
        <v>0.0</v>
      </c>
      <c r="AI555" s="110">
        <v>0.0</v>
      </c>
      <c r="AJ555" s="110">
        <v>0.0</v>
      </c>
      <c r="AK555" s="110">
        <v>0.0</v>
      </c>
      <c r="AL555" s="110">
        <v>0.0</v>
      </c>
      <c r="AM555" s="110">
        <v>0.0</v>
      </c>
      <c r="AN555" s="112">
        <v>0.0</v>
      </c>
    </row>
    <row r="556">
      <c r="A556" s="98"/>
      <c r="B556" s="111" t="s">
        <v>200</v>
      </c>
      <c r="C556" s="112">
        <v>1.0</v>
      </c>
      <c r="D556" s="112">
        <v>1.0</v>
      </c>
      <c r="E556" s="112">
        <v>0.0</v>
      </c>
      <c r="F556" s="112">
        <v>1.0</v>
      </c>
      <c r="G556" s="112">
        <v>0.0</v>
      </c>
      <c r="H556" s="112">
        <v>0.0</v>
      </c>
      <c r="I556" s="112">
        <v>0.0</v>
      </c>
      <c r="J556" s="112">
        <v>0.0</v>
      </c>
      <c r="K556" s="112">
        <v>0.0</v>
      </c>
      <c r="L556" s="112">
        <v>0.0</v>
      </c>
      <c r="M556" s="112">
        <v>0.0</v>
      </c>
      <c r="N556" s="112">
        <v>0.0</v>
      </c>
      <c r="O556" s="112">
        <v>0.0</v>
      </c>
      <c r="P556" s="110">
        <v>0.0</v>
      </c>
      <c r="Q556" s="110">
        <v>0.0</v>
      </c>
      <c r="R556" s="110">
        <v>0.0</v>
      </c>
      <c r="S556" s="110">
        <v>0.0</v>
      </c>
      <c r="T556" s="110">
        <v>0.0</v>
      </c>
      <c r="U556" s="110">
        <v>0.0</v>
      </c>
      <c r="V556" s="110">
        <v>0.0</v>
      </c>
      <c r="W556" s="110">
        <v>0.0</v>
      </c>
      <c r="X556" s="110">
        <v>0.0</v>
      </c>
      <c r="Y556" s="110">
        <v>0.0</v>
      </c>
      <c r="Z556" s="110">
        <v>0.0</v>
      </c>
      <c r="AA556" s="110">
        <v>0.0</v>
      </c>
      <c r="AB556" s="110">
        <v>0.0</v>
      </c>
      <c r="AC556" s="110">
        <v>0.0</v>
      </c>
      <c r="AD556" s="110">
        <v>0.0</v>
      </c>
      <c r="AE556" s="110">
        <v>0.0</v>
      </c>
      <c r="AF556" s="110">
        <v>0.0</v>
      </c>
      <c r="AG556" s="110">
        <v>0.0</v>
      </c>
      <c r="AH556" s="110">
        <v>0.0</v>
      </c>
      <c r="AI556" s="110">
        <v>0.0</v>
      </c>
      <c r="AJ556" s="110">
        <v>0.0</v>
      </c>
      <c r="AK556" s="110">
        <v>0.0</v>
      </c>
      <c r="AL556" s="110">
        <v>0.0</v>
      </c>
      <c r="AM556" s="110">
        <v>0.0</v>
      </c>
      <c r="AN556" s="112">
        <v>0.0</v>
      </c>
    </row>
    <row r="557">
      <c r="A557" s="104"/>
      <c r="B557" s="111" t="s">
        <v>201</v>
      </c>
      <c r="C557" s="112">
        <v>0.0</v>
      </c>
      <c r="D557" s="112">
        <v>0.0</v>
      </c>
      <c r="E557" s="112">
        <v>0.0</v>
      </c>
      <c r="F557" s="112">
        <v>0.0</v>
      </c>
      <c r="G557" s="112">
        <v>0.0</v>
      </c>
      <c r="H557" s="112">
        <v>0.0</v>
      </c>
      <c r="I557" s="112">
        <v>0.0</v>
      </c>
      <c r="J557" s="112">
        <v>0.0</v>
      </c>
      <c r="K557" s="112">
        <v>0.0</v>
      </c>
      <c r="L557" s="112">
        <v>0.0</v>
      </c>
      <c r="M557" s="112">
        <v>0.0</v>
      </c>
      <c r="N557" s="112">
        <v>0.0</v>
      </c>
      <c r="O557" s="112">
        <v>0.0</v>
      </c>
      <c r="P557" s="110">
        <v>0.0</v>
      </c>
      <c r="Q557" s="110">
        <v>0.0</v>
      </c>
      <c r="R557" s="110">
        <v>0.0</v>
      </c>
      <c r="S557" s="110">
        <v>0.0</v>
      </c>
      <c r="T557" s="110">
        <v>0.0</v>
      </c>
      <c r="U557" s="110">
        <v>0.0</v>
      </c>
      <c r="V557" s="110">
        <v>0.0</v>
      </c>
      <c r="W557" s="110">
        <v>0.0</v>
      </c>
      <c r="X557" s="110">
        <v>0.0</v>
      </c>
      <c r="Y557" s="110">
        <v>0.0</v>
      </c>
      <c r="Z557" s="110">
        <v>0.0</v>
      </c>
      <c r="AA557" s="110">
        <v>0.0</v>
      </c>
      <c r="AB557" s="110">
        <v>0.0</v>
      </c>
      <c r="AC557" s="110">
        <v>0.0</v>
      </c>
      <c r="AD557" s="110">
        <v>0.0</v>
      </c>
      <c r="AE557" s="110">
        <v>0.0</v>
      </c>
      <c r="AF557" s="110">
        <v>0.0</v>
      </c>
      <c r="AG557" s="110">
        <v>0.0</v>
      </c>
      <c r="AH557" s="110">
        <v>0.0</v>
      </c>
      <c r="AI557" s="110">
        <v>0.0</v>
      </c>
      <c r="AJ557" s="110">
        <v>0.0</v>
      </c>
      <c r="AK557" s="110">
        <v>0.0</v>
      </c>
      <c r="AL557" s="110">
        <v>0.0</v>
      </c>
      <c r="AM557" s="110">
        <v>0.0</v>
      </c>
      <c r="AN557" s="112">
        <v>0.0</v>
      </c>
    </row>
    <row r="558">
      <c r="A558" s="113" t="s">
        <v>231</v>
      </c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</row>
    <row r="559">
      <c r="A559" s="107" t="s">
        <v>197</v>
      </c>
      <c r="B559" s="108" t="s">
        <v>198</v>
      </c>
      <c r="C559" s="109">
        <v>140737.0</v>
      </c>
      <c r="D559" s="109">
        <v>50952.0</v>
      </c>
      <c r="E559" s="109">
        <v>89785.0</v>
      </c>
      <c r="F559" s="110">
        <v>0.0</v>
      </c>
      <c r="G559" s="110">
        <v>0.0</v>
      </c>
      <c r="H559" s="110">
        <v>0.0</v>
      </c>
      <c r="I559" s="110">
        <v>0.0</v>
      </c>
      <c r="J559" s="110">
        <v>0.0</v>
      </c>
      <c r="K559" s="110">
        <v>0.0</v>
      </c>
      <c r="L559" s="112">
        <v>145.0</v>
      </c>
      <c r="M559" s="112">
        <v>244.0</v>
      </c>
      <c r="N559" s="112">
        <v>151.0</v>
      </c>
      <c r="O559" s="112">
        <v>371.0</v>
      </c>
      <c r="P559" s="112">
        <v>253.0</v>
      </c>
      <c r="Q559" s="112">
        <v>618.0</v>
      </c>
      <c r="R559" s="112">
        <v>393.0</v>
      </c>
      <c r="S559" s="109">
        <v>1134.0</v>
      </c>
      <c r="T559" s="112">
        <v>857.0</v>
      </c>
      <c r="U559" s="109">
        <v>1983.0</v>
      </c>
      <c r="V559" s="109">
        <v>1620.0</v>
      </c>
      <c r="W559" s="109">
        <v>3817.0</v>
      </c>
      <c r="X559" s="109">
        <v>2797.0</v>
      </c>
      <c r="Y559" s="109">
        <v>6592.0</v>
      </c>
      <c r="Z559" s="109">
        <v>4722.0</v>
      </c>
      <c r="AA559" s="109">
        <v>9970.0</v>
      </c>
      <c r="AB559" s="109">
        <v>5950.0</v>
      </c>
      <c r="AC559" s="109">
        <v>11241.0</v>
      </c>
      <c r="AD559" s="109">
        <v>6875.0</v>
      </c>
      <c r="AE559" s="109">
        <v>12031.0</v>
      </c>
      <c r="AF559" s="109">
        <v>7324.0</v>
      </c>
      <c r="AG559" s="109">
        <v>11515.0</v>
      </c>
      <c r="AH559" s="109">
        <v>7375.0</v>
      </c>
      <c r="AI559" s="109">
        <v>10922.0</v>
      </c>
      <c r="AJ559" s="109">
        <v>5971.0</v>
      </c>
      <c r="AK559" s="109">
        <v>8980.0</v>
      </c>
      <c r="AL559" s="109">
        <v>6519.0</v>
      </c>
      <c r="AM559" s="109">
        <v>10367.0</v>
      </c>
      <c r="AN559" s="109">
        <v>140395.0</v>
      </c>
    </row>
    <row r="560">
      <c r="A560" s="98"/>
      <c r="B560" s="111" t="s">
        <v>199</v>
      </c>
      <c r="C560" s="109">
        <v>83649.0</v>
      </c>
      <c r="D560" s="109">
        <v>29629.0</v>
      </c>
      <c r="E560" s="109">
        <v>54020.0</v>
      </c>
      <c r="F560" s="110">
        <v>0.0</v>
      </c>
      <c r="G560" s="110">
        <v>0.0</v>
      </c>
      <c r="H560" s="110">
        <v>0.0</v>
      </c>
      <c r="I560" s="110">
        <v>0.0</v>
      </c>
      <c r="J560" s="110">
        <v>0.0</v>
      </c>
      <c r="K560" s="110">
        <v>0.0</v>
      </c>
      <c r="L560" s="112">
        <v>27.0</v>
      </c>
      <c r="M560" s="112">
        <v>36.0</v>
      </c>
      <c r="N560" s="112">
        <v>56.0</v>
      </c>
      <c r="O560" s="112">
        <v>92.0</v>
      </c>
      <c r="P560" s="112">
        <v>86.0</v>
      </c>
      <c r="Q560" s="112">
        <v>218.0</v>
      </c>
      <c r="R560" s="112">
        <v>160.0</v>
      </c>
      <c r="S560" s="112">
        <v>416.0</v>
      </c>
      <c r="T560" s="112">
        <v>410.0</v>
      </c>
      <c r="U560" s="112">
        <v>987.0</v>
      </c>
      <c r="V560" s="112">
        <v>766.0</v>
      </c>
      <c r="W560" s="109">
        <v>1782.0</v>
      </c>
      <c r="X560" s="109">
        <v>1446.0</v>
      </c>
      <c r="Y560" s="109">
        <v>3461.0</v>
      </c>
      <c r="Z560" s="109">
        <v>2300.0</v>
      </c>
      <c r="AA560" s="109">
        <v>5530.0</v>
      </c>
      <c r="AB560" s="109">
        <v>3108.0</v>
      </c>
      <c r="AC560" s="109">
        <v>6275.0</v>
      </c>
      <c r="AD560" s="109">
        <v>3945.0</v>
      </c>
      <c r="AE560" s="109">
        <v>7175.0</v>
      </c>
      <c r="AF560" s="109">
        <v>4306.0</v>
      </c>
      <c r="AG560" s="109">
        <v>7406.0</v>
      </c>
      <c r="AH560" s="109">
        <v>4969.0</v>
      </c>
      <c r="AI560" s="109">
        <v>7421.0</v>
      </c>
      <c r="AJ560" s="109">
        <v>3765.0</v>
      </c>
      <c r="AK560" s="109">
        <v>5978.0</v>
      </c>
      <c r="AL560" s="109">
        <v>4299.0</v>
      </c>
      <c r="AM560" s="109">
        <v>7264.0</v>
      </c>
      <c r="AN560" s="109">
        <v>83490.0</v>
      </c>
    </row>
    <row r="561">
      <c r="A561" s="98"/>
      <c r="B561" s="111" t="s">
        <v>200</v>
      </c>
      <c r="C561" s="109">
        <v>50599.0</v>
      </c>
      <c r="D561" s="109">
        <v>16641.0</v>
      </c>
      <c r="E561" s="109">
        <v>33958.0</v>
      </c>
      <c r="F561" s="110">
        <v>0.0</v>
      </c>
      <c r="G561" s="110">
        <v>0.0</v>
      </c>
      <c r="H561" s="110">
        <v>0.0</v>
      </c>
      <c r="I561" s="110">
        <v>0.0</v>
      </c>
      <c r="J561" s="110">
        <v>0.0</v>
      </c>
      <c r="K561" s="110">
        <v>0.0</v>
      </c>
      <c r="L561" s="112">
        <v>72.0</v>
      </c>
      <c r="M561" s="112">
        <v>192.0</v>
      </c>
      <c r="N561" s="112">
        <v>72.0</v>
      </c>
      <c r="O561" s="112">
        <v>255.0</v>
      </c>
      <c r="P561" s="112">
        <v>130.0</v>
      </c>
      <c r="Q561" s="112">
        <v>410.0</v>
      </c>
      <c r="R561" s="112">
        <v>192.0</v>
      </c>
      <c r="S561" s="112">
        <v>594.0</v>
      </c>
      <c r="T561" s="112">
        <v>352.0</v>
      </c>
      <c r="U561" s="109">
        <v>1039.0</v>
      </c>
      <c r="V561" s="112">
        <v>631.0</v>
      </c>
      <c r="W561" s="109">
        <v>1684.0</v>
      </c>
      <c r="X561" s="109">
        <v>1028.0</v>
      </c>
      <c r="Y561" s="109">
        <v>2911.0</v>
      </c>
      <c r="Z561" s="109">
        <v>1584.0</v>
      </c>
      <c r="AA561" s="109">
        <v>4084.0</v>
      </c>
      <c r="AB561" s="109">
        <v>2014.0</v>
      </c>
      <c r="AC561" s="109">
        <v>4334.0</v>
      </c>
      <c r="AD561" s="109">
        <v>2146.0</v>
      </c>
      <c r="AE561" s="109">
        <v>4468.0</v>
      </c>
      <c r="AF561" s="109">
        <v>2427.0</v>
      </c>
      <c r="AG561" s="109">
        <v>4239.0</v>
      </c>
      <c r="AH561" s="109">
        <v>2426.0</v>
      </c>
      <c r="AI561" s="109">
        <v>3977.0</v>
      </c>
      <c r="AJ561" s="109">
        <v>1820.0</v>
      </c>
      <c r="AK561" s="109">
        <v>2854.0</v>
      </c>
      <c r="AL561" s="109">
        <v>1747.0</v>
      </c>
      <c r="AM561" s="109">
        <v>2917.0</v>
      </c>
      <c r="AN561" s="109">
        <v>50516.0</v>
      </c>
    </row>
    <row r="562">
      <c r="A562" s="104"/>
      <c r="B562" s="111" t="s">
        <v>201</v>
      </c>
      <c r="C562" s="109">
        <v>6101.0</v>
      </c>
      <c r="D562" s="109">
        <v>2505.0</v>
      </c>
      <c r="E562" s="109">
        <v>3596.0</v>
      </c>
      <c r="F562" s="110">
        <v>0.0</v>
      </c>
      <c r="G562" s="110">
        <v>0.0</v>
      </c>
      <c r="H562" s="110">
        <v>0.0</v>
      </c>
      <c r="I562" s="110">
        <v>0.0</v>
      </c>
      <c r="J562" s="110">
        <v>0.0</v>
      </c>
      <c r="K562" s="110">
        <v>0.0</v>
      </c>
      <c r="L562" s="112">
        <v>32.0</v>
      </c>
      <c r="M562" s="112">
        <v>30.0</v>
      </c>
      <c r="N562" s="112">
        <v>39.0</v>
      </c>
      <c r="O562" s="112">
        <v>56.0</v>
      </c>
      <c r="P562" s="112">
        <v>44.0</v>
      </c>
      <c r="Q562" s="112">
        <v>60.0</v>
      </c>
      <c r="R562" s="112">
        <v>65.0</v>
      </c>
      <c r="S562" s="112">
        <v>67.0</v>
      </c>
      <c r="T562" s="112">
        <v>64.0</v>
      </c>
      <c r="U562" s="112">
        <v>98.0</v>
      </c>
      <c r="V562" s="112">
        <v>105.0</v>
      </c>
      <c r="W562" s="112">
        <v>175.0</v>
      </c>
      <c r="X562" s="112">
        <v>158.0</v>
      </c>
      <c r="Y562" s="112">
        <v>243.0</v>
      </c>
      <c r="Z562" s="112">
        <v>195.0</v>
      </c>
      <c r="AA562" s="112">
        <v>319.0</v>
      </c>
      <c r="AB562" s="112">
        <v>208.0</v>
      </c>
      <c r="AC562" s="112">
        <v>396.0</v>
      </c>
      <c r="AD562" s="112">
        <v>253.0</v>
      </c>
      <c r="AE562" s="112">
        <v>392.0</v>
      </c>
      <c r="AF562" s="112">
        <v>326.0</v>
      </c>
      <c r="AG562" s="112">
        <v>436.0</v>
      </c>
      <c r="AH562" s="112">
        <v>396.0</v>
      </c>
      <c r="AI562" s="112">
        <v>433.0</v>
      </c>
      <c r="AJ562" s="112">
        <v>295.0</v>
      </c>
      <c r="AK562" s="112">
        <v>392.0</v>
      </c>
      <c r="AL562" s="112">
        <v>325.0</v>
      </c>
      <c r="AM562" s="112">
        <v>499.0</v>
      </c>
      <c r="AN562" s="109">
        <v>6034.0</v>
      </c>
    </row>
    <row r="563">
      <c r="A563" s="107" t="s">
        <v>202</v>
      </c>
      <c r="B563" s="111" t="s">
        <v>198</v>
      </c>
      <c r="C563" s="112">
        <v>174.0</v>
      </c>
      <c r="D563" s="112">
        <v>91.0</v>
      </c>
      <c r="E563" s="112">
        <v>83.0</v>
      </c>
      <c r="F563" s="112">
        <v>0.0</v>
      </c>
      <c r="G563" s="112">
        <v>2.0</v>
      </c>
      <c r="H563" s="112">
        <v>0.0</v>
      </c>
      <c r="I563" s="112">
        <v>1.0</v>
      </c>
      <c r="J563" s="112">
        <v>1.0</v>
      </c>
      <c r="K563" s="112">
        <v>0.0</v>
      </c>
      <c r="L563" s="112">
        <v>1.0</v>
      </c>
      <c r="M563" s="112">
        <v>5.0</v>
      </c>
      <c r="N563" s="112">
        <v>6.0</v>
      </c>
      <c r="O563" s="112">
        <v>1.0</v>
      </c>
      <c r="P563" s="112">
        <v>4.0</v>
      </c>
      <c r="Q563" s="112">
        <v>3.0</v>
      </c>
      <c r="R563" s="112">
        <v>0.0</v>
      </c>
      <c r="S563" s="112">
        <v>3.0</v>
      </c>
      <c r="T563" s="112">
        <v>1.0</v>
      </c>
      <c r="U563" s="112">
        <v>4.0</v>
      </c>
      <c r="V563" s="112">
        <v>6.0</v>
      </c>
      <c r="W563" s="112">
        <v>1.0</v>
      </c>
      <c r="X563" s="112">
        <v>12.0</v>
      </c>
      <c r="Y563" s="112">
        <v>7.0</v>
      </c>
      <c r="Z563" s="112">
        <v>6.0</v>
      </c>
      <c r="AA563" s="112">
        <v>6.0</v>
      </c>
      <c r="AB563" s="112">
        <v>12.0</v>
      </c>
      <c r="AC563" s="112">
        <v>7.0</v>
      </c>
      <c r="AD563" s="112">
        <v>12.0</v>
      </c>
      <c r="AE563" s="112">
        <v>8.0</v>
      </c>
      <c r="AF563" s="112">
        <v>3.0</v>
      </c>
      <c r="AG563" s="112">
        <v>14.0</v>
      </c>
      <c r="AH563" s="112">
        <v>8.0</v>
      </c>
      <c r="AI563" s="112">
        <v>5.0</v>
      </c>
      <c r="AJ563" s="112">
        <v>3.0</v>
      </c>
      <c r="AK563" s="112">
        <v>5.0</v>
      </c>
      <c r="AL563" s="112">
        <v>16.0</v>
      </c>
      <c r="AM563" s="112">
        <v>11.0</v>
      </c>
      <c r="AN563" s="112">
        <v>174.0</v>
      </c>
    </row>
    <row r="564">
      <c r="A564" s="104"/>
      <c r="B564" s="111" t="s">
        <v>199</v>
      </c>
      <c r="C564" s="112">
        <v>176.0</v>
      </c>
      <c r="D564" s="112">
        <v>111.0</v>
      </c>
      <c r="E564" s="112">
        <v>65.0</v>
      </c>
      <c r="F564" s="112">
        <v>1.0</v>
      </c>
      <c r="G564" s="112">
        <v>1.0</v>
      </c>
      <c r="H564" s="112">
        <v>4.0</v>
      </c>
      <c r="I564" s="112">
        <v>1.0</v>
      </c>
      <c r="J564" s="112">
        <v>0.0</v>
      </c>
      <c r="K564" s="112">
        <v>2.0</v>
      </c>
      <c r="L564" s="112">
        <v>1.0</v>
      </c>
      <c r="M564" s="112">
        <v>6.0</v>
      </c>
      <c r="N564" s="112">
        <v>2.0</v>
      </c>
      <c r="O564" s="112">
        <v>1.0</v>
      </c>
      <c r="P564" s="112">
        <v>8.0</v>
      </c>
      <c r="Q564" s="112">
        <v>4.0</v>
      </c>
      <c r="R564" s="112">
        <v>3.0</v>
      </c>
      <c r="S564" s="112">
        <v>3.0</v>
      </c>
      <c r="T564" s="112">
        <v>7.0</v>
      </c>
      <c r="U564" s="112">
        <v>3.0</v>
      </c>
      <c r="V564" s="112">
        <v>11.0</v>
      </c>
      <c r="W564" s="112">
        <v>0.0</v>
      </c>
      <c r="X564" s="112">
        <v>7.0</v>
      </c>
      <c r="Y564" s="112">
        <v>2.0</v>
      </c>
      <c r="Z564" s="112">
        <v>14.0</v>
      </c>
      <c r="AA564" s="112">
        <v>7.0</v>
      </c>
      <c r="AB564" s="112">
        <v>4.0</v>
      </c>
      <c r="AC564" s="112">
        <v>4.0</v>
      </c>
      <c r="AD564" s="112">
        <v>13.0</v>
      </c>
      <c r="AE564" s="112">
        <v>5.0</v>
      </c>
      <c r="AF564" s="112">
        <v>6.0</v>
      </c>
      <c r="AG564" s="112">
        <v>8.0</v>
      </c>
      <c r="AH564" s="112">
        <v>3.0</v>
      </c>
      <c r="AI564" s="112">
        <v>6.0</v>
      </c>
      <c r="AJ564" s="112">
        <v>10.0</v>
      </c>
      <c r="AK564" s="112">
        <v>6.0</v>
      </c>
      <c r="AL564" s="112">
        <v>17.0</v>
      </c>
      <c r="AM564" s="112">
        <v>6.0</v>
      </c>
      <c r="AN564" s="112">
        <v>175.0</v>
      </c>
    </row>
    <row r="565">
      <c r="A565" s="107" t="s">
        <v>203</v>
      </c>
      <c r="B565" s="111" t="s">
        <v>198</v>
      </c>
      <c r="C565" s="112">
        <v>32.0</v>
      </c>
      <c r="D565" s="112">
        <v>15.0</v>
      </c>
      <c r="E565" s="112">
        <v>17.0</v>
      </c>
      <c r="F565" s="110">
        <v>0.0</v>
      </c>
      <c r="G565" s="110">
        <v>0.0</v>
      </c>
      <c r="H565" s="110">
        <v>0.0</v>
      </c>
      <c r="I565" s="110">
        <v>0.0</v>
      </c>
      <c r="J565" s="110">
        <v>0.0</v>
      </c>
      <c r="K565" s="110">
        <v>0.0</v>
      </c>
      <c r="L565" s="110">
        <v>0.0</v>
      </c>
      <c r="M565" s="110">
        <v>0.0</v>
      </c>
      <c r="N565" s="110">
        <v>0.0</v>
      </c>
      <c r="O565" s="110">
        <v>0.0</v>
      </c>
      <c r="P565" s="110">
        <v>0.0</v>
      </c>
      <c r="Q565" s="110">
        <v>0.0</v>
      </c>
      <c r="R565" s="110">
        <v>0.0</v>
      </c>
      <c r="S565" s="110">
        <v>0.0</v>
      </c>
      <c r="T565" s="110">
        <v>0.0</v>
      </c>
      <c r="U565" s="110">
        <v>0.0</v>
      </c>
      <c r="V565" s="110">
        <v>0.0</v>
      </c>
      <c r="W565" s="110">
        <v>0.0</v>
      </c>
      <c r="X565" s="110">
        <v>0.0</v>
      </c>
      <c r="Y565" s="110">
        <v>0.0</v>
      </c>
      <c r="Z565" s="110">
        <v>0.0</v>
      </c>
      <c r="AA565" s="110">
        <v>0.0</v>
      </c>
      <c r="AB565" s="110">
        <v>0.0</v>
      </c>
      <c r="AC565" s="110">
        <v>0.0</v>
      </c>
      <c r="AD565" s="110">
        <v>0.0</v>
      </c>
      <c r="AE565" s="110">
        <v>0.0</v>
      </c>
      <c r="AF565" s="112">
        <v>3.0</v>
      </c>
      <c r="AG565" s="112">
        <v>2.0</v>
      </c>
      <c r="AH565" s="112">
        <v>5.0</v>
      </c>
      <c r="AI565" s="112">
        <v>3.0</v>
      </c>
      <c r="AJ565" s="112">
        <v>1.0</v>
      </c>
      <c r="AK565" s="112">
        <v>6.0</v>
      </c>
      <c r="AL565" s="112">
        <v>6.0</v>
      </c>
      <c r="AM565" s="112">
        <v>6.0</v>
      </c>
      <c r="AN565" s="112">
        <v>32.0</v>
      </c>
    </row>
    <row r="566">
      <c r="A566" s="104"/>
      <c r="B566" s="111" t="s">
        <v>199</v>
      </c>
      <c r="C566" s="112">
        <v>722.0</v>
      </c>
      <c r="D566" s="112">
        <v>312.0</v>
      </c>
      <c r="E566" s="112">
        <v>410.0</v>
      </c>
      <c r="F566" s="110">
        <v>0.0</v>
      </c>
      <c r="G566" s="110">
        <v>0.0</v>
      </c>
      <c r="H566" s="110">
        <v>0.0</v>
      </c>
      <c r="I566" s="110">
        <v>0.0</v>
      </c>
      <c r="J566" s="110">
        <v>0.0</v>
      </c>
      <c r="K566" s="110">
        <v>0.0</v>
      </c>
      <c r="L566" s="110">
        <v>0.0</v>
      </c>
      <c r="M566" s="110">
        <v>0.0</v>
      </c>
      <c r="N566" s="110">
        <v>0.0</v>
      </c>
      <c r="O566" s="110">
        <v>0.0</v>
      </c>
      <c r="P566" s="110">
        <v>0.0</v>
      </c>
      <c r="Q566" s="110">
        <v>0.0</v>
      </c>
      <c r="R566" s="110">
        <v>0.0</v>
      </c>
      <c r="S566" s="110">
        <v>0.0</v>
      </c>
      <c r="T566" s="110">
        <v>0.0</v>
      </c>
      <c r="U566" s="110">
        <v>0.0</v>
      </c>
      <c r="V566" s="110">
        <v>0.0</v>
      </c>
      <c r="W566" s="110">
        <v>0.0</v>
      </c>
      <c r="X566" s="110">
        <v>0.0</v>
      </c>
      <c r="Y566" s="110">
        <v>0.0</v>
      </c>
      <c r="Z566" s="110">
        <v>0.0</v>
      </c>
      <c r="AA566" s="110">
        <v>0.0</v>
      </c>
      <c r="AB566" s="110">
        <v>0.0</v>
      </c>
      <c r="AC566" s="110">
        <v>0.0</v>
      </c>
      <c r="AD566" s="110">
        <v>0.0</v>
      </c>
      <c r="AE566" s="110">
        <v>0.0</v>
      </c>
      <c r="AF566" s="112">
        <v>62.0</v>
      </c>
      <c r="AG566" s="112">
        <v>105.0</v>
      </c>
      <c r="AH566" s="112">
        <v>83.0</v>
      </c>
      <c r="AI566" s="112">
        <v>108.0</v>
      </c>
      <c r="AJ566" s="112">
        <v>77.0</v>
      </c>
      <c r="AK566" s="112">
        <v>98.0</v>
      </c>
      <c r="AL566" s="112">
        <v>90.0</v>
      </c>
      <c r="AM566" s="112">
        <v>99.0</v>
      </c>
      <c r="AN566" s="112">
        <v>720.0</v>
      </c>
    </row>
    <row r="567">
      <c r="A567" s="107" t="s">
        <v>204</v>
      </c>
      <c r="B567" s="111" t="s">
        <v>198</v>
      </c>
      <c r="C567" s="112">
        <v>35.0</v>
      </c>
      <c r="D567" s="112">
        <v>16.0</v>
      </c>
      <c r="E567" s="112">
        <v>19.0</v>
      </c>
      <c r="F567" s="110">
        <v>0.0</v>
      </c>
      <c r="G567" s="110">
        <v>0.0</v>
      </c>
      <c r="H567" s="110">
        <v>0.0</v>
      </c>
      <c r="I567" s="110">
        <v>0.0</v>
      </c>
      <c r="J567" s="110">
        <v>0.0</v>
      </c>
      <c r="K567" s="110">
        <v>0.0</v>
      </c>
      <c r="L567" s="110">
        <v>0.0</v>
      </c>
      <c r="M567" s="110">
        <v>0.0</v>
      </c>
      <c r="N567" s="110">
        <v>0.0</v>
      </c>
      <c r="O567" s="110">
        <v>0.0</v>
      </c>
      <c r="P567" s="110">
        <v>0.0</v>
      </c>
      <c r="Q567" s="110">
        <v>0.0</v>
      </c>
      <c r="R567" s="110">
        <v>0.0</v>
      </c>
      <c r="S567" s="110">
        <v>0.0</v>
      </c>
      <c r="T567" s="110">
        <v>0.0</v>
      </c>
      <c r="U567" s="110">
        <v>0.0</v>
      </c>
      <c r="V567" s="110">
        <v>0.0</v>
      </c>
      <c r="W567" s="110">
        <v>0.0</v>
      </c>
      <c r="X567" s="110">
        <v>0.0</v>
      </c>
      <c r="Y567" s="110">
        <v>0.0</v>
      </c>
      <c r="Z567" s="110">
        <v>0.0</v>
      </c>
      <c r="AA567" s="110">
        <v>0.0</v>
      </c>
      <c r="AB567" s="110">
        <v>0.0</v>
      </c>
      <c r="AC567" s="110">
        <v>0.0</v>
      </c>
      <c r="AD567" s="110">
        <v>0.0</v>
      </c>
      <c r="AE567" s="110">
        <v>0.0</v>
      </c>
      <c r="AF567" s="112">
        <v>2.0</v>
      </c>
      <c r="AG567" s="112">
        <v>1.0</v>
      </c>
      <c r="AH567" s="112">
        <v>1.0</v>
      </c>
      <c r="AI567" s="112">
        <v>3.0</v>
      </c>
      <c r="AJ567" s="112">
        <v>5.0</v>
      </c>
      <c r="AK567" s="112">
        <v>2.0</v>
      </c>
      <c r="AL567" s="112">
        <v>8.0</v>
      </c>
      <c r="AM567" s="112">
        <v>13.0</v>
      </c>
      <c r="AN567" s="112">
        <v>34.0</v>
      </c>
    </row>
    <row r="568">
      <c r="A568" s="104"/>
      <c r="B568" s="111" t="s">
        <v>199</v>
      </c>
      <c r="C568" s="112">
        <v>463.0</v>
      </c>
      <c r="D568" s="112">
        <v>182.0</v>
      </c>
      <c r="E568" s="112">
        <v>281.0</v>
      </c>
      <c r="F568" s="110">
        <v>0.0</v>
      </c>
      <c r="G568" s="110">
        <v>0.0</v>
      </c>
      <c r="H568" s="110">
        <v>0.0</v>
      </c>
      <c r="I568" s="110">
        <v>0.0</v>
      </c>
      <c r="J568" s="110">
        <v>0.0</v>
      </c>
      <c r="K568" s="110">
        <v>0.0</v>
      </c>
      <c r="L568" s="110">
        <v>0.0</v>
      </c>
      <c r="M568" s="110">
        <v>0.0</v>
      </c>
      <c r="N568" s="110">
        <v>0.0</v>
      </c>
      <c r="O568" s="110">
        <v>0.0</v>
      </c>
      <c r="P568" s="110">
        <v>0.0</v>
      </c>
      <c r="Q568" s="110">
        <v>0.0</v>
      </c>
      <c r="R568" s="110">
        <v>0.0</v>
      </c>
      <c r="S568" s="110">
        <v>0.0</v>
      </c>
      <c r="T568" s="110">
        <v>0.0</v>
      </c>
      <c r="U568" s="110">
        <v>0.0</v>
      </c>
      <c r="V568" s="110">
        <v>0.0</v>
      </c>
      <c r="W568" s="110">
        <v>0.0</v>
      </c>
      <c r="X568" s="110">
        <v>0.0</v>
      </c>
      <c r="Y568" s="110">
        <v>0.0</v>
      </c>
      <c r="Z568" s="110">
        <v>0.0</v>
      </c>
      <c r="AA568" s="110">
        <v>0.0</v>
      </c>
      <c r="AB568" s="110">
        <v>0.0</v>
      </c>
      <c r="AC568" s="110">
        <v>0.0</v>
      </c>
      <c r="AD568" s="110">
        <v>0.0</v>
      </c>
      <c r="AE568" s="110">
        <v>0.0</v>
      </c>
      <c r="AF568" s="112">
        <v>12.0</v>
      </c>
      <c r="AG568" s="112">
        <v>31.0</v>
      </c>
      <c r="AH568" s="112">
        <v>44.0</v>
      </c>
      <c r="AI568" s="112">
        <v>55.0</v>
      </c>
      <c r="AJ568" s="112">
        <v>43.0</v>
      </c>
      <c r="AK568" s="112">
        <v>84.0</v>
      </c>
      <c r="AL568" s="112">
        <v>83.0</v>
      </c>
      <c r="AM568" s="112">
        <v>111.0</v>
      </c>
      <c r="AN568" s="112">
        <v>462.0</v>
      </c>
    </row>
    <row r="569">
      <c r="A569" s="107" t="s">
        <v>205</v>
      </c>
      <c r="B569" s="111" t="s">
        <v>198</v>
      </c>
      <c r="C569" s="112">
        <v>150.0</v>
      </c>
      <c r="D569" s="112">
        <v>39.0</v>
      </c>
      <c r="E569" s="112">
        <v>111.0</v>
      </c>
      <c r="F569" s="112">
        <v>0.0</v>
      </c>
      <c r="G569" s="112">
        <v>0.0</v>
      </c>
      <c r="H569" s="112">
        <v>1.0</v>
      </c>
      <c r="I569" s="112">
        <v>0.0</v>
      </c>
      <c r="J569" s="112">
        <v>0.0</v>
      </c>
      <c r="K569" s="112">
        <v>0.0</v>
      </c>
      <c r="L569" s="112">
        <v>1.0</v>
      </c>
      <c r="M569" s="112">
        <v>3.0</v>
      </c>
      <c r="N569" s="112">
        <v>1.0</v>
      </c>
      <c r="O569" s="112">
        <v>5.0</v>
      </c>
      <c r="P569" s="112">
        <v>2.0</v>
      </c>
      <c r="Q569" s="112">
        <v>2.0</v>
      </c>
      <c r="R569" s="112">
        <v>0.0</v>
      </c>
      <c r="S569" s="112">
        <v>6.0</v>
      </c>
      <c r="T569" s="112">
        <v>0.0</v>
      </c>
      <c r="U569" s="112">
        <v>5.0</v>
      </c>
      <c r="V569" s="112">
        <v>0.0</v>
      </c>
      <c r="W569" s="112">
        <v>7.0</v>
      </c>
      <c r="X569" s="112">
        <v>2.0</v>
      </c>
      <c r="Y569" s="112">
        <v>9.0</v>
      </c>
      <c r="Z569" s="112">
        <v>3.0</v>
      </c>
      <c r="AA569" s="112">
        <v>12.0</v>
      </c>
      <c r="AB569" s="112">
        <v>7.0</v>
      </c>
      <c r="AC569" s="112">
        <v>15.0</v>
      </c>
      <c r="AD569" s="112">
        <v>0.0</v>
      </c>
      <c r="AE569" s="112">
        <v>13.0</v>
      </c>
      <c r="AF569" s="112">
        <v>2.0</v>
      </c>
      <c r="AG569" s="112">
        <v>8.0</v>
      </c>
      <c r="AH569" s="112">
        <v>6.0</v>
      </c>
      <c r="AI569" s="112">
        <v>9.0</v>
      </c>
      <c r="AJ569" s="112">
        <v>8.0</v>
      </c>
      <c r="AK569" s="112">
        <v>6.0</v>
      </c>
      <c r="AL569" s="112">
        <v>6.0</v>
      </c>
      <c r="AM569" s="112">
        <v>11.0</v>
      </c>
      <c r="AN569" s="112">
        <v>150.0</v>
      </c>
    </row>
    <row r="570">
      <c r="A570" s="98"/>
      <c r="B570" s="111" t="s">
        <v>199</v>
      </c>
      <c r="C570" s="112">
        <v>41.0</v>
      </c>
      <c r="D570" s="112">
        <v>17.0</v>
      </c>
      <c r="E570" s="112">
        <v>24.0</v>
      </c>
      <c r="F570" s="112">
        <v>0.0</v>
      </c>
      <c r="G570" s="112">
        <v>0.0</v>
      </c>
      <c r="H570" s="112">
        <v>0.0</v>
      </c>
      <c r="I570" s="112">
        <v>0.0</v>
      </c>
      <c r="J570" s="112">
        <v>0.0</v>
      </c>
      <c r="K570" s="112">
        <v>0.0</v>
      </c>
      <c r="L570" s="112">
        <v>0.0</v>
      </c>
      <c r="M570" s="112">
        <v>0.0</v>
      </c>
      <c r="N570" s="112">
        <v>0.0</v>
      </c>
      <c r="O570" s="112">
        <v>0.0</v>
      </c>
      <c r="P570" s="112">
        <v>0.0</v>
      </c>
      <c r="Q570" s="112">
        <v>0.0</v>
      </c>
      <c r="R570" s="112">
        <v>0.0</v>
      </c>
      <c r="S570" s="112">
        <v>0.0</v>
      </c>
      <c r="T570" s="112">
        <v>1.0</v>
      </c>
      <c r="U570" s="112">
        <v>2.0</v>
      </c>
      <c r="V570" s="112">
        <v>0.0</v>
      </c>
      <c r="W570" s="112">
        <v>1.0</v>
      </c>
      <c r="X570" s="112">
        <v>2.0</v>
      </c>
      <c r="Y570" s="112">
        <v>3.0</v>
      </c>
      <c r="Z570" s="112">
        <v>0.0</v>
      </c>
      <c r="AA570" s="112">
        <v>4.0</v>
      </c>
      <c r="AB570" s="112">
        <v>1.0</v>
      </c>
      <c r="AC570" s="112">
        <v>0.0</v>
      </c>
      <c r="AD570" s="112">
        <v>2.0</v>
      </c>
      <c r="AE570" s="112">
        <v>2.0</v>
      </c>
      <c r="AF570" s="112">
        <v>1.0</v>
      </c>
      <c r="AG570" s="112">
        <v>0.0</v>
      </c>
      <c r="AH570" s="112">
        <v>1.0</v>
      </c>
      <c r="AI570" s="112">
        <v>3.0</v>
      </c>
      <c r="AJ570" s="112">
        <v>4.0</v>
      </c>
      <c r="AK570" s="112">
        <v>3.0</v>
      </c>
      <c r="AL570" s="112">
        <v>5.0</v>
      </c>
      <c r="AM570" s="112">
        <v>6.0</v>
      </c>
      <c r="AN570" s="112">
        <v>41.0</v>
      </c>
    </row>
    <row r="571">
      <c r="A571" s="104"/>
      <c r="B571" s="111" t="s">
        <v>206</v>
      </c>
      <c r="C571" s="112">
        <v>304.0</v>
      </c>
      <c r="D571" s="112">
        <v>74.0</v>
      </c>
      <c r="E571" s="112">
        <v>230.0</v>
      </c>
      <c r="F571" s="112">
        <v>0.0</v>
      </c>
      <c r="G571" s="112">
        <v>0.0</v>
      </c>
      <c r="H571" s="112">
        <v>0.0</v>
      </c>
      <c r="I571" s="112">
        <v>0.0</v>
      </c>
      <c r="J571" s="112">
        <v>0.0</v>
      </c>
      <c r="K571" s="112">
        <v>2.0</v>
      </c>
      <c r="L571" s="112">
        <v>24.0</v>
      </c>
      <c r="M571" s="112">
        <v>38.0</v>
      </c>
      <c r="N571" s="112">
        <v>6.0</v>
      </c>
      <c r="O571" s="112">
        <v>60.0</v>
      </c>
      <c r="P571" s="112">
        <v>12.0</v>
      </c>
      <c r="Q571" s="112">
        <v>52.0</v>
      </c>
      <c r="R571" s="112">
        <v>6.0</v>
      </c>
      <c r="S571" s="112">
        <v>26.0</v>
      </c>
      <c r="T571" s="112">
        <v>2.0</v>
      </c>
      <c r="U571" s="112">
        <v>24.0</v>
      </c>
      <c r="V571" s="112">
        <v>2.0</v>
      </c>
      <c r="W571" s="112">
        <v>9.0</v>
      </c>
      <c r="X571" s="112">
        <v>8.0</v>
      </c>
      <c r="Y571" s="112">
        <v>5.0</v>
      </c>
      <c r="Z571" s="112">
        <v>0.0</v>
      </c>
      <c r="AA571" s="112">
        <v>3.0</v>
      </c>
      <c r="AB571" s="112">
        <v>12.0</v>
      </c>
      <c r="AC571" s="112">
        <v>2.0</v>
      </c>
      <c r="AD571" s="112">
        <v>1.0</v>
      </c>
      <c r="AE571" s="112">
        <v>3.0</v>
      </c>
      <c r="AF571" s="112">
        <v>1.0</v>
      </c>
      <c r="AG571" s="112">
        <v>1.0</v>
      </c>
      <c r="AH571" s="112">
        <v>0.0</v>
      </c>
      <c r="AI571" s="112">
        <v>1.0</v>
      </c>
      <c r="AJ571" s="112">
        <v>0.0</v>
      </c>
      <c r="AK571" s="112">
        <v>4.0</v>
      </c>
      <c r="AL571" s="112">
        <v>0.0</v>
      </c>
      <c r="AM571" s="112">
        <v>0.0</v>
      </c>
      <c r="AN571" s="112">
        <v>300.0</v>
      </c>
    </row>
    <row r="572">
      <c r="A572" s="107" t="s">
        <v>207</v>
      </c>
      <c r="B572" s="111" t="s">
        <v>198</v>
      </c>
      <c r="C572" s="109">
        <v>45142.0</v>
      </c>
      <c r="D572" s="109">
        <v>16719.0</v>
      </c>
      <c r="E572" s="109">
        <v>28423.0</v>
      </c>
      <c r="F572" s="112">
        <v>563.0</v>
      </c>
      <c r="G572" s="112">
        <v>525.0</v>
      </c>
      <c r="H572" s="112">
        <v>342.0</v>
      </c>
      <c r="I572" s="112">
        <v>307.0</v>
      </c>
      <c r="J572" s="112">
        <v>346.0</v>
      </c>
      <c r="K572" s="112">
        <v>307.0</v>
      </c>
      <c r="L572" s="112">
        <v>393.0</v>
      </c>
      <c r="M572" s="112">
        <v>488.0</v>
      </c>
      <c r="N572" s="112">
        <v>210.0</v>
      </c>
      <c r="O572" s="112">
        <v>661.0</v>
      </c>
      <c r="P572" s="112">
        <v>290.0</v>
      </c>
      <c r="Q572" s="112">
        <v>865.0</v>
      </c>
      <c r="R572" s="112">
        <v>241.0</v>
      </c>
      <c r="S572" s="112">
        <v>902.0</v>
      </c>
      <c r="T572" s="112">
        <v>436.0</v>
      </c>
      <c r="U572" s="109">
        <v>1386.0</v>
      </c>
      <c r="V572" s="112">
        <v>513.0</v>
      </c>
      <c r="W572" s="109">
        <v>1789.0</v>
      </c>
      <c r="X572" s="109">
        <v>1014.0</v>
      </c>
      <c r="Y572" s="109">
        <v>2141.0</v>
      </c>
      <c r="Z572" s="109">
        <v>1335.0</v>
      </c>
      <c r="AA572" s="109">
        <v>2550.0</v>
      </c>
      <c r="AB572" s="109">
        <v>1578.0</v>
      </c>
      <c r="AC572" s="109">
        <v>2789.0</v>
      </c>
      <c r="AD572" s="109">
        <v>1519.0</v>
      </c>
      <c r="AE572" s="109">
        <v>2703.0</v>
      </c>
      <c r="AF572" s="109">
        <v>1730.0</v>
      </c>
      <c r="AG572" s="109">
        <v>2910.0</v>
      </c>
      <c r="AH572" s="109">
        <v>2085.0</v>
      </c>
      <c r="AI572" s="109">
        <v>2431.0</v>
      </c>
      <c r="AJ572" s="109">
        <v>1854.0</v>
      </c>
      <c r="AK572" s="109">
        <v>2402.0</v>
      </c>
      <c r="AL572" s="109">
        <v>2270.0</v>
      </c>
      <c r="AM572" s="109">
        <v>3267.0</v>
      </c>
      <c r="AN572" s="109">
        <v>44807.0</v>
      </c>
    </row>
    <row r="573">
      <c r="A573" s="98"/>
      <c r="B573" s="111" t="s">
        <v>199</v>
      </c>
      <c r="C573" s="109">
        <v>11307.0</v>
      </c>
      <c r="D573" s="109">
        <v>5045.0</v>
      </c>
      <c r="E573" s="109">
        <v>6262.0</v>
      </c>
      <c r="F573" s="112">
        <v>38.0</v>
      </c>
      <c r="G573" s="112">
        <v>28.0</v>
      </c>
      <c r="H573" s="112">
        <v>26.0</v>
      </c>
      <c r="I573" s="112">
        <v>9.0</v>
      </c>
      <c r="J573" s="112">
        <v>19.0</v>
      </c>
      <c r="K573" s="112">
        <v>25.0</v>
      </c>
      <c r="L573" s="112">
        <v>41.0</v>
      </c>
      <c r="M573" s="112">
        <v>76.0</v>
      </c>
      <c r="N573" s="112">
        <v>33.0</v>
      </c>
      <c r="O573" s="112">
        <v>44.0</v>
      </c>
      <c r="P573" s="112">
        <v>32.0</v>
      </c>
      <c r="Q573" s="112">
        <v>54.0</v>
      </c>
      <c r="R573" s="112">
        <v>61.0</v>
      </c>
      <c r="S573" s="112">
        <v>85.0</v>
      </c>
      <c r="T573" s="112">
        <v>50.0</v>
      </c>
      <c r="U573" s="112">
        <v>139.0</v>
      </c>
      <c r="V573" s="112">
        <v>134.0</v>
      </c>
      <c r="W573" s="112">
        <v>173.0</v>
      </c>
      <c r="X573" s="112">
        <v>168.0</v>
      </c>
      <c r="Y573" s="112">
        <v>357.0</v>
      </c>
      <c r="Z573" s="112">
        <v>377.0</v>
      </c>
      <c r="AA573" s="112">
        <v>539.0</v>
      </c>
      <c r="AB573" s="112">
        <v>403.0</v>
      </c>
      <c r="AC573" s="112">
        <v>565.0</v>
      </c>
      <c r="AD573" s="112">
        <v>607.0</v>
      </c>
      <c r="AE573" s="112">
        <v>772.0</v>
      </c>
      <c r="AF573" s="112">
        <v>603.0</v>
      </c>
      <c r="AG573" s="112">
        <v>888.0</v>
      </c>
      <c r="AH573" s="112">
        <v>861.0</v>
      </c>
      <c r="AI573" s="112">
        <v>855.0</v>
      </c>
      <c r="AJ573" s="112">
        <v>799.0</v>
      </c>
      <c r="AK573" s="112">
        <v>662.0</v>
      </c>
      <c r="AL573" s="112">
        <v>793.0</v>
      </c>
      <c r="AM573" s="112">
        <v>991.0</v>
      </c>
      <c r="AN573" s="109">
        <v>11247.0</v>
      </c>
    </row>
    <row r="574">
      <c r="A574" s="98"/>
      <c r="B574" s="111" t="s">
        <v>206</v>
      </c>
      <c r="C574" s="112">
        <v>287.0</v>
      </c>
      <c r="D574" s="112">
        <v>47.0</v>
      </c>
      <c r="E574" s="112">
        <v>240.0</v>
      </c>
      <c r="F574" s="112">
        <v>21.0</v>
      </c>
      <c r="G574" s="112">
        <v>27.0</v>
      </c>
      <c r="H574" s="112">
        <v>1.0</v>
      </c>
      <c r="I574" s="112">
        <v>4.0</v>
      </c>
      <c r="J574" s="112">
        <v>3.0</v>
      </c>
      <c r="K574" s="112">
        <v>13.0</v>
      </c>
      <c r="L574" s="112">
        <v>0.0</v>
      </c>
      <c r="M574" s="112">
        <v>14.0</v>
      </c>
      <c r="N574" s="112">
        <v>1.0</v>
      </c>
      <c r="O574" s="112">
        <v>14.0</v>
      </c>
      <c r="P574" s="112">
        <v>1.0</v>
      </c>
      <c r="Q574" s="112">
        <v>21.0</v>
      </c>
      <c r="R574" s="112">
        <v>1.0</v>
      </c>
      <c r="S574" s="112">
        <v>20.0</v>
      </c>
      <c r="T574" s="112">
        <v>0.0</v>
      </c>
      <c r="U574" s="112">
        <v>23.0</v>
      </c>
      <c r="V574" s="112">
        <v>0.0</v>
      </c>
      <c r="W574" s="112">
        <v>14.0</v>
      </c>
      <c r="X574" s="112">
        <v>4.0</v>
      </c>
      <c r="Y574" s="112">
        <v>23.0</v>
      </c>
      <c r="Z574" s="112">
        <v>2.0</v>
      </c>
      <c r="AA574" s="112">
        <v>18.0</v>
      </c>
      <c r="AB574" s="112">
        <v>4.0</v>
      </c>
      <c r="AC574" s="112">
        <v>12.0</v>
      </c>
      <c r="AD574" s="112">
        <v>2.0</v>
      </c>
      <c r="AE574" s="112">
        <v>18.0</v>
      </c>
      <c r="AF574" s="112">
        <v>4.0</v>
      </c>
      <c r="AG574" s="112">
        <v>8.0</v>
      </c>
      <c r="AH574" s="112">
        <v>2.0</v>
      </c>
      <c r="AI574" s="112">
        <v>7.0</v>
      </c>
      <c r="AJ574" s="112">
        <v>0.0</v>
      </c>
      <c r="AK574" s="112">
        <v>4.0</v>
      </c>
      <c r="AL574" s="112">
        <v>1.0</v>
      </c>
      <c r="AM574" s="112">
        <v>0.0</v>
      </c>
      <c r="AN574" s="112">
        <v>278.0</v>
      </c>
    </row>
    <row r="575">
      <c r="A575" s="98"/>
      <c r="B575" s="111" t="s">
        <v>200</v>
      </c>
      <c r="C575" s="109">
        <v>5268.0</v>
      </c>
      <c r="D575" s="109">
        <v>1589.0</v>
      </c>
      <c r="E575" s="109">
        <v>3679.0</v>
      </c>
      <c r="F575" s="112">
        <v>569.0</v>
      </c>
      <c r="G575" s="112">
        <v>643.0</v>
      </c>
      <c r="H575" s="112">
        <v>186.0</v>
      </c>
      <c r="I575" s="112">
        <v>209.0</v>
      </c>
      <c r="J575" s="112">
        <v>144.0</v>
      </c>
      <c r="K575" s="112">
        <v>198.0</v>
      </c>
      <c r="L575" s="112">
        <v>54.0</v>
      </c>
      <c r="M575" s="112">
        <v>207.0</v>
      </c>
      <c r="N575" s="112">
        <v>20.0</v>
      </c>
      <c r="O575" s="112">
        <v>220.0</v>
      </c>
      <c r="P575" s="112">
        <v>27.0</v>
      </c>
      <c r="Q575" s="112">
        <v>236.0</v>
      </c>
      <c r="R575" s="112">
        <v>12.0</v>
      </c>
      <c r="S575" s="112">
        <v>260.0</v>
      </c>
      <c r="T575" s="112">
        <v>29.0</v>
      </c>
      <c r="U575" s="112">
        <v>225.0</v>
      </c>
      <c r="V575" s="112">
        <v>26.0</v>
      </c>
      <c r="W575" s="112">
        <v>228.0</v>
      </c>
      <c r="X575" s="112">
        <v>41.0</v>
      </c>
      <c r="Y575" s="112">
        <v>235.0</v>
      </c>
      <c r="Z575" s="112">
        <v>61.0</v>
      </c>
      <c r="AA575" s="112">
        <v>206.0</v>
      </c>
      <c r="AB575" s="112">
        <v>59.0</v>
      </c>
      <c r="AC575" s="112">
        <v>179.0</v>
      </c>
      <c r="AD575" s="112">
        <v>74.0</v>
      </c>
      <c r="AE575" s="112">
        <v>146.0</v>
      </c>
      <c r="AF575" s="112">
        <v>66.0</v>
      </c>
      <c r="AG575" s="112">
        <v>158.0</v>
      </c>
      <c r="AH575" s="112">
        <v>87.0</v>
      </c>
      <c r="AI575" s="112">
        <v>138.0</v>
      </c>
      <c r="AJ575" s="112">
        <v>68.0</v>
      </c>
      <c r="AK575" s="112">
        <v>89.0</v>
      </c>
      <c r="AL575" s="112">
        <v>66.0</v>
      </c>
      <c r="AM575" s="112">
        <v>102.0</v>
      </c>
      <c r="AN575" s="109">
        <v>5242.0</v>
      </c>
    </row>
    <row r="576">
      <c r="A576" s="104"/>
      <c r="B576" s="111" t="s">
        <v>201</v>
      </c>
      <c r="C576" s="109">
        <v>5459.0</v>
      </c>
      <c r="D576" s="109">
        <v>2082.0</v>
      </c>
      <c r="E576" s="109">
        <v>3377.0</v>
      </c>
      <c r="F576" s="112">
        <v>23.0</v>
      </c>
      <c r="G576" s="112">
        <v>36.0</v>
      </c>
      <c r="H576" s="112">
        <v>56.0</v>
      </c>
      <c r="I576" s="112">
        <v>74.0</v>
      </c>
      <c r="J576" s="112">
        <v>60.0</v>
      </c>
      <c r="K576" s="112">
        <v>74.0</v>
      </c>
      <c r="L576" s="112">
        <v>63.0</v>
      </c>
      <c r="M576" s="112">
        <v>102.0</v>
      </c>
      <c r="N576" s="112">
        <v>65.0</v>
      </c>
      <c r="O576" s="112">
        <v>108.0</v>
      </c>
      <c r="P576" s="112">
        <v>71.0</v>
      </c>
      <c r="Q576" s="112">
        <v>161.0</v>
      </c>
      <c r="R576" s="112">
        <v>83.0</v>
      </c>
      <c r="S576" s="112">
        <v>117.0</v>
      </c>
      <c r="T576" s="112">
        <v>60.0</v>
      </c>
      <c r="U576" s="112">
        <v>121.0</v>
      </c>
      <c r="V576" s="112">
        <v>130.0</v>
      </c>
      <c r="W576" s="112">
        <v>156.0</v>
      </c>
      <c r="X576" s="112">
        <v>164.0</v>
      </c>
      <c r="Y576" s="112">
        <v>263.0</v>
      </c>
      <c r="Z576" s="112">
        <v>122.0</v>
      </c>
      <c r="AA576" s="112">
        <v>296.0</v>
      </c>
      <c r="AB576" s="112">
        <v>200.0</v>
      </c>
      <c r="AC576" s="112">
        <v>341.0</v>
      </c>
      <c r="AD576" s="112">
        <v>232.0</v>
      </c>
      <c r="AE576" s="112">
        <v>297.0</v>
      </c>
      <c r="AF576" s="112">
        <v>225.0</v>
      </c>
      <c r="AG576" s="112">
        <v>339.0</v>
      </c>
      <c r="AH576" s="112">
        <v>195.0</v>
      </c>
      <c r="AI576" s="112">
        <v>275.0</v>
      </c>
      <c r="AJ576" s="112">
        <v>160.0</v>
      </c>
      <c r="AK576" s="112">
        <v>272.0</v>
      </c>
      <c r="AL576" s="112">
        <v>173.0</v>
      </c>
      <c r="AM576" s="112">
        <v>345.0</v>
      </c>
      <c r="AN576" s="109">
        <v>5447.0</v>
      </c>
    </row>
    <row r="577">
      <c r="A577" s="107" t="s">
        <v>208</v>
      </c>
      <c r="B577" s="111" t="s">
        <v>198</v>
      </c>
      <c r="C577" s="112">
        <v>4.0</v>
      </c>
      <c r="D577" s="112">
        <v>3.0</v>
      </c>
      <c r="E577" s="112">
        <v>1.0</v>
      </c>
      <c r="F577" s="112">
        <v>2.0</v>
      </c>
      <c r="G577" s="112">
        <v>1.0</v>
      </c>
      <c r="H577" s="112">
        <v>1.0</v>
      </c>
      <c r="I577" s="112">
        <v>0.0</v>
      </c>
      <c r="J577" s="112">
        <v>0.0</v>
      </c>
      <c r="K577" s="112">
        <v>0.0</v>
      </c>
      <c r="L577" s="112">
        <v>0.0</v>
      </c>
      <c r="M577" s="112">
        <v>0.0</v>
      </c>
      <c r="N577" s="112">
        <v>0.0</v>
      </c>
      <c r="O577" s="112">
        <v>0.0</v>
      </c>
      <c r="P577" s="110">
        <v>0.0</v>
      </c>
      <c r="Q577" s="110">
        <v>0.0</v>
      </c>
      <c r="R577" s="110">
        <v>0.0</v>
      </c>
      <c r="S577" s="110">
        <v>0.0</v>
      </c>
      <c r="T577" s="110">
        <v>0.0</v>
      </c>
      <c r="U577" s="110">
        <v>0.0</v>
      </c>
      <c r="V577" s="110">
        <v>0.0</v>
      </c>
      <c r="W577" s="110">
        <v>0.0</v>
      </c>
      <c r="X577" s="110">
        <v>0.0</v>
      </c>
      <c r="Y577" s="110">
        <v>0.0</v>
      </c>
      <c r="Z577" s="110">
        <v>0.0</v>
      </c>
      <c r="AA577" s="110">
        <v>0.0</v>
      </c>
      <c r="AB577" s="110">
        <v>0.0</v>
      </c>
      <c r="AC577" s="110">
        <v>0.0</v>
      </c>
      <c r="AD577" s="110">
        <v>0.0</v>
      </c>
      <c r="AE577" s="110">
        <v>0.0</v>
      </c>
      <c r="AF577" s="110">
        <v>0.0</v>
      </c>
      <c r="AG577" s="110">
        <v>0.0</v>
      </c>
      <c r="AH577" s="110">
        <v>0.0</v>
      </c>
      <c r="AI577" s="110">
        <v>0.0</v>
      </c>
      <c r="AJ577" s="110">
        <v>0.0</v>
      </c>
      <c r="AK577" s="110">
        <v>0.0</v>
      </c>
      <c r="AL577" s="110">
        <v>0.0</v>
      </c>
      <c r="AM577" s="110">
        <v>0.0</v>
      </c>
      <c r="AN577" s="112">
        <v>4.0</v>
      </c>
    </row>
    <row r="578">
      <c r="A578" s="98"/>
      <c r="B578" s="111" t="s">
        <v>199</v>
      </c>
      <c r="C578" s="112">
        <v>125.0</v>
      </c>
      <c r="D578" s="112">
        <v>69.0</v>
      </c>
      <c r="E578" s="112">
        <v>56.0</v>
      </c>
      <c r="F578" s="112">
        <v>59.0</v>
      </c>
      <c r="G578" s="112">
        <v>47.0</v>
      </c>
      <c r="H578" s="112">
        <v>5.0</v>
      </c>
      <c r="I578" s="112">
        <v>9.0</v>
      </c>
      <c r="J578" s="112">
        <v>2.0</v>
      </c>
      <c r="K578" s="112">
        <v>0.0</v>
      </c>
      <c r="L578" s="112">
        <v>3.0</v>
      </c>
      <c r="M578" s="112">
        <v>0.0</v>
      </c>
      <c r="N578" s="112">
        <v>0.0</v>
      </c>
      <c r="O578" s="112">
        <v>0.0</v>
      </c>
      <c r="P578" s="110">
        <v>0.0</v>
      </c>
      <c r="Q578" s="110">
        <v>0.0</v>
      </c>
      <c r="R578" s="110">
        <v>0.0</v>
      </c>
      <c r="S578" s="110">
        <v>0.0</v>
      </c>
      <c r="T578" s="110">
        <v>0.0</v>
      </c>
      <c r="U578" s="110">
        <v>0.0</v>
      </c>
      <c r="V578" s="110">
        <v>0.0</v>
      </c>
      <c r="W578" s="110">
        <v>0.0</v>
      </c>
      <c r="X578" s="110">
        <v>0.0</v>
      </c>
      <c r="Y578" s="110">
        <v>0.0</v>
      </c>
      <c r="Z578" s="110">
        <v>0.0</v>
      </c>
      <c r="AA578" s="110">
        <v>0.0</v>
      </c>
      <c r="AB578" s="110">
        <v>0.0</v>
      </c>
      <c r="AC578" s="110">
        <v>0.0</v>
      </c>
      <c r="AD578" s="110">
        <v>0.0</v>
      </c>
      <c r="AE578" s="110">
        <v>0.0</v>
      </c>
      <c r="AF578" s="110">
        <v>0.0</v>
      </c>
      <c r="AG578" s="110">
        <v>0.0</v>
      </c>
      <c r="AH578" s="110">
        <v>0.0</v>
      </c>
      <c r="AI578" s="110">
        <v>0.0</v>
      </c>
      <c r="AJ578" s="110">
        <v>0.0</v>
      </c>
      <c r="AK578" s="110">
        <v>0.0</v>
      </c>
      <c r="AL578" s="110">
        <v>0.0</v>
      </c>
      <c r="AM578" s="110">
        <v>0.0</v>
      </c>
      <c r="AN578" s="112">
        <v>124.0</v>
      </c>
    </row>
    <row r="579">
      <c r="A579" s="98"/>
      <c r="B579" s="111" t="s">
        <v>206</v>
      </c>
      <c r="C579" s="112">
        <v>7.0</v>
      </c>
      <c r="D579" s="112">
        <v>4.0</v>
      </c>
      <c r="E579" s="112">
        <v>3.0</v>
      </c>
      <c r="F579" s="112">
        <v>4.0</v>
      </c>
      <c r="G579" s="112">
        <v>3.0</v>
      </c>
      <c r="H579" s="112">
        <v>0.0</v>
      </c>
      <c r="I579" s="112">
        <v>0.0</v>
      </c>
      <c r="J579" s="112">
        <v>0.0</v>
      </c>
      <c r="K579" s="112">
        <v>0.0</v>
      </c>
      <c r="L579" s="112">
        <v>0.0</v>
      </c>
      <c r="M579" s="112">
        <v>0.0</v>
      </c>
      <c r="N579" s="112">
        <v>0.0</v>
      </c>
      <c r="O579" s="112">
        <v>0.0</v>
      </c>
      <c r="P579" s="110">
        <v>0.0</v>
      </c>
      <c r="Q579" s="110">
        <v>0.0</v>
      </c>
      <c r="R579" s="110">
        <v>0.0</v>
      </c>
      <c r="S579" s="110">
        <v>0.0</v>
      </c>
      <c r="T579" s="110">
        <v>0.0</v>
      </c>
      <c r="U579" s="110">
        <v>0.0</v>
      </c>
      <c r="V579" s="110">
        <v>0.0</v>
      </c>
      <c r="W579" s="110">
        <v>0.0</v>
      </c>
      <c r="X579" s="110">
        <v>0.0</v>
      </c>
      <c r="Y579" s="110">
        <v>0.0</v>
      </c>
      <c r="Z579" s="110">
        <v>0.0</v>
      </c>
      <c r="AA579" s="110">
        <v>0.0</v>
      </c>
      <c r="AB579" s="110">
        <v>0.0</v>
      </c>
      <c r="AC579" s="110">
        <v>0.0</v>
      </c>
      <c r="AD579" s="110">
        <v>0.0</v>
      </c>
      <c r="AE579" s="110">
        <v>0.0</v>
      </c>
      <c r="AF579" s="110">
        <v>0.0</v>
      </c>
      <c r="AG579" s="110">
        <v>0.0</v>
      </c>
      <c r="AH579" s="110">
        <v>0.0</v>
      </c>
      <c r="AI579" s="110">
        <v>0.0</v>
      </c>
      <c r="AJ579" s="110">
        <v>0.0</v>
      </c>
      <c r="AK579" s="110">
        <v>0.0</v>
      </c>
      <c r="AL579" s="110">
        <v>0.0</v>
      </c>
      <c r="AM579" s="110">
        <v>0.0</v>
      </c>
      <c r="AN579" s="112">
        <v>7.0</v>
      </c>
    </row>
    <row r="580">
      <c r="A580" s="98"/>
      <c r="B580" s="111" t="s">
        <v>200</v>
      </c>
      <c r="C580" s="112">
        <v>116.0</v>
      </c>
      <c r="D580" s="112">
        <v>51.0</v>
      </c>
      <c r="E580" s="112">
        <v>65.0</v>
      </c>
      <c r="F580" s="112">
        <v>42.0</v>
      </c>
      <c r="G580" s="112">
        <v>64.0</v>
      </c>
      <c r="H580" s="112">
        <v>5.0</v>
      </c>
      <c r="I580" s="112">
        <v>1.0</v>
      </c>
      <c r="J580" s="112">
        <v>0.0</v>
      </c>
      <c r="K580" s="112">
        <v>0.0</v>
      </c>
      <c r="L580" s="112">
        <v>4.0</v>
      </c>
      <c r="M580" s="112">
        <v>0.0</v>
      </c>
      <c r="N580" s="112">
        <v>0.0</v>
      </c>
      <c r="O580" s="112">
        <v>0.0</v>
      </c>
      <c r="P580" s="110">
        <v>0.0</v>
      </c>
      <c r="Q580" s="110">
        <v>0.0</v>
      </c>
      <c r="R580" s="110">
        <v>0.0</v>
      </c>
      <c r="S580" s="110">
        <v>0.0</v>
      </c>
      <c r="T580" s="110">
        <v>0.0</v>
      </c>
      <c r="U580" s="110">
        <v>0.0</v>
      </c>
      <c r="V580" s="110">
        <v>0.0</v>
      </c>
      <c r="W580" s="110">
        <v>0.0</v>
      </c>
      <c r="X580" s="110">
        <v>0.0</v>
      </c>
      <c r="Y580" s="110">
        <v>0.0</v>
      </c>
      <c r="Z580" s="110">
        <v>0.0</v>
      </c>
      <c r="AA580" s="110">
        <v>0.0</v>
      </c>
      <c r="AB580" s="110">
        <v>0.0</v>
      </c>
      <c r="AC580" s="110">
        <v>0.0</v>
      </c>
      <c r="AD580" s="110">
        <v>0.0</v>
      </c>
      <c r="AE580" s="110">
        <v>0.0</v>
      </c>
      <c r="AF580" s="110">
        <v>0.0</v>
      </c>
      <c r="AG580" s="110">
        <v>0.0</v>
      </c>
      <c r="AH580" s="110">
        <v>0.0</v>
      </c>
      <c r="AI580" s="110">
        <v>0.0</v>
      </c>
      <c r="AJ580" s="110">
        <v>0.0</v>
      </c>
      <c r="AK580" s="110">
        <v>0.0</v>
      </c>
      <c r="AL580" s="110">
        <v>0.0</v>
      </c>
      <c r="AM580" s="110">
        <v>0.0</v>
      </c>
      <c r="AN580" s="112">
        <v>116.0</v>
      </c>
    </row>
    <row r="581">
      <c r="A581" s="104"/>
      <c r="B581" s="111" t="s">
        <v>201</v>
      </c>
      <c r="C581" s="112">
        <v>0.0</v>
      </c>
      <c r="D581" s="112">
        <v>0.0</v>
      </c>
      <c r="E581" s="112">
        <v>0.0</v>
      </c>
      <c r="F581" s="112">
        <v>0.0</v>
      </c>
      <c r="G581" s="112">
        <v>0.0</v>
      </c>
      <c r="H581" s="112">
        <v>0.0</v>
      </c>
      <c r="I581" s="112">
        <v>0.0</v>
      </c>
      <c r="J581" s="112">
        <v>0.0</v>
      </c>
      <c r="K581" s="112">
        <v>0.0</v>
      </c>
      <c r="L581" s="112">
        <v>0.0</v>
      </c>
      <c r="M581" s="112">
        <v>0.0</v>
      </c>
      <c r="N581" s="112">
        <v>0.0</v>
      </c>
      <c r="O581" s="112">
        <v>0.0</v>
      </c>
      <c r="P581" s="110">
        <v>0.0</v>
      </c>
      <c r="Q581" s="110">
        <v>0.0</v>
      </c>
      <c r="R581" s="110">
        <v>0.0</v>
      </c>
      <c r="S581" s="110">
        <v>0.0</v>
      </c>
      <c r="T581" s="110">
        <v>0.0</v>
      </c>
      <c r="U581" s="110">
        <v>0.0</v>
      </c>
      <c r="V581" s="110">
        <v>0.0</v>
      </c>
      <c r="W581" s="110">
        <v>0.0</v>
      </c>
      <c r="X581" s="110">
        <v>0.0</v>
      </c>
      <c r="Y581" s="110">
        <v>0.0</v>
      </c>
      <c r="Z581" s="110">
        <v>0.0</v>
      </c>
      <c r="AA581" s="110">
        <v>0.0</v>
      </c>
      <c r="AB581" s="110">
        <v>0.0</v>
      </c>
      <c r="AC581" s="110">
        <v>0.0</v>
      </c>
      <c r="AD581" s="110">
        <v>0.0</v>
      </c>
      <c r="AE581" s="110">
        <v>0.0</v>
      </c>
      <c r="AF581" s="110">
        <v>0.0</v>
      </c>
      <c r="AG581" s="110">
        <v>0.0</v>
      </c>
      <c r="AH581" s="110">
        <v>0.0</v>
      </c>
      <c r="AI581" s="110">
        <v>0.0</v>
      </c>
      <c r="AJ581" s="110">
        <v>0.0</v>
      </c>
      <c r="AK581" s="110">
        <v>0.0</v>
      </c>
      <c r="AL581" s="110">
        <v>0.0</v>
      </c>
      <c r="AM581" s="110">
        <v>0.0</v>
      </c>
      <c r="AN581" s="112">
        <v>0.0</v>
      </c>
    </row>
    <row r="582">
      <c r="A582" s="113" t="s">
        <v>232</v>
      </c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</row>
    <row r="583">
      <c r="A583" s="107" t="s">
        <v>197</v>
      </c>
      <c r="B583" s="108" t="s">
        <v>198</v>
      </c>
      <c r="C583" s="109">
        <v>78887.0</v>
      </c>
      <c r="D583" s="109">
        <v>29210.0</v>
      </c>
      <c r="E583" s="109">
        <v>49677.0</v>
      </c>
      <c r="F583" s="110">
        <v>0.0</v>
      </c>
      <c r="G583" s="110">
        <v>0.0</v>
      </c>
      <c r="H583" s="110">
        <v>0.0</v>
      </c>
      <c r="I583" s="110">
        <v>0.0</v>
      </c>
      <c r="J583" s="110">
        <v>0.0</v>
      </c>
      <c r="K583" s="110">
        <v>0.0</v>
      </c>
      <c r="L583" s="112">
        <v>68.0</v>
      </c>
      <c r="M583" s="112">
        <v>72.0</v>
      </c>
      <c r="N583" s="112">
        <v>80.0</v>
      </c>
      <c r="O583" s="112">
        <v>127.0</v>
      </c>
      <c r="P583" s="112">
        <v>180.0</v>
      </c>
      <c r="Q583" s="112">
        <v>312.0</v>
      </c>
      <c r="R583" s="112">
        <v>274.0</v>
      </c>
      <c r="S583" s="112">
        <v>537.0</v>
      </c>
      <c r="T583" s="112">
        <v>516.0</v>
      </c>
      <c r="U583" s="112">
        <v>982.0</v>
      </c>
      <c r="V583" s="112">
        <v>946.0</v>
      </c>
      <c r="W583" s="109">
        <v>1782.0</v>
      </c>
      <c r="X583" s="109">
        <v>1724.0</v>
      </c>
      <c r="Y583" s="109">
        <v>3530.0</v>
      </c>
      <c r="Z583" s="109">
        <v>2933.0</v>
      </c>
      <c r="AA583" s="109">
        <v>5647.0</v>
      </c>
      <c r="AB583" s="109">
        <v>3541.0</v>
      </c>
      <c r="AC583" s="109">
        <v>6520.0</v>
      </c>
      <c r="AD583" s="109">
        <v>3932.0</v>
      </c>
      <c r="AE583" s="109">
        <v>6855.0</v>
      </c>
      <c r="AF583" s="109">
        <v>4299.0</v>
      </c>
      <c r="AG583" s="109">
        <v>6649.0</v>
      </c>
      <c r="AH583" s="109">
        <v>4083.0</v>
      </c>
      <c r="AI583" s="109">
        <v>5933.0</v>
      </c>
      <c r="AJ583" s="109">
        <v>3114.0</v>
      </c>
      <c r="AK583" s="109">
        <v>4894.0</v>
      </c>
      <c r="AL583" s="109">
        <v>3520.0</v>
      </c>
      <c r="AM583" s="109">
        <v>5837.0</v>
      </c>
      <c r="AN583" s="109">
        <v>77357.0</v>
      </c>
    </row>
    <row r="584">
      <c r="A584" s="98"/>
      <c r="B584" s="111" t="s">
        <v>199</v>
      </c>
      <c r="C584" s="109">
        <v>39989.0</v>
      </c>
      <c r="D584" s="109">
        <v>14236.0</v>
      </c>
      <c r="E584" s="109">
        <v>25753.0</v>
      </c>
      <c r="F584" s="110">
        <v>0.0</v>
      </c>
      <c r="G584" s="110">
        <v>0.0</v>
      </c>
      <c r="H584" s="110">
        <v>0.0</v>
      </c>
      <c r="I584" s="110">
        <v>0.0</v>
      </c>
      <c r="J584" s="110">
        <v>0.0</v>
      </c>
      <c r="K584" s="110">
        <v>0.0</v>
      </c>
      <c r="L584" s="112">
        <v>6.0</v>
      </c>
      <c r="M584" s="112">
        <v>19.0</v>
      </c>
      <c r="N584" s="112">
        <v>17.0</v>
      </c>
      <c r="O584" s="112">
        <v>28.0</v>
      </c>
      <c r="P584" s="112">
        <v>48.0</v>
      </c>
      <c r="Q584" s="112">
        <v>72.0</v>
      </c>
      <c r="R584" s="112">
        <v>84.0</v>
      </c>
      <c r="S584" s="112">
        <v>184.0</v>
      </c>
      <c r="T584" s="112">
        <v>185.0</v>
      </c>
      <c r="U584" s="112">
        <v>419.0</v>
      </c>
      <c r="V584" s="112">
        <v>350.0</v>
      </c>
      <c r="W584" s="112">
        <v>802.0</v>
      </c>
      <c r="X584" s="112">
        <v>677.0</v>
      </c>
      <c r="Y584" s="109">
        <v>1519.0</v>
      </c>
      <c r="Z584" s="109">
        <v>1179.0</v>
      </c>
      <c r="AA584" s="109">
        <v>2513.0</v>
      </c>
      <c r="AB584" s="109">
        <v>1536.0</v>
      </c>
      <c r="AC584" s="109">
        <v>3205.0</v>
      </c>
      <c r="AD584" s="109">
        <v>1826.0</v>
      </c>
      <c r="AE584" s="109">
        <v>3462.0</v>
      </c>
      <c r="AF584" s="109">
        <v>2256.0</v>
      </c>
      <c r="AG584" s="109">
        <v>3822.0</v>
      </c>
      <c r="AH584" s="109">
        <v>2142.0</v>
      </c>
      <c r="AI584" s="109">
        <v>3556.0</v>
      </c>
      <c r="AJ584" s="109">
        <v>1862.0</v>
      </c>
      <c r="AK584" s="109">
        <v>2871.0</v>
      </c>
      <c r="AL584" s="109">
        <v>2068.0</v>
      </c>
      <c r="AM584" s="109">
        <v>3281.0</v>
      </c>
      <c r="AN584" s="109">
        <v>39348.0</v>
      </c>
    </row>
    <row r="585">
      <c r="A585" s="98"/>
      <c r="B585" s="111" t="s">
        <v>200</v>
      </c>
      <c r="C585" s="109">
        <v>12782.0</v>
      </c>
      <c r="D585" s="109">
        <v>4207.0</v>
      </c>
      <c r="E585" s="109">
        <v>8575.0</v>
      </c>
      <c r="F585" s="110">
        <v>0.0</v>
      </c>
      <c r="G585" s="110">
        <v>0.0</v>
      </c>
      <c r="H585" s="110">
        <v>0.0</v>
      </c>
      <c r="I585" s="110">
        <v>0.0</v>
      </c>
      <c r="J585" s="110">
        <v>0.0</v>
      </c>
      <c r="K585" s="110">
        <v>0.0</v>
      </c>
      <c r="L585" s="112">
        <v>15.0</v>
      </c>
      <c r="M585" s="112">
        <v>16.0</v>
      </c>
      <c r="N585" s="112">
        <v>9.0</v>
      </c>
      <c r="O585" s="112">
        <v>45.0</v>
      </c>
      <c r="P585" s="112">
        <v>38.0</v>
      </c>
      <c r="Q585" s="112">
        <v>86.0</v>
      </c>
      <c r="R585" s="112">
        <v>86.0</v>
      </c>
      <c r="S585" s="112">
        <v>132.0</v>
      </c>
      <c r="T585" s="112">
        <v>100.0</v>
      </c>
      <c r="U585" s="112">
        <v>231.0</v>
      </c>
      <c r="V585" s="112">
        <v>216.0</v>
      </c>
      <c r="W585" s="112">
        <v>431.0</v>
      </c>
      <c r="X585" s="112">
        <v>316.0</v>
      </c>
      <c r="Y585" s="112">
        <v>768.0</v>
      </c>
      <c r="Z585" s="112">
        <v>472.0</v>
      </c>
      <c r="AA585" s="109">
        <v>1156.0</v>
      </c>
      <c r="AB585" s="112">
        <v>544.0</v>
      </c>
      <c r="AC585" s="109">
        <v>1271.0</v>
      </c>
      <c r="AD585" s="112">
        <v>547.0</v>
      </c>
      <c r="AE585" s="109">
        <v>1216.0</v>
      </c>
      <c r="AF585" s="112">
        <v>538.0</v>
      </c>
      <c r="AG585" s="109">
        <v>1104.0</v>
      </c>
      <c r="AH585" s="112">
        <v>553.0</v>
      </c>
      <c r="AI585" s="112">
        <v>850.0</v>
      </c>
      <c r="AJ585" s="112">
        <v>413.0</v>
      </c>
      <c r="AK585" s="112">
        <v>667.0</v>
      </c>
      <c r="AL585" s="112">
        <v>360.0</v>
      </c>
      <c r="AM585" s="112">
        <v>602.0</v>
      </c>
      <c r="AN585" s="109">
        <v>12692.0</v>
      </c>
    </row>
    <row r="586">
      <c r="A586" s="104"/>
      <c r="B586" s="111" t="s">
        <v>201</v>
      </c>
      <c r="C586" s="109">
        <v>6655.0</v>
      </c>
      <c r="D586" s="109">
        <v>2418.0</v>
      </c>
      <c r="E586" s="109">
        <v>4237.0</v>
      </c>
      <c r="F586" s="110">
        <v>0.0</v>
      </c>
      <c r="G586" s="110">
        <v>0.0</v>
      </c>
      <c r="H586" s="110">
        <v>0.0</v>
      </c>
      <c r="I586" s="110">
        <v>0.0</v>
      </c>
      <c r="J586" s="110">
        <v>0.0</v>
      </c>
      <c r="K586" s="110">
        <v>0.0</v>
      </c>
      <c r="L586" s="112">
        <v>10.0</v>
      </c>
      <c r="M586" s="112">
        <v>9.0</v>
      </c>
      <c r="N586" s="112">
        <v>5.0</v>
      </c>
      <c r="O586" s="112">
        <v>5.0</v>
      </c>
      <c r="P586" s="112">
        <v>1.0</v>
      </c>
      <c r="Q586" s="112">
        <v>19.0</v>
      </c>
      <c r="R586" s="112">
        <v>7.0</v>
      </c>
      <c r="S586" s="112">
        <v>33.0</v>
      </c>
      <c r="T586" s="112">
        <v>39.0</v>
      </c>
      <c r="U586" s="112">
        <v>104.0</v>
      </c>
      <c r="V586" s="112">
        <v>63.0</v>
      </c>
      <c r="W586" s="112">
        <v>183.0</v>
      </c>
      <c r="X586" s="112">
        <v>133.0</v>
      </c>
      <c r="Y586" s="112">
        <v>274.0</v>
      </c>
      <c r="Z586" s="112">
        <v>183.0</v>
      </c>
      <c r="AA586" s="112">
        <v>429.0</v>
      </c>
      <c r="AB586" s="112">
        <v>352.0</v>
      </c>
      <c r="AC586" s="112">
        <v>587.0</v>
      </c>
      <c r="AD586" s="112">
        <v>292.0</v>
      </c>
      <c r="AE586" s="112">
        <v>615.0</v>
      </c>
      <c r="AF586" s="112">
        <v>304.0</v>
      </c>
      <c r="AG586" s="112">
        <v>559.0</v>
      </c>
      <c r="AH586" s="112">
        <v>402.0</v>
      </c>
      <c r="AI586" s="112">
        <v>461.0</v>
      </c>
      <c r="AJ586" s="112">
        <v>318.0</v>
      </c>
      <c r="AK586" s="112">
        <v>366.0</v>
      </c>
      <c r="AL586" s="112">
        <v>309.0</v>
      </c>
      <c r="AM586" s="112">
        <v>593.0</v>
      </c>
      <c r="AN586" s="109">
        <v>6591.0</v>
      </c>
    </row>
    <row r="587">
      <c r="A587" s="107" t="s">
        <v>202</v>
      </c>
      <c r="B587" s="111" t="s">
        <v>198</v>
      </c>
      <c r="C587" s="112">
        <v>111.0</v>
      </c>
      <c r="D587" s="112">
        <v>72.0</v>
      </c>
      <c r="E587" s="112">
        <v>39.0</v>
      </c>
      <c r="F587" s="112">
        <v>0.0</v>
      </c>
      <c r="G587" s="112">
        <v>1.0</v>
      </c>
      <c r="H587" s="112">
        <v>2.0</v>
      </c>
      <c r="I587" s="112">
        <v>4.0</v>
      </c>
      <c r="J587" s="112">
        <v>1.0</v>
      </c>
      <c r="K587" s="112">
        <v>2.0</v>
      </c>
      <c r="L587" s="112">
        <v>2.0</v>
      </c>
      <c r="M587" s="112">
        <v>1.0</v>
      </c>
      <c r="N587" s="112">
        <v>2.0</v>
      </c>
      <c r="O587" s="112">
        <v>4.0</v>
      </c>
      <c r="P587" s="112">
        <v>8.0</v>
      </c>
      <c r="Q587" s="112">
        <v>4.0</v>
      </c>
      <c r="R587" s="112">
        <v>10.0</v>
      </c>
      <c r="S587" s="112">
        <v>2.0</v>
      </c>
      <c r="T587" s="112">
        <v>4.0</v>
      </c>
      <c r="U587" s="112">
        <v>4.0</v>
      </c>
      <c r="V587" s="112">
        <v>3.0</v>
      </c>
      <c r="W587" s="112">
        <v>1.0</v>
      </c>
      <c r="X587" s="112">
        <v>2.0</v>
      </c>
      <c r="Y587" s="112">
        <v>0.0</v>
      </c>
      <c r="Z587" s="112">
        <v>4.0</v>
      </c>
      <c r="AA587" s="112">
        <v>2.0</v>
      </c>
      <c r="AB587" s="112">
        <v>12.0</v>
      </c>
      <c r="AC587" s="112">
        <v>1.0</v>
      </c>
      <c r="AD587" s="112">
        <v>4.0</v>
      </c>
      <c r="AE587" s="112">
        <v>2.0</v>
      </c>
      <c r="AF587" s="112">
        <v>9.0</v>
      </c>
      <c r="AG587" s="112">
        <v>1.0</v>
      </c>
      <c r="AH587" s="112">
        <v>5.0</v>
      </c>
      <c r="AI587" s="112">
        <v>2.0</v>
      </c>
      <c r="AJ587" s="112">
        <v>1.0</v>
      </c>
      <c r="AK587" s="112">
        <v>6.0</v>
      </c>
      <c r="AL587" s="112">
        <v>3.0</v>
      </c>
      <c r="AM587" s="112">
        <v>2.0</v>
      </c>
      <c r="AN587" s="112">
        <v>110.0</v>
      </c>
    </row>
    <row r="588">
      <c r="A588" s="104"/>
      <c r="B588" s="111" t="s">
        <v>199</v>
      </c>
      <c r="C588" s="112">
        <v>60.0</v>
      </c>
      <c r="D588" s="112">
        <v>37.0</v>
      </c>
      <c r="E588" s="112">
        <v>23.0</v>
      </c>
      <c r="F588" s="112">
        <v>0.0</v>
      </c>
      <c r="G588" s="112">
        <v>0.0</v>
      </c>
      <c r="H588" s="112">
        <v>0.0</v>
      </c>
      <c r="I588" s="112">
        <v>0.0</v>
      </c>
      <c r="J588" s="112">
        <v>1.0</v>
      </c>
      <c r="K588" s="112">
        <v>1.0</v>
      </c>
      <c r="L588" s="112">
        <v>1.0</v>
      </c>
      <c r="M588" s="112">
        <v>0.0</v>
      </c>
      <c r="N588" s="112">
        <v>7.0</v>
      </c>
      <c r="O588" s="112">
        <v>3.0</v>
      </c>
      <c r="P588" s="112">
        <v>0.0</v>
      </c>
      <c r="Q588" s="112">
        <v>2.0</v>
      </c>
      <c r="R588" s="112">
        <v>4.0</v>
      </c>
      <c r="S588" s="112">
        <v>1.0</v>
      </c>
      <c r="T588" s="112">
        <v>6.0</v>
      </c>
      <c r="U588" s="112">
        <v>0.0</v>
      </c>
      <c r="V588" s="112">
        <v>4.0</v>
      </c>
      <c r="W588" s="112">
        <v>1.0</v>
      </c>
      <c r="X588" s="112">
        <v>1.0</v>
      </c>
      <c r="Y588" s="112">
        <v>0.0</v>
      </c>
      <c r="Z588" s="112">
        <v>3.0</v>
      </c>
      <c r="AA588" s="112">
        <v>3.0</v>
      </c>
      <c r="AB588" s="112">
        <v>2.0</v>
      </c>
      <c r="AC588" s="112">
        <v>3.0</v>
      </c>
      <c r="AD588" s="112">
        <v>0.0</v>
      </c>
      <c r="AE588" s="112">
        <v>1.0</v>
      </c>
      <c r="AF588" s="112">
        <v>4.0</v>
      </c>
      <c r="AG588" s="112">
        <v>4.0</v>
      </c>
      <c r="AH588" s="112">
        <v>0.0</v>
      </c>
      <c r="AI588" s="112">
        <v>0.0</v>
      </c>
      <c r="AJ588" s="112">
        <v>4.0</v>
      </c>
      <c r="AK588" s="112">
        <v>2.0</v>
      </c>
      <c r="AL588" s="112">
        <v>0.0</v>
      </c>
      <c r="AM588" s="112">
        <v>2.0</v>
      </c>
      <c r="AN588" s="112">
        <v>60.0</v>
      </c>
    </row>
    <row r="589">
      <c r="A589" s="107" t="s">
        <v>203</v>
      </c>
      <c r="B589" s="111" t="s">
        <v>198</v>
      </c>
      <c r="C589" s="112">
        <v>3.0</v>
      </c>
      <c r="D589" s="112">
        <v>2.0</v>
      </c>
      <c r="E589" s="112">
        <v>1.0</v>
      </c>
      <c r="F589" s="110">
        <v>0.0</v>
      </c>
      <c r="G589" s="110">
        <v>0.0</v>
      </c>
      <c r="H589" s="110">
        <v>0.0</v>
      </c>
      <c r="I589" s="110">
        <v>0.0</v>
      </c>
      <c r="J589" s="110">
        <v>0.0</v>
      </c>
      <c r="K589" s="110">
        <v>0.0</v>
      </c>
      <c r="L589" s="110">
        <v>0.0</v>
      </c>
      <c r="M589" s="110">
        <v>0.0</v>
      </c>
      <c r="N589" s="110">
        <v>0.0</v>
      </c>
      <c r="O589" s="110">
        <v>0.0</v>
      </c>
      <c r="P589" s="110">
        <v>0.0</v>
      </c>
      <c r="Q589" s="110">
        <v>0.0</v>
      </c>
      <c r="R589" s="110">
        <v>0.0</v>
      </c>
      <c r="S589" s="110">
        <v>0.0</v>
      </c>
      <c r="T589" s="110">
        <v>0.0</v>
      </c>
      <c r="U589" s="110">
        <v>0.0</v>
      </c>
      <c r="V589" s="110">
        <v>0.0</v>
      </c>
      <c r="W589" s="110">
        <v>0.0</v>
      </c>
      <c r="X589" s="110">
        <v>0.0</v>
      </c>
      <c r="Y589" s="110">
        <v>0.0</v>
      </c>
      <c r="Z589" s="110">
        <v>0.0</v>
      </c>
      <c r="AA589" s="110">
        <v>0.0</v>
      </c>
      <c r="AB589" s="110">
        <v>0.0</v>
      </c>
      <c r="AC589" s="110">
        <v>0.0</v>
      </c>
      <c r="AD589" s="110">
        <v>0.0</v>
      </c>
      <c r="AE589" s="110">
        <v>0.0</v>
      </c>
      <c r="AF589" s="112">
        <v>1.0</v>
      </c>
      <c r="AG589" s="112">
        <v>0.0</v>
      </c>
      <c r="AH589" s="112">
        <v>0.0</v>
      </c>
      <c r="AI589" s="112">
        <v>1.0</v>
      </c>
      <c r="AJ589" s="112">
        <v>0.0</v>
      </c>
      <c r="AK589" s="112">
        <v>0.0</v>
      </c>
      <c r="AL589" s="112">
        <v>1.0</v>
      </c>
      <c r="AM589" s="112">
        <v>0.0</v>
      </c>
      <c r="AN589" s="112">
        <v>3.0</v>
      </c>
    </row>
    <row r="590">
      <c r="A590" s="104"/>
      <c r="B590" s="111" t="s">
        <v>199</v>
      </c>
      <c r="C590" s="112">
        <v>54.0</v>
      </c>
      <c r="D590" s="112">
        <v>16.0</v>
      </c>
      <c r="E590" s="112">
        <v>38.0</v>
      </c>
      <c r="F590" s="110">
        <v>0.0</v>
      </c>
      <c r="G590" s="110">
        <v>0.0</v>
      </c>
      <c r="H590" s="110">
        <v>0.0</v>
      </c>
      <c r="I590" s="110">
        <v>0.0</v>
      </c>
      <c r="J590" s="110">
        <v>0.0</v>
      </c>
      <c r="K590" s="110">
        <v>0.0</v>
      </c>
      <c r="L590" s="110">
        <v>0.0</v>
      </c>
      <c r="M590" s="110">
        <v>0.0</v>
      </c>
      <c r="N590" s="110">
        <v>0.0</v>
      </c>
      <c r="O590" s="110">
        <v>0.0</v>
      </c>
      <c r="P590" s="110">
        <v>0.0</v>
      </c>
      <c r="Q590" s="110">
        <v>0.0</v>
      </c>
      <c r="R590" s="110">
        <v>0.0</v>
      </c>
      <c r="S590" s="110">
        <v>0.0</v>
      </c>
      <c r="T590" s="110">
        <v>0.0</v>
      </c>
      <c r="U590" s="110">
        <v>0.0</v>
      </c>
      <c r="V590" s="110">
        <v>0.0</v>
      </c>
      <c r="W590" s="110">
        <v>0.0</v>
      </c>
      <c r="X590" s="110">
        <v>0.0</v>
      </c>
      <c r="Y590" s="110">
        <v>0.0</v>
      </c>
      <c r="Z590" s="110">
        <v>0.0</v>
      </c>
      <c r="AA590" s="110">
        <v>0.0</v>
      </c>
      <c r="AB590" s="110">
        <v>0.0</v>
      </c>
      <c r="AC590" s="110">
        <v>0.0</v>
      </c>
      <c r="AD590" s="110">
        <v>0.0</v>
      </c>
      <c r="AE590" s="110">
        <v>0.0</v>
      </c>
      <c r="AF590" s="112">
        <v>5.0</v>
      </c>
      <c r="AG590" s="112">
        <v>15.0</v>
      </c>
      <c r="AH590" s="112">
        <v>2.0</v>
      </c>
      <c r="AI590" s="112">
        <v>17.0</v>
      </c>
      <c r="AJ590" s="112">
        <v>5.0</v>
      </c>
      <c r="AK590" s="112">
        <v>4.0</v>
      </c>
      <c r="AL590" s="112">
        <v>4.0</v>
      </c>
      <c r="AM590" s="112">
        <v>2.0</v>
      </c>
      <c r="AN590" s="112">
        <v>54.0</v>
      </c>
    </row>
    <row r="591">
      <c r="A591" s="107" t="s">
        <v>204</v>
      </c>
      <c r="B591" s="111" t="s">
        <v>198</v>
      </c>
      <c r="C591" s="112">
        <v>4.0</v>
      </c>
      <c r="D591" s="112">
        <v>1.0</v>
      </c>
      <c r="E591" s="112">
        <v>3.0</v>
      </c>
      <c r="F591" s="110">
        <v>0.0</v>
      </c>
      <c r="G591" s="110">
        <v>0.0</v>
      </c>
      <c r="H591" s="110">
        <v>0.0</v>
      </c>
      <c r="I591" s="110">
        <v>0.0</v>
      </c>
      <c r="J591" s="110">
        <v>0.0</v>
      </c>
      <c r="K591" s="110">
        <v>0.0</v>
      </c>
      <c r="L591" s="110">
        <v>0.0</v>
      </c>
      <c r="M591" s="110">
        <v>0.0</v>
      </c>
      <c r="N591" s="110">
        <v>0.0</v>
      </c>
      <c r="O591" s="110">
        <v>0.0</v>
      </c>
      <c r="P591" s="110">
        <v>0.0</v>
      </c>
      <c r="Q591" s="110">
        <v>0.0</v>
      </c>
      <c r="R591" s="110">
        <v>0.0</v>
      </c>
      <c r="S591" s="110">
        <v>0.0</v>
      </c>
      <c r="T591" s="110">
        <v>0.0</v>
      </c>
      <c r="U591" s="110">
        <v>0.0</v>
      </c>
      <c r="V591" s="110">
        <v>0.0</v>
      </c>
      <c r="W591" s="110">
        <v>0.0</v>
      </c>
      <c r="X591" s="110">
        <v>0.0</v>
      </c>
      <c r="Y591" s="110">
        <v>0.0</v>
      </c>
      <c r="Z591" s="110">
        <v>0.0</v>
      </c>
      <c r="AA591" s="110">
        <v>0.0</v>
      </c>
      <c r="AB591" s="110">
        <v>0.0</v>
      </c>
      <c r="AC591" s="110">
        <v>0.0</v>
      </c>
      <c r="AD591" s="110">
        <v>0.0</v>
      </c>
      <c r="AE591" s="110">
        <v>0.0</v>
      </c>
      <c r="AF591" s="112">
        <v>0.0</v>
      </c>
      <c r="AG591" s="112">
        <v>0.0</v>
      </c>
      <c r="AH591" s="112">
        <v>0.0</v>
      </c>
      <c r="AI591" s="112">
        <v>0.0</v>
      </c>
      <c r="AJ591" s="112">
        <v>0.0</v>
      </c>
      <c r="AK591" s="112">
        <v>1.0</v>
      </c>
      <c r="AL591" s="112">
        <v>1.0</v>
      </c>
      <c r="AM591" s="112">
        <v>2.0</v>
      </c>
      <c r="AN591" s="112">
        <v>4.0</v>
      </c>
    </row>
    <row r="592">
      <c r="A592" s="104"/>
      <c r="B592" s="111" t="s">
        <v>199</v>
      </c>
      <c r="C592" s="112">
        <v>18.0</v>
      </c>
      <c r="D592" s="112">
        <v>4.0</v>
      </c>
      <c r="E592" s="112">
        <v>14.0</v>
      </c>
      <c r="F592" s="110">
        <v>0.0</v>
      </c>
      <c r="G592" s="110">
        <v>0.0</v>
      </c>
      <c r="H592" s="110">
        <v>0.0</v>
      </c>
      <c r="I592" s="110">
        <v>0.0</v>
      </c>
      <c r="J592" s="110">
        <v>0.0</v>
      </c>
      <c r="K592" s="110">
        <v>0.0</v>
      </c>
      <c r="L592" s="110">
        <v>0.0</v>
      </c>
      <c r="M592" s="110">
        <v>0.0</v>
      </c>
      <c r="N592" s="110">
        <v>0.0</v>
      </c>
      <c r="O592" s="110">
        <v>0.0</v>
      </c>
      <c r="P592" s="110">
        <v>0.0</v>
      </c>
      <c r="Q592" s="110">
        <v>0.0</v>
      </c>
      <c r="R592" s="110">
        <v>0.0</v>
      </c>
      <c r="S592" s="110">
        <v>0.0</v>
      </c>
      <c r="T592" s="110">
        <v>0.0</v>
      </c>
      <c r="U592" s="110">
        <v>0.0</v>
      </c>
      <c r="V592" s="110">
        <v>0.0</v>
      </c>
      <c r="W592" s="110">
        <v>0.0</v>
      </c>
      <c r="X592" s="110">
        <v>0.0</v>
      </c>
      <c r="Y592" s="110">
        <v>0.0</v>
      </c>
      <c r="Z592" s="110">
        <v>0.0</v>
      </c>
      <c r="AA592" s="110">
        <v>0.0</v>
      </c>
      <c r="AB592" s="110">
        <v>0.0</v>
      </c>
      <c r="AC592" s="110">
        <v>0.0</v>
      </c>
      <c r="AD592" s="110">
        <v>0.0</v>
      </c>
      <c r="AE592" s="110">
        <v>0.0</v>
      </c>
      <c r="AF592" s="112">
        <v>0.0</v>
      </c>
      <c r="AG592" s="112">
        <v>2.0</v>
      </c>
      <c r="AH592" s="112">
        <v>1.0</v>
      </c>
      <c r="AI592" s="112">
        <v>1.0</v>
      </c>
      <c r="AJ592" s="112">
        <v>0.0</v>
      </c>
      <c r="AK592" s="112">
        <v>7.0</v>
      </c>
      <c r="AL592" s="112">
        <v>3.0</v>
      </c>
      <c r="AM592" s="112">
        <v>4.0</v>
      </c>
      <c r="AN592" s="112">
        <v>18.0</v>
      </c>
    </row>
    <row r="593">
      <c r="A593" s="107" t="s">
        <v>205</v>
      </c>
      <c r="B593" s="111" t="s">
        <v>198</v>
      </c>
      <c r="C593" s="112">
        <v>9.0</v>
      </c>
      <c r="D593" s="112">
        <v>6.0</v>
      </c>
      <c r="E593" s="112">
        <v>3.0</v>
      </c>
      <c r="F593" s="112">
        <v>0.0</v>
      </c>
      <c r="G593" s="112">
        <v>0.0</v>
      </c>
      <c r="H593" s="112">
        <v>0.0</v>
      </c>
      <c r="I593" s="112">
        <v>0.0</v>
      </c>
      <c r="J593" s="112">
        <v>0.0</v>
      </c>
      <c r="K593" s="112">
        <v>0.0</v>
      </c>
      <c r="L593" s="112">
        <v>0.0</v>
      </c>
      <c r="M593" s="112">
        <v>1.0</v>
      </c>
      <c r="N593" s="112">
        <v>1.0</v>
      </c>
      <c r="O593" s="112">
        <v>0.0</v>
      </c>
      <c r="P593" s="112">
        <v>1.0</v>
      </c>
      <c r="Q593" s="112">
        <v>0.0</v>
      </c>
      <c r="R593" s="112">
        <v>1.0</v>
      </c>
      <c r="S593" s="112">
        <v>0.0</v>
      </c>
      <c r="T593" s="112">
        <v>0.0</v>
      </c>
      <c r="U593" s="112">
        <v>0.0</v>
      </c>
      <c r="V593" s="112">
        <v>0.0</v>
      </c>
      <c r="W593" s="112">
        <v>1.0</v>
      </c>
      <c r="X593" s="112">
        <v>0.0</v>
      </c>
      <c r="Y593" s="112">
        <v>0.0</v>
      </c>
      <c r="Z593" s="112">
        <v>1.0</v>
      </c>
      <c r="AA593" s="112">
        <v>0.0</v>
      </c>
      <c r="AB593" s="112">
        <v>0.0</v>
      </c>
      <c r="AC593" s="112">
        <v>0.0</v>
      </c>
      <c r="AD593" s="112">
        <v>1.0</v>
      </c>
      <c r="AE593" s="112">
        <v>0.0</v>
      </c>
      <c r="AF593" s="112">
        <v>0.0</v>
      </c>
      <c r="AG593" s="112">
        <v>0.0</v>
      </c>
      <c r="AH593" s="112">
        <v>0.0</v>
      </c>
      <c r="AI593" s="112">
        <v>0.0</v>
      </c>
      <c r="AJ593" s="112">
        <v>1.0</v>
      </c>
      <c r="AK593" s="112">
        <v>1.0</v>
      </c>
      <c r="AL593" s="112">
        <v>0.0</v>
      </c>
      <c r="AM593" s="112">
        <v>0.0</v>
      </c>
      <c r="AN593" s="112">
        <v>8.0</v>
      </c>
    </row>
    <row r="594">
      <c r="A594" s="98"/>
      <c r="B594" s="111" t="s">
        <v>199</v>
      </c>
      <c r="C594" s="112">
        <v>2.0</v>
      </c>
      <c r="D594" s="112">
        <v>2.0</v>
      </c>
      <c r="E594" s="112">
        <v>0.0</v>
      </c>
      <c r="F594" s="112">
        <v>0.0</v>
      </c>
      <c r="G594" s="112">
        <v>0.0</v>
      </c>
      <c r="H594" s="112">
        <v>0.0</v>
      </c>
      <c r="I594" s="112">
        <v>0.0</v>
      </c>
      <c r="J594" s="112">
        <v>0.0</v>
      </c>
      <c r="K594" s="112">
        <v>0.0</v>
      </c>
      <c r="L594" s="112">
        <v>0.0</v>
      </c>
      <c r="M594" s="112">
        <v>0.0</v>
      </c>
      <c r="N594" s="112">
        <v>0.0</v>
      </c>
      <c r="O594" s="112">
        <v>0.0</v>
      </c>
      <c r="P594" s="112">
        <v>0.0</v>
      </c>
      <c r="Q594" s="112">
        <v>0.0</v>
      </c>
      <c r="R594" s="112">
        <v>0.0</v>
      </c>
      <c r="S594" s="112">
        <v>0.0</v>
      </c>
      <c r="T594" s="112">
        <v>0.0</v>
      </c>
      <c r="U594" s="112">
        <v>0.0</v>
      </c>
      <c r="V594" s="112">
        <v>0.0</v>
      </c>
      <c r="W594" s="112">
        <v>0.0</v>
      </c>
      <c r="X594" s="112">
        <v>0.0</v>
      </c>
      <c r="Y594" s="112">
        <v>0.0</v>
      </c>
      <c r="Z594" s="112">
        <v>0.0</v>
      </c>
      <c r="AA594" s="112">
        <v>0.0</v>
      </c>
      <c r="AB594" s="112">
        <v>0.0</v>
      </c>
      <c r="AC594" s="112">
        <v>0.0</v>
      </c>
      <c r="AD594" s="112">
        <v>0.0</v>
      </c>
      <c r="AE594" s="112">
        <v>0.0</v>
      </c>
      <c r="AF594" s="112">
        <v>1.0</v>
      </c>
      <c r="AG594" s="112">
        <v>0.0</v>
      </c>
      <c r="AH594" s="112">
        <v>0.0</v>
      </c>
      <c r="AI594" s="112">
        <v>0.0</v>
      </c>
      <c r="AJ594" s="112">
        <v>1.0</v>
      </c>
      <c r="AK594" s="112">
        <v>0.0</v>
      </c>
      <c r="AL594" s="112">
        <v>0.0</v>
      </c>
      <c r="AM594" s="112">
        <v>0.0</v>
      </c>
      <c r="AN594" s="112">
        <v>2.0</v>
      </c>
    </row>
    <row r="595">
      <c r="A595" s="104"/>
      <c r="B595" s="111" t="s">
        <v>206</v>
      </c>
      <c r="C595" s="112">
        <v>429.0</v>
      </c>
      <c r="D595" s="112">
        <v>133.0</v>
      </c>
      <c r="E595" s="112">
        <v>296.0</v>
      </c>
      <c r="F595" s="112">
        <v>3.0</v>
      </c>
      <c r="G595" s="112">
        <v>0.0</v>
      </c>
      <c r="H595" s="112">
        <v>0.0</v>
      </c>
      <c r="I595" s="112">
        <v>0.0</v>
      </c>
      <c r="J595" s="112">
        <v>0.0</v>
      </c>
      <c r="K595" s="112">
        <v>0.0</v>
      </c>
      <c r="L595" s="112">
        <v>13.0</v>
      </c>
      <c r="M595" s="112">
        <v>30.0</v>
      </c>
      <c r="N595" s="112">
        <v>28.0</v>
      </c>
      <c r="O595" s="112">
        <v>40.0</v>
      </c>
      <c r="P595" s="112">
        <v>21.0</v>
      </c>
      <c r="Q595" s="112">
        <v>19.0</v>
      </c>
      <c r="R595" s="112">
        <v>8.0</v>
      </c>
      <c r="S595" s="112">
        <v>27.0</v>
      </c>
      <c r="T595" s="112">
        <v>7.0</v>
      </c>
      <c r="U595" s="112">
        <v>16.0</v>
      </c>
      <c r="V595" s="112">
        <v>4.0</v>
      </c>
      <c r="W595" s="112">
        <v>20.0</v>
      </c>
      <c r="X595" s="112">
        <v>9.0</v>
      </c>
      <c r="Y595" s="112">
        <v>13.0</v>
      </c>
      <c r="Z595" s="112">
        <v>11.0</v>
      </c>
      <c r="AA595" s="112">
        <v>13.0</v>
      </c>
      <c r="AB595" s="112">
        <v>5.0</v>
      </c>
      <c r="AC595" s="112">
        <v>23.0</v>
      </c>
      <c r="AD595" s="112">
        <v>4.0</v>
      </c>
      <c r="AE595" s="112">
        <v>21.0</v>
      </c>
      <c r="AF595" s="112">
        <v>3.0</v>
      </c>
      <c r="AG595" s="112">
        <v>22.0</v>
      </c>
      <c r="AH595" s="112">
        <v>4.0</v>
      </c>
      <c r="AI595" s="112">
        <v>18.0</v>
      </c>
      <c r="AJ595" s="112">
        <v>2.0</v>
      </c>
      <c r="AK595" s="112">
        <v>18.0</v>
      </c>
      <c r="AL595" s="112">
        <v>11.0</v>
      </c>
      <c r="AM595" s="112">
        <v>16.0</v>
      </c>
      <c r="AN595" s="112">
        <v>425.0</v>
      </c>
    </row>
    <row r="596">
      <c r="A596" s="107" t="s">
        <v>207</v>
      </c>
      <c r="B596" s="111" t="s">
        <v>198</v>
      </c>
      <c r="C596" s="109">
        <v>15250.0</v>
      </c>
      <c r="D596" s="109">
        <v>3948.0</v>
      </c>
      <c r="E596" s="109">
        <v>11302.0</v>
      </c>
      <c r="F596" s="112">
        <v>60.0</v>
      </c>
      <c r="G596" s="112">
        <v>61.0</v>
      </c>
      <c r="H596" s="112">
        <v>83.0</v>
      </c>
      <c r="I596" s="112">
        <v>78.0</v>
      </c>
      <c r="J596" s="112">
        <v>117.0</v>
      </c>
      <c r="K596" s="112">
        <v>140.0</v>
      </c>
      <c r="L596" s="112">
        <v>109.0</v>
      </c>
      <c r="M596" s="112">
        <v>195.0</v>
      </c>
      <c r="N596" s="112">
        <v>81.0</v>
      </c>
      <c r="O596" s="112">
        <v>186.0</v>
      </c>
      <c r="P596" s="112">
        <v>105.0</v>
      </c>
      <c r="Q596" s="112">
        <v>344.0</v>
      </c>
      <c r="R596" s="112">
        <v>85.0</v>
      </c>
      <c r="S596" s="112">
        <v>356.0</v>
      </c>
      <c r="T596" s="112">
        <v>163.0</v>
      </c>
      <c r="U596" s="112">
        <v>475.0</v>
      </c>
      <c r="V596" s="112">
        <v>173.0</v>
      </c>
      <c r="W596" s="112">
        <v>616.0</v>
      </c>
      <c r="X596" s="112">
        <v>220.0</v>
      </c>
      <c r="Y596" s="112">
        <v>885.0</v>
      </c>
      <c r="Z596" s="112">
        <v>364.0</v>
      </c>
      <c r="AA596" s="109">
        <v>1250.0</v>
      </c>
      <c r="AB596" s="112">
        <v>379.0</v>
      </c>
      <c r="AC596" s="109">
        <v>1343.0</v>
      </c>
      <c r="AD596" s="112">
        <v>423.0</v>
      </c>
      <c r="AE596" s="109">
        <v>1384.0</v>
      </c>
      <c r="AF596" s="112">
        <v>412.0</v>
      </c>
      <c r="AG596" s="109">
        <v>1141.0</v>
      </c>
      <c r="AH596" s="112">
        <v>415.0</v>
      </c>
      <c r="AI596" s="109">
        <v>1116.0</v>
      </c>
      <c r="AJ596" s="112">
        <v>369.0</v>
      </c>
      <c r="AK596" s="112">
        <v>833.0</v>
      </c>
      <c r="AL596" s="112">
        <v>390.0</v>
      </c>
      <c r="AM596" s="112">
        <v>899.0</v>
      </c>
      <c r="AN596" s="109">
        <v>14796.0</v>
      </c>
    </row>
    <row r="597">
      <c r="A597" s="98"/>
      <c r="B597" s="111" t="s">
        <v>199</v>
      </c>
      <c r="C597" s="109">
        <v>1083.0</v>
      </c>
      <c r="D597" s="112">
        <v>305.0</v>
      </c>
      <c r="E597" s="112">
        <v>778.0</v>
      </c>
      <c r="F597" s="112">
        <v>12.0</v>
      </c>
      <c r="G597" s="112">
        <v>5.0</v>
      </c>
      <c r="H597" s="112">
        <v>6.0</v>
      </c>
      <c r="I597" s="112">
        <v>6.0</v>
      </c>
      <c r="J597" s="112">
        <v>7.0</v>
      </c>
      <c r="K597" s="112">
        <v>5.0</v>
      </c>
      <c r="L597" s="112">
        <v>2.0</v>
      </c>
      <c r="M597" s="112">
        <v>7.0</v>
      </c>
      <c r="N597" s="112">
        <v>4.0</v>
      </c>
      <c r="O597" s="112">
        <v>2.0</v>
      </c>
      <c r="P597" s="112">
        <v>2.0</v>
      </c>
      <c r="Q597" s="112">
        <v>7.0</v>
      </c>
      <c r="R597" s="112">
        <v>1.0</v>
      </c>
      <c r="S597" s="112">
        <v>12.0</v>
      </c>
      <c r="T597" s="112">
        <v>1.0</v>
      </c>
      <c r="U597" s="112">
        <v>13.0</v>
      </c>
      <c r="V597" s="112">
        <v>5.0</v>
      </c>
      <c r="W597" s="112">
        <v>34.0</v>
      </c>
      <c r="X597" s="112">
        <v>4.0</v>
      </c>
      <c r="Y597" s="112">
        <v>50.0</v>
      </c>
      <c r="Z597" s="112">
        <v>22.0</v>
      </c>
      <c r="AA597" s="112">
        <v>75.0</v>
      </c>
      <c r="AB597" s="112">
        <v>18.0</v>
      </c>
      <c r="AC597" s="112">
        <v>93.0</v>
      </c>
      <c r="AD597" s="112">
        <v>34.0</v>
      </c>
      <c r="AE597" s="112">
        <v>105.0</v>
      </c>
      <c r="AF597" s="112">
        <v>52.0</v>
      </c>
      <c r="AG597" s="112">
        <v>107.0</v>
      </c>
      <c r="AH597" s="112">
        <v>51.0</v>
      </c>
      <c r="AI597" s="112">
        <v>91.0</v>
      </c>
      <c r="AJ597" s="112">
        <v>39.0</v>
      </c>
      <c r="AK597" s="112">
        <v>76.0</v>
      </c>
      <c r="AL597" s="112">
        <v>45.0</v>
      </c>
      <c r="AM597" s="112">
        <v>90.0</v>
      </c>
      <c r="AN597" s="109">
        <v>1079.0</v>
      </c>
    </row>
    <row r="598">
      <c r="A598" s="98"/>
      <c r="B598" s="111" t="s">
        <v>206</v>
      </c>
      <c r="C598" s="112">
        <v>7.0</v>
      </c>
      <c r="D598" s="112">
        <v>3.0</v>
      </c>
      <c r="E598" s="112">
        <v>4.0</v>
      </c>
      <c r="F598" s="112">
        <v>1.0</v>
      </c>
      <c r="G598" s="112">
        <v>0.0</v>
      </c>
      <c r="H598" s="112">
        <v>1.0</v>
      </c>
      <c r="I598" s="112">
        <v>0.0</v>
      </c>
      <c r="J598" s="112">
        <v>1.0</v>
      </c>
      <c r="K598" s="112">
        <v>0.0</v>
      </c>
      <c r="L598" s="112">
        <v>0.0</v>
      </c>
      <c r="M598" s="112">
        <v>0.0</v>
      </c>
      <c r="N598" s="112">
        <v>0.0</v>
      </c>
      <c r="O598" s="112">
        <v>0.0</v>
      </c>
      <c r="P598" s="112">
        <v>0.0</v>
      </c>
      <c r="Q598" s="112">
        <v>0.0</v>
      </c>
      <c r="R598" s="112">
        <v>0.0</v>
      </c>
      <c r="S598" s="112">
        <v>2.0</v>
      </c>
      <c r="T598" s="112">
        <v>0.0</v>
      </c>
      <c r="U598" s="112">
        <v>0.0</v>
      </c>
      <c r="V598" s="112">
        <v>0.0</v>
      </c>
      <c r="W598" s="112">
        <v>2.0</v>
      </c>
      <c r="X598" s="112">
        <v>0.0</v>
      </c>
      <c r="Y598" s="112">
        <v>0.0</v>
      </c>
      <c r="Z598" s="112">
        <v>0.0</v>
      </c>
      <c r="AA598" s="112">
        <v>0.0</v>
      </c>
      <c r="AB598" s="112">
        <v>0.0</v>
      </c>
      <c r="AC598" s="112">
        <v>0.0</v>
      </c>
      <c r="AD598" s="112">
        <v>0.0</v>
      </c>
      <c r="AE598" s="112">
        <v>0.0</v>
      </c>
      <c r="AF598" s="112">
        <v>0.0</v>
      </c>
      <c r="AG598" s="112">
        <v>0.0</v>
      </c>
      <c r="AH598" s="112">
        <v>0.0</v>
      </c>
      <c r="AI598" s="112">
        <v>0.0</v>
      </c>
      <c r="AJ598" s="112">
        <v>0.0</v>
      </c>
      <c r="AK598" s="112">
        <v>0.0</v>
      </c>
      <c r="AL598" s="112">
        <v>0.0</v>
      </c>
      <c r="AM598" s="112">
        <v>0.0</v>
      </c>
      <c r="AN598" s="112">
        <v>7.0</v>
      </c>
    </row>
    <row r="599">
      <c r="A599" s="98"/>
      <c r="B599" s="111" t="s">
        <v>200</v>
      </c>
      <c r="C599" s="109">
        <v>6409.0</v>
      </c>
      <c r="D599" s="109">
        <v>2125.0</v>
      </c>
      <c r="E599" s="109">
        <v>4284.0</v>
      </c>
      <c r="F599" s="109">
        <v>1280.0</v>
      </c>
      <c r="G599" s="109">
        <v>1259.0</v>
      </c>
      <c r="H599" s="112">
        <v>376.0</v>
      </c>
      <c r="I599" s="112">
        <v>468.0</v>
      </c>
      <c r="J599" s="112">
        <v>137.0</v>
      </c>
      <c r="K599" s="112">
        <v>191.0</v>
      </c>
      <c r="L599" s="112">
        <v>33.0</v>
      </c>
      <c r="M599" s="112">
        <v>209.0</v>
      </c>
      <c r="N599" s="112">
        <v>33.0</v>
      </c>
      <c r="O599" s="112">
        <v>237.0</v>
      </c>
      <c r="P599" s="112">
        <v>28.0</v>
      </c>
      <c r="Q599" s="112">
        <v>298.0</v>
      </c>
      <c r="R599" s="112">
        <v>17.0</v>
      </c>
      <c r="S599" s="112">
        <v>242.0</v>
      </c>
      <c r="T599" s="112">
        <v>14.0</v>
      </c>
      <c r="U599" s="112">
        <v>185.0</v>
      </c>
      <c r="V599" s="112">
        <v>24.0</v>
      </c>
      <c r="W599" s="112">
        <v>210.0</v>
      </c>
      <c r="X599" s="112">
        <v>16.0</v>
      </c>
      <c r="Y599" s="112">
        <v>198.0</v>
      </c>
      <c r="Z599" s="112">
        <v>33.0</v>
      </c>
      <c r="AA599" s="112">
        <v>245.0</v>
      </c>
      <c r="AB599" s="112">
        <v>31.0</v>
      </c>
      <c r="AC599" s="112">
        <v>202.0</v>
      </c>
      <c r="AD599" s="112">
        <v>27.0</v>
      </c>
      <c r="AE599" s="112">
        <v>111.0</v>
      </c>
      <c r="AF599" s="112">
        <v>21.0</v>
      </c>
      <c r="AG599" s="112">
        <v>91.0</v>
      </c>
      <c r="AH599" s="112">
        <v>22.0</v>
      </c>
      <c r="AI599" s="112">
        <v>75.0</v>
      </c>
      <c r="AJ599" s="112">
        <v>19.0</v>
      </c>
      <c r="AK599" s="112">
        <v>34.0</v>
      </c>
      <c r="AL599" s="112">
        <v>14.0</v>
      </c>
      <c r="AM599" s="112">
        <v>29.0</v>
      </c>
      <c r="AN599" s="109">
        <v>6315.0</v>
      </c>
    </row>
    <row r="600">
      <c r="A600" s="104"/>
      <c r="B600" s="111" t="s">
        <v>201</v>
      </c>
      <c r="C600" s="109">
        <v>3133.0</v>
      </c>
      <c r="D600" s="109">
        <v>1179.0</v>
      </c>
      <c r="E600" s="109">
        <v>1954.0</v>
      </c>
      <c r="F600" s="112">
        <v>66.0</v>
      </c>
      <c r="G600" s="112">
        <v>32.0</v>
      </c>
      <c r="H600" s="112">
        <v>80.0</v>
      </c>
      <c r="I600" s="112">
        <v>75.0</v>
      </c>
      <c r="J600" s="112">
        <v>57.0</v>
      </c>
      <c r="K600" s="112">
        <v>61.0</v>
      </c>
      <c r="L600" s="112">
        <v>53.0</v>
      </c>
      <c r="M600" s="112">
        <v>78.0</v>
      </c>
      <c r="N600" s="112">
        <v>25.0</v>
      </c>
      <c r="O600" s="112">
        <v>85.0</v>
      </c>
      <c r="P600" s="112">
        <v>44.0</v>
      </c>
      <c r="Q600" s="112">
        <v>61.0</v>
      </c>
      <c r="R600" s="112">
        <v>30.0</v>
      </c>
      <c r="S600" s="112">
        <v>111.0</v>
      </c>
      <c r="T600" s="112">
        <v>40.0</v>
      </c>
      <c r="U600" s="112">
        <v>130.0</v>
      </c>
      <c r="V600" s="112">
        <v>74.0</v>
      </c>
      <c r="W600" s="112">
        <v>115.0</v>
      </c>
      <c r="X600" s="112">
        <v>74.0</v>
      </c>
      <c r="Y600" s="112">
        <v>174.0</v>
      </c>
      <c r="Z600" s="112">
        <v>107.0</v>
      </c>
      <c r="AA600" s="112">
        <v>176.0</v>
      </c>
      <c r="AB600" s="112">
        <v>72.0</v>
      </c>
      <c r="AC600" s="112">
        <v>224.0</v>
      </c>
      <c r="AD600" s="112">
        <v>69.0</v>
      </c>
      <c r="AE600" s="112">
        <v>149.0</v>
      </c>
      <c r="AF600" s="112">
        <v>61.0</v>
      </c>
      <c r="AG600" s="112">
        <v>104.0</v>
      </c>
      <c r="AH600" s="112">
        <v>150.0</v>
      </c>
      <c r="AI600" s="112">
        <v>111.0</v>
      </c>
      <c r="AJ600" s="112">
        <v>99.0</v>
      </c>
      <c r="AK600" s="112">
        <v>100.0</v>
      </c>
      <c r="AL600" s="112">
        <v>78.0</v>
      </c>
      <c r="AM600" s="112">
        <v>168.0</v>
      </c>
      <c r="AN600" s="109">
        <v>3114.0</v>
      </c>
    </row>
    <row r="601">
      <c r="A601" s="107" t="s">
        <v>208</v>
      </c>
      <c r="B601" s="111" t="s">
        <v>198</v>
      </c>
      <c r="C601" s="112">
        <v>32.0</v>
      </c>
      <c r="D601" s="112">
        <v>19.0</v>
      </c>
      <c r="E601" s="112">
        <v>13.0</v>
      </c>
      <c r="F601" s="112">
        <v>15.0</v>
      </c>
      <c r="G601" s="112">
        <v>9.0</v>
      </c>
      <c r="H601" s="112">
        <v>2.0</v>
      </c>
      <c r="I601" s="112">
        <v>2.0</v>
      </c>
      <c r="J601" s="112">
        <v>2.0</v>
      </c>
      <c r="K601" s="112">
        <v>0.0</v>
      </c>
      <c r="L601" s="112">
        <v>0.0</v>
      </c>
      <c r="M601" s="112">
        <v>0.0</v>
      </c>
      <c r="N601" s="112">
        <v>0.0</v>
      </c>
      <c r="O601" s="112">
        <v>2.0</v>
      </c>
      <c r="P601" s="110">
        <v>0.0</v>
      </c>
      <c r="Q601" s="110">
        <v>0.0</v>
      </c>
      <c r="R601" s="110">
        <v>0.0</v>
      </c>
      <c r="S601" s="110">
        <v>0.0</v>
      </c>
      <c r="T601" s="110">
        <v>0.0</v>
      </c>
      <c r="U601" s="110">
        <v>0.0</v>
      </c>
      <c r="V601" s="110">
        <v>0.0</v>
      </c>
      <c r="W601" s="110">
        <v>0.0</v>
      </c>
      <c r="X601" s="110">
        <v>0.0</v>
      </c>
      <c r="Y601" s="110">
        <v>0.0</v>
      </c>
      <c r="Z601" s="110">
        <v>0.0</v>
      </c>
      <c r="AA601" s="110">
        <v>0.0</v>
      </c>
      <c r="AB601" s="110">
        <v>0.0</v>
      </c>
      <c r="AC601" s="110">
        <v>0.0</v>
      </c>
      <c r="AD601" s="110">
        <v>0.0</v>
      </c>
      <c r="AE601" s="110">
        <v>0.0</v>
      </c>
      <c r="AF601" s="110">
        <v>0.0</v>
      </c>
      <c r="AG601" s="110">
        <v>0.0</v>
      </c>
      <c r="AH601" s="110">
        <v>0.0</v>
      </c>
      <c r="AI601" s="110">
        <v>0.0</v>
      </c>
      <c r="AJ601" s="110">
        <v>0.0</v>
      </c>
      <c r="AK601" s="110">
        <v>0.0</v>
      </c>
      <c r="AL601" s="110">
        <v>0.0</v>
      </c>
      <c r="AM601" s="110">
        <v>0.0</v>
      </c>
      <c r="AN601" s="112">
        <v>32.0</v>
      </c>
    </row>
    <row r="602">
      <c r="A602" s="98"/>
      <c r="B602" s="111" t="s">
        <v>199</v>
      </c>
      <c r="C602" s="112">
        <v>211.0</v>
      </c>
      <c r="D602" s="112">
        <v>104.0</v>
      </c>
      <c r="E602" s="112">
        <v>107.0</v>
      </c>
      <c r="F602" s="112">
        <v>71.0</v>
      </c>
      <c r="G602" s="112">
        <v>74.0</v>
      </c>
      <c r="H602" s="112">
        <v>21.0</v>
      </c>
      <c r="I602" s="112">
        <v>14.0</v>
      </c>
      <c r="J602" s="112">
        <v>11.0</v>
      </c>
      <c r="K602" s="112">
        <v>13.0</v>
      </c>
      <c r="L602" s="112">
        <v>0.0</v>
      </c>
      <c r="M602" s="112">
        <v>1.0</v>
      </c>
      <c r="N602" s="112">
        <v>1.0</v>
      </c>
      <c r="O602" s="112">
        <v>5.0</v>
      </c>
      <c r="P602" s="110">
        <v>0.0</v>
      </c>
      <c r="Q602" s="110">
        <v>0.0</v>
      </c>
      <c r="R602" s="110">
        <v>0.0</v>
      </c>
      <c r="S602" s="110">
        <v>0.0</v>
      </c>
      <c r="T602" s="110">
        <v>0.0</v>
      </c>
      <c r="U602" s="110">
        <v>0.0</v>
      </c>
      <c r="V602" s="110">
        <v>0.0</v>
      </c>
      <c r="W602" s="110">
        <v>0.0</v>
      </c>
      <c r="X602" s="110">
        <v>0.0</v>
      </c>
      <c r="Y602" s="110">
        <v>0.0</v>
      </c>
      <c r="Z602" s="110">
        <v>0.0</v>
      </c>
      <c r="AA602" s="110">
        <v>0.0</v>
      </c>
      <c r="AB602" s="110">
        <v>0.0</v>
      </c>
      <c r="AC602" s="110">
        <v>0.0</v>
      </c>
      <c r="AD602" s="110">
        <v>0.0</v>
      </c>
      <c r="AE602" s="110">
        <v>0.0</v>
      </c>
      <c r="AF602" s="110">
        <v>0.0</v>
      </c>
      <c r="AG602" s="110">
        <v>0.0</v>
      </c>
      <c r="AH602" s="110">
        <v>0.0</v>
      </c>
      <c r="AI602" s="110">
        <v>0.0</v>
      </c>
      <c r="AJ602" s="110">
        <v>0.0</v>
      </c>
      <c r="AK602" s="110">
        <v>0.0</v>
      </c>
      <c r="AL602" s="110">
        <v>0.0</v>
      </c>
      <c r="AM602" s="110">
        <v>0.0</v>
      </c>
      <c r="AN602" s="112">
        <v>202.0</v>
      </c>
    </row>
    <row r="603">
      <c r="A603" s="98"/>
      <c r="B603" s="111" t="s">
        <v>206</v>
      </c>
      <c r="C603" s="112">
        <v>0.0</v>
      </c>
      <c r="D603" s="112">
        <v>0.0</v>
      </c>
      <c r="E603" s="112">
        <v>0.0</v>
      </c>
      <c r="F603" s="112">
        <v>0.0</v>
      </c>
      <c r="G603" s="112">
        <v>0.0</v>
      </c>
      <c r="H603" s="112">
        <v>0.0</v>
      </c>
      <c r="I603" s="112">
        <v>0.0</v>
      </c>
      <c r="J603" s="112">
        <v>0.0</v>
      </c>
      <c r="K603" s="112">
        <v>0.0</v>
      </c>
      <c r="L603" s="112">
        <v>0.0</v>
      </c>
      <c r="M603" s="112">
        <v>0.0</v>
      </c>
      <c r="N603" s="112">
        <v>0.0</v>
      </c>
      <c r="O603" s="112">
        <v>0.0</v>
      </c>
      <c r="P603" s="110">
        <v>0.0</v>
      </c>
      <c r="Q603" s="110">
        <v>0.0</v>
      </c>
      <c r="R603" s="110">
        <v>0.0</v>
      </c>
      <c r="S603" s="110">
        <v>0.0</v>
      </c>
      <c r="T603" s="110">
        <v>0.0</v>
      </c>
      <c r="U603" s="110">
        <v>0.0</v>
      </c>
      <c r="V603" s="110">
        <v>0.0</v>
      </c>
      <c r="W603" s="110">
        <v>0.0</v>
      </c>
      <c r="X603" s="110">
        <v>0.0</v>
      </c>
      <c r="Y603" s="110">
        <v>0.0</v>
      </c>
      <c r="Z603" s="110">
        <v>0.0</v>
      </c>
      <c r="AA603" s="110">
        <v>0.0</v>
      </c>
      <c r="AB603" s="110">
        <v>0.0</v>
      </c>
      <c r="AC603" s="110">
        <v>0.0</v>
      </c>
      <c r="AD603" s="110">
        <v>0.0</v>
      </c>
      <c r="AE603" s="110">
        <v>0.0</v>
      </c>
      <c r="AF603" s="110">
        <v>0.0</v>
      </c>
      <c r="AG603" s="110">
        <v>0.0</v>
      </c>
      <c r="AH603" s="110">
        <v>0.0</v>
      </c>
      <c r="AI603" s="110">
        <v>0.0</v>
      </c>
      <c r="AJ603" s="110">
        <v>0.0</v>
      </c>
      <c r="AK603" s="110">
        <v>0.0</v>
      </c>
      <c r="AL603" s="110">
        <v>0.0</v>
      </c>
      <c r="AM603" s="110">
        <v>0.0</v>
      </c>
      <c r="AN603" s="112">
        <v>0.0</v>
      </c>
    </row>
    <row r="604">
      <c r="A604" s="98"/>
      <c r="B604" s="111" t="s">
        <v>200</v>
      </c>
      <c r="C604" s="112">
        <v>36.0</v>
      </c>
      <c r="D604" s="112">
        <v>17.0</v>
      </c>
      <c r="E604" s="112">
        <v>19.0</v>
      </c>
      <c r="F604" s="112">
        <v>9.0</v>
      </c>
      <c r="G604" s="112">
        <v>17.0</v>
      </c>
      <c r="H604" s="112">
        <v>7.0</v>
      </c>
      <c r="I604" s="112">
        <v>1.0</v>
      </c>
      <c r="J604" s="112">
        <v>1.0</v>
      </c>
      <c r="K604" s="112">
        <v>1.0</v>
      </c>
      <c r="L604" s="112">
        <v>0.0</v>
      </c>
      <c r="M604" s="112">
        <v>0.0</v>
      </c>
      <c r="N604" s="112">
        <v>0.0</v>
      </c>
      <c r="O604" s="112">
        <v>0.0</v>
      </c>
      <c r="P604" s="110">
        <v>0.0</v>
      </c>
      <c r="Q604" s="110">
        <v>0.0</v>
      </c>
      <c r="R604" s="110">
        <v>0.0</v>
      </c>
      <c r="S604" s="110">
        <v>0.0</v>
      </c>
      <c r="T604" s="110">
        <v>0.0</v>
      </c>
      <c r="U604" s="110">
        <v>0.0</v>
      </c>
      <c r="V604" s="110">
        <v>0.0</v>
      </c>
      <c r="W604" s="110">
        <v>0.0</v>
      </c>
      <c r="X604" s="110">
        <v>0.0</v>
      </c>
      <c r="Y604" s="110">
        <v>0.0</v>
      </c>
      <c r="Z604" s="110">
        <v>0.0</v>
      </c>
      <c r="AA604" s="110">
        <v>0.0</v>
      </c>
      <c r="AB604" s="110">
        <v>0.0</v>
      </c>
      <c r="AC604" s="110">
        <v>0.0</v>
      </c>
      <c r="AD604" s="110">
        <v>0.0</v>
      </c>
      <c r="AE604" s="110">
        <v>0.0</v>
      </c>
      <c r="AF604" s="110">
        <v>0.0</v>
      </c>
      <c r="AG604" s="110">
        <v>0.0</v>
      </c>
      <c r="AH604" s="110">
        <v>0.0</v>
      </c>
      <c r="AI604" s="110">
        <v>0.0</v>
      </c>
      <c r="AJ604" s="110">
        <v>0.0</v>
      </c>
      <c r="AK604" s="110">
        <v>0.0</v>
      </c>
      <c r="AL604" s="110">
        <v>0.0</v>
      </c>
      <c r="AM604" s="110">
        <v>0.0</v>
      </c>
      <c r="AN604" s="112">
        <v>35.0</v>
      </c>
    </row>
    <row r="605">
      <c r="A605" s="104"/>
      <c r="B605" s="111" t="s">
        <v>201</v>
      </c>
      <c r="C605" s="112">
        <v>4.0</v>
      </c>
      <c r="D605" s="112">
        <v>4.0</v>
      </c>
      <c r="E605" s="112">
        <v>0.0</v>
      </c>
      <c r="F605" s="112">
        <v>0.0</v>
      </c>
      <c r="G605" s="112">
        <v>0.0</v>
      </c>
      <c r="H605" s="112">
        <v>1.0</v>
      </c>
      <c r="I605" s="112">
        <v>0.0</v>
      </c>
      <c r="J605" s="112">
        <v>2.0</v>
      </c>
      <c r="K605" s="112">
        <v>0.0</v>
      </c>
      <c r="L605" s="112">
        <v>1.0</v>
      </c>
      <c r="M605" s="112">
        <v>0.0</v>
      </c>
      <c r="N605" s="112">
        <v>0.0</v>
      </c>
      <c r="O605" s="112">
        <v>0.0</v>
      </c>
      <c r="P605" s="110">
        <v>0.0</v>
      </c>
      <c r="Q605" s="110">
        <v>0.0</v>
      </c>
      <c r="R605" s="110">
        <v>0.0</v>
      </c>
      <c r="S605" s="110">
        <v>0.0</v>
      </c>
      <c r="T605" s="110">
        <v>0.0</v>
      </c>
      <c r="U605" s="110">
        <v>0.0</v>
      </c>
      <c r="V605" s="110">
        <v>0.0</v>
      </c>
      <c r="W605" s="110">
        <v>0.0</v>
      </c>
      <c r="X605" s="110">
        <v>0.0</v>
      </c>
      <c r="Y605" s="110">
        <v>0.0</v>
      </c>
      <c r="Z605" s="110">
        <v>0.0</v>
      </c>
      <c r="AA605" s="110">
        <v>0.0</v>
      </c>
      <c r="AB605" s="110">
        <v>0.0</v>
      </c>
      <c r="AC605" s="110">
        <v>0.0</v>
      </c>
      <c r="AD605" s="110">
        <v>0.0</v>
      </c>
      <c r="AE605" s="110">
        <v>0.0</v>
      </c>
      <c r="AF605" s="110">
        <v>0.0</v>
      </c>
      <c r="AG605" s="110">
        <v>0.0</v>
      </c>
      <c r="AH605" s="110">
        <v>0.0</v>
      </c>
      <c r="AI605" s="110">
        <v>0.0</v>
      </c>
      <c r="AJ605" s="110">
        <v>0.0</v>
      </c>
      <c r="AK605" s="110">
        <v>0.0</v>
      </c>
      <c r="AL605" s="110">
        <v>0.0</v>
      </c>
      <c r="AM605" s="110">
        <v>0.0</v>
      </c>
      <c r="AN605" s="112">
        <v>4.0</v>
      </c>
    </row>
    <row r="606">
      <c r="A606" s="113" t="s">
        <v>233</v>
      </c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</row>
    <row r="607">
      <c r="A607" s="107" t="s">
        <v>197</v>
      </c>
      <c r="B607" s="108" t="s">
        <v>198</v>
      </c>
      <c r="C607" s="109">
        <v>49006.0</v>
      </c>
      <c r="D607" s="109">
        <v>17799.0</v>
      </c>
      <c r="E607" s="109">
        <v>31207.0</v>
      </c>
      <c r="F607" s="110">
        <v>0.0</v>
      </c>
      <c r="G607" s="110">
        <v>0.0</v>
      </c>
      <c r="H607" s="110">
        <v>0.0</v>
      </c>
      <c r="I607" s="110">
        <v>0.0</v>
      </c>
      <c r="J607" s="110">
        <v>0.0</v>
      </c>
      <c r="K607" s="110">
        <v>0.0</v>
      </c>
      <c r="L607" s="112">
        <v>12.0</v>
      </c>
      <c r="M607" s="112">
        <v>23.0</v>
      </c>
      <c r="N607" s="112">
        <v>53.0</v>
      </c>
      <c r="O607" s="112">
        <v>100.0</v>
      </c>
      <c r="P607" s="112">
        <v>109.0</v>
      </c>
      <c r="Q607" s="112">
        <v>243.0</v>
      </c>
      <c r="R607" s="112">
        <v>148.0</v>
      </c>
      <c r="S607" s="112">
        <v>324.0</v>
      </c>
      <c r="T607" s="112">
        <v>261.0</v>
      </c>
      <c r="U607" s="112">
        <v>582.0</v>
      </c>
      <c r="V607" s="112">
        <v>656.0</v>
      </c>
      <c r="W607" s="109">
        <v>1295.0</v>
      </c>
      <c r="X607" s="109">
        <v>1007.0</v>
      </c>
      <c r="Y607" s="109">
        <v>2186.0</v>
      </c>
      <c r="Z607" s="109">
        <v>1804.0</v>
      </c>
      <c r="AA607" s="109">
        <v>3791.0</v>
      </c>
      <c r="AB607" s="109">
        <v>2290.0</v>
      </c>
      <c r="AC607" s="109">
        <v>4237.0</v>
      </c>
      <c r="AD607" s="109">
        <v>2426.0</v>
      </c>
      <c r="AE607" s="109">
        <v>4211.0</v>
      </c>
      <c r="AF607" s="109">
        <v>2459.0</v>
      </c>
      <c r="AG607" s="109">
        <v>4062.0</v>
      </c>
      <c r="AH607" s="109">
        <v>2476.0</v>
      </c>
      <c r="AI607" s="109">
        <v>3614.0</v>
      </c>
      <c r="AJ607" s="109">
        <v>1979.0</v>
      </c>
      <c r="AK607" s="109">
        <v>2933.0</v>
      </c>
      <c r="AL607" s="109">
        <v>2119.0</v>
      </c>
      <c r="AM607" s="109">
        <v>3606.0</v>
      </c>
      <c r="AN607" s="109">
        <v>48981.0</v>
      </c>
    </row>
    <row r="608">
      <c r="A608" s="98"/>
      <c r="B608" s="111" t="s">
        <v>199</v>
      </c>
      <c r="C608" s="109">
        <v>27127.0</v>
      </c>
      <c r="D608" s="109">
        <v>9777.0</v>
      </c>
      <c r="E608" s="109">
        <v>17350.0</v>
      </c>
      <c r="F608" s="110">
        <v>0.0</v>
      </c>
      <c r="G608" s="110">
        <v>0.0</v>
      </c>
      <c r="H608" s="110">
        <v>0.0</v>
      </c>
      <c r="I608" s="110">
        <v>0.0</v>
      </c>
      <c r="J608" s="110">
        <v>0.0</v>
      </c>
      <c r="K608" s="110">
        <v>0.0</v>
      </c>
      <c r="L608" s="112">
        <v>32.0</v>
      </c>
      <c r="M608" s="112">
        <v>31.0</v>
      </c>
      <c r="N608" s="112">
        <v>20.0</v>
      </c>
      <c r="O608" s="112">
        <v>27.0</v>
      </c>
      <c r="P608" s="112">
        <v>45.0</v>
      </c>
      <c r="Q608" s="112">
        <v>82.0</v>
      </c>
      <c r="R608" s="112">
        <v>53.0</v>
      </c>
      <c r="S608" s="112">
        <v>113.0</v>
      </c>
      <c r="T608" s="112">
        <v>91.0</v>
      </c>
      <c r="U608" s="112">
        <v>215.0</v>
      </c>
      <c r="V608" s="112">
        <v>253.0</v>
      </c>
      <c r="W608" s="112">
        <v>571.0</v>
      </c>
      <c r="X608" s="112">
        <v>413.0</v>
      </c>
      <c r="Y608" s="109">
        <v>1006.0</v>
      </c>
      <c r="Z608" s="112">
        <v>826.0</v>
      </c>
      <c r="AA608" s="109">
        <v>1817.0</v>
      </c>
      <c r="AB608" s="109">
        <v>1038.0</v>
      </c>
      <c r="AC608" s="109">
        <v>2077.0</v>
      </c>
      <c r="AD608" s="109">
        <v>1200.0</v>
      </c>
      <c r="AE608" s="109">
        <v>2326.0</v>
      </c>
      <c r="AF608" s="109">
        <v>1525.0</v>
      </c>
      <c r="AG608" s="109">
        <v>2479.0</v>
      </c>
      <c r="AH608" s="109">
        <v>1527.0</v>
      </c>
      <c r="AI608" s="109">
        <v>2343.0</v>
      </c>
      <c r="AJ608" s="109">
        <v>1257.0</v>
      </c>
      <c r="AK608" s="109">
        <v>1916.0</v>
      </c>
      <c r="AL608" s="109">
        <v>1497.0</v>
      </c>
      <c r="AM608" s="109">
        <v>2347.0</v>
      </c>
      <c r="AN608" s="109">
        <v>27106.0</v>
      </c>
    </row>
    <row r="609">
      <c r="A609" s="98"/>
      <c r="B609" s="111" t="s">
        <v>200</v>
      </c>
      <c r="C609" s="109">
        <v>15441.0</v>
      </c>
      <c r="D609" s="109">
        <v>5281.0</v>
      </c>
      <c r="E609" s="109">
        <v>10160.0</v>
      </c>
      <c r="F609" s="110">
        <v>0.0</v>
      </c>
      <c r="G609" s="110">
        <v>0.0</v>
      </c>
      <c r="H609" s="110">
        <v>0.0</v>
      </c>
      <c r="I609" s="110">
        <v>0.0</v>
      </c>
      <c r="J609" s="110">
        <v>0.0</v>
      </c>
      <c r="K609" s="110">
        <v>0.0</v>
      </c>
      <c r="L609" s="112">
        <v>17.0</v>
      </c>
      <c r="M609" s="112">
        <v>39.0</v>
      </c>
      <c r="N609" s="112">
        <v>21.0</v>
      </c>
      <c r="O609" s="112">
        <v>55.0</v>
      </c>
      <c r="P609" s="112">
        <v>61.0</v>
      </c>
      <c r="Q609" s="112">
        <v>112.0</v>
      </c>
      <c r="R609" s="112">
        <v>58.0</v>
      </c>
      <c r="S609" s="112">
        <v>163.0</v>
      </c>
      <c r="T609" s="112">
        <v>115.0</v>
      </c>
      <c r="U609" s="112">
        <v>261.0</v>
      </c>
      <c r="V609" s="112">
        <v>197.0</v>
      </c>
      <c r="W609" s="112">
        <v>504.0</v>
      </c>
      <c r="X609" s="112">
        <v>315.0</v>
      </c>
      <c r="Y609" s="112">
        <v>822.0</v>
      </c>
      <c r="Z609" s="112">
        <v>568.0</v>
      </c>
      <c r="AA609" s="109">
        <v>1282.0</v>
      </c>
      <c r="AB609" s="112">
        <v>627.0</v>
      </c>
      <c r="AC609" s="109">
        <v>1402.0</v>
      </c>
      <c r="AD609" s="112">
        <v>658.0</v>
      </c>
      <c r="AE609" s="109">
        <v>1275.0</v>
      </c>
      <c r="AF609" s="112">
        <v>736.0</v>
      </c>
      <c r="AG609" s="109">
        <v>1293.0</v>
      </c>
      <c r="AH609" s="112">
        <v>723.0</v>
      </c>
      <c r="AI609" s="109">
        <v>1224.0</v>
      </c>
      <c r="AJ609" s="112">
        <v>584.0</v>
      </c>
      <c r="AK609" s="112">
        <v>843.0</v>
      </c>
      <c r="AL609" s="112">
        <v>601.0</v>
      </c>
      <c r="AM609" s="112">
        <v>885.0</v>
      </c>
      <c r="AN609" s="109">
        <v>15432.0</v>
      </c>
    </row>
    <row r="610">
      <c r="A610" s="104"/>
      <c r="B610" s="111" t="s">
        <v>201</v>
      </c>
      <c r="C610" s="109">
        <v>1117.0</v>
      </c>
      <c r="D610" s="112">
        <v>376.0</v>
      </c>
      <c r="E610" s="112">
        <v>741.0</v>
      </c>
      <c r="F610" s="110">
        <v>0.0</v>
      </c>
      <c r="G610" s="110">
        <v>0.0</v>
      </c>
      <c r="H610" s="110">
        <v>0.0</v>
      </c>
      <c r="I610" s="110">
        <v>0.0</v>
      </c>
      <c r="J610" s="110">
        <v>0.0</v>
      </c>
      <c r="K610" s="110">
        <v>0.0</v>
      </c>
      <c r="L610" s="112">
        <v>0.0</v>
      </c>
      <c r="M610" s="112">
        <v>0.0</v>
      </c>
      <c r="N610" s="112">
        <v>0.0</v>
      </c>
      <c r="O610" s="112">
        <v>0.0</v>
      </c>
      <c r="P610" s="112">
        <v>4.0</v>
      </c>
      <c r="Q610" s="112">
        <v>4.0</v>
      </c>
      <c r="R610" s="112">
        <v>2.0</v>
      </c>
      <c r="S610" s="112">
        <v>11.0</v>
      </c>
      <c r="T610" s="112">
        <v>4.0</v>
      </c>
      <c r="U610" s="112">
        <v>7.0</v>
      </c>
      <c r="V610" s="112">
        <v>8.0</v>
      </c>
      <c r="W610" s="112">
        <v>40.0</v>
      </c>
      <c r="X610" s="112">
        <v>15.0</v>
      </c>
      <c r="Y610" s="112">
        <v>59.0</v>
      </c>
      <c r="Z610" s="112">
        <v>39.0</v>
      </c>
      <c r="AA610" s="112">
        <v>73.0</v>
      </c>
      <c r="AB610" s="112">
        <v>44.0</v>
      </c>
      <c r="AC610" s="112">
        <v>103.0</v>
      </c>
      <c r="AD610" s="112">
        <v>56.0</v>
      </c>
      <c r="AE610" s="112">
        <v>115.0</v>
      </c>
      <c r="AF610" s="112">
        <v>55.0</v>
      </c>
      <c r="AG610" s="112">
        <v>110.0</v>
      </c>
      <c r="AH610" s="112">
        <v>47.0</v>
      </c>
      <c r="AI610" s="112">
        <v>74.0</v>
      </c>
      <c r="AJ610" s="112">
        <v>55.0</v>
      </c>
      <c r="AK610" s="112">
        <v>64.0</v>
      </c>
      <c r="AL610" s="112">
        <v>47.0</v>
      </c>
      <c r="AM610" s="112">
        <v>81.0</v>
      </c>
      <c r="AN610" s="109">
        <v>1117.0</v>
      </c>
    </row>
    <row r="611">
      <c r="A611" s="107" t="s">
        <v>202</v>
      </c>
      <c r="B611" s="111" t="s">
        <v>198</v>
      </c>
      <c r="C611" s="112">
        <v>74.0</v>
      </c>
      <c r="D611" s="112">
        <v>56.0</v>
      </c>
      <c r="E611" s="112">
        <v>18.0</v>
      </c>
      <c r="F611" s="112">
        <v>0.0</v>
      </c>
      <c r="G611" s="112">
        <v>0.0</v>
      </c>
      <c r="H611" s="112">
        <v>0.0</v>
      </c>
      <c r="I611" s="112">
        <v>0.0</v>
      </c>
      <c r="J611" s="112">
        <v>6.0</v>
      </c>
      <c r="K611" s="112">
        <v>0.0</v>
      </c>
      <c r="L611" s="112">
        <v>2.0</v>
      </c>
      <c r="M611" s="112">
        <v>0.0</v>
      </c>
      <c r="N611" s="112">
        <v>7.0</v>
      </c>
      <c r="O611" s="112">
        <v>2.0</v>
      </c>
      <c r="P611" s="112">
        <v>0.0</v>
      </c>
      <c r="Q611" s="112">
        <v>4.0</v>
      </c>
      <c r="R611" s="112">
        <v>2.0</v>
      </c>
      <c r="S611" s="112">
        <v>0.0</v>
      </c>
      <c r="T611" s="112">
        <v>10.0</v>
      </c>
      <c r="U611" s="112">
        <v>0.0</v>
      </c>
      <c r="V611" s="112">
        <v>1.0</v>
      </c>
      <c r="W611" s="112">
        <v>0.0</v>
      </c>
      <c r="X611" s="112">
        <v>3.0</v>
      </c>
      <c r="Y611" s="112">
        <v>5.0</v>
      </c>
      <c r="Z611" s="112">
        <v>7.0</v>
      </c>
      <c r="AA611" s="112">
        <v>0.0</v>
      </c>
      <c r="AB611" s="112">
        <v>4.0</v>
      </c>
      <c r="AC611" s="112">
        <v>1.0</v>
      </c>
      <c r="AD611" s="112">
        <v>1.0</v>
      </c>
      <c r="AE611" s="112">
        <v>1.0</v>
      </c>
      <c r="AF611" s="112">
        <v>1.0</v>
      </c>
      <c r="AG611" s="112">
        <v>0.0</v>
      </c>
      <c r="AH611" s="112">
        <v>5.0</v>
      </c>
      <c r="AI611" s="112">
        <v>4.0</v>
      </c>
      <c r="AJ611" s="112">
        <v>2.0</v>
      </c>
      <c r="AK611" s="112">
        <v>0.0</v>
      </c>
      <c r="AL611" s="112">
        <v>5.0</v>
      </c>
      <c r="AM611" s="112">
        <v>1.0</v>
      </c>
      <c r="AN611" s="112">
        <v>74.0</v>
      </c>
    </row>
    <row r="612">
      <c r="A612" s="104"/>
      <c r="B612" s="111" t="s">
        <v>199</v>
      </c>
      <c r="C612" s="112">
        <v>46.0</v>
      </c>
      <c r="D612" s="112">
        <v>28.0</v>
      </c>
      <c r="E612" s="112">
        <v>18.0</v>
      </c>
      <c r="F612" s="112">
        <v>0.0</v>
      </c>
      <c r="G612" s="112">
        <v>0.0</v>
      </c>
      <c r="H612" s="112">
        <v>0.0</v>
      </c>
      <c r="I612" s="112">
        <v>0.0</v>
      </c>
      <c r="J612" s="112">
        <v>4.0</v>
      </c>
      <c r="K612" s="112">
        <v>0.0</v>
      </c>
      <c r="L612" s="112">
        <v>0.0</v>
      </c>
      <c r="M612" s="112">
        <v>0.0</v>
      </c>
      <c r="N612" s="112">
        <v>5.0</v>
      </c>
      <c r="O612" s="112">
        <v>2.0</v>
      </c>
      <c r="P612" s="112">
        <v>1.0</v>
      </c>
      <c r="Q612" s="112">
        <v>3.0</v>
      </c>
      <c r="R612" s="112">
        <v>0.0</v>
      </c>
      <c r="S612" s="112">
        <v>1.0</v>
      </c>
      <c r="T612" s="112">
        <v>1.0</v>
      </c>
      <c r="U612" s="112">
        <v>1.0</v>
      </c>
      <c r="V612" s="112">
        <v>0.0</v>
      </c>
      <c r="W612" s="112">
        <v>0.0</v>
      </c>
      <c r="X612" s="112">
        <v>3.0</v>
      </c>
      <c r="Y612" s="112">
        <v>1.0</v>
      </c>
      <c r="Z612" s="112">
        <v>2.0</v>
      </c>
      <c r="AA612" s="112">
        <v>2.0</v>
      </c>
      <c r="AB612" s="112">
        <v>3.0</v>
      </c>
      <c r="AC612" s="112">
        <v>1.0</v>
      </c>
      <c r="AD612" s="112">
        <v>1.0</v>
      </c>
      <c r="AE612" s="112">
        <v>1.0</v>
      </c>
      <c r="AF612" s="112">
        <v>2.0</v>
      </c>
      <c r="AG612" s="112">
        <v>0.0</v>
      </c>
      <c r="AH612" s="112">
        <v>3.0</v>
      </c>
      <c r="AI612" s="112">
        <v>3.0</v>
      </c>
      <c r="AJ612" s="112">
        <v>0.0</v>
      </c>
      <c r="AK612" s="112">
        <v>0.0</v>
      </c>
      <c r="AL612" s="112">
        <v>3.0</v>
      </c>
      <c r="AM612" s="112">
        <v>3.0</v>
      </c>
      <c r="AN612" s="112">
        <v>46.0</v>
      </c>
    </row>
    <row r="613">
      <c r="A613" s="107" t="s">
        <v>203</v>
      </c>
      <c r="B613" s="111" t="s">
        <v>198</v>
      </c>
      <c r="C613" s="112">
        <v>2.0</v>
      </c>
      <c r="D613" s="112">
        <v>0.0</v>
      </c>
      <c r="E613" s="112">
        <v>2.0</v>
      </c>
      <c r="F613" s="110">
        <v>0.0</v>
      </c>
      <c r="G613" s="110">
        <v>0.0</v>
      </c>
      <c r="H613" s="110">
        <v>0.0</v>
      </c>
      <c r="I613" s="110">
        <v>0.0</v>
      </c>
      <c r="J613" s="110">
        <v>0.0</v>
      </c>
      <c r="K613" s="110">
        <v>0.0</v>
      </c>
      <c r="L613" s="110">
        <v>0.0</v>
      </c>
      <c r="M613" s="110">
        <v>0.0</v>
      </c>
      <c r="N613" s="110">
        <v>0.0</v>
      </c>
      <c r="O613" s="110">
        <v>0.0</v>
      </c>
      <c r="P613" s="110">
        <v>0.0</v>
      </c>
      <c r="Q613" s="110">
        <v>0.0</v>
      </c>
      <c r="R613" s="110">
        <v>0.0</v>
      </c>
      <c r="S613" s="110">
        <v>0.0</v>
      </c>
      <c r="T613" s="110">
        <v>0.0</v>
      </c>
      <c r="U613" s="110">
        <v>0.0</v>
      </c>
      <c r="V613" s="110">
        <v>0.0</v>
      </c>
      <c r="W613" s="110">
        <v>0.0</v>
      </c>
      <c r="X613" s="110">
        <v>0.0</v>
      </c>
      <c r="Y613" s="110">
        <v>0.0</v>
      </c>
      <c r="Z613" s="110">
        <v>0.0</v>
      </c>
      <c r="AA613" s="110">
        <v>0.0</v>
      </c>
      <c r="AB613" s="110">
        <v>0.0</v>
      </c>
      <c r="AC613" s="110">
        <v>0.0</v>
      </c>
      <c r="AD613" s="110">
        <v>0.0</v>
      </c>
      <c r="AE613" s="110">
        <v>0.0</v>
      </c>
      <c r="AF613" s="112">
        <v>0.0</v>
      </c>
      <c r="AG613" s="112">
        <v>0.0</v>
      </c>
      <c r="AH613" s="112">
        <v>0.0</v>
      </c>
      <c r="AI613" s="112">
        <v>0.0</v>
      </c>
      <c r="AJ613" s="112">
        <v>0.0</v>
      </c>
      <c r="AK613" s="112">
        <v>2.0</v>
      </c>
      <c r="AL613" s="112">
        <v>0.0</v>
      </c>
      <c r="AM613" s="112">
        <v>0.0</v>
      </c>
      <c r="AN613" s="112">
        <v>2.0</v>
      </c>
    </row>
    <row r="614">
      <c r="A614" s="104"/>
      <c r="B614" s="111" t="s">
        <v>199</v>
      </c>
      <c r="C614" s="112">
        <v>230.0</v>
      </c>
      <c r="D614" s="112">
        <v>94.0</v>
      </c>
      <c r="E614" s="112">
        <v>136.0</v>
      </c>
      <c r="F614" s="110">
        <v>0.0</v>
      </c>
      <c r="G614" s="110">
        <v>0.0</v>
      </c>
      <c r="H614" s="110">
        <v>0.0</v>
      </c>
      <c r="I614" s="110">
        <v>0.0</v>
      </c>
      <c r="J614" s="110">
        <v>0.0</v>
      </c>
      <c r="K614" s="110">
        <v>0.0</v>
      </c>
      <c r="L614" s="110">
        <v>0.0</v>
      </c>
      <c r="M614" s="110">
        <v>0.0</v>
      </c>
      <c r="N614" s="110">
        <v>0.0</v>
      </c>
      <c r="O614" s="110">
        <v>0.0</v>
      </c>
      <c r="P614" s="110">
        <v>0.0</v>
      </c>
      <c r="Q614" s="110">
        <v>0.0</v>
      </c>
      <c r="R614" s="110">
        <v>0.0</v>
      </c>
      <c r="S614" s="110">
        <v>0.0</v>
      </c>
      <c r="T614" s="110">
        <v>0.0</v>
      </c>
      <c r="U614" s="110">
        <v>0.0</v>
      </c>
      <c r="V614" s="110">
        <v>0.0</v>
      </c>
      <c r="W614" s="110">
        <v>0.0</v>
      </c>
      <c r="X614" s="110">
        <v>0.0</v>
      </c>
      <c r="Y614" s="110">
        <v>0.0</v>
      </c>
      <c r="Z614" s="110">
        <v>0.0</v>
      </c>
      <c r="AA614" s="110">
        <v>0.0</v>
      </c>
      <c r="AB614" s="110">
        <v>0.0</v>
      </c>
      <c r="AC614" s="110">
        <v>0.0</v>
      </c>
      <c r="AD614" s="110">
        <v>0.0</v>
      </c>
      <c r="AE614" s="110">
        <v>0.0</v>
      </c>
      <c r="AF614" s="112">
        <v>19.0</v>
      </c>
      <c r="AG614" s="112">
        <v>54.0</v>
      </c>
      <c r="AH614" s="112">
        <v>31.0</v>
      </c>
      <c r="AI614" s="112">
        <v>32.0</v>
      </c>
      <c r="AJ614" s="112">
        <v>27.0</v>
      </c>
      <c r="AK614" s="112">
        <v>21.0</v>
      </c>
      <c r="AL614" s="112">
        <v>17.0</v>
      </c>
      <c r="AM614" s="112">
        <v>29.0</v>
      </c>
      <c r="AN614" s="112">
        <v>230.0</v>
      </c>
    </row>
    <row r="615">
      <c r="A615" s="107" t="s">
        <v>204</v>
      </c>
      <c r="B615" s="111" t="s">
        <v>198</v>
      </c>
      <c r="C615" s="112">
        <v>11.0</v>
      </c>
      <c r="D615" s="112">
        <v>1.0</v>
      </c>
      <c r="E615" s="112">
        <v>10.0</v>
      </c>
      <c r="F615" s="110">
        <v>0.0</v>
      </c>
      <c r="G615" s="110">
        <v>0.0</v>
      </c>
      <c r="H615" s="110">
        <v>0.0</v>
      </c>
      <c r="I615" s="110">
        <v>0.0</v>
      </c>
      <c r="J615" s="110">
        <v>0.0</v>
      </c>
      <c r="K615" s="110">
        <v>0.0</v>
      </c>
      <c r="L615" s="110">
        <v>0.0</v>
      </c>
      <c r="M615" s="110">
        <v>0.0</v>
      </c>
      <c r="N615" s="110">
        <v>0.0</v>
      </c>
      <c r="O615" s="110">
        <v>0.0</v>
      </c>
      <c r="P615" s="110">
        <v>0.0</v>
      </c>
      <c r="Q615" s="110">
        <v>0.0</v>
      </c>
      <c r="R615" s="110">
        <v>0.0</v>
      </c>
      <c r="S615" s="110">
        <v>0.0</v>
      </c>
      <c r="T615" s="110">
        <v>0.0</v>
      </c>
      <c r="U615" s="110">
        <v>0.0</v>
      </c>
      <c r="V615" s="110">
        <v>0.0</v>
      </c>
      <c r="W615" s="110">
        <v>0.0</v>
      </c>
      <c r="X615" s="110">
        <v>0.0</v>
      </c>
      <c r="Y615" s="110">
        <v>0.0</v>
      </c>
      <c r="Z615" s="110">
        <v>0.0</v>
      </c>
      <c r="AA615" s="110">
        <v>0.0</v>
      </c>
      <c r="AB615" s="110">
        <v>0.0</v>
      </c>
      <c r="AC615" s="110">
        <v>0.0</v>
      </c>
      <c r="AD615" s="110">
        <v>0.0</v>
      </c>
      <c r="AE615" s="110">
        <v>0.0</v>
      </c>
      <c r="AF615" s="112">
        <v>0.0</v>
      </c>
      <c r="AG615" s="112">
        <v>0.0</v>
      </c>
      <c r="AH615" s="112">
        <v>0.0</v>
      </c>
      <c r="AI615" s="112">
        <v>1.0</v>
      </c>
      <c r="AJ615" s="112">
        <v>0.0</v>
      </c>
      <c r="AK615" s="112">
        <v>4.0</v>
      </c>
      <c r="AL615" s="112">
        <v>1.0</v>
      </c>
      <c r="AM615" s="112">
        <v>5.0</v>
      </c>
      <c r="AN615" s="112">
        <v>11.0</v>
      </c>
    </row>
    <row r="616">
      <c r="A616" s="104"/>
      <c r="B616" s="111" t="s">
        <v>199</v>
      </c>
      <c r="C616" s="112">
        <v>249.0</v>
      </c>
      <c r="D616" s="112">
        <v>74.0</v>
      </c>
      <c r="E616" s="112">
        <v>175.0</v>
      </c>
      <c r="F616" s="110">
        <v>0.0</v>
      </c>
      <c r="G616" s="110">
        <v>0.0</v>
      </c>
      <c r="H616" s="110">
        <v>0.0</v>
      </c>
      <c r="I616" s="110">
        <v>0.0</v>
      </c>
      <c r="J616" s="110">
        <v>0.0</v>
      </c>
      <c r="K616" s="110">
        <v>0.0</v>
      </c>
      <c r="L616" s="110">
        <v>0.0</v>
      </c>
      <c r="M616" s="110">
        <v>0.0</v>
      </c>
      <c r="N616" s="110">
        <v>0.0</v>
      </c>
      <c r="O616" s="110">
        <v>0.0</v>
      </c>
      <c r="P616" s="110">
        <v>0.0</v>
      </c>
      <c r="Q616" s="110">
        <v>0.0</v>
      </c>
      <c r="R616" s="110">
        <v>0.0</v>
      </c>
      <c r="S616" s="110">
        <v>0.0</v>
      </c>
      <c r="T616" s="110">
        <v>0.0</v>
      </c>
      <c r="U616" s="110">
        <v>0.0</v>
      </c>
      <c r="V616" s="110">
        <v>0.0</v>
      </c>
      <c r="W616" s="110">
        <v>0.0</v>
      </c>
      <c r="X616" s="110">
        <v>0.0</v>
      </c>
      <c r="Y616" s="110">
        <v>0.0</v>
      </c>
      <c r="Z616" s="110">
        <v>0.0</v>
      </c>
      <c r="AA616" s="110">
        <v>0.0</v>
      </c>
      <c r="AB616" s="110">
        <v>0.0</v>
      </c>
      <c r="AC616" s="110">
        <v>0.0</v>
      </c>
      <c r="AD616" s="110">
        <v>0.0</v>
      </c>
      <c r="AE616" s="110">
        <v>0.0</v>
      </c>
      <c r="AF616" s="112">
        <v>12.0</v>
      </c>
      <c r="AG616" s="112">
        <v>28.0</v>
      </c>
      <c r="AH616" s="112">
        <v>12.0</v>
      </c>
      <c r="AI616" s="112">
        <v>30.0</v>
      </c>
      <c r="AJ616" s="112">
        <v>18.0</v>
      </c>
      <c r="AK616" s="112">
        <v>53.0</v>
      </c>
      <c r="AL616" s="112">
        <v>32.0</v>
      </c>
      <c r="AM616" s="112">
        <v>64.0</v>
      </c>
      <c r="AN616" s="112">
        <v>249.0</v>
      </c>
    </row>
    <row r="617">
      <c r="A617" s="107" t="s">
        <v>205</v>
      </c>
      <c r="B617" s="111" t="s">
        <v>198</v>
      </c>
      <c r="C617" s="112">
        <v>3.0</v>
      </c>
      <c r="D617" s="112">
        <v>3.0</v>
      </c>
      <c r="E617" s="112">
        <v>0.0</v>
      </c>
      <c r="F617" s="112">
        <v>0.0</v>
      </c>
      <c r="G617" s="112">
        <v>0.0</v>
      </c>
      <c r="H617" s="112">
        <v>0.0</v>
      </c>
      <c r="I617" s="112">
        <v>0.0</v>
      </c>
      <c r="J617" s="112">
        <v>0.0</v>
      </c>
      <c r="K617" s="112">
        <v>0.0</v>
      </c>
      <c r="L617" s="112">
        <v>1.0</v>
      </c>
      <c r="M617" s="112">
        <v>0.0</v>
      </c>
      <c r="N617" s="112">
        <v>0.0</v>
      </c>
      <c r="O617" s="112">
        <v>0.0</v>
      </c>
      <c r="P617" s="112">
        <v>0.0</v>
      </c>
      <c r="Q617" s="112">
        <v>0.0</v>
      </c>
      <c r="R617" s="112">
        <v>0.0</v>
      </c>
      <c r="S617" s="112">
        <v>0.0</v>
      </c>
      <c r="T617" s="112">
        <v>0.0</v>
      </c>
      <c r="U617" s="112">
        <v>0.0</v>
      </c>
      <c r="V617" s="112">
        <v>0.0</v>
      </c>
      <c r="W617" s="112">
        <v>0.0</v>
      </c>
      <c r="X617" s="112">
        <v>0.0</v>
      </c>
      <c r="Y617" s="112">
        <v>0.0</v>
      </c>
      <c r="Z617" s="112">
        <v>0.0</v>
      </c>
      <c r="AA617" s="112">
        <v>0.0</v>
      </c>
      <c r="AB617" s="112">
        <v>0.0</v>
      </c>
      <c r="AC617" s="112">
        <v>0.0</v>
      </c>
      <c r="AD617" s="112">
        <v>0.0</v>
      </c>
      <c r="AE617" s="112">
        <v>0.0</v>
      </c>
      <c r="AF617" s="112">
        <v>1.0</v>
      </c>
      <c r="AG617" s="112">
        <v>0.0</v>
      </c>
      <c r="AH617" s="112">
        <v>0.0</v>
      </c>
      <c r="AI617" s="112">
        <v>0.0</v>
      </c>
      <c r="AJ617" s="112">
        <v>1.0</v>
      </c>
      <c r="AK617" s="112">
        <v>0.0</v>
      </c>
      <c r="AL617" s="112">
        <v>0.0</v>
      </c>
      <c r="AM617" s="112">
        <v>0.0</v>
      </c>
      <c r="AN617" s="112">
        <v>3.0</v>
      </c>
    </row>
    <row r="618">
      <c r="A618" s="98"/>
      <c r="B618" s="111" t="s">
        <v>199</v>
      </c>
      <c r="C618" s="112">
        <v>0.0</v>
      </c>
      <c r="D618" s="112">
        <v>0.0</v>
      </c>
      <c r="E618" s="112">
        <v>0.0</v>
      </c>
      <c r="F618" s="112">
        <v>0.0</v>
      </c>
      <c r="G618" s="112">
        <v>0.0</v>
      </c>
      <c r="H618" s="112">
        <v>0.0</v>
      </c>
      <c r="I618" s="112">
        <v>0.0</v>
      </c>
      <c r="J618" s="112">
        <v>0.0</v>
      </c>
      <c r="K618" s="112">
        <v>0.0</v>
      </c>
      <c r="L618" s="112">
        <v>0.0</v>
      </c>
      <c r="M618" s="112">
        <v>0.0</v>
      </c>
      <c r="N618" s="112">
        <v>0.0</v>
      </c>
      <c r="O618" s="112">
        <v>0.0</v>
      </c>
      <c r="P618" s="112">
        <v>0.0</v>
      </c>
      <c r="Q618" s="112">
        <v>0.0</v>
      </c>
      <c r="R618" s="112">
        <v>0.0</v>
      </c>
      <c r="S618" s="112">
        <v>0.0</v>
      </c>
      <c r="T618" s="112">
        <v>0.0</v>
      </c>
      <c r="U618" s="112">
        <v>0.0</v>
      </c>
      <c r="V618" s="112">
        <v>0.0</v>
      </c>
      <c r="W618" s="112">
        <v>0.0</v>
      </c>
      <c r="X618" s="112">
        <v>0.0</v>
      </c>
      <c r="Y618" s="112">
        <v>0.0</v>
      </c>
      <c r="Z618" s="112">
        <v>0.0</v>
      </c>
      <c r="AA618" s="112">
        <v>0.0</v>
      </c>
      <c r="AB618" s="112">
        <v>0.0</v>
      </c>
      <c r="AC618" s="112">
        <v>0.0</v>
      </c>
      <c r="AD618" s="112">
        <v>0.0</v>
      </c>
      <c r="AE618" s="112">
        <v>0.0</v>
      </c>
      <c r="AF618" s="112">
        <v>0.0</v>
      </c>
      <c r="AG618" s="112">
        <v>0.0</v>
      </c>
      <c r="AH618" s="112">
        <v>0.0</v>
      </c>
      <c r="AI618" s="112">
        <v>0.0</v>
      </c>
      <c r="AJ618" s="112">
        <v>0.0</v>
      </c>
      <c r="AK618" s="112">
        <v>0.0</v>
      </c>
      <c r="AL618" s="112">
        <v>0.0</v>
      </c>
      <c r="AM618" s="112">
        <v>0.0</v>
      </c>
      <c r="AN618" s="112">
        <v>0.0</v>
      </c>
    </row>
    <row r="619">
      <c r="A619" s="104"/>
      <c r="B619" s="111" t="s">
        <v>206</v>
      </c>
      <c r="C619" s="112">
        <v>21.0</v>
      </c>
      <c r="D619" s="112">
        <v>12.0</v>
      </c>
      <c r="E619" s="112">
        <v>9.0</v>
      </c>
      <c r="F619" s="112">
        <v>0.0</v>
      </c>
      <c r="G619" s="112">
        <v>0.0</v>
      </c>
      <c r="H619" s="112">
        <v>0.0</v>
      </c>
      <c r="I619" s="112">
        <v>0.0</v>
      </c>
      <c r="J619" s="112">
        <v>0.0</v>
      </c>
      <c r="K619" s="112">
        <v>0.0</v>
      </c>
      <c r="L619" s="112">
        <v>1.0</v>
      </c>
      <c r="M619" s="112">
        <v>2.0</v>
      </c>
      <c r="N619" s="112">
        <v>2.0</v>
      </c>
      <c r="O619" s="112">
        <v>0.0</v>
      </c>
      <c r="P619" s="112">
        <v>5.0</v>
      </c>
      <c r="Q619" s="112">
        <v>1.0</v>
      </c>
      <c r="R619" s="112">
        <v>1.0</v>
      </c>
      <c r="S619" s="112">
        <v>1.0</v>
      </c>
      <c r="T619" s="112">
        <v>0.0</v>
      </c>
      <c r="U619" s="112">
        <v>0.0</v>
      </c>
      <c r="V619" s="112">
        <v>0.0</v>
      </c>
      <c r="W619" s="112">
        <v>1.0</v>
      </c>
      <c r="X619" s="112">
        <v>0.0</v>
      </c>
      <c r="Y619" s="112">
        <v>0.0</v>
      </c>
      <c r="Z619" s="112">
        <v>0.0</v>
      </c>
      <c r="AA619" s="112">
        <v>0.0</v>
      </c>
      <c r="AB619" s="112">
        <v>1.0</v>
      </c>
      <c r="AC619" s="112">
        <v>0.0</v>
      </c>
      <c r="AD619" s="112">
        <v>1.0</v>
      </c>
      <c r="AE619" s="112">
        <v>0.0</v>
      </c>
      <c r="AF619" s="112">
        <v>0.0</v>
      </c>
      <c r="AG619" s="112">
        <v>1.0</v>
      </c>
      <c r="AH619" s="112">
        <v>0.0</v>
      </c>
      <c r="AI619" s="112">
        <v>1.0</v>
      </c>
      <c r="AJ619" s="112">
        <v>1.0</v>
      </c>
      <c r="AK619" s="112">
        <v>1.0</v>
      </c>
      <c r="AL619" s="112">
        <v>0.0</v>
      </c>
      <c r="AM619" s="112">
        <v>1.0</v>
      </c>
      <c r="AN619" s="112">
        <v>21.0</v>
      </c>
    </row>
    <row r="620">
      <c r="A620" s="107" t="s">
        <v>207</v>
      </c>
      <c r="B620" s="111" t="s">
        <v>198</v>
      </c>
      <c r="C620" s="109">
        <v>9509.0</v>
      </c>
      <c r="D620" s="109">
        <v>2448.0</v>
      </c>
      <c r="E620" s="109">
        <v>7061.0</v>
      </c>
      <c r="F620" s="112">
        <v>56.0</v>
      </c>
      <c r="G620" s="112">
        <v>49.0</v>
      </c>
      <c r="H620" s="112">
        <v>36.0</v>
      </c>
      <c r="I620" s="112">
        <v>50.0</v>
      </c>
      <c r="J620" s="112">
        <v>68.0</v>
      </c>
      <c r="K620" s="112">
        <v>66.0</v>
      </c>
      <c r="L620" s="112">
        <v>56.0</v>
      </c>
      <c r="M620" s="112">
        <v>141.0</v>
      </c>
      <c r="N620" s="112">
        <v>50.0</v>
      </c>
      <c r="O620" s="112">
        <v>166.0</v>
      </c>
      <c r="P620" s="112">
        <v>56.0</v>
      </c>
      <c r="Q620" s="112">
        <v>282.0</v>
      </c>
      <c r="R620" s="112">
        <v>59.0</v>
      </c>
      <c r="S620" s="112">
        <v>229.0</v>
      </c>
      <c r="T620" s="112">
        <v>89.0</v>
      </c>
      <c r="U620" s="112">
        <v>273.0</v>
      </c>
      <c r="V620" s="112">
        <v>127.0</v>
      </c>
      <c r="W620" s="112">
        <v>434.0</v>
      </c>
      <c r="X620" s="112">
        <v>205.0</v>
      </c>
      <c r="Y620" s="112">
        <v>617.0</v>
      </c>
      <c r="Z620" s="112">
        <v>215.0</v>
      </c>
      <c r="AA620" s="112">
        <v>912.0</v>
      </c>
      <c r="AB620" s="112">
        <v>212.0</v>
      </c>
      <c r="AC620" s="112">
        <v>926.0</v>
      </c>
      <c r="AD620" s="112">
        <v>275.0</v>
      </c>
      <c r="AE620" s="112">
        <v>769.0</v>
      </c>
      <c r="AF620" s="112">
        <v>262.0</v>
      </c>
      <c r="AG620" s="112">
        <v>710.0</v>
      </c>
      <c r="AH620" s="112">
        <v>285.0</v>
      </c>
      <c r="AI620" s="112">
        <v>604.0</v>
      </c>
      <c r="AJ620" s="112">
        <v>186.0</v>
      </c>
      <c r="AK620" s="112">
        <v>402.0</v>
      </c>
      <c r="AL620" s="112">
        <v>211.0</v>
      </c>
      <c r="AM620" s="112">
        <v>431.0</v>
      </c>
      <c r="AN620" s="109">
        <v>9501.0</v>
      </c>
    </row>
    <row r="621">
      <c r="A621" s="98"/>
      <c r="B621" s="111" t="s">
        <v>199</v>
      </c>
      <c r="C621" s="109">
        <v>1043.0</v>
      </c>
      <c r="D621" s="112">
        <v>294.0</v>
      </c>
      <c r="E621" s="112">
        <v>749.0</v>
      </c>
      <c r="F621" s="112">
        <v>4.0</v>
      </c>
      <c r="G621" s="112">
        <v>2.0</v>
      </c>
      <c r="H621" s="112">
        <v>4.0</v>
      </c>
      <c r="I621" s="112">
        <v>4.0</v>
      </c>
      <c r="J621" s="112">
        <v>2.0</v>
      </c>
      <c r="K621" s="112">
        <v>1.0</v>
      </c>
      <c r="L621" s="112">
        <v>1.0</v>
      </c>
      <c r="M621" s="112">
        <v>2.0</v>
      </c>
      <c r="N621" s="112">
        <v>3.0</v>
      </c>
      <c r="O621" s="112">
        <v>5.0</v>
      </c>
      <c r="P621" s="112">
        <v>3.0</v>
      </c>
      <c r="Q621" s="112">
        <v>9.0</v>
      </c>
      <c r="R621" s="112">
        <v>6.0</v>
      </c>
      <c r="S621" s="112">
        <v>14.0</v>
      </c>
      <c r="T621" s="112">
        <v>5.0</v>
      </c>
      <c r="U621" s="112">
        <v>6.0</v>
      </c>
      <c r="V621" s="112">
        <v>5.0</v>
      </c>
      <c r="W621" s="112">
        <v>15.0</v>
      </c>
      <c r="X621" s="112">
        <v>10.0</v>
      </c>
      <c r="Y621" s="112">
        <v>20.0</v>
      </c>
      <c r="Z621" s="112">
        <v>24.0</v>
      </c>
      <c r="AA621" s="112">
        <v>46.0</v>
      </c>
      <c r="AB621" s="112">
        <v>15.0</v>
      </c>
      <c r="AC621" s="112">
        <v>63.0</v>
      </c>
      <c r="AD621" s="112">
        <v>34.0</v>
      </c>
      <c r="AE621" s="112">
        <v>76.0</v>
      </c>
      <c r="AF621" s="112">
        <v>33.0</v>
      </c>
      <c r="AG621" s="112">
        <v>121.0</v>
      </c>
      <c r="AH621" s="112">
        <v>43.0</v>
      </c>
      <c r="AI621" s="112">
        <v>137.0</v>
      </c>
      <c r="AJ621" s="112">
        <v>54.0</v>
      </c>
      <c r="AK621" s="112">
        <v>97.0</v>
      </c>
      <c r="AL621" s="112">
        <v>48.0</v>
      </c>
      <c r="AM621" s="112">
        <v>131.0</v>
      </c>
      <c r="AN621" s="109">
        <v>1043.0</v>
      </c>
    </row>
    <row r="622">
      <c r="A622" s="98"/>
      <c r="B622" s="111" t="s">
        <v>206</v>
      </c>
      <c r="C622" s="112">
        <v>259.0</v>
      </c>
      <c r="D622" s="112">
        <v>102.0</v>
      </c>
      <c r="E622" s="112">
        <v>157.0</v>
      </c>
      <c r="F622" s="112">
        <v>50.0</v>
      </c>
      <c r="G622" s="112">
        <v>4.0</v>
      </c>
      <c r="H622" s="112">
        <v>26.0</v>
      </c>
      <c r="I622" s="112">
        <v>14.0</v>
      </c>
      <c r="J622" s="112">
        <v>1.0</v>
      </c>
      <c r="K622" s="112">
        <v>5.0</v>
      </c>
      <c r="L622" s="112">
        <v>2.0</v>
      </c>
      <c r="M622" s="112">
        <v>34.0</v>
      </c>
      <c r="N622" s="112">
        <v>0.0</v>
      </c>
      <c r="O622" s="112">
        <v>15.0</v>
      </c>
      <c r="P622" s="112">
        <v>1.0</v>
      </c>
      <c r="Q622" s="112">
        <v>5.0</v>
      </c>
      <c r="R622" s="112">
        <v>1.0</v>
      </c>
      <c r="S622" s="112">
        <v>11.0</v>
      </c>
      <c r="T622" s="112">
        <v>1.0</v>
      </c>
      <c r="U622" s="112">
        <v>7.0</v>
      </c>
      <c r="V622" s="112">
        <v>1.0</v>
      </c>
      <c r="W622" s="112">
        <v>8.0</v>
      </c>
      <c r="X622" s="112">
        <v>1.0</v>
      </c>
      <c r="Y622" s="112">
        <v>9.0</v>
      </c>
      <c r="Z622" s="112">
        <v>4.0</v>
      </c>
      <c r="AA622" s="112">
        <v>10.0</v>
      </c>
      <c r="AB622" s="112">
        <v>3.0</v>
      </c>
      <c r="AC622" s="112">
        <v>5.0</v>
      </c>
      <c r="AD622" s="112">
        <v>4.0</v>
      </c>
      <c r="AE622" s="112">
        <v>6.0</v>
      </c>
      <c r="AF622" s="112">
        <v>5.0</v>
      </c>
      <c r="AG622" s="112">
        <v>12.0</v>
      </c>
      <c r="AH622" s="112">
        <v>1.0</v>
      </c>
      <c r="AI622" s="112">
        <v>2.0</v>
      </c>
      <c r="AJ622" s="112">
        <v>0.0</v>
      </c>
      <c r="AK622" s="112">
        <v>5.0</v>
      </c>
      <c r="AL622" s="112">
        <v>1.0</v>
      </c>
      <c r="AM622" s="112">
        <v>5.0</v>
      </c>
      <c r="AN622" s="112">
        <v>259.0</v>
      </c>
    </row>
    <row r="623">
      <c r="A623" s="98"/>
      <c r="B623" s="111" t="s">
        <v>200</v>
      </c>
      <c r="C623" s="109">
        <v>9847.0</v>
      </c>
      <c r="D623" s="109">
        <v>3882.0</v>
      </c>
      <c r="E623" s="109">
        <v>5965.0</v>
      </c>
      <c r="F623" s="109">
        <v>2410.0</v>
      </c>
      <c r="G623" s="109">
        <v>2159.0</v>
      </c>
      <c r="H623" s="112">
        <v>654.0</v>
      </c>
      <c r="I623" s="112">
        <v>743.0</v>
      </c>
      <c r="J623" s="112">
        <v>304.0</v>
      </c>
      <c r="K623" s="112">
        <v>265.0</v>
      </c>
      <c r="L623" s="112">
        <v>60.0</v>
      </c>
      <c r="M623" s="112">
        <v>328.0</v>
      </c>
      <c r="N623" s="112">
        <v>36.0</v>
      </c>
      <c r="O623" s="112">
        <v>369.0</v>
      </c>
      <c r="P623" s="112">
        <v>23.0</v>
      </c>
      <c r="Q623" s="112">
        <v>414.0</v>
      </c>
      <c r="R623" s="112">
        <v>23.0</v>
      </c>
      <c r="S623" s="112">
        <v>295.0</v>
      </c>
      <c r="T623" s="112">
        <v>30.0</v>
      </c>
      <c r="U623" s="112">
        <v>270.0</v>
      </c>
      <c r="V623" s="112">
        <v>26.0</v>
      </c>
      <c r="W623" s="112">
        <v>201.0</v>
      </c>
      <c r="X623" s="112">
        <v>27.0</v>
      </c>
      <c r="Y623" s="112">
        <v>197.0</v>
      </c>
      <c r="Z623" s="112">
        <v>49.0</v>
      </c>
      <c r="AA623" s="112">
        <v>181.0</v>
      </c>
      <c r="AB623" s="112">
        <v>27.0</v>
      </c>
      <c r="AC623" s="112">
        <v>143.0</v>
      </c>
      <c r="AD623" s="112">
        <v>45.0</v>
      </c>
      <c r="AE623" s="112">
        <v>111.0</v>
      </c>
      <c r="AF623" s="112">
        <v>51.0</v>
      </c>
      <c r="AG623" s="112">
        <v>111.0</v>
      </c>
      <c r="AH623" s="112">
        <v>43.0</v>
      </c>
      <c r="AI623" s="112">
        <v>80.0</v>
      </c>
      <c r="AJ623" s="112">
        <v>34.0</v>
      </c>
      <c r="AK623" s="112">
        <v>51.0</v>
      </c>
      <c r="AL623" s="112">
        <v>40.0</v>
      </c>
      <c r="AM623" s="112">
        <v>47.0</v>
      </c>
      <c r="AN623" s="109">
        <v>9795.0</v>
      </c>
    </row>
    <row r="624">
      <c r="A624" s="104"/>
      <c r="B624" s="111" t="s">
        <v>201</v>
      </c>
      <c r="C624" s="112">
        <v>158.0</v>
      </c>
      <c r="D624" s="112">
        <v>86.0</v>
      </c>
      <c r="E624" s="112">
        <v>72.0</v>
      </c>
      <c r="F624" s="112">
        <v>1.0</v>
      </c>
      <c r="G624" s="112">
        <v>0.0</v>
      </c>
      <c r="H624" s="112">
        <v>2.0</v>
      </c>
      <c r="I624" s="112">
        <v>3.0</v>
      </c>
      <c r="J624" s="112">
        <v>0.0</v>
      </c>
      <c r="K624" s="112">
        <v>0.0</v>
      </c>
      <c r="L624" s="112">
        <v>2.0</v>
      </c>
      <c r="M624" s="112">
        <v>1.0</v>
      </c>
      <c r="N624" s="112">
        <v>1.0</v>
      </c>
      <c r="O624" s="112">
        <v>0.0</v>
      </c>
      <c r="P624" s="112">
        <v>2.0</v>
      </c>
      <c r="Q624" s="112">
        <v>2.0</v>
      </c>
      <c r="R624" s="112">
        <v>1.0</v>
      </c>
      <c r="S624" s="112">
        <v>4.0</v>
      </c>
      <c r="T624" s="112">
        <v>6.0</v>
      </c>
      <c r="U624" s="112">
        <v>4.0</v>
      </c>
      <c r="V624" s="112">
        <v>0.0</v>
      </c>
      <c r="W624" s="112">
        <v>3.0</v>
      </c>
      <c r="X624" s="112">
        <v>4.0</v>
      </c>
      <c r="Y624" s="112">
        <v>3.0</v>
      </c>
      <c r="Z624" s="112">
        <v>5.0</v>
      </c>
      <c r="AA624" s="112">
        <v>2.0</v>
      </c>
      <c r="AB624" s="112">
        <v>5.0</v>
      </c>
      <c r="AC624" s="112">
        <v>11.0</v>
      </c>
      <c r="AD624" s="112">
        <v>5.0</v>
      </c>
      <c r="AE624" s="112">
        <v>1.0</v>
      </c>
      <c r="AF624" s="112">
        <v>4.0</v>
      </c>
      <c r="AG624" s="112">
        <v>2.0</v>
      </c>
      <c r="AH624" s="112">
        <v>0.0</v>
      </c>
      <c r="AI624" s="112">
        <v>8.0</v>
      </c>
      <c r="AJ624" s="112">
        <v>4.0</v>
      </c>
      <c r="AK624" s="112">
        <v>9.0</v>
      </c>
      <c r="AL624" s="112">
        <v>44.0</v>
      </c>
      <c r="AM624" s="112">
        <v>19.0</v>
      </c>
      <c r="AN624" s="112">
        <v>158.0</v>
      </c>
    </row>
    <row r="625">
      <c r="A625" s="107" t="s">
        <v>208</v>
      </c>
      <c r="B625" s="111" t="s">
        <v>198</v>
      </c>
      <c r="C625" s="112">
        <v>6.0</v>
      </c>
      <c r="D625" s="112">
        <v>3.0</v>
      </c>
      <c r="E625" s="112">
        <v>3.0</v>
      </c>
      <c r="F625" s="112">
        <v>2.0</v>
      </c>
      <c r="G625" s="112">
        <v>2.0</v>
      </c>
      <c r="H625" s="112">
        <v>1.0</v>
      </c>
      <c r="I625" s="112">
        <v>0.0</v>
      </c>
      <c r="J625" s="112">
        <v>0.0</v>
      </c>
      <c r="K625" s="112">
        <v>1.0</v>
      </c>
      <c r="L625" s="112">
        <v>0.0</v>
      </c>
      <c r="M625" s="112">
        <v>0.0</v>
      </c>
      <c r="N625" s="112">
        <v>0.0</v>
      </c>
      <c r="O625" s="112">
        <v>0.0</v>
      </c>
      <c r="P625" s="110">
        <v>0.0</v>
      </c>
      <c r="Q625" s="110">
        <v>0.0</v>
      </c>
      <c r="R625" s="110">
        <v>0.0</v>
      </c>
      <c r="S625" s="110">
        <v>0.0</v>
      </c>
      <c r="T625" s="110">
        <v>0.0</v>
      </c>
      <c r="U625" s="110">
        <v>0.0</v>
      </c>
      <c r="V625" s="110">
        <v>0.0</v>
      </c>
      <c r="W625" s="110">
        <v>0.0</v>
      </c>
      <c r="X625" s="110">
        <v>0.0</v>
      </c>
      <c r="Y625" s="110">
        <v>0.0</v>
      </c>
      <c r="Z625" s="110">
        <v>0.0</v>
      </c>
      <c r="AA625" s="110">
        <v>0.0</v>
      </c>
      <c r="AB625" s="110">
        <v>0.0</v>
      </c>
      <c r="AC625" s="110">
        <v>0.0</v>
      </c>
      <c r="AD625" s="110">
        <v>0.0</v>
      </c>
      <c r="AE625" s="110">
        <v>0.0</v>
      </c>
      <c r="AF625" s="110">
        <v>0.0</v>
      </c>
      <c r="AG625" s="110">
        <v>0.0</v>
      </c>
      <c r="AH625" s="110">
        <v>0.0</v>
      </c>
      <c r="AI625" s="110">
        <v>0.0</v>
      </c>
      <c r="AJ625" s="110">
        <v>0.0</v>
      </c>
      <c r="AK625" s="110">
        <v>0.0</v>
      </c>
      <c r="AL625" s="110">
        <v>0.0</v>
      </c>
      <c r="AM625" s="110">
        <v>0.0</v>
      </c>
      <c r="AN625" s="112">
        <v>6.0</v>
      </c>
    </row>
    <row r="626">
      <c r="A626" s="98"/>
      <c r="B626" s="111" t="s">
        <v>199</v>
      </c>
      <c r="C626" s="112">
        <v>42.0</v>
      </c>
      <c r="D626" s="112">
        <v>27.0</v>
      </c>
      <c r="E626" s="112">
        <v>15.0</v>
      </c>
      <c r="F626" s="112">
        <v>22.0</v>
      </c>
      <c r="G626" s="112">
        <v>12.0</v>
      </c>
      <c r="H626" s="112">
        <v>5.0</v>
      </c>
      <c r="I626" s="112">
        <v>3.0</v>
      </c>
      <c r="J626" s="112">
        <v>0.0</v>
      </c>
      <c r="K626" s="112">
        <v>0.0</v>
      </c>
      <c r="L626" s="112">
        <v>0.0</v>
      </c>
      <c r="M626" s="112">
        <v>0.0</v>
      </c>
      <c r="N626" s="112">
        <v>0.0</v>
      </c>
      <c r="O626" s="112">
        <v>0.0</v>
      </c>
      <c r="P626" s="110">
        <v>0.0</v>
      </c>
      <c r="Q626" s="110">
        <v>0.0</v>
      </c>
      <c r="R626" s="110">
        <v>0.0</v>
      </c>
      <c r="S626" s="110">
        <v>0.0</v>
      </c>
      <c r="T626" s="110">
        <v>0.0</v>
      </c>
      <c r="U626" s="110">
        <v>0.0</v>
      </c>
      <c r="V626" s="110">
        <v>0.0</v>
      </c>
      <c r="W626" s="110">
        <v>0.0</v>
      </c>
      <c r="X626" s="110">
        <v>0.0</v>
      </c>
      <c r="Y626" s="110">
        <v>0.0</v>
      </c>
      <c r="Z626" s="110">
        <v>0.0</v>
      </c>
      <c r="AA626" s="110">
        <v>0.0</v>
      </c>
      <c r="AB626" s="110">
        <v>0.0</v>
      </c>
      <c r="AC626" s="110">
        <v>0.0</v>
      </c>
      <c r="AD626" s="110">
        <v>0.0</v>
      </c>
      <c r="AE626" s="110">
        <v>0.0</v>
      </c>
      <c r="AF626" s="110">
        <v>0.0</v>
      </c>
      <c r="AG626" s="110">
        <v>0.0</v>
      </c>
      <c r="AH626" s="110">
        <v>0.0</v>
      </c>
      <c r="AI626" s="110">
        <v>0.0</v>
      </c>
      <c r="AJ626" s="110">
        <v>0.0</v>
      </c>
      <c r="AK626" s="110">
        <v>0.0</v>
      </c>
      <c r="AL626" s="110">
        <v>0.0</v>
      </c>
      <c r="AM626" s="110">
        <v>0.0</v>
      </c>
      <c r="AN626" s="112">
        <v>43.0</v>
      </c>
    </row>
    <row r="627">
      <c r="A627" s="98"/>
      <c r="B627" s="111" t="s">
        <v>206</v>
      </c>
      <c r="C627" s="112">
        <v>1.0</v>
      </c>
      <c r="D627" s="112">
        <v>0.0</v>
      </c>
      <c r="E627" s="112">
        <v>1.0</v>
      </c>
      <c r="F627" s="112">
        <v>0.0</v>
      </c>
      <c r="G627" s="112">
        <v>1.0</v>
      </c>
      <c r="H627" s="112">
        <v>0.0</v>
      </c>
      <c r="I627" s="112">
        <v>0.0</v>
      </c>
      <c r="J627" s="112">
        <v>0.0</v>
      </c>
      <c r="K627" s="112">
        <v>0.0</v>
      </c>
      <c r="L627" s="112">
        <v>0.0</v>
      </c>
      <c r="M627" s="112">
        <v>0.0</v>
      </c>
      <c r="N627" s="112">
        <v>0.0</v>
      </c>
      <c r="O627" s="112">
        <v>0.0</v>
      </c>
      <c r="P627" s="110">
        <v>0.0</v>
      </c>
      <c r="Q627" s="110">
        <v>0.0</v>
      </c>
      <c r="R627" s="110">
        <v>0.0</v>
      </c>
      <c r="S627" s="110">
        <v>0.0</v>
      </c>
      <c r="T627" s="110">
        <v>0.0</v>
      </c>
      <c r="U627" s="110">
        <v>0.0</v>
      </c>
      <c r="V627" s="110">
        <v>0.0</v>
      </c>
      <c r="W627" s="110">
        <v>0.0</v>
      </c>
      <c r="X627" s="110">
        <v>0.0</v>
      </c>
      <c r="Y627" s="110">
        <v>0.0</v>
      </c>
      <c r="Z627" s="110">
        <v>0.0</v>
      </c>
      <c r="AA627" s="110">
        <v>0.0</v>
      </c>
      <c r="AB627" s="110">
        <v>0.0</v>
      </c>
      <c r="AC627" s="110">
        <v>0.0</v>
      </c>
      <c r="AD627" s="110">
        <v>0.0</v>
      </c>
      <c r="AE627" s="110">
        <v>0.0</v>
      </c>
      <c r="AF627" s="110">
        <v>0.0</v>
      </c>
      <c r="AG627" s="110">
        <v>0.0</v>
      </c>
      <c r="AH627" s="110">
        <v>0.0</v>
      </c>
      <c r="AI627" s="110">
        <v>0.0</v>
      </c>
      <c r="AJ627" s="110">
        <v>0.0</v>
      </c>
      <c r="AK627" s="110">
        <v>0.0</v>
      </c>
      <c r="AL627" s="110">
        <v>0.0</v>
      </c>
      <c r="AM627" s="110">
        <v>0.0</v>
      </c>
      <c r="AN627" s="112">
        <v>1.0</v>
      </c>
    </row>
    <row r="628">
      <c r="A628" s="98"/>
      <c r="B628" s="111" t="s">
        <v>200</v>
      </c>
      <c r="C628" s="112">
        <v>26.0</v>
      </c>
      <c r="D628" s="112">
        <v>13.0</v>
      </c>
      <c r="E628" s="112">
        <v>13.0</v>
      </c>
      <c r="F628" s="112">
        <v>8.0</v>
      </c>
      <c r="G628" s="112">
        <v>7.0</v>
      </c>
      <c r="H628" s="112">
        <v>4.0</v>
      </c>
      <c r="I628" s="112">
        <v>1.0</v>
      </c>
      <c r="J628" s="112">
        <v>0.0</v>
      </c>
      <c r="K628" s="112">
        <v>1.0</v>
      </c>
      <c r="L628" s="112">
        <v>1.0</v>
      </c>
      <c r="M628" s="112">
        <v>4.0</v>
      </c>
      <c r="N628" s="112">
        <v>0.0</v>
      </c>
      <c r="O628" s="112">
        <v>0.0</v>
      </c>
      <c r="P628" s="110">
        <v>0.0</v>
      </c>
      <c r="Q628" s="110">
        <v>0.0</v>
      </c>
      <c r="R628" s="110">
        <v>0.0</v>
      </c>
      <c r="S628" s="110">
        <v>0.0</v>
      </c>
      <c r="T628" s="110">
        <v>0.0</v>
      </c>
      <c r="U628" s="110">
        <v>0.0</v>
      </c>
      <c r="V628" s="110">
        <v>0.0</v>
      </c>
      <c r="W628" s="110">
        <v>0.0</v>
      </c>
      <c r="X628" s="110">
        <v>0.0</v>
      </c>
      <c r="Y628" s="110">
        <v>0.0</v>
      </c>
      <c r="Z628" s="110">
        <v>0.0</v>
      </c>
      <c r="AA628" s="110">
        <v>0.0</v>
      </c>
      <c r="AB628" s="110">
        <v>0.0</v>
      </c>
      <c r="AC628" s="110">
        <v>0.0</v>
      </c>
      <c r="AD628" s="110">
        <v>0.0</v>
      </c>
      <c r="AE628" s="110">
        <v>0.0</v>
      </c>
      <c r="AF628" s="110">
        <v>0.0</v>
      </c>
      <c r="AG628" s="110">
        <v>0.0</v>
      </c>
      <c r="AH628" s="110">
        <v>0.0</v>
      </c>
      <c r="AI628" s="110">
        <v>0.0</v>
      </c>
      <c r="AJ628" s="110">
        <v>0.0</v>
      </c>
      <c r="AK628" s="110">
        <v>0.0</v>
      </c>
      <c r="AL628" s="110">
        <v>0.0</v>
      </c>
      <c r="AM628" s="110">
        <v>0.0</v>
      </c>
      <c r="AN628" s="112">
        <v>33.0</v>
      </c>
    </row>
    <row r="629">
      <c r="A629" s="104"/>
      <c r="B629" s="111" t="s">
        <v>201</v>
      </c>
      <c r="C629" s="112">
        <v>0.0</v>
      </c>
      <c r="D629" s="112">
        <v>0.0</v>
      </c>
      <c r="E629" s="112">
        <v>0.0</v>
      </c>
      <c r="F629" s="112">
        <v>0.0</v>
      </c>
      <c r="G629" s="112">
        <v>0.0</v>
      </c>
      <c r="H629" s="112">
        <v>0.0</v>
      </c>
      <c r="I629" s="112">
        <v>0.0</v>
      </c>
      <c r="J629" s="112">
        <v>0.0</v>
      </c>
      <c r="K629" s="112">
        <v>0.0</v>
      </c>
      <c r="L629" s="112">
        <v>0.0</v>
      </c>
      <c r="M629" s="112">
        <v>0.0</v>
      </c>
      <c r="N629" s="112">
        <v>0.0</v>
      </c>
      <c r="O629" s="112">
        <v>0.0</v>
      </c>
      <c r="P629" s="110">
        <v>0.0</v>
      </c>
      <c r="Q629" s="110">
        <v>0.0</v>
      </c>
      <c r="R629" s="110">
        <v>0.0</v>
      </c>
      <c r="S629" s="110">
        <v>0.0</v>
      </c>
      <c r="T629" s="110">
        <v>0.0</v>
      </c>
      <c r="U629" s="110">
        <v>0.0</v>
      </c>
      <c r="V629" s="110">
        <v>0.0</v>
      </c>
      <c r="W629" s="110">
        <v>0.0</v>
      </c>
      <c r="X629" s="110">
        <v>0.0</v>
      </c>
      <c r="Y629" s="110">
        <v>0.0</v>
      </c>
      <c r="Z629" s="110">
        <v>0.0</v>
      </c>
      <c r="AA629" s="110">
        <v>0.0</v>
      </c>
      <c r="AB629" s="110">
        <v>0.0</v>
      </c>
      <c r="AC629" s="110">
        <v>0.0</v>
      </c>
      <c r="AD629" s="110">
        <v>0.0</v>
      </c>
      <c r="AE629" s="110">
        <v>0.0</v>
      </c>
      <c r="AF629" s="110">
        <v>0.0</v>
      </c>
      <c r="AG629" s="110">
        <v>0.0</v>
      </c>
      <c r="AH629" s="110">
        <v>0.0</v>
      </c>
      <c r="AI629" s="110">
        <v>0.0</v>
      </c>
      <c r="AJ629" s="110">
        <v>0.0</v>
      </c>
      <c r="AK629" s="110">
        <v>0.0</v>
      </c>
      <c r="AL629" s="110">
        <v>0.0</v>
      </c>
      <c r="AM629" s="110">
        <v>0.0</v>
      </c>
      <c r="AN629" s="112">
        <v>0.0</v>
      </c>
    </row>
    <row r="630">
      <c r="A630" s="113" t="s">
        <v>234</v>
      </c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</row>
    <row r="631">
      <c r="A631" s="107" t="s">
        <v>197</v>
      </c>
      <c r="B631" s="108" t="s">
        <v>198</v>
      </c>
      <c r="C631" s="109">
        <v>66604.0</v>
      </c>
      <c r="D631" s="109">
        <v>24310.0</v>
      </c>
      <c r="E631" s="109">
        <v>42294.0</v>
      </c>
      <c r="F631" s="110">
        <v>0.0</v>
      </c>
      <c r="G631" s="110">
        <v>0.0</v>
      </c>
      <c r="H631" s="110">
        <v>0.0</v>
      </c>
      <c r="I631" s="110">
        <v>0.0</v>
      </c>
      <c r="J631" s="110">
        <v>0.0</v>
      </c>
      <c r="K631" s="110">
        <v>1.0</v>
      </c>
      <c r="L631" s="112">
        <v>41.0</v>
      </c>
      <c r="M631" s="112">
        <v>61.0</v>
      </c>
      <c r="N631" s="112">
        <v>58.0</v>
      </c>
      <c r="O631" s="112">
        <v>129.0</v>
      </c>
      <c r="P631" s="112">
        <v>101.0</v>
      </c>
      <c r="Q631" s="112">
        <v>254.0</v>
      </c>
      <c r="R631" s="112">
        <v>221.0</v>
      </c>
      <c r="S631" s="112">
        <v>538.0</v>
      </c>
      <c r="T631" s="112">
        <v>426.0</v>
      </c>
      <c r="U631" s="112">
        <v>972.0</v>
      </c>
      <c r="V631" s="112">
        <v>843.0</v>
      </c>
      <c r="W631" s="109">
        <v>1622.0</v>
      </c>
      <c r="X631" s="109">
        <v>1550.0</v>
      </c>
      <c r="Y631" s="109">
        <v>3278.0</v>
      </c>
      <c r="Z631" s="109">
        <v>2486.0</v>
      </c>
      <c r="AA631" s="109">
        <v>5035.0</v>
      </c>
      <c r="AB631" s="109">
        <v>3046.0</v>
      </c>
      <c r="AC631" s="109">
        <v>5564.0</v>
      </c>
      <c r="AD631" s="109">
        <v>3463.0</v>
      </c>
      <c r="AE631" s="109">
        <v>5824.0</v>
      </c>
      <c r="AF631" s="109">
        <v>3469.0</v>
      </c>
      <c r="AG631" s="109">
        <v>5425.0</v>
      </c>
      <c r="AH631" s="109">
        <v>3298.0</v>
      </c>
      <c r="AI631" s="109">
        <v>5103.0</v>
      </c>
      <c r="AJ631" s="109">
        <v>2628.0</v>
      </c>
      <c r="AK631" s="109">
        <v>4152.0</v>
      </c>
      <c r="AL631" s="109">
        <v>2683.0</v>
      </c>
      <c r="AM631" s="109">
        <v>4332.0</v>
      </c>
      <c r="AN631" s="109">
        <v>65449.0</v>
      </c>
    </row>
    <row r="632">
      <c r="A632" s="98"/>
      <c r="B632" s="111" t="s">
        <v>199</v>
      </c>
      <c r="C632" s="109">
        <v>32265.0</v>
      </c>
      <c r="D632" s="109">
        <v>11722.0</v>
      </c>
      <c r="E632" s="109">
        <v>20543.0</v>
      </c>
      <c r="F632" s="110">
        <v>0.0</v>
      </c>
      <c r="G632" s="110">
        <v>0.0</v>
      </c>
      <c r="H632" s="110">
        <v>0.0</v>
      </c>
      <c r="I632" s="110">
        <v>0.0</v>
      </c>
      <c r="J632" s="110">
        <v>0.0</v>
      </c>
      <c r="K632" s="110">
        <v>0.0</v>
      </c>
      <c r="L632" s="112">
        <v>6.0</v>
      </c>
      <c r="M632" s="112">
        <v>9.0</v>
      </c>
      <c r="N632" s="112">
        <v>16.0</v>
      </c>
      <c r="O632" s="112">
        <v>39.0</v>
      </c>
      <c r="P632" s="112">
        <v>28.0</v>
      </c>
      <c r="Q632" s="112">
        <v>69.0</v>
      </c>
      <c r="R632" s="112">
        <v>86.0</v>
      </c>
      <c r="S632" s="112">
        <v>175.0</v>
      </c>
      <c r="T632" s="112">
        <v>150.0</v>
      </c>
      <c r="U632" s="112">
        <v>344.0</v>
      </c>
      <c r="V632" s="112">
        <v>326.0</v>
      </c>
      <c r="W632" s="112">
        <v>661.0</v>
      </c>
      <c r="X632" s="112">
        <v>592.0</v>
      </c>
      <c r="Y632" s="109">
        <v>1374.0</v>
      </c>
      <c r="Z632" s="109">
        <v>1027.0</v>
      </c>
      <c r="AA632" s="109">
        <v>2205.0</v>
      </c>
      <c r="AB632" s="109">
        <v>1327.0</v>
      </c>
      <c r="AC632" s="109">
        <v>2748.0</v>
      </c>
      <c r="AD632" s="109">
        <v>1570.0</v>
      </c>
      <c r="AE632" s="109">
        <v>2871.0</v>
      </c>
      <c r="AF632" s="109">
        <v>1873.0</v>
      </c>
      <c r="AG632" s="109">
        <v>3034.0</v>
      </c>
      <c r="AH632" s="109">
        <v>1836.0</v>
      </c>
      <c r="AI632" s="109">
        <v>2628.0</v>
      </c>
      <c r="AJ632" s="109">
        <v>1391.0</v>
      </c>
      <c r="AK632" s="109">
        <v>2077.0</v>
      </c>
      <c r="AL632" s="109">
        <v>1507.0</v>
      </c>
      <c r="AM632" s="109">
        <v>2329.0</v>
      </c>
      <c r="AN632" s="109">
        <v>31393.0</v>
      </c>
    </row>
    <row r="633">
      <c r="A633" s="98"/>
      <c r="B633" s="111" t="s">
        <v>200</v>
      </c>
      <c r="C633" s="109">
        <v>26227.0</v>
      </c>
      <c r="D633" s="109">
        <v>8699.0</v>
      </c>
      <c r="E633" s="109">
        <v>17531.0</v>
      </c>
      <c r="F633" s="110">
        <v>0.0</v>
      </c>
      <c r="G633" s="110">
        <v>0.0</v>
      </c>
      <c r="H633" s="110">
        <v>0.0</v>
      </c>
      <c r="I633" s="110">
        <v>0.0</v>
      </c>
      <c r="J633" s="110">
        <v>0.0</v>
      </c>
      <c r="K633" s="110">
        <v>0.0</v>
      </c>
      <c r="L633" s="112">
        <v>23.0</v>
      </c>
      <c r="M633" s="112">
        <v>67.0</v>
      </c>
      <c r="N633" s="112">
        <v>41.0</v>
      </c>
      <c r="O633" s="112">
        <v>116.0</v>
      </c>
      <c r="P633" s="112">
        <v>55.0</v>
      </c>
      <c r="Q633" s="112">
        <v>200.0</v>
      </c>
      <c r="R633" s="112">
        <v>88.0</v>
      </c>
      <c r="S633" s="112">
        <v>287.0</v>
      </c>
      <c r="T633" s="112">
        <v>162.0</v>
      </c>
      <c r="U633" s="112">
        <v>492.0</v>
      </c>
      <c r="V633" s="112">
        <v>316.0</v>
      </c>
      <c r="W633" s="112">
        <v>827.0</v>
      </c>
      <c r="X633" s="112">
        <v>565.0</v>
      </c>
      <c r="Y633" s="109">
        <v>1525.0</v>
      </c>
      <c r="Z633" s="112">
        <v>885.0</v>
      </c>
      <c r="AA633" s="109">
        <v>2180.0</v>
      </c>
      <c r="AB633" s="109">
        <v>1089.0</v>
      </c>
      <c r="AC633" s="109">
        <v>2355.0</v>
      </c>
      <c r="AD633" s="109">
        <v>1205.0</v>
      </c>
      <c r="AE633" s="109">
        <v>2339.0</v>
      </c>
      <c r="AF633" s="109">
        <v>1195.0</v>
      </c>
      <c r="AG633" s="109">
        <v>2276.0</v>
      </c>
      <c r="AH633" s="109">
        <v>1222.0</v>
      </c>
      <c r="AI633" s="109">
        <v>1973.0</v>
      </c>
      <c r="AJ633" s="112">
        <v>960.0</v>
      </c>
      <c r="AK633" s="109">
        <v>1553.0</v>
      </c>
      <c r="AL633" s="112">
        <v>893.0</v>
      </c>
      <c r="AM633" s="109">
        <v>1336.0</v>
      </c>
      <c r="AN633" s="109">
        <v>25922.0</v>
      </c>
    </row>
    <row r="634">
      <c r="A634" s="104"/>
      <c r="B634" s="111" t="s">
        <v>201</v>
      </c>
      <c r="C634" s="109">
        <v>4553.0</v>
      </c>
      <c r="D634" s="109">
        <v>1888.0</v>
      </c>
      <c r="E634" s="109">
        <v>2665.0</v>
      </c>
      <c r="F634" s="110">
        <v>0.0</v>
      </c>
      <c r="G634" s="110">
        <v>0.0</v>
      </c>
      <c r="H634" s="110">
        <v>0.0</v>
      </c>
      <c r="I634" s="110">
        <v>0.0</v>
      </c>
      <c r="J634" s="110">
        <v>0.0</v>
      </c>
      <c r="K634" s="110">
        <v>0.0</v>
      </c>
      <c r="L634" s="112">
        <v>1.0</v>
      </c>
      <c r="M634" s="112">
        <v>5.0</v>
      </c>
      <c r="N634" s="112">
        <v>2.0</v>
      </c>
      <c r="O634" s="112">
        <v>11.0</v>
      </c>
      <c r="P634" s="112">
        <v>13.0</v>
      </c>
      <c r="Q634" s="112">
        <v>7.0</v>
      </c>
      <c r="R634" s="112">
        <v>16.0</v>
      </c>
      <c r="S634" s="112">
        <v>25.0</v>
      </c>
      <c r="T634" s="112">
        <v>32.0</v>
      </c>
      <c r="U634" s="112">
        <v>42.0</v>
      </c>
      <c r="V634" s="112">
        <v>84.0</v>
      </c>
      <c r="W634" s="112">
        <v>123.0</v>
      </c>
      <c r="X634" s="112">
        <v>130.0</v>
      </c>
      <c r="Y634" s="112">
        <v>213.0</v>
      </c>
      <c r="Z634" s="112">
        <v>174.0</v>
      </c>
      <c r="AA634" s="112">
        <v>236.0</v>
      </c>
      <c r="AB634" s="112">
        <v>196.0</v>
      </c>
      <c r="AC634" s="112">
        <v>287.0</v>
      </c>
      <c r="AD634" s="112">
        <v>242.0</v>
      </c>
      <c r="AE634" s="112">
        <v>343.0</v>
      </c>
      <c r="AF634" s="112">
        <v>244.0</v>
      </c>
      <c r="AG634" s="112">
        <v>322.0</v>
      </c>
      <c r="AH634" s="112">
        <v>280.0</v>
      </c>
      <c r="AI634" s="112">
        <v>362.0</v>
      </c>
      <c r="AJ634" s="112">
        <v>156.0</v>
      </c>
      <c r="AK634" s="112">
        <v>313.0</v>
      </c>
      <c r="AL634" s="112">
        <v>318.0</v>
      </c>
      <c r="AM634" s="112">
        <v>376.0</v>
      </c>
      <c r="AN634" s="109">
        <v>4456.0</v>
      </c>
    </row>
    <row r="635">
      <c r="A635" s="107" t="s">
        <v>202</v>
      </c>
      <c r="B635" s="111" t="s">
        <v>198</v>
      </c>
      <c r="C635" s="112">
        <v>195.0</v>
      </c>
      <c r="D635" s="112">
        <v>107.0</v>
      </c>
      <c r="E635" s="112">
        <v>88.0</v>
      </c>
      <c r="F635" s="112">
        <v>1.0</v>
      </c>
      <c r="G635" s="112">
        <v>2.0</v>
      </c>
      <c r="H635" s="112">
        <v>1.0</v>
      </c>
      <c r="I635" s="112">
        <v>0.0</v>
      </c>
      <c r="J635" s="112">
        <v>5.0</v>
      </c>
      <c r="K635" s="112">
        <v>0.0</v>
      </c>
      <c r="L635" s="112">
        <v>4.0</v>
      </c>
      <c r="M635" s="112">
        <v>8.0</v>
      </c>
      <c r="N635" s="112">
        <v>8.0</v>
      </c>
      <c r="O635" s="112">
        <v>11.0</v>
      </c>
      <c r="P635" s="112">
        <v>10.0</v>
      </c>
      <c r="Q635" s="112">
        <v>0.0</v>
      </c>
      <c r="R635" s="112">
        <v>12.0</v>
      </c>
      <c r="S635" s="112">
        <v>18.0</v>
      </c>
      <c r="T635" s="112">
        <v>6.0</v>
      </c>
      <c r="U635" s="112">
        <v>1.0</v>
      </c>
      <c r="V635" s="112">
        <v>11.0</v>
      </c>
      <c r="W635" s="112">
        <v>11.0</v>
      </c>
      <c r="X635" s="112">
        <v>9.0</v>
      </c>
      <c r="Y635" s="112">
        <v>8.0</v>
      </c>
      <c r="Z635" s="112">
        <v>20.0</v>
      </c>
      <c r="AA635" s="112">
        <v>5.0</v>
      </c>
      <c r="AB635" s="112">
        <v>5.0</v>
      </c>
      <c r="AC635" s="112">
        <v>3.0</v>
      </c>
      <c r="AD635" s="112">
        <v>5.0</v>
      </c>
      <c r="AE635" s="112">
        <v>0.0</v>
      </c>
      <c r="AF635" s="112">
        <v>0.0</v>
      </c>
      <c r="AG635" s="112">
        <v>12.0</v>
      </c>
      <c r="AH635" s="112">
        <v>1.0</v>
      </c>
      <c r="AI635" s="112">
        <v>7.0</v>
      </c>
      <c r="AJ635" s="112">
        <v>5.0</v>
      </c>
      <c r="AK635" s="112">
        <v>1.0</v>
      </c>
      <c r="AL635" s="112">
        <v>4.0</v>
      </c>
      <c r="AM635" s="112">
        <v>1.0</v>
      </c>
      <c r="AN635" s="112">
        <v>187.0</v>
      </c>
    </row>
    <row r="636">
      <c r="A636" s="104"/>
      <c r="B636" s="111" t="s">
        <v>199</v>
      </c>
      <c r="C636" s="112">
        <v>246.0</v>
      </c>
      <c r="D636" s="112">
        <v>143.0</v>
      </c>
      <c r="E636" s="112">
        <v>103.0</v>
      </c>
      <c r="F636" s="112">
        <v>4.0</v>
      </c>
      <c r="G636" s="112">
        <v>0.0</v>
      </c>
      <c r="H636" s="112">
        <v>3.0</v>
      </c>
      <c r="I636" s="112">
        <v>0.0</v>
      </c>
      <c r="J636" s="112">
        <v>36.0</v>
      </c>
      <c r="K636" s="112">
        <v>0.0</v>
      </c>
      <c r="L636" s="112">
        <v>1.0</v>
      </c>
      <c r="M636" s="112">
        <v>7.0</v>
      </c>
      <c r="N636" s="112">
        <v>1.0</v>
      </c>
      <c r="O636" s="112">
        <v>38.0</v>
      </c>
      <c r="P636" s="112">
        <v>2.0</v>
      </c>
      <c r="Q636" s="112">
        <v>1.0</v>
      </c>
      <c r="R636" s="112">
        <v>13.0</v>
      </c>
      <c r="S636" s="112">
        <v>19.0</v>
      </c>
      <c r="T636" s="112">
        <v>3.0</v>
      </c>
      <c r="U636" s="112">
        <v>1.0</v>
      </c>
      <c r="V636" s="112">
        <v>8.0</v>
      </c>
      <c r="W636" s="112">
        <v>7.0</v>
      </c>
      <c r="X636" s="112">
        <v>5.0</v>
      </c>
      <c r="Y636" s="112">
        <v>5.0</v>
      </c>
      <c r="Z636" s="112">
        <v>4.0</v>
      </c>
      <c r="AA636" s="112">
        <v>2.0</v>
      </c>
      <c r="AB636" s="112">
        <v>5.0</v>
      </c>
      <c r="AC636" s="112">
        <v>4.0</v>
      </c>
      <c r="AD636" s="112">
        <v>40.0</v>
      </c>
      <c r="AE636" s="112">
        <v>0.0</v>
      </c>
      <c r="AF636" s="112">
        <v>1.0</v>
      </c>
      <c r="AG636" s="112">
        <v>8.0</v>
      </c>
      <c r="AH636" s="112">
        <v>3.0</v>
      </c>
      <c r="AI636" s="112">
        <v>8.0</v>
      </c>
      <c r="AJ636" s="112">
        <v>6.0</v>
      </c>
      <c r="AK636" s="112">
        <v>1.0</v>
      </c>
      <c r="AL636" s="112">
        <v>8.0</v>
      </c>
      <c r="AM636" s="112">
        <v>2.0</v>
      </c>
      <c r="AN636" s="112">
        <v>242.0</v>
      </c>
    </row>
    <row r="637">
      <c r="A637" s="107" t="s">
        <v>203</v>
      </c>
      <c r="B637" s="111" t="s">
        <v>198</v>
      </c>
      <c r="C637" s="112">
        <v>10.0</v>
      </c>
      <c r="D637" s="112">
        <v>5.0</v>
      </c>
      <c r="E637" s="112">
        <v>5.0</v>
      </c>
      <c r="F637" s="110">
        <v>0.0</v>
      </c>
      <c r="G637" s="110">
        <v>0.0</v>
      </c>
      <c r="H637" s="110">
        <v>0.0</v>
      </c>
      <c r="I637" s="110">
        <v>0.0</v>
      </c>
      <c r="J637" s="110">
        <v>0.0</v>
      </c>
      <c r="K637" s="110">
        <v>0.0</v>
      </c>
      <c r="L637" s="110">
        <v>0.0</v>
      </c>
      <c r="M637" s="110">
        <v>0.0</v>
      </c>
      <c r="N637" s="110">
        <v>0.0</v>
      </c>
      <c r="O637" s="110">
        <v>0.0</v>
      </c>
      <c r="P637" s="110">
        <v>0.0</v>
      </c>
      <c r="Q637" s="110">
        <v>0.0</v>
      </c>
      <c r="R637" s="110">
        <v>0.0</v>
      </c>
      <c r="S637" s="110">
        <v>0.0</v>
      </c>
      <c r="T637" s="110">
        <v>0.0</v>
      </c>
      <c r="U637" s="110">
        <v>0.0</v>
      </c>
      <c r="V637" s="110">
        <v>0.0</v>
      </c>
      <c r="W637" s="110">
        <v>0.0</v>
      </c>
      <c r="X637" s="110">
        <v>0.0</v>
      </c>
      <c r="Y637" s="110">
        <v>0.0</v>
      </c>
      <c r="Z637" s="110">
        <v>0.0</v>
      </c>
      <c r="AA637" s="110">
        <v>0.0</v>
      </c>
      <c r="AB637" s="110">
        <v>0.0</v>
      </c>
      <c r="AC637" s="110">
        <v>0.0</v>
      </c>
      <c r="AD637" s="110">
        <v>0.0</v>
      </c>
      <c r="AE637" s="110">
        <v>0.0</v>
      </c>
      <c r="AF637" s="112">
        <v>0.0</v>
      </c>
      <c r="AG637" s="112">
        <v>1.0</v>
      </c>
      <c r="AH637" s="112">
        <v>2.0</v>
      </c>
      <c r="AI637" s="112">
        <v>1.0</v>
      </c>
      <c r="AJ637" s="112">
        <v>0.0</v>
      </c>
      <c r="AK637" s="112">
        <v>1.0</v>
      </c>
      <c r="AL637" s="112">
        <v>3.0</v>
      </c>
      <c r="AM637" s="112">
        <v>2.0</v>
      </c>
      <c r="AN637" s="112">
        <v>8.0</v>
      </c>
    </row>
    <row r="638">
      <c r="A638" s="104"/>
      <c r="B638" s="111" t="s">
        <v>199</v>
      </c>
      <c r="C638" s="112">
        <v>403.0</v>
      </c>
      <c r="D638" s="112">
        <v>175.0</v>
      </c>
      <c r="E638" s="112">
        <v>228.0</v>
      </c>
      <c r="F638" s="110">
        <v>0.0</v>
      </c>
      <c r="G638" s="110">
        <v>0.0</v>
      </c>
      <c r="H638" s="110">
        <v>0.0</v>
      </c>
      <c r="I638" s="110">
        <v>0.0</v>
      </c>
      <c r="J638" s="110">
        <v>0.0</v>
      </c>
      <c r="K638" s="110">
        <v>0.0</v>
      </c>
      <c r="L638" s="110">
        <v>0.0</v>
      </c>
      <c r="M638" s="110">
        <v>0.0</v>
      </c>
      <c r="N638" s="110">
        <v>0.0</v>
      </c>
      <c r="O638" s="110">
        <v>0.0</v>
      </c>
      <c r="P638" s="110">
        <v>0.0</v>
      </c>
      <c r="Q638" s="110">
        <v>0.0</v>
      </c>
      <c r="R638" s="110">
        <v>0.0</v>
      </c>
      <c r="S638" s="110">
        <v>0.0</v>
      </c>
      <c r="T638" s="110">
        <v>0.0</v>
      </c>
      <c r="U638" s="110">
        <v>0.0</v>
      </c>
      <c r="V638" s="110">
        <v>0.0</v>
      </c>
      <c r="W638" s="110">
        <v>0.0</v>
      </c>
      <c r="X638" s="110">
        <v>0.0</v>
      </c>
      <c r="Y638" s="110">
        <v>0.0</v>
      </c>
      <c r="Z638" s="110">
        <v>0.0</v>
      </c>
      <c r="AA638" s="110">
        <v>0.0</v>
      </c>
      <c r="AB638" s="110">
        <v>0.0</v>
      </c>
      <c r="AC638" s="110">
        <v>0.0</v>
      </c>
      <c r="AD638" s="110">
        <v>0.0</v>
      </c>
      <c r="AE638" s="110">
        <v>0.0</v>
      </c>
      <c r="AF638" s="112">
        <v>54.0</v>
      </c>
      <c r="AG638" s="112">
        <v>74.0</v>
      </c>
      <c r="AH638" s="112">
        <v>51.0</v>
      </c>
      <c r="AI638" s="112">
        <v>69.0</v>
      </c>
      <c r="AJ638" s="112">
        <v>42.0</v>
      </c>
      <c r="AK638" s="112">
        <v>47.0</v>
      </c>
      <c r="AL638" s="112">
        <v>27.0</v>
      </c>
      <c r="AM638" s="112">
        <v>37.0</v>
      </c>
      <c r="AN638" s="112">
        <v>396.0</v>
      </c>
    </row>
    <row r="639">
      <c r="A639" s="107" t="s">
        <v>204</v>
      </c>
      <c r="B639" s="111" t="s">
        <v>198</v>
      </c>
      <c r="C639" s="112">
        <v>3.0</v>
      </c>
      <c r="D639" s="112">
        <v>1.0</v>
      </c>
      <c r="E639" s="112">
        <v>2.0</v>
      </c>
      <c r="F639" s="110">
        <v>0.0</v>
      </c>
      <c r="G639" s="110">
        <v>0.0</v>
      </c>
      <c r="H639" s="110">
        <v>0.0</v>
      </c>
      <c r="I639" s="110">
        <v>0.0</v>
      </c>
      <c r="J639" s="110">
        <v>0.0</v>
      </c>
      <c r="K639" s="110">
        <v>0.0</v>
      </c>
      <c r="L639" s="110">
        <v>0.0</v>
      </c>
      <c r="M639" s="110">
        <v>0.0</v>
      </c>
      <c r="N639" s="110">
        <v>0.0</v>
      </c>
      <c r="O639" s="110">
        <v>0.0</v>
      </c>
      <c r="P639" s="110">
        <v>0.0</v>
      </c>
      <c r="Q639" s="110">
        <v>0.0</v>
      </c>
      <c r="R639" s="110">
        <v>0.0</v>
      </c>
      <c r="S639" s="110">
        <v>0.0</v>
      </c>
      <c r="T639" s="110">
        <v>0.0</v>
      </c>
      <c r="U639" s="110">
        <v>0.0</v>
      </c>
      <c r="V639" s="110">
        <v>0.0</v>
      </c>
      <c r="W639" s="110">
        <v>0.0</v>
      </c>
      <c r="X639" s="110">
        <v>0.0</v>
      </c>
      <c r="Y639" s="110">
        <v>0.0</v>
      </c>
      <c r="Z639" s="110">
        <v>0.0</v>
      </c>
      <c r="AA639" s="110">
        <v>0.0</v>
      </c>
      <c r="AB639" s="110">
        <v>0.0</v>
      </c>
      <c r="AC639" s="110">
        <v>0.0</v>
      </c>
      <c r="AD639" s="110">
        <v>0.0</v>
      </c>
      <c r="AE639" s="110">
        <v>0.0</v>
      </c>
      <c r="AF639" s="112">
        <v>0.0</v>
      </c>
      <c r="AG639" s="112">
        <v>0.0</v>
      </c>
      <c r="AH639" s="112">
        <v>0.0</v>
      </c>
      <c r="AI639" s="112">
        <v>1.0</v>
      </c>
      <c r="AJ639" s="112">
        <v>0.0</v>
      </c>
      <c r="AK639" s="112">
        <v>0.0</v>
      </c>
      <c r="AL639" s="112">
        <v>1.0</v>
      </c>
      <c r="AM639" s="112">
        <v>1.0</v>
      </c>
      <c r="AN639" s="112">
        <v>3.0</v>
      </c>
    </row>
    <row r="640">
      <c r="A640" s="104"/>
      <c r="B640" s="111" t="s">
        <v>199</v>
      </c>
      <c r="C640" s="112">
        <v>261.0</v>
      </c>
      <c r="D640" s="112">
        <v>88.0</v>
      </c>
      <c r="E640" s="112">
        <v>173.0</v>
      </c>
      <c r="F640" s="110">
        <v>0.0</v>
      </c>
      <c r="G640" s="110">
        <v>0.0</v>
      </c>
      <c r="H640" s="110">
        <v>0.0</v>
      </c>
      <c r="I640" s="110">
        <v>0.0</v>
      </c>
      <c r="J640" s="110">
        <v>0.0</v>
      </c>
      <c r="K640" s="110">
        <v>0.0</v>
      </c>
      <c r="L640" s="110">
        <v>0.0</v>
      </c>
      <c r="M640" s="110">
        <v>0.0</v>
      </c>
      <c r="N640" s="110">
        <v>0.0</v>
      </c>
      <c r="O640" s="110">
        <v>0.0</v>
      </c>
      <c r="P640" s="110">
        <v>0.0</v>
      </c>
      <c r="Q640" s="110">
        <v>0.0</v>
      </c>
      <c r="R640" s="110">
        <v>0.0</v>
      </c>
      <c r="S640" s="110">
        <v>0.0</v>
      </c>
      <c r="T640" s="110">
        <v>0.0</v>
      </c>
      <c r="U640" s="110">
        <v>0.0</v>
      </c>
      <c r="V640" s="110">
        <v>0.0</v>
      </c>
      <c r="W640" s="110">
        <v>0.0</v>
      </c>
      <c r="X640" s="110">
        <v>0.0</v>
      </c>
      <c r="Y640" s="110">
        <v>0.0</v>
      </c>
      <c r="Z640" s="110">
        <v>0.0</v>
      </c>
      <c r="AA640" s="110">
        <v>0.0</v>
      </c>
      <c r="AB640" s="110">
        <v>0.0</v>
      </c>
      <c r="AC640" s="110">
        <v>0.0</v>
      </c>
      <c r="AD640" s="110">
        <v>0.0</v>
      </c>
      <c r="AE640" s="110">
        <v>0.0</v>
      </c>
      <c r="AF640" s="112">
        <v>12.0</v>
      </c>
      <c r="AG640" s="112">
        <v>21.0</v>
      </c>
      <c r="AH640" s="112">
        <v>13.0</v>
      </c>
      <c r="AI640" s="112">
        <v>31.0</v>
      </c>
      <c r="AJ640" s="112">
        <v>20.0</v>
      </c>
      <c r="AK640" s="112">
        <v>35.0</v>
      </c>
      <c r="AL640" s="112">
        <v>38.0</v>
      </c>
      <c r="AM640" s="112">
        <v>78.0</v>
      </c>
      <c r="AN640" s="112">
        <v>247.0</v>
      </c>
    </row>
    <row r="641">
      <c r="A641" s="107" t="s">
        <v>205</v>
      </c>
      <c r="B641" s="111" t="s">
        <v>198</v>
      </c>
      <c r="C641" s="112">
        <v>266.0</v>
      </c>
      <c r="D641" s="112">
        <v>88.0</v>
      </c>
      <c r="E641" s="112">
        <v>178.0</v>
      </c>
      <c r="F641" s="112">
        <v>1.0</v>
      </c>
      <c r="G641" s="112">
        <v>0.0</v>
      </c>
      <c r="H641" s="112">
        <v>0.0</v>
      </c>
      <c r="I641" s="112">
        <v>0.0</v>
      </c>
      <c r="J641" s="112">
        <v>1.0</v>
      </c>
      <c r="K641" s="112">
        <v>0.0</v>
      </c>
      <c r="L641" s="112">
        <v>11.0</v>
      </c>
      <c r="M641" s="112">
        <v>24.0</v>
      </c>
      <c r="N641" s="112">
        <v>9.0</v>
      </c>
      <c r="O641" s="112">
        <v>15.0</v>
      </c>
      <c r="P641" s="112">
        <v>11.0</v>
      </c>
      <c r="Q641" s="112">
        <v>7.0</v>
      </c>
      <c r="R641" s="112">
        <v>5.0</v>
      </c>
      <c r="S641" s="112">
        <v>10.0</v>
      </c>
      <c r="T641" s="112">
        <v>3.0</v>
      </c>
      <c r="U641" s="112">
        <v>7.0</v>
      </c>
      <c r="V641" s="112">
        <v>9.0</v>
      </c>
      <c r="W641" s="112">
        <v>23.0</v>
      </c>
      <c r="X641" s="112">
        <v>4.0</v>
      </c>
      <c r="Y641" s="112">
        <v>13.0</v>
      </c>
      <c r="Z641" s="112">
        <v>10.0</v>
      </c>
      <c r="AA641" s="112">
        <v>19.0</v>
      </c>
      <c r="AB641" s="112">
        <v>5.0</v>
      </c>
      <c r="AC641" s="112">
        <v>15.0</v>
      </c>
      <c r="AD641" s="112">
        <v>2.0</v>
      </c>
      <c r="AE641" s="112">
        <v>9.0</v>
      </c>
      <c r="AF641" s="112">
        <v>2.0</v>
      </c>
      <c r="AG641" s="112">
        <v>12.0</v>
      </c>
      <c r="AH641" s="112">
        <v>6.0</v>
      </c>
      <c r="AI641" s="112">
        <v>15.0</v>
      </c>
      <c r="AJ641" s="112">
        <v>7.0</v>
      </c>
      <c r="AK641" s="112">
        <v>8.0</v>
      </c>
      <c r="AL641" s="112">
        <v>2.0</v>
      </c>
      <c r="AM641" s="112">
        <v>1.0</v>
      </c>
      <c r="AN641" s="112">
        <v>243.0</v>
      </c>
    </row>
    <row r="642">
      <c r="A642" s="98"/>
      <c r="B642" s="111" t="s">
        <v>199</v>
      </c>
      <c r="C642" s="112">
        <v>5.0</v>
      </c>
      <c r="D642" s="112">
        <v>3.0</v>
      </c>
      <c r="E642" s="112">
        <v>2.0</v>
      </c>
      <c r="F642" s="112">
        <v>0.0</v>
      </c>
      <c r="G642" s="112">
        <v>0.0</v>
      </c>
      <c r="H642" s="112">
        <v>0.0</v>
      </c>
      <c r="I642" s="112">
        <v>0.0</v>
      </c>
      <c r="J642" s="112">
        <v>0.0</v>
      </c>
      <c r="K642" s="112">
        <v>0.0</v>
      </c>
      <c r="L642" s="112">
        <v>0.0</v>
      </c>
      <c r="M642" s="112">
        <v>0.0</v>
      </c>
      <c r="N642" s="112">
        <v>0.0</v>
      </c>
      <c r="O642" s="112">
        <v>0.0</v>
      </c>
      <c r="P642" s="112">
        <v>0.0</v>
      </c>
      <c r="Q642" s="112">
        <v>0.0</v>
      </c>
      <c r="R642" s="112">
        <v>0.0</v>
      </c>
      <c r="S642" s="112">
        <v>0.0</v>
      </c>
      <c r="T642" s="112">
        <v>0.0</v>
      </c>
      <c r="U642" s="112">
        <v>0.0</v>
      </c>
      <c r="V642" s="112">
        <v>0.0</v>
      </c>
      <c r="W642" s="112">
        <v>0.0</v>
      </c>
      <c r="X642" s="112">
        <v>0.0</v>
      </c>
      <c r="Y642" s="112">
        <v>0.0</v>
      </c>
      <c r="Z642" s="112">
        <v>0.0</v>
      </c>
      <c r="AA642" s="112">
        <v>0.0</v>
      </c>
      <c r="AB642" s="112">
        <v>0.0</v>
      </c>
      <c r="AC642" s="112">
        <v>0.0</v>
      </c>
      <c r="AD642" s="112">
        <v>0.0</v>
      </c>
      <c r="AE642" s="112">
        <v>0.0</v>
      </c>
      <c r="AF642" s="112">
        <v>0.0</v>
      </c>
      <c r="AG642" s="112">
        <v>1.0</v>
      </c>
      <c r="AH642" s="112">
        <v>0.0</v>
      </c>
      <c r="AI642" s="112">
        <v>1.0</v>
      </c>
      <c r="AJ642" s="112">
        <v>2.0</v>
      </c>
      <c r="AK642" s="112">
        <v>0.0</v>
      </c>
      <c r="AL642" s="112">
        <v>1.0</v>
      </c>
      <c r="AM642" s="112">
        <v>0.0</v>
      </c>
      <c r="AN642" s="112">
        <v>5.0</v>
      </c>
    </row>
    <row r="643">
      <c r="A643" s="104"/>
      <c r="B643" s="111" t="s">
        <v>206</v>
      </c>
      <c r="C643" s="112">
        <v>394.0</v>
      </c>
      <c r="D643" s="112">
        <v>104.0</v>
      </c>
      <c r="E643" s="112">
        <v>290.0</v>
      </c>
      <c r="F643" s="112">
        <v>0.0</v>
      </c>
      <c r="G643" s="112">
        <v>0.0</v>
      </c>
      <c r="H643" s="112">
        <v>0.0</v>
      </c>
      <c r="I643" s="112">
        <v>1.0</v>
      </c>
      <c r="J643" s="112">
        <v>0.0</v>
      </c>
      <c r="K643" s="112">
        <v>1.0</v>
      </c>
      <c r="L643" s="112">
        <v>7.0</v>
      </c>
      <c r="M643" s="112">
        <v>47.0</v>
      </c>
      <c r="N643" s="112">
        <v>34.0</v>
      </c>
      <c r="O643" s="112">
        <v>59.0</v>
      </c>
      <c r="P643" s="112">
        <v>20.0</v>
      </c>
      <c r="Q643" s="112">
        <v>28.0</v>
      </c>
      <c r="R643" s="112">
        <v>12.0</v>
      </c>
      <c r="S643" s="112">
        <v>47.0</v>
      </c>
      <c r="T643" s="112">
        <v>12.0</v>
      </c>
      <c r="U643" s="112">
        <v>26.0</v>
      </c>
      <c r="V643" s="112">
        <v>1.0</v>
      </c>
      <c r="W643" s="112">
        <v>34.0</v>
      </c>
      <c r="X643" s="112">
        <v>8.0</v>
      </c>
      <c r="Y643" s="112">
        <v>17.0</v>
      </c>
      <c r="Z643" s="112">
        <v>5.0</v>
      </c>
      <c r="AA643" s="112">
        <v>9.0</v>
      </c>
      <c r="AB643" s="112">
        <v>2.0</v>
      </c>
      <c r="AC643" s="112">
        <v>9.0</v>
      </c>
      <c r="AD643" s="112">
        <v>2.0</v>
      </c>
      <c r="AE643" s="112">
        <v>4.0</v>
      </c>
      <c r="AF643" s="112">
        <v>1.0</v>
      </c>
      <c r="AG643" s="112">
        <v>3.0</v>
      </c>
      <c r="AH643" s="112">
        <v>0.0</v>
      </c>
      <c r="AI643" s="112">
        <v>3.0</v>
      </c>
      <c r="AJ643" s="112">
        <v>0.0</v>
      </c>
      <c r="AK643" s="112">
        <v>1.0</v>
      </c>
      <c r="AL643" s="112">
        <v>0.0</v>
      </c>
      <c r="AM643" s="112">
        <v>1.0</v>
      </c>
      <c r="AN643" s="112">
        <v>366.0</v>
      </c>
    </row>
    <row r="644">
      <c r="A644" s="107" t="s">
        <v>207</v>
      </c>
      <c r="B644" s="111" t="s">
        <v>198</v>
      </c>
      <c r="C644" s="109">
        <v>16585.0</v>
      </c>
      <c r="D644" s="109">
        <v>4866.0</v>
      </c>
      <c r="E644" s="109">
        <v>11720.0</v>
      </c>
      <c r="F644" s="112">
        <v>275.0</v>
      </c>
      <c r="G644" s="112">
        <v>197.0</v>
      </c>
      <c r="H644" s="112">
        <v>210.0</v>
      </c>
      <c r="I644" s="112">
        <v>158.0</v>
      </c>
      <c r="J644" s="112">
        <v>175.0</v>
      </c>
      <c r="K644" s="112">
        <v>146.0</v>
      </c>
      <c r="L644" s="112">
        <v>153.0</v>
      </c>
      <c r="M644" s="112">
        <v>221.0</v>
      </c>
      <c r="N644" s="112">
        <v>96.0</v>
      </c>
      <c r="O644" s="112">
        <v>265.0</v>
      </c>
      <c r="P644" s="112">
        <v>94.0</v>
      </c>
      <c r="Q644" s="112">
        <v>389.0</v>
      </c>
      <c r="R644" s="112">
        <v>132.0</v>
      </c>
      <c r="S644" s="112">
        <v>410.0</v>
      </c>
      <c r="T644" s="112">
        <v>132.0</v>
      </c>
      <c r="U644" s="112">
        <v>510.0</v>
      </c>
      <c r="V644" s="112">
        <v>256.0</v>
      </c>
      <c r="W644" s="112">
        <v>626.0</v>
      </c>
      <c r="X644" s="112">
        <v>247.0</v>
      </c>
      <c r="Y644" s="112">
        <v>952.0</v>
      </c>
      <c r="Z644" s="112">
        <v>392.0</v>
      </c>
      <c r="AA644" s="109">
        <v>1219.0</v>
      </c>
      <c r="AB644" s="112">
        <v>371.0</v>
      </c>
      <c r="AC644" s="109">
        <v>1264.0</v>
      </c>
      <c r="AD644" s="112">
        <v>433.0</v>
      </c>
      <c r="AE644" s="109">
        <v>1239.0</v>
      </c>
      <c r="AF644" s="112">
        <v>436.0</v>
      </c>
      <c r="AG644" s="109">
        <v>1165.0</v>
      </c>
      <c r="AH644" s="112">
        <v>521.0</v>
      </c>
      <c r="AI644" s="109">
        <v>1090.0</v>
      </c>
      <c r="AJ644" s="112">
        <v>470.0</v>
      </c>
      <c r="AK644" s="112">
        <v>944.0</v>
      </c>
      <c r="AL644" s="112">
        <v>475.0</v>
      </c>
      <c r="AM644" s="112">
        <v>927.0</v>
      </c>
      <c r="AN644" s="109">
        <v>16093.0</v>
      </c>
    </row>
    <row r="645">
      <c r="A645" s="98"/>
      <c r="B645" s="111" t="s">
        <v>199</v>
      </c>
      <c r="C645" s="109">
        <v>1501.0</v>
      </c>
      <c r="D645" s="112">
        <v>510.0</v>
      </c>
      <c r="E645" s="112">
        <v>992.0</v>
      </c>
      <c r="F645" s="112">
        <v>73.0</v>
      </c>
      <c r="G645" s="112">
        <v>68.0</v>
      </c>
      <c r="H645" s="112">
        <v>20.0</v>
      </c>
      <c r="I645" s="112">
        <v>14.0</v>
      </c>
      <c r="J645" s="112">
        <v>8.0</v>
      </c>
      <c r="K645" s="112">
        <v>14.0</v>
      </c>
      <c r="L645" s="112">
        <v>18.0</v>
      </c>
      <c r="M645" s="112">
        <v>9.0</v>
      </c>
      <c r="N645" s="112">
        <v>5.0</v>
      </c>
      <c r="O645" s="112">
        <v>7.0</v>
      </c>
      <c r="P645" s="112">
        <v>1.0</v>
      </c>
      <c r="Q645" s="112">
        <v>18.0</v>
      </c>
      <c r="R645" s="112">
        <v>1.0</v>
      </c>
      <c r="S645" s="112">
        <v>8.0</v>
      </c>
      <c r="T645" s="112">
        <v>18.0</v>
      </c>
      <c r="U645" s="112">
        <v>17.0</v>
      </c>
      <c r="V645" s="112">
        <v>13.0</v>
      </c>
      <c r="W645" s="112">
        <v>38.0</v>
      </c>
      <c r="X645" s="112">
        <v>13.0</v>
      </c>
      <c r="Y645" s="112">
        <v>60.0</v>
      </c>
      <c r="Z645" s="112">
        <v>28.0</v>
      </c>
      <c r="AA645" s="112">
        <v>70.0</v>
      </c>
      <c r="AB645" s="112">
        <v>71.0</v>
      </c>
      <c r="AC645" s="112">
        <v>125.0</v>
      </c>
      <c r="AD645" s="112">
        <v>25.0</v>
      </c>
      <c r="AE645" s="112">
        <v>169.0</v>
      </c>
      <c r="AF645" s="112">
        <v>75.0</v>
      </c>
      <c r="AG645" s="112">
        <v>109.0</v>
      </c>
      <c r="AH645" s="112">
        <v>56.0</v>
      </c>
      <c r="AI645" s="112">
        <v>65.0</v>
      </c>
      <c r="AJ645" s="112">
        <v>33.0</v>
      </c>
      <c r="AK645" s="112">
        <v>99.0</v>
      </c>
      <c r="AL645" s="112">
        <v>55.0</v>
      </c>
      <c r="AM645" s="112">
        <v>101.0</v>
      </c>
      <c r="AN645" s="109">
        <v>1449.0</v>
      </c>
    </row>
    <row r="646">
      <c r="A646" s="98"/>
      <c r="B646" s="111" t="s">
        <v>206</v>
      </c>
      <c r="C646" s="112">
        <v>14.0</v>
      </c>
      <c r="D646" s="112">
        <v>3.0</v>
      </c>
      <c r="E646" s="112">
        <v>11.0</v>
      </c>
      <c r="F646" s="112">
        <v>1.0</v>
      </c>
      <c r="G646" s="112">
        <v>0.0</v>
      </c>
      <c r="H646" s="112">
        <v>1.0</v>
      </c>
      <c r="I646" s="112">
        <v>1.0</v>
      </c>
      <c r="J646" s="112">
        <v>1.0</v>
      </c>
      <c r="K646" s="112">
        <v>0.0</v>
      </c>
      <c r="L646" s="112">
        <v>0.0</v>
      </c>
      <c r="M646" s="112">
        <v>0.0</v>
      </c>
      <c r="N646" s="112">
        <v>0.0</v>
      </c>
      <c r="O646" s="112">
        <v>3.0</v>
      </c>
      <c r="P646" s="112">
        <v>0.0</v>
      </c>
      <c r="Q646" s="112">
        <v>1.0</v>
      </c>
      <c r="R646" s="112">
        <v>0.0</v>
      </c>
      <c r="S646" s="112">
        <v>1.0</v>
      </c>
      <c r="T646" s="112">
        <v>0.0</v>
      </c>
      <c r="U646" s="112">
        <v>1.0</v>
      </c>
      <c r="V646" s="112">
        <v>0.0</v>
      </c>
      <c r="W646" s="112">
        <v>2.0</v>
      </c>
      <c r="X646" s="112">
        <v>0.0</v>
      </c>
      <c r="Y646" s="112">
        <v>1.0</v>
      </c>
      <c r="Z646" s="112">
        <v>0.0</v>
      </c>
      <c r="AA646" s="112">
        <v>0.0</v>
      </c>
      <c r="AB646" s="112">
        <v>0.0</v>
      </c>
      <c r="AC646" s="112">
        <v>0.0</v>
      </c>
      <c r="AD646" s="112">
        <v>0.0</v>
      </c>
      <c r="AE646" s="112">
        <v>1.0</v>
      </c>
      <c r="AF646" s="112">
        <v>0.0</v>
      </c>
      <c r="AG646" s="112">
        <v>0.0</v>
      </c>
      <c r="AH646" s="112">
        <v>0.0</v>
      </c>
      <c r="AI646" s="112">
        <v>0.0</v>
      </c>
      <c r="AJ646" s="112">
        <v>0.0</v>
      </c>
      <c r="AK646" s="112">
        <v>0.0</v>
      </c>
      <c r="AL646" s="112">
        <v>0.0</v>
      </c>
      <c r="AM646" s="112">
        <v>0.0</v>
      </c>
      <c r="AN646" s="112">
        <v>14.0</v>
      </c>
    </row>
    <row r="647">
      <c r="A647" s="98"/>
      <c r="B647" s="111" t="s">
        <v>200</v>
      </c>
      <c r="C647" s="109">
        <v>4162.0</v>
      </c>
      <c r="D647" s="109">
        <v>1674.0</v>
      </c>
      <c r="E647" s="109">
        <v>2489.0</v>
      </c>
      <c r="F647" s="109">
        <v>1005.0</v>
      </c>
      <c r="G647" s="109">
        <v>1002.0</v>
      </c>
      <c r="H647" s="112">
        <v>362.0</v>
      </c>
      <c r="I647" s="112">
        <v>396.0</v>
      </c>
      <c r="J647" s="112">
        <v>123.0</v>
      </c>
      <c r="K647" s="112">
        <v>124.0</v>
      </c>
      <c r="L647" s="112">
        <v>31.0</v>
      </c>
      <c r="M647" s="112">
        <v>99.0</v>
      </c>
      <c r="N647" s="112">
        <v>11.0</v>
      </c>
      <c r="O647" s="112">
        <v>114.0</v>
      </c>
      <c r="P647" s="112">
        <v>10.0</v>
      </c>
      <c r="Q647" s="112">
        <v>163.0</v>
      </c>
      <c r="R647" s="112">
        <v>5.0</v>
      </c>
      <c r="S647" s="112">
        <v>103.0</v>
      </c>
      <c r="T647" s="112">
        <v>10.0</v>
      </c>
      <c r="U647" s="112">
        <v>94.0</v>
      </c>
      <c r="V647" s="112">
        <v>9.0</v>
      </c>
      <c r="W647" s="112">
        <v>74.0</v>
      </c>
      <c r="X647" s="112">
        <v>15.0</v>
      </c>
      <c r="Y647" s="112">
        <v>76.0</v>
      </c>
      <c r="Z647" s="112">
        <v>11.0</v>
      </c>
      <c r="AA647" s="112">
        <v>73.0</v>
      </c>
      <c r="AB647" s="112">
        <v>14.0</v>
      </c>
      <c r="AC647" s="112">
        <v>50.0</v>
      </c>
      <c r="AD647" s="112">
        <v>14.0</v>
      </c>
      <c r="AE647" s="112">
        <v>33.0</v>
      </c>
      <c r="AF647" s="112">
        <v>11.0</v>
      </c>
      <c r="AG647" s="112">
        <v>26.0</v>
      </c>
      <c r="AH647" s="112">
        <v>18.0</v>
      </c>
      <c r="AI647" s="112">
        <v>21.0</v>
      </c>
      <c r="AJ647" s="112">
        <v>14.0</v>
      </c>
      <c r="AK647" s="112">
        <v>22.0</v>
      </c>
      <c r="AL647" s="112">
        <v>12.0</v>
      </c>
      <c r="AM647" s="112">
        <v>27.0</v>
      </c>
      <c r="AN647" s="109">
        <v>4005.0</v>
      </c>
    </row>
    <row r="648">
      <c r="A648" s="104"/>
      <c r="B648" s="111" t="s">
        <v>201</v>
      </c>
      <c r="C648" s="109">
        <v>10326.0</v>
      </c>
      <c r="D648" s="109">
        <v>4691.0</v>
      </c>
      <c r="E648" s="109">
        <v>5635.0</v>
      </c>
      <c r="F648" s="112">
        <v>361.0</v>
      </c>
      <c r="G648" s="112">
        <v>272.0</v>
      </c>
      <c r="H648" s="112">
        <v>337.0</v>
      </c>
      <c r="I648" s="112">
        <v>424.0</v>
      </c>
      <c r="J648" s="112">
        <v>379.0</v>
      </c>
      <c r="K648" s="112">
        <v>318.0</v>
      </c>
      <c r="L648" s="112">
        <v>218.0</v>
      </c>
      <c r="M648" s="112">
        <v>221.0</v>
      </c>
      <c r="N648" s="112">
        <v>114.0</v>
      </c>
      <c r="O648" s="112">
        <v>217.0</v>
      </c>
      <c r="P648" s="112">
        <v>220.0</v>
      </c>
      <c r="Q648" s="112">
        <v>369.0</v>
      </c>
      <c r="R648" s="112">
        <v>180.0</v>
      </c>
      <c r="S648" s="112">
        <v>296.0</v>
      </c>
      <c r="T648" s="112">
        <v>217.0</v>
      </c>
      <c r="U648" s="112">
        <v>377.0</v>
      </c>
      <c r="V648" s="112">
        <v>333.0</v>
      </c>
      <c r="W648" s="112">
        <v>418.0</v>
      </c>
      <c r="X648" s="112">
        <v>336.0</v>
      </c>
      <c r="Y648" s="112">
        <v>407.0</v>
      </c>
      <c r="Z648" s="112">
        <v>332.0</v>
      </c>
      <c r="AA648" s="112">
        <v>339.0</v>
      </c>
      <c r="AB648" s="112">
        <v>272.0</v>
      </c>
      <c r="AC648" s="112">
        <v>349.0</v>
      </c>
      <c r="AD648" s="112">
        <v>280.0</v>
      </c>
      <c r="AE648" s="112">
        <v>401.0</v>
      </c>
      <c r="AF648" s="112">
        <v>242.0</v>
      </c>
      <c r="AG648" s="112">
        <v>331.0</v>
      </c>
      <c r="AH648" s="112">
        <v>269.0</v>
      </c>
      <c r="AI648" s="112">
        <v>373.0</v>
      </c>
      <c r="AJ648" s="112">
        <v>275.0</v>
      </c>
      <c r="AK648" s="112">
        <v>223.0</v>
      </c>
      <c r="AL648" s="112">
        <v>326.0</v>
      </c>
      <c r="AM648" s="112">
        <v>300.0</v>
      </c>
      <c r="AN648" s="109">
        <v>10126.0</v>
      </c>
    </row>
    <row r="649">
      <c r="A649" s="107" t="s">
        <v>208</v>
      </c>
      <c r="B649" s="111" t="s">
        <v>198</v>
      </c>
      <c r="C649" s="112">
        <v>3.0</v>
      </c>
      <c r="D649" s="112">
        <v>2.0</v>
      </c>
      <c r="E649" s="112">
        <v>1.0</v>
      </c>
      <c r="F649" s="112">
        <v>2.0</v>
      </c>
      <c r="G649" s="112">
        <v>1.0</v>
      </c>
      <c r="H649" s="112">
        <v>0.0</v>
      </c>
      <c r="I649" s="112">
        <v>0.0</v>
      </c>
      <c r="J649" s="112">
        <v>0.0</v>
      </c>
      <c r="K649" s="112">
        <v>0.0</v>
      </c>
      <c r="L649" s="112">
        <v>0.0</v>
      </c>
      <c r="M649" s="112">
        <v>0.0</v>
      </c>
      <c r="N649" s="112">
        <v>0.0</v>
      </c>
      <c r="O649" s="112">
        <v>0.0</v>
      </c>
      <c r="P649" s="110">
        <v>0.0</v>
      </c>
      <c r="Q649" s="110">
        <v>0.0</v>
      </c>
      <c r="R649" s="110">
        <v>0.0</v>
      </c>
      <c r="S649" s="110">
        <v>0.0</v>
      </c>
      <c r="T649" s="110">
        <v>0.0</v>
      </c>
      <c r="U649" s="110">
        <v>0.0</v>
      </c>
      <c r="V649" s="110">
        <v>0.0</v>
      </c>
      <c r="W649" s="110">
        <v>0.0</v>
      </c>
      <c r="X649" s="110">
        <v>0.0</v>
      </c>
      <c r="Y649" s="110">
        <v>0.0</v>
      </c>
      <c r="Z649" s="110">
        <v>0.0</v>
      </c>
      <c r="AA649" s="110">
        <v>0.0</v>
      </c>
      <c r="AB649" s="110">
        <v>0.0</v>
      </c>
      <c r="AC649" s="110">
        <v>0.0</v>
      </c>
      <c r="AD649" s="110">
        <v>0.0</v>
      </c>
      <c r="AE649" s="110">
        <v>0.0</v>
      </c>
      <c r="AF649" s="110">
        <v>0.0</v>
      </c>
      <c r="AG649" s="110">
        <v>0.0</v>
      </c>
      <c r="AH649" s="110">
        <v>0.0</v>
      </c>
      <c r="AI649" s="110">
        <v>0.0</v>
      </c>
      <c r="AJ649" s="110">
        <v>0.0</v>
      </c>
      <c r="AK649" s="110">
        <v>0.0</v>
      </c>
      <c r="AL649" s="110">
        <v>0.0</v>
      </c>
      <c r="AM649" s="110">
        <v>0.0</v>
      </c>
      <c r="AN649" s="112">
        <v>3.0</v>
      </c>
    </row>
    <row r="650">
      <c r="A650" s="98"/>
      <c r="B650" s="111" t="s">
        <v>199</v>
      </c>
      <c r="C650" s="112">
        <v>10.0</v>
      </c>
      <c r="D650" s="112">
        <v>6.0</v>
      </c>
      <c r="E650" s="112">
        <v>4.0</v>
      </c>
      <c r="F650" s="112">
        <v>6.0</v>
      </c>
      <c r="G650" s="112">
        <v>3.0</v>
      </c>
      <c r="H650" s="112">
        <v>0.0</v>
      </c>
      <c r="I650" s="112">
        <v>1.0</v>
      </c>
      <c r="J650" s="112">
        <v>0.0</v>
      </c>
      <c r="K650" s="112">
        <v>0.0</v>
      </c>
      <c r="L650" s="112">
        <v>0.0</v>
      </c>
      <c r="M650" s="112">
        <v>0.0</v>
      </c>
      <c r="N650" s="112">
        <v>0.0</v>
      </c>
      <c r="O650" s="112">
        <v>0.0</v>
      </c>
      <c r="P650" s="110">
        <v>0.0</v>
      </c>
      <c r="Q650" s="110">
        <v>0.0</v>
      </c>
      <c r="R650" s="110">
        <v>0.0</v>
      </c>
      <c r="S650" s="110">
        <v>0.0</v>
      </c>
      <c r="T650" s="110">
        <v>0.0</v>
      </c>
      <c r="U650" s="110">
        <v>0.0</v>
      </c>
      <c r="V650" s="110">
        <v>0.0</v>
      </c>
      <c r="W650" s="110">
        <v>0.0</v>
      </c>
      <c r="X650" s="110">
        <v>0.0</v>
      </c>
      <c r="Y650" s="110">
        <v>0.0</v>
      </c>
      <c r="Z650" s="110">
        <v>0.0</v>
      </c>
      <c r="AA650" s="110">
        <v>0.0</v>
      </c>
      <c r="AB650" s="110">
        <v>0.0</v>
      </c>
      <c r="AC650" s="110">
        <v>0.0</v>
      </c>
      <c r="AD650" s="110">
        <v>0.0</v>
      </c>
      <c r="AE650" s="110">
        <v>0.0</v>
      </c>
      <c r="AF650" s="110">
        <v>0.0</v>
      </c>
      <c r="AG650" s="110">
        <v>0.0</v>
      </c>
      <c r="AH650" s="110">
        <v>0.0</v>
      </c>
      <c r="AI650" s="110">
        <v>0.0</v>
      </c>
      <c r="AJ650" s="110">
        <v>0.0</v>
      </c>
      <c r="AK650" s="110">
        <v>0.0</v>
      </c>
      <c r="AL650" s="110">
        <v>0.0</v>
      </c>
      <c r="AM650" s="110">
        <v>0.0</v>
      </c>
      <c r="AN650" s="112">
        <v>10.0</v>
      </c>
    </row>
    <row r="651">
      <c r="A651" s="98"/>
      <c r="B651" s="111" t="s">
        <v>206</v>
      </c>
      <c r="C651" s="112">
        <v>1.0</v>
      </c>
      <c r="D651" s="112">
        <v>0.0</v>
      </c>
      <c r="E651" s="112">
        <v>1.0</v>
      </c>
      <c r="F651" s="112">
        <v>0.0</v>
      </c>
      <c r="G651" s="112">
        <v>0.0</v>
      </c>
      <c r="H651" s="112">
        <v>0.0</v>
      </c>
      <c r="I651" s="112">
        <v>1.0</v>
      </c>
      <c r="J651" s="112">
        <v>0.0</v>
      </c>
      <c r="K651" s="112">
        <v>0.0</v>
      </c>
      <c r="L651" s="112">
        <v>0.0</v>
      </c>
      <c r="M651" s="112">
        <v>0.0</v>
      </c>
      <c r="N651" s="112">
        <v>0.0</v>
      </c>
      <c r="O651" s="112">
        <v>0.0</v>
      </c>
      <c r="P651" s="110">
        <v>0.0</v>
      </c>
      <c r="Q651" s="110">
        <v>0.0</v>
      </c>
      <c r="R651" s="110">
        <v>0.0</v>
      </c>
      <c r="S651" s="110">
        <v>0.0</v>
      </c>
      <c r="T651" s="110">
        <v>0.0</v>
      </c>
      <c r="U651" s="110">
        <v>0.0</v>
      </c>
      <c r="V651" s="110">
        <v>0.0</v>
      </c>
      <c r="W651" s="110">
        <v>0.0</v>
      </c>
      <c r="X651" s="110">
        <v>0.0</v>
      </c>
      <c r="Y651" s="110">
        <v>0.0</v>
      </c>
      <c r="Z651" s="110">
        <v>1.0</v>
      </c>
      <c r="AA651" s="110">
        <v>0.0</v>
      </c>
      <c r="AB651" s="110">
        <v>0.0</v>
      </c>
      <c r="AC651" s="110">
        <v>0.0</v>
      </c>
      <c r="AD651" s="110">
        <v>0.0</v>
      </c>
      <c r="AE651" s="110">
        <v>0.0</v>
      </c>
      <c r="AF651" s="110">
        <v>0.0</v>
      </c>
      <c r="AG651" s="110">
        <v>0.0</v>
      </c>
      <c r="AH651" s="110">
        <v>0.0</v>
      </c>
      <c r="AI651" s="110">
        <v>0.0</v>
      </c>
      <c r="AJ651" s="110">
        <v>0.0</v>
      </c>
      <c r="AK651" s="110">
        <v>0.0</v>
      </c>
      <c r="AL651" s="110">
        <v>0.0</v>
      </c>
      <c r="AM651" s="110">
        <v>0.0</v>
      </c>
      <c r="AN651" s="112">
        <v>1.0</v>
      </c>
    </row>
    <row r="652">
      <c r="A652" s="98"/>
      <c r="B652" s="111" t="s">
        <v>200</v>
      </c>
      <c r="C652" s="112">
        <v>75.0</v>
      </c>
      <c r="D652" s="112">
        <v>33.0</v>
      </c>
      <c r="E652" s="112">
        <v>42.0</v>
      </c>
      <c r="F652" s="112">
        <v>28.0</v>
      </c>
      <c r="G652" s="112">
        <v>35.0</v>
      </c>
      <c r="H652" s="112">
        <v>2.0</v>
      </c>
      <c r="I652" s="112">
        <v>5.0</v>
      </c>
      <c r="J652" s="112">
        <v>0.0</v>
      </c>
      <c r="K652" s="112">
        <v>1.0</v>
      </c>
      <c r="L652" s="112">
        <v>3.0</v>
      </c>
      <c r="M652" s="112">
        <v>1.0</v>
      </c>
      <c r="N652" s="112">
        <v>0.0</v>
      </c>
      <c r="O652" s="112">
        <v>0.0</v>
      </c>
      <c r="P652" s="110">
        <v>0.0</v>
      </c>
      <c r="Q652" s="110">
        <v>0.0</v>
      </c>
      <c r="R652" s="110">
        <v>0.0</v>
      </c>
      <c r="S652" s="110">
        <v>0.0</v>
      </c>
      <c r="T652" s="110">
        <v>0.0</v>
      </c>
      <c r="U652" s="110">
        <v>0.0</v>
      </c>
      <c r="V652" s="110">
        <v>0.0</v>
      </c>
      <c r="W652" s="110">
        <v>0.0</v>
      </c>
      <c r="X652" s="110">
        <v>0.0</v>
      </c>
      <c r="Y652" s="110">
        <v>0.0</v>
      </c>
      <c r="Z652" s="110">
        <v>0.0</v>
      </c>
      <c r="AA652" s="110">
        <v>0.0</v>
      </c>
      <c r="AB652" s="110">
        <v>0.0</v>
      </c>
      <c r="AC652" s="110">
        <v>0.0</v>
      </c>
      <c r="AD652" s="110">
        <v>0.0</v>
      </c>
      <c r="AE652" s="110">
        <v>0.0</v>
      </c>
      <c r="AF652" s="110">
        <v>0.0</v>
      </c>
      <c r="AG652" s="110">
        <v>0.0</v>
      </c>
      <c r="AH652" s="110">
        <v>0.0</v>
      </c>
      <c r="AI652" s="110">
        <v>0.0</v>
      </c>
      <c r="AJ652" s="110">
        <v>0.0</v>
      </c>
      <c r="AK652" s="110">
        <v>0.0</v>
      </c>
      <c r="AL652" s="110">
        <v>0.0</v>
      </c>
      <c r="AM652" s="110">
        <v>0.0</v>
      </c>
      <c r="AN652" s="112">
        <v>75.0</v>
      </c>
    </row>
    <row r="653">
      <c r="A653" s="104"/>
      <c r="B653" s="111" t="s">
        <v>201</v>
      </c>
      <c r="C653" s="112">
        <v>7.0</v>
      </c>
      <c r="D653" s="112">
        <v>3.0</v>
      </c>
      <c r="E653" s="112">
        <v>4.0</v>
      </c>
      <c r="F653" s="112">
        <v>0.0</v>
      </c>
      <c r="G653" s="112">
        <v>0.0</v>
      </c>
      <c r="H653" s="112">
        <v>1.0</v>
      </c>
      <c r="I653" s="112">
        <v>1.0</v>
      </c>
      <c r="J653" s="112">
        <v>2.0</v>
      </c>
      <c r="K653" s="112">
        <v>3.0</v>
      </c>
      <c r="L653" s="112">
        <v>0.0</v>
      </c>
      <c r="M653" s="112">
        <v>0.0</v>
      </c>
      <c r="N653" s="112">
        <v>0.0</v>
      </c>
      <c r="O653" s="112">
        <v>0.0</v>
      </c>
      <c r="P653" s="110">
        <v>0.0</v>
      </c>
      <c r="Q653" s="110">
        <v>0.0</v>
      </c>
      <c r="R653" s="110">
        <v>0.0</v>
      </c>
      <c r="S653" s="110">
        <v>0.0</v>
      </c>
      <c r="T653" s="110">
        <v>0.0</v>
      </c>
      <c r="U653" s="110">
        <v>0.0</v>
      </c>
      <c r="V653" s="110">
        <v>0.0</v>
      </c>
      <c r="W653" s="110">
        <v>0.0</v>
      </c>
      <c r="X653" s="110">
        <v>0.0</v>
      </c>
      <c r="Y653" s="110">
        <v>0.0</v>
      </c>
      <c r="Z653" s="110">
        <v>0.0</v>
      </c>
      <c r="AA653" s="110">
        <v>0.0</v>
      </c>
      <c r="AB653" s="110">
        <v>0.0</v>
      </c>
      <c r="AC653" s="110">
        <v>0.0</v>
      </c>
      <c r="AD653" s="110">
        <v>0.0</v>
      </c>
      <c r="AE653" s="110">
        <v>0.0</v>
      </c>
      <c r="AF653" s="110">
        <v>0.0</v>
      </c>
      <c r="AG653" s="110">
        <v>0.0</v>
      </c>
      <c r="AH653" s="110">
        <v>0.0</v>
      </c>
      <c r="AI653" s="110">
        <v>0.0</v>
      </c>
      <c r="AJ653" s="110">
        <v>0.0</v>
      </c>
      <c r="AK653" s="110">
        <v>0.0</v>
      </c>
      <c r="AL653" s="110">
        <v>0.0</v>
      </c>
      <c r="AM653" s="110">
        <v>0.0</v>
      </c>
      <c r="AN653" s="112">
        <v>0.0</v>
      </c>
    </row>
    <row r="654">
      <c r="A654" s="113" t="s">
        <v>235</v>
      </c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</row>
    <row r="655">
      <c r="A655" s="107" t="s">
        <v>197</v>
      </c>
      <c r="B655" s="108" t="s">
        <v>198</v>
      </c>
      <c r="C655" s="109">
        <v>35881.0</v>
      </c>
      <c r="D655" s="109">
        <v>12750.0</v>
      </c>
      <c r="E655" s="109">
        <v>23131.0</v>
      </c>
      <c r="F655" s="110">
        <v>0.0</v>
      </c>
      <c r="G655" s="110">
        <v>0.0</v>
      </c>
      <c r="H655" s="110">
        <v>0.0</v>
      </c>
      <c r="I655" s="110">
        <v>0.0</v>
      </c>
      <c r="J655" s="110">
        <v>0.0</v>
      </c>
      <c r="K655" s="110">
        <v>0.0</v>
      </c>
      <c r="L655" s="112">
        <v>34.0</v>
      </c>
      <c r="M655" s="112">
        <v>34.0</v>
      </c>
      <c r="N655" s="112">
        <v>22.0</v>
      </c>
      <c r="O655" s="112">
        <v>63.0</v>
      </c>
      <c r="P655" s="112">
        <v>84.0</v>
      </c>
      <c r="Q655" s="112">
        <v>134.0</v>
      </c>
      <c r="R655" s="112">
        <v>163.0</v>
      </c>
      <c r="S655" s="112">
        <v>341.0</v>
      </c>
      <c r="T655" s="112">
        <v>278.0</v>
      </c>
      <c r="U655" s="112">
        <v>604.0</v>
      </c>
      <c r="V655" s="112">
        <v>524.0</v>
      </c>
      <c r="W655" s="109">
        <v>1087.0</v>
      </c>
      <c r="X655" s="112">
        <v>948.0</v>
      </c>
      <c r="Y655" s="109">
        <v>1697.0</v>
      </c>
      <c r="Z655" s="109">
        <v>1330.0</v>
      </c>
      <c r="AA655" s="109">
        <v>2689.0</v>
      </c>
      <c r="AB655" s="109">
        <v>1462.0</v>
      </c>
      <c r="AC655" s="109">
        <v>2946.0</v>
      </c>
      <c r="AD655" s="109">
        <v>1690.0</v>
      </c>
      <c r="AE655" s="109">
        <v>2858.0</v>
      </c>
      <c r="AF655" s="109">
        <v>1741.0</v>
      </c>
      <c r="AG655" s="109">
        <v>2929.0</v>
      </c>
      <c r="AH655" s="109">
        <v>1804.0</v>
      </c>
      <c r="AI655" s="109">
        <v>2787.0</v>
      </c>
      <c r="AJ655" s="109">
        <v>1319.0</v>
      </c>
      <c r="AK655" s="109">
        <v>2360.0</v>
      </c>
      <c r="AL655" s="109">
        <v>1351.0</v>
      </c>
      <c r="AM655" s="109">
        <v>2602.0</v>
      </c>
      <c r="AN655" s="109">
        <v>34757.0</v>
      </c>
    </row>
    <row r="656">
      <c r="A656" s="98"/>
      <c r="B656" s="111" t="s">
        <v>199</v>
      </c>
      <c r="C656" s="109">
        <v>23055.0</v>
      </c>
      <c r="D656" s="109">
        <v>8206.0</v>
      </c>
      <c r="E656" s="109">
        <v>14849.0</v>
      </c>
      <c r="F656" s="110">
        <v>0.0</v>
      </c>
      <c r="G656" s="110">
        <v>0.0</v>
      </c>
      <c r="H656" s="110">
        <v>0.0</v>
      </c>
      <c r="I656" s="110">
        <v>0.0</v>
      </c>
      <c r="J656" s="110">
        <v>0.0</v>
      </c>
      <c r="K656" s="110">
        <v>0.0</v>
      </c>
      <c r="L656" s="112">
        <v>9.0</v>
      </c>
      <c r="M656" s="112">
        <v>5.0</v>
      </c>
      <c r="N656" s="112">
        <v>10.0</v>
      </c>
      <c r="O656" s="112">
        <v>21.0</v>
      </c>
      <c r="P656" s="112">
        <v>43.0</v>
      </c>
      <c r="Q656" s="112">
        <v>59.0</v>
      </c>
      <c r="R656" s="112">
        <v>58.0</v>
      </c>
      <c r="S656" s="112">
        <v>171.0</v>
      </c>
      <c r="T656" s="112">
        <v>155.0</v>
      </c>
      <c r="U656" s="112">
        <v>303.0</v>
      </c>
      <c r="V656" s="112">
        <v>261.0</v>
      </c>
      <c r="W656" s="112">
        <v>564.0</v>
      </c>
      <c r="X656" s="112">
        <v>546.0</v>
      </c>
      <c r="Y656" s="109">
        <v>1066.0</v>
      </c>
      <c r="Z656" s="112">
        <v>767.0</v>
      </c>
      <c r="AA656" s="109">
        <v>1586.0</v>
      </c>
      <c r="AB656" s="112">
        <v>946.0</v>
      </c>
      <c r="AC656" s="109">
        <v>1745.0</v>
      </c>
      <c r="AD656" s="109">
        <v>1031.0</v>
      </c>
      <c r="AE656" s="109">
        <v>1863.0</v>
      </c>
      <c r="AF656" s="109">
        <v>1132.0</v>
      </c>
      <c r="AG656" s="109">
        <v>2027.0</v>
      </c>
      <c r="AH656" s="109">
        <v>1178.0</v>
      </c>
      <c r="AI656" s="109">
        <v>1902.0</v>
      </c>
      <c r="AJ656" s="109">
        <v>1000.0</v>
      </c>
      <c r="AK656" s="109">
        <v>1639.0</v>
      </c>
      <c r="AL656" s="109">
        <v>1070.0</v>
      </c>
      <c r="AM656" s="109">
        <v>1898.0</v>
      </c>
      <c r="AN656" s="109">
        <v>22576.0</v>
      </c>
    </row>
    <row r="657">
      <c r="A657" s="98"/>
      <c r="B657" s="111" t="s">
        <v>200</v>
      </c>
      <c r="C657" s="109">
        <v>23146.0</v>
      </c>
      <c r="D657" s="109">
        <v>7899.0</v>
      </c>
      <c r="E657" s="109">
        <v>15247.0</v>
      </c>
      <c r="F657" s="110">
        <v>0.0</v>
      </c>
      <c r="G657" s="110">
        <v>0.0</v>
      </c>
      <c r="H657" s="110">
        <v>0.0</v>
      </c>
      <c r="I657" s="110">
        <v>0.0</v>
      </c>
      <c r="J657" s="110">
        <v>0.0</v>
      </c>
      <c r="K657" s="110">
        <v>0.0</v>
      </c>
      <c r="L657" s="112">
        <v>14.0</v>
      </c>
      <c r="M657" s="112">
        <v>10.0</v>
      </c>
      <c r="N657" s="112">
        <v>16.0</v>
      </c>
      <c r="O657" s="112">
        <v>34.0</v>
      </c>
      <c r="P657" s="112">
        <v>49.0</v>
      </c>
      <c r="Q657" s="112">
        <v>78.0</v>
      </c>
      <c r="R657" s="112">
        <v>87.0</v>
      </c>
      <c r="S657" s="112">
        <v>216.0</v>
      </c>
      <c r="T657" s="112">
        <v>159.0</v>
      </c>
      <c r="U657" s="112">
        <v>396.0</v>
      </c>
      <c r="V657" s="112">
        <v>302.0</v>
      </c>
      <c r="W657" s="112">
        <v>700.0</v>
      </c>
      <c r="X657" s="112">
        <v>602.0</v>
      </c>
      <c r="Y657" s="109">
        <v>1213.0</v>
      </c>
      <c r="Z657" s="112">
        <v>816.0</v>
      </c>
      <c r="AA657" s="109">
        <v>1768.0</v>
      </c>
      <c r="AB657" s="112">
        <v>912.0</v>
      </c>
      <c r="AC657" s="109">
        <v>1923.0</v>
      </c>
      <c r="AD657" s="109">
        <v>1040.0</v>
      </c>
      <c r="AE657" s="109">
        <v>1970.0</v>
      </c>
      <c r="AF657" s="109">
        <v>1035.0</v>
      </c>
      <c r="AG657" s="109">
        <v>2054.0</v>
      </c>
      <c r="AH657" s="109">
        <v>1131.0</v>
      </c>
      <c r="AI657" s="109">
        <v>1826.0</v>
      </c>
      <c r="AJ657" s="112">
        <v>880.0</v>
      </c>
      <c r="AK657" s="109">
        <v>1490.0</v>
      </c>
      <c r="AL657" s="112">
        <v>856.0</v>
      </c>
      <c r="AM657" s="109">
        <v>1569.0</v>
      </c>
      <c r="AN657" s="109">
        <v>22854.0</v>
      </c>
    </row>
    <row r="658">
      <c r="A658" s="104"/>
      <c r="B658" s="111" t="s">
        <v>201</v>
      </c>
      <c r="C658" s="109">
        <v>4982.0</v>
      </c>
      <c r="D658" s="109">
        <v>2094.0</v>
      </c>
      <c r="E658" s="109">
        <v>2888.0</v>
      </c>
      <c r="F658" s="110">
        <v>0.0</v>
      </c>
      <c r="G658" s="110">
        <v>0.0</v>
      </c>
      <c r="H658" s="110">
        <v>0.0</v>
      </c>
      <c r="I658" s="110">
        <v>0.0</v>
      </c>
      <c r="J658" s="110">
        <v>0.0</v>
      </c>
      <c r="K658" s="110">
        <v>0.0</v>
      </c>
      <c r="L658" s="112">
        <v>7.0</v>
      </c>
      <c r="M658" s="112">
        <v>15.0</v>
      </c>
      <c r="N658" s="112">
        <v>18.0</v>
      </c>
      <c r="O658" s="112">
        <v>32.0</v>
      </c>
      <c r="P658" s="112">
        <v>44.0</v>
      </c>
      <c r="Q658" s="112">
        <v>62.0</v>
      </c>
      <c r="R658" s="112">
        <v>53.0</v>
      </c>
      <c r="S658" s="112">
        <v>75.0</v>
      </c>
      <c r="T658" s="112">
        <v>71.0</v>
      </c>
      <c r="U658" s="112">
        <v>109.0</v>
      </c>
      <c r="V658" s="112">
        <v>147.0</v>
      </c>
      <c r="W658" s="112">
        <v>232.0</v>
      </c>
      <c r="X658" s="112">
        <v>155.0</v>
      </c>
      <c r="Y658" s="112">
        <v>176.0</v>
      </c>
      <c r="Z658" s="112">
        <v>215.0</v>
      </c>
      <c r="AA658" s="112">
        <v>337.0</v>
      </c>
      <c r="AB658" s="112">
        <v>257.0</v>
      </c>
      <c r="AC658" s="112">
        <v>287.0</v>
      </c>
      <c r="AD658" s="112">
        <v>207.0</v>
      </c>
      <c r="AE658" s="112">
        <v>235.0</v>
      </c>
      <c r="AF658" s="112">
        <v>204.0</v>
      </c>
      <c r="AG658" s="112">
        <v>303.0</v>
      </c>
      <c r="AH658" s="112">
        <v>271.0</v>
      </c>
      <c r="AI658" s="112">
        <v>329.0</v>
      </c>
      <c r="AJ658" s="112">
        <v>164.0</v>
      </c>
      <c r="AK658" s="112">
        <v>251.0</v>
      </c>
      <c r="AL658" s="112">
        <v>281.0</v>
      </c>
      <c r="AM658" s="112">
        <v>445.0</v>
      </c>
      <c r="AN658" s="109">
        <v>4796.0</v>
      </c>
    </row>
    <row r="659">
      <c r="A659" s="107" t="s">
        <v>202</v>
      </c>
      <c r="B659" s="111" t="s">
        <v>198</v>
      </c>
      <c r="C659" s="112">
        <v>181.0</v>
      </c>
      <c r="D659" s="112">
        <v>121.0</v>
      </c>
      <c r="E659" s="112">
        <v>60.0</v>
      </c>
      <c r="F659" s="112">
        <v>1.0</v>
      </c>
      <c r="G659" s="112">
        <v>4.0</v>
      </c>
      <c r="H659" s="112">
        <v>22.0</v>
      </c>
      <c r="I659" s="112">
        <v>15.0</v>
      </c>
      <c r="J659" s="112">
        <v>15.0</v>
      </c>
      <c r="K659" s="112">
        <v>3.0</v>
      </c>
      <c r="L659" s="112">
        <v>2.0</v>
      </c>
      <c r="M659" s="112">
        <v>0.0</v>
      </c>
      <c r="N659" s="112">
        <v>2.0</v>
      </c>
      <c r="O659" s="112">
        <v>1.0</v>
      </c>
      <c r="P659" s="112">
        <v>11.0</v>
      </c>
      <c r="Q659" s="112">
        <v>2.0</v>
      </c>
      <c r="R659" s="112">
        <v>7.0</v>
      </c>
      <c r="S659" s="112">
        <v>6.0</v>
      </c>
      <c r="T659" s="112">
        <v>8.0</v>
      </c>
      <c r="U659" s="112">
        <v>1.0</v>
      </c>
      <c r="V659" s="112">
        <v>9.0</v>
      </c>
      <c r="W659" s="112">
        <v>6.0</v>
      </c>
      <c r="X659" s="112">
        <v>13.0</v>
      </c>
      <c r="Y659" s="112">
        <v>2.0</v>
      </c>
      <c r="Z659" s="112">
        <v>2.0</v>
      </c>
      <c r="AA659" s="112">
        <v>1.0</v>
      </c>
      <c r="AB659" s="112">
        <v>4.0</v>
      </c>
      <c r="AC659" s="112">
        <v>10.0</v>
      </c>
      <c r="AD659" s="112">
        <v>2.0</v>
      </c>
      <c r="AE659" s="112">
        <v>0.0</v>
      </c>
      <c r="AF659" s="112">
        <v>9.0</v>
      </c>
      <c r="AG659" s="112">
        <v>2.0</v>
      </c>
      <c r="AH659" s="112">
        <v>9.0</v>
      </c>
      <c r="AI659" s="112">
        <v>1.0</v>
      </c>
      <c r="AJ659" s="112">
        <v>1.0</v>
      </c>
      <c r="AK659" s="112">
        <v>1.0</v>
      </c>
      <c r="AL659" s="112">
        <v>4.0</v>
      </c>
      <c r="AM659" s="112">
        <v>5.0</v>
      </c>
      <c r="AN659" s="112">
        <v>118.0</v>
      </c>
    </row>
    <row r="660">
      <c r="A660" s="104"/>
      <c r="B660" s="111" t="s">
        <v>199</v>
      </c>
      <c r="C660" s="112">
        <v>128.0</v>
      </c>
      <c r="D660" s="112">
        <v>99.0</v>
      </c>
      <c r="E660" s="112">
        <v>29.0</v>
      </c>
      <c r="F660" s="112">
        <v>8.0</v>
      </c>
      <c r="G660" s="112">
        <v>1.0</v>
      </c>
      <c r="H660" s="112">
        <v>1.0</v>
      </c>
      <c r="I660" s="112">
        <v>1.0</v>
      </c>
      <c r="J660" s="112">
        <v>2.0</v>
      </c>
      <c r="K660" s="112">
        <v>0.0</v>
      </c>
      <c r="L660" s="112">
        <v>0.0</v>
      </c>
      <c r="M660" s="112">
        <v>0.0</v>
      </c>
      <c r="N660" s="112">
        <v>0.0</v>
      </c>
      <c r="O660" s="112">
        <v>0.0</v>
      </c>
      <c r="P660" s="112">
        <v>1.0</v>
      </c>
      <c r="Q660" s="112">
        <v>0.0</v>
      </c>
      <c r="R660" s="112">
        <v>21.0</v>
      </c>
      <c r="S660" s="112">
        <v>1.0</v>
      </c>
      <c r="T660" s="112">
        <v>14.0</v>
      </c>
      <c r="U660" s="112">
        <v>0.0</v>
      </c>
      <c r="V660" s="112">
        <v>4.0</v>
      </c>
      <c r="W660" s="112">
        <v>0.0</v>
      </c>
      <c r="X660" s="112">
        <v>3.0</v>
      </c>
      <c r="Y660" s="112">
        <v>1.0</v>
      </c>
      <c r="Z660" s="112">
        <v>4.0</v>
      </c>
      <c r="AA660" s="112">
        <v>1.0</v>
      </c>
      <c r="AB660" s="112">
        <v>1.0</v>
      </c>
      <c r="AC660" s="112">
        <v>9.0</v>
      </c>
      <c r="AD660" s="112">
        <v>6.0</v>
      </c>
      <c r="AE660" s="112">
        <v>0.0</v>
      </c>
      <c r="AF660" s="112">
        <v>22.0</v>
      </c>
      <c r="AG660" s="112">
        <v>2.0</v>
      </c>
      <c r="AH660" s="112">
        <v>4.0</v>
      </c>
      <c r="AI660" s="112">
        <v>0.0</v>
      </c>
      <c r="AJ660" s="112">
        <v>1.0</v>
      </c>
      <c r="AK660" s="112">
        <v>1.0</v>
      </c>
      <c r="AL660" s="112">
        <v>7.0</v>
      </c>
      <c r="AM660" s="112">
        <v>12.0</v>
      </c>
      <c r="AN660" s="112">
        <v>99.0</v>
      </c>
    </row>
    <row r="661">
      <c r="A661" s="107" t="s">
        <v>203</v>
      </c>
      <c r="B661" s="111" t="s">
        <v>198</v>
      </c>
      <c r="C661" s="112">
        <v>14.0</v>
      </c>
      <c r="D661" s="112">
        <v>4.0</v>
      </c>
      <c r="E661" s="112">
        <v>10.0</v>
      </c>
      <c r="F661" s="110">
        <v>0.0</v>
      </c>
      <c r="G661" s="110">
        <v>0.0</v>
      </c>
      <c r="H661" s="110">
        <v>0.0</v>
      </c>
      <c r="I661" s="110">
        <v>0.0</v>
      </c>
      <c r="J661" s="110">
        <v>0.0</v>
      </c>
      <c r="K661" s="110">
        <v>0.0</v>
      </c>
      <c r="L661" s="110">
        <v>0.0</v>
      </c>
      <c r="M661" s="110">
        <v>0.0</v>
      </c>
      <c r="N661" s="110">
        <v>0.0</v>
      </c>
      <c r="O661" s="110">
        <v>0.0</v>
      </c>
      <c r="P661" s="110">
        <v>0.0</v>
      </c>
      <c r="Q661" s="110">
        <v>0.0</v>
      </c>
      <c r="R661" s="110">
        <v>0.0</v>
      </c>
      <c r="S661" s="110">
        <v>0.0</v>
      </c>
      <c r="T661" s="110">
        <v>0.0</v>
      </c>
      <c r="U661" s="110">
        <v>0.0</v>
      </c>
      <c r="V661" s="110">
        <v>0.0</v>
      </c>
      <c r="W661" s="110">
        <v>0.0</v>
      </c>
      <c r="X661" s="110">
        <v>0.0</v>
      </c>
      <c r="Y661" s="110">
        <v>0.0</v>
      </c>
      <c r="Z661" s="110">
        <v>0.0</v>
      </c>
      <c r="AA661" s="110">
        <v>0.0</v>
      </c>
      <c r="AB661" s="110">
        <v>0.0</v>
      </c>
      <c r="AC661" s="110">
        <v>0.0</v>
      </c>
      <c r="AD661" s="110">
        <v>0.0</v>
      </c>
      <c r="AE661" s="110">
        <v>0.0</v>
      </c>
      <c r="AF661" s="112">
        <v>0.0</v>
      </c>
      <c r="AG661" s="112">
        <v>3.0</v>
      </c>
      <c r="AH661" s="112">
        <v>2.0</v>
      </c>
      <c r="AI661" s="112">
        <v>3.0</v>
      </c>
      <c r="AJ661" s="112">
        <v>2.0</v>
      </c>
      <c r="AK661" s="112">
        <v>0.0</v>
      </c>
      <c r="AL661" s="112">
        <v>0.0</v>
      </c>
      <c r="AM661" s="112">
        <v>4.0</v>
      </c>
      <c r="AN661" s="112">
        <v>14.0</v>
      </c>
    </row>
    <row r="662">
      <c r="A662" s="104"/>
      <c r="B662" s="111" t="s">
        <v>199</v>
      </c>
      <c r="C662" s="112">
        <v>394.0</v>
      </c>
      <c r="D662" s="112">
        <v>149.0</v>
      </c>
      <c r="E662" s="112">
        <v>245.0</v>
      </c>
      <c r="F662" s="110">
        <v>0.0</v>
      </c>
      <c r="G662" s="110">
        <v>0.0</v>
      </c>
      <c r="H662" s="110">
        <v>0.0</v>
      </c>
      <c r="I662" s="110">
        <v>0.0</v>
      </c>
      <c r="J662" s="110">
        <v>0.0</v>
      </c>
      <c r="K662" s="110">
        <v>0.0</v>
      </c>
      <c r="L662" s="110">
        <v>0.0</v>
      </c>
      <c r="M662" s="110">
        <v>0.0</v>
      </c>
      <c r="N662" s="110">
        <v>0.0</v>
      </c>
      <c r="O662" s="110">
        <v>0.0</v>
      </c>
      <c r="P662" s="110">
        <v>0.0</v>
      </c>
      <c r="Q662" s="110">
        <v>0.0</v>
      </c>
      <c r="R662" s="110">
        <v>0.0</v>
      </c>
      <c r="S662" s="110">
        <v>0.0</v>
      </c>
      <c r="T662" s="110">
        <v>0.0</v>
      </c>
      <c r="U662" s="110">
        <v>0.0</v>
      </c>
      <c r="V662" s="110">
        <v>0.0</v>
      </c>
      <c r="W662" s="110">
        <v>0.0</v>
      </c>
      <c r="X662" s="110">
        <v>0.0</v>
      </c>
      <c r="Y662" s="110">
        <v>0.0</v>
      </c>
      <c r="Z662" s="110">
        <v>0.0</v>
      </c>
      <c r="AA662" s="110">
        <v>0.0</v>
      </c>
      <c r="AB662" s="110">
        <v>0.0</v>
      </c>
      <c r="AC662" s="110">
        <v>0.0</v>
      </c>
      <c r="AD662" s="110">
        <v>0.0</v>
      </c>
      <c r="AE662" s="110">
        <v>0.0</v>
      </c>
      <c r="AF662" s="112">
        <v>39.0</v>
      </c>
      <c r="AG662" s="112">
        <v>70.0</v>
      </c>
      <c r="AH662" s="112">
        <v>45.0</v>
      </c>
      <c r="AI662" s="112">
        <v>65.0</v>
      </c>
      <c r="AJ662" s="112">
        <v>36.0</v>
      </c>
      <c r="AK662" s="112">
        <v>56.0</v>
      </c>
      <c r="AL662" s="112">
        <v>29.0</v>
      </c>
      <c r="AM662" s="112">
        <v>54.0</v>
      </c>
      <c r="AN662" s="112">
        <v>389.0</v>
      </c>
    </row>
    <row r="663">
      <c r="A663" s="107" t="s">
        <v>204</v>
      </c>
      <c r="B663" s="111" t="s">
        <v>198</v>
      </c>
      <c r="C663" s="112">
        <v>20.0</v>
      </c>
      <c r="D663" s="112">
        <v>6.0</v>
      </c>
      <c r="E663" s="112">
        <v>14.0</v>
      </c>
      <c r="F663" s="110">
        <v>0.0</v>
      </c>
      <c r="G663" s="110">
        <v>0.0</v>
      </c>
      <c r="H663" s="110">
        <v>0.0</v>
      </c>
      <c r="I663" s="110">
        <v>0.0</v>
      </c>
      <c r="J663" s="110">
        <v>0.0</v>
      </c>
      <c r="K663" s="110">
        <v>0.0</v>
      </c>
      <c r="L663" s="110">
        <v>0.0</v>
      </c>
      <c r="M663" s="110">
        <v>0.0</v>
      </c>
      <c r="N663" s="110">
        <v>0.0</v>
      </c>
      <c r="O663" s="110">
        <v>0.0</v>
      </c>
      <c r="P663" s="110">
        <v>0.0</v>
      </c>
      <c r="Q663" s="110">
        <v>0.0</v>
      </c>
      <c r="R663" s="110">
        <v>0.0</v>
      </c>
      <c r="S663" s="110">
        <v>0.0</v>
      </c>
      <c r="T663" s="110">
        <v>0.0</v>
      </c>
      <c r="U663" s="110">
        <v>0.0</v>
      </c>
      <c r="V663" s="110">
        <v>0.0</v>
      </c>
      <c r="W663" s="110">
        <v>0.0</v>
      </c>
      <c r="X663" s="110">
        <v>0.0</v>
      </c>
      <c r="Y663" s="110">
        <v>0.0</v>
      </c>
      <c r="Z663" s="110">
        <v>0.0</v>
      </c>
      <c r="AA663" s="110">
        <v>0.0</v>
      </c>
      <c r="AB663" s="110">
        <v>0.0</v>
      </c>
      <c r="AC663" s="110">
        <v>0.0</v>
      </c>
      <c r="AD663" s="110">
        <v>0.0</v>
      </c>
      <c r="AE663" s="110">
        <v>0.0</v>
      </c>
      <c r="AF663" s="112">
        <v>2.0</v>
      </c>
      <c r="AG663" s="112">
        <v>1.0</v>
      </c>
      <c r="AH663" s="112">
        <v>0.0</v>
      </c>
      <c r="AI663" s="112">
        <v>4.0</v>
      </c>
      <c r="AJ663" s="112">
        <v>2.0</v>
      </c>
      <c r="AK663" s="112">
        <v>3.0</v>
      </c>
      <c r="AL663" s="112">
        <v>2.0</v>
      </c>
      <c r="AM663" s="112">
        <v>6.0</v>
      </c>
      <c r="AN663" s="112">
        <v>20.0</v>
      </c>
    </row>
    <row r="664">
      <c r="A664" s="104"/>
      <c r="B664" s="111" t="s">
        <v>199</v>
      </c>
      <c r="C664" s="112">
        <v>305.0</v>
      </c>
      <c r="D664" s="112">
        <v>106.0</v>
      </c>
      <c r="E664" s="112">
        <v>199.0</v>
      </c>
      <c r="F664" s="110">
        <v>0.0</v>
      </c>
      <c r="G664" s="110">
        <v>0.0</v>
      </c>
      <c r="H664" s="110">
        <v>0.0</v>
      </c>
      <c r="I664" s="110">
        <v>0.0</v>
      </c>
      <c r="J664" s="110">
        <v>0.0</v>
      </c>
      <c r="K664" s="110">
        <v>0.0</v>
      </c>
      <c r="L664" s="110">
        <v>0.0</v>
      </c>
      <c r="M664" s="110">
        <v>0.0</v>
      </c>
      <c r="N664" s="110">
        <v>0.0</v>
      </c>
      <c r="O664" s="110">
        <v>0.0</v>
      </c>
      <c r="P664" s="110">
        <v>0.0</v>
      </c>
      <c r="Q664" s="110">
        <v>0.0</v>
      </c>
      <c r="R664" s="110">
        <v>0.0</v>
      </c>
      <c r="S664" s="110">
        <v>0.0</v>
      </c>
      <c r="T664" s="110">
        <v>0.0</v>
      </c>
      <c r="U664" s="110">
        <v>0.0</v>
      </c>
      <c r="V664" s="110">
        <v>0.0</v>
      </c>
      <c r="W664" s="110">
        <v>0.0</v>
      </c>
      <c r="X664" s="110">
        <v>0.0</v>
      </c>
      <c r="Y664" s="110">
        <v>0.0</v>
      </c>
      <c r="Z664" s="110">
        <v>0.0</v>
      </c>
      <c r="AA664" s="110">
        <v>0.0</v>
      </c>
      <c r="AB664" s="110">
        <v>0.0</v>
      </c>
      <c r="AC664" s="110">
        <v>0.0</v>
      </c>
      <c r="AD664" s="110">
        <v>0.0</v>
      </c>
      <c r="AE664" s="110">
        <v>0.0</v>
      </c>
      <c r="AF664" s="112">
        <v>13.0</v>
      </c>
      <c r="AG664" s="112">
        <v>23.0</v>
      </c>
      <c r="AH664" s="112">
        <v>21.0</v>
      </c>
      <c r="AI664" s="112">
        <v>49.0</v>
      </c>
      <c r="AJ664" s="112">
        <v>25.0</v>
      </c>
      <c r="AK664" s="112">
        <v>47.0</v>
      </c>
      <c r="AL664" s="112">
        <v>47.0</v>
      </c>
      <c r="AM664" s="112">
        <v>80.0</v>
      </c>
      <c r="AN664" s="112">
        <v>302.0</v>
      </c>
    </row>
    <row r="665">
      <c r="A665" s="107" t="s">
        <v>205</v>
      </c>
      <c r="B665" s="111" t="s">
        <v>198</v>
      </c>
      <c r="C665" s="112">
        <v>0.0</v>
      </c>
      <c r="D665" s="112">
        <v>0.0</v>
      </c>
      <c r="E665" s="112">
        <v>0.0</v>
      </c>
      <c r="F665" s="112">
        <v>0.0</v>
      </c>
      <c r="G665" s="112">
        <v>0.0</v>
      </c>
      <c r="H665" s="112">
        <v>0.0</v>
      </c>
      <c r="I665" s="112">
        <v>0.0</v>
      </c>
      <c r="J665" s="112">
        <v>0.0</v>
      </c>
      <c r="K665" s="112">
        <v>0.0</v>
      </c>
      <c r="L665" s="112">
        <v>0.0</v>
      </c>
      <c r="M665" s="112">
        <v>0.0</v>
      </c>
      <c r="N665" s="112">
        <v>0.0</v>
      </c>
      <c r="O665" s="112">
        <v>0.0</v>
      </c>
      <c r="P665" s="112">
        <v>0.0</v>
      </c>
      <c r="Q665" s="112">
        <v>0.0</v>
      </c>
      <c r="R665" s="112">
        <v>0.0</v>
      </c>
      <c r="S665" s="112">
        <v>0.0</v>
      </c>
      <c r="T665" s="112">
        <v>0.0</v>
      </c>
      <c r="U665" s="112">
        <v>0.0</v>
      </c>
      <c r="V665" s="112">
        <v>0.0</v>
      </c>
      <c r="W665" s="112">
        <v>0.0</v>
      </c>
      <c r="X665" s="112">
        <v>0.0</v>
      </c>
      <c r="Y665" s="112">
        <v>0.0</v>
      </c>
      <c r="Z665" s="112">
        <v>0.0</v>
      </c>
      <c r="AA665" s="112">
        <v>0.0</v>
      </c>
      <c r="AB665" s="112">
        <v>0.0</v>
      </c>
      <c r="AC665" s="112">
        <v>0.0</v>
      </c>
      <c r="AD665" s="112">
        <v>0.0</v>
      </c>
      <c r="AE665" s="112">
        <v>0.0</v>
      </c>
      <c r="AF665" s="112">
        <v>0.0</v>
      </c>
      <c r="AG665" s="112">
        <v>0.0</v>
      </c>
      <c r="AH665" s="112">
        <v>0.0</v>
      </c>
      <c r="AI665" s="112">
        <v>0.0</v>
      </c>
      <c r="AJ665" s="112">
        <v>0.0</v>
      </c>
      <c r="AK665" s="112">
        <v>0.0</v>
      </c>
      <c r="AL665" s="112">
        <v>0.0</v>
      </c>
      <c r="AM665" s="112">
        <v>0.0</v>
      </c>
      <c r="AN665" s="112">
        <v>0.0</v>
      </c>
    </row>
    <row r="666">
      <c r="A666" s="98"/>
      <c r="B666" s="111" t="s">
        <v>199</v>
      </c>
      <c r="C666" s="112">
        <v>2.0</v>
      </c>
      <c r="D666" s="112">
        <v>1.0</v>
      </c>
      <c r="E666" s="112">
        <v>1.0</v>
      </c>
      <c r="F666" s="112">
        <v>0.0</v>
      </c>
      <c r="G666" s="112">
        <v>0.0</v>
      </c>
      <c r="H666" s="112">
        <v>0.0</v>
      </c>
      <c r="I666" s="112">
        <v>0.0</v>
      </c>
      <c r="J666" s="112">
        <v>0.0</v>
      </c>
      <c r="K666" s="112">
        <v>0.0</v>
      </c>
      <c r="L666" s="112">
        <v>0.0</v>
      </c>
      <c r="M666" s="112">
        <v>0.0</v>
      </c>
      <c r="N666" s="112">
        <v>0.0</v>
      </c>
      <c r="O666" s="112">
        <v>0.0</v>
      </c>
      <c r="P666" s="112">
        <v>0.0</v>
      </c>
      <c r="Q666" s="112">
        <v>0.0</v>
      </c>
      <c r="R666" s="112">
        <v>0.0</v>
      </c>
      <c r="S666" s="112">
        <v>0.0</v>
      </c>
      <c r="T666" s="112">
        <v>0.0</v>
      </c>
      <c r="U666" s="112">
        <v>0.0</v>
      </c>
      <c r="V666" s="112">
        <v>0.0</v>
      </c>
      <c r="W666" s="112">
        <v>0.0</v>
      </c>
      <c r="X666" s="112">
        <v>0.0</v>
      </c>
      <c r="Y666" s="112">
        <v>0.0</v>
      </c>
      <c r="Z666" s="112">
        <v>0.0</v>
      </c>
      <c r="AA666" s="112">
        <v>0.0</v>
      </c>
      <c r="AB666" s="112">
        <v>0.0</v>
      </c>
      <c r="AC666" s="112">
        <v>0.0</v>
      </c>
      <c r="AD666" s="112">
        <v>0.0</v>
      </c>
      <c r="AE666" s="112">
        <v>0.0</v>
      </c>
      <c r="AF666" s="112">
        <v>0.0</v>
      </c>
      <c r="AG666" s="112">
        <v>0.0</v>
      </c>
      <c r="AH666" s="112">
        <v>0.0</v>
      </c>
      <c r="AI666" s="112">
        <v>0.0</v>
      </c>
      <c r="AJ666" s="112">
        <v>0.0</v>
      </c>
      <c r="AK666" s="112">
        <v>1.0</v>
      </c>
      <c r="AL666" s="112">
        <v>1.0</v>
      </c>
      <c r="AM666" s="112">
        <v>0.0</v>
      </c>
      <c r="AN666" s="112">
        <v>2.0</v>
      </c>
    </row>
    <row r="667">
      <c r="A667" s="104"/>
      <c r="B667" s="111" t="s">
        <v>206</v>
      </c>
      <c r="C667" s="112">
        <v>49.0</v>
      </c>
      <c r="D667" s="112">
        <v>22.0</v>
      </c>
      <c r="E667" s="112">
        <v>27.0</v>
      </c>
      <c r="F667" s="112">
        <v>2.0</v>
      </c>
      <c r="G667" s="112">
        <v>0.0</v>
      </c>
      <c r="H667" s="112">
        <v>1.0</v>
      </c>
      <c r="I667" s="112">
        <v>0.0</v>
      </c>
      <c r="J667" s="112">
        <v>0.0</v>
      </c>
      <c r="K667" s="112">
        <v>0.0</v>
      </c>
      <c r="L667" s="112">
        <v>3.0</v>
      </c>
      <c r="M667" s="112">
        <v>4.0</v>
      </c>
      <c r="N667" s="112">
        <v>2.0</v>
      </c>
      <c r="O667" s="112">
        <v>12.0</v>
      </c>
      <c r="P667" s="112">
        <v>8.0</v>
      </c>
      <c r="Q667" s="112">
        <v>5.0</v>
      </c>
      <c r="R667" s="112">
        <v>0.0</v>
      </c>
      <c r="S667" s="112">
        <v>1.0</v>
      </c>
      <c r="T667" s="112">
        <v>1.0</v>
      </c>
      <c r="U667" s="112">
        <v>1.0</v>
      </c>
      <c r="V667" s="112">
        <v>1.0</v>
      </c>
      <c r="W667" s="112">
        <v>0.0</v>
      </c>
      <c r="X667" s="112">
        <v>0.0</v>
      </c>
      <c r="Y667" s="112">
        <v>1.0</v>
      </c>
      <c r="Z667" s="112">
        <v>1.0</v>
      </c>
      <c r="AA667" s="112">
        <v>0.0</v>
      </c>
      <c r="AB667" s="112">
        <v>1.0</v>
      </c>
      <c r="AC667" s="112">
        <v>1.0</v>
      </c>
      <c r="AD667" s="112">
        <v>0.0</v>
      </c>
      <c r="AE667" s="112">
        <v>0.0</v>
      </c>
      <c r="AF667" s="112">
        <v>1.0</v>
      </c>
      <c r="AG667" s="112">
        <v>0.0</v>
      </c>
      <c r="AH667" s="112">
        <v>0.0</v>
      </c>
      <c r="AI667" s="112">
        <v>2.0</v>
      </c>
      <c r="AJ667" s="112">
        <v>0.0</v>
      </c>
      <c r="AK667" s="112">
        <v>0.0</v>
      </c>
      <c r="AL667" s="112">
        <v>1.0</v>
      </c>
      <c r="AM667" s="112">
        <v>0.0</v>
      </c>
      <c r="AN667" s="112">
        <v>12.0</v>
      </c>
    </row>
    <row r="668">
      <c r="A668" s="107" t="s">
        <v>207</v>
      </c>
      <c r="B668" s="111" t="s">
        <v>198</v>
      </c>
      <c r="C668" s="109">
        <v>6785.0</v>
      </c>
      <c r="D668" s="109">
        <v>2028.0</v>
      </c>
      <c r="E668" s="109">
        <v>4757.0</v>
      </c>
      <c r="F668" s="112">
        <v>114.0</v>
      </c>
      <c r="G668" s="112">
        <v>94.0</v>
      </c>
      <c r="H668" s="112">
        <v>60.0</v>
      </c>
      <c r="I668" s="112">
        <v>62.0</v>
      </c>
      <c r="J668" s="112">
        <v>75.0</v>
      </c>
      <c r="K668" s="112">
        <v>71.0</v>
      </c>
      <c r="L668" s="112">
        <v>80.0</v>
      </c>
      <c r="M668" s="112">
        <v>103.0</v>
      </c>
      <c r="N668" s="112">
        <v>66.0</v>
      </c>
      <c r="O668" s="112">
        <v>118.0</v>
      </c>
      <c r="P668" s="112">
        <v>47.0</v>
      </c>
      <c r="Q668" s="112">
        <v>169.0</v>
      </c>
      <c r="R668" s="112">
        <v>85.0</v>
      </c>
      <c r="S668" s="112">
        <v>166.0</v>
      </c>
      <c r="T668" s="112">
        <v>95.0</v>
      </c>
      <c r="U668" s="112">
        <v>232.0</v>
      </c>
      <c r="V668" s="112">
        <v>98.0</v>
      </c>
      <c r="W668" s="112">
        <v>272.0</v>
      </c>
      <c r="X668" s="112">
        <v>116.0</v>
      </c>
      <c r="Y668" s="112">
        <v>394.0</v>
      </c>
      <c r="Z668" s="112">
        <v>148.0</v>
      </c>
      <c r="AA668" s="112">
        <v>488.0</v>
      </c>
      <c r="AB668" s="112">
        <v>175.0</v>
      </c>
      <c r="AC668" s="112">
        <v>513.0</v>
      </c>
      <c r="AD668" s="112">
        <v>183.0</v>
      </c>
      <c r="AE668" s="112">
        <v>486.0</v>
      </c>
      <c r="AF668" s="112">
        <v>189.0</v>
      </c>
      <c r="AG668" s="112">
        <v>515.0</v>
      </c>
      <c r="AH668" s="112">
        <v>168.0</v>
      </c>
      <c r="AI668" s="112">
        <v>360.0</v>
      </c>
      <c r="AJ668" s="112">
        <v>156.0</v>
      </c>
      <c r="AK668" s="112">
        <v>313.0</v>
      </c>
      <c r="AL668" s="112">
        <v>173.0</v>
      </c>
      <c r="AM668" s="112">
        <v>401.0</v>
      </c>
      <c r="AN668" s="109">
        <v>6654.0</v>
      </c>
    </row>
    <row r="669">
      <c r="A669" s="98"/>
      <c r="B669" s="111" t="s">
        <v>199</v>
      </c>
      <c r="C669" s="112">
        <v>958.0</v>
      </c>
      <c r="D669" s="112">
        <v>432.0</v>
      </c>
      <c r="E669" s="112">
        <v>526.0</v>
      </c>
      <c r="F669" s="112">
        <v>22.0</v>
      </c>
      <c r="G669" s="112">
        <v>19.0</v>
      </c>
      <c r="H669" s="112">
        <v>27.0</v>
      </c>
      <c r="I669" s="112">
        <v>9.0</v>
      </c>
      <c r="J669" s="112">
        <v>19.0</v>
      </c>
      <c r="K669" s="112">
        <v>2.0</v>
      </c>
      <c r="L669" s="112">
        <v>13.0</v>
      </c>
      <c r="M669" s="112">
        <v>3.0</v>
      </c>
      <c r="N669" s="112">
        <v>17.0</v>
      </c>
      <c r="O669" s="112">
        <v>10.0</v>
      </c>
      <c r="P669" s="112">
        <v>19.0</v>
      </c>
      <c r="Q669" s="112">
        <v>6.0</v>
      </c>
      <c r="R669" s="112">
        <v>17.0</v>
      </c>
      <c r="S669" s="112">
        <v>11.0</v>
      </c>
      <c r="T669" s="112">
        <v>18.0</v>
      </c>
      <c r="U669" s="112">
        <v>21.0</v>
      </c>
      <c r="V669" s="112">
        <v>9.0</v>
      </c>
      <c r="W669" s="112">
        <v>26.0</v>
      </c>
      <c r="X669" s="112">
        <v>21.0</v>
      </c>
      <c r="Y669" s="112">
        <v>35.0</v>
      </c>
      <c r="Z669" s="112">
        <v>32.0</v>
      </c>
      <c r="AA669" s="112">
        <v>36.0</v>
      </c>
      <c r="AB669" s="112">
        <v>24.0</v>
      </c>
      <c r="AC669" s="112">
        <v>30.0</v>
      </c>
      <c r="AD669" s="112">
        <v>15.0</v>
      </c>
      <c r="AE669" s="112">
        <v>39.0</v>
      </c>
      <c r="AF669" s="112">
        <v>40.0</v>
      </c>
      <c r="AG669" s="112">
        <v>60.0</v>
      </c>
      <c r="AH669" s="112">
        <v>64.0</v>
      </c>
      <c r="AI669" s="112">
        <v>77.0</v>
      </c>
      <c r="AJ669" s="112">
        <v>33.0</v>
      </c>
      <c r="AK669" s="112">
        <v>47.0</v>
      </c>
      <c r="AL669" s="112">
        <v>42.0</v>
      </c>
      <c r="AM669" s="112">
        <v>95.0</v>
      </c>
      <c r="AN669" s="112">
        <v>881.0</v>
      </c>
    </row>
    <row r="670">
      <c r="A670" s="98"/>
      <c r="B670" s="111" t="s">
        <v>206</v>
      </c>
      <c r="C670" s="112">
        <v>17.0</v>
      </c>
      <c r="D670" s="112">
        <v>0.0</v>
      </c>
      <c r="E670" s="112">
        <v>17.0</v>
      </c>
      <c r="F670" s="112">
        <v>0.0</v>
      </c>
      <c r="G670" s="112">
        <v>0.0</v>
      </c>
      <c r="H670" s="112">
        <v>0.0</v>
      </c>
      <c r="I670" s="112">
        <v>0.0</v>
      </c>
      <c r="J670" s="112">
        <v>0.0</v>
      </c>
      <c r="K670" s="112">
        <v>0.0</v>
      </c>
      <c r="L670" s="112">
        <v>0.0</v>
      </c>
      <c r="M670" s="112">
        <v>0.0</v>
      </c>
      <c r="N670" s="112">
        <v>0.0</v>
      </c>
      <c r="O670" s="112">
        <v>0.0</v>
      </c>
      <c r="P670" s="112">
        <v>0.0</v>
      </c>
      <c r="Q670" s="112">
        <v>1.0</v>
      </c>
      <c r="R670" s="112">
        <v>0.0</v>
      </c>
      <c r="S670" s="112">
        <v>3.0</v>
      </c>
      <c r="T670" s="112">
        <v>0.0</v>
      </c>
      <c r="U670" s="112">
        <v>0.0</v>
      </c>
      <c r="V670" s="112">
        <v>0.0</v>
      </c>
      <c r="W670" s="112">
        <v>1.0</v>
      </c>
      <c r="X670" s="112">
        <v>0.0</v>
      </c>
      <c r="Y670" s="112">
        <v>0.0</v>
      </c>
      <c r="Z670" s="112">
        <v>0.0</v>
      </c>
      <c r="AA670" s="112">
        <v>7.0</v>
      </c>
      <c r="AB670" s="112">
        <v>0.0</v>
      </c>
      <c r="AC670" s="112">
        <v>1.0</v>
      </c>
      <c r="AD670" s="112">
        <v>0.0</v>
      </c>
      <c r="AE670" s="112">
        <v>3.0</v>
      </c>
      <c r="AF670" s="112">
        <v>0.0</v>
      </c>
      <c r="AG670" s="112">
        <v>0.0</v>
      </c>
      <c r="AH670" s="112">
        <v>0.0</v>
      </c>
      <c r="AI670" s="112">
        <v>0.0</v>
      </c>
      <c r="AJ670" s="112">
        <v>0.0</v>
      </c>
      <c r="AK670" s="112">
        <v>0.0</v>
      </c>
      <c r="AL670" s="112">
        <v>0.0</v>
      </c>
      <c r="AM670" s="112">
        <v>1.0</v>
      </c>
      <c r="AN670" s="112">
        <v>17.0</v>
      </c>
    </row>
    <row r="671">
      <c r="A671" s="98"/>
      <c r="B671" s="111" t="s">
        <v>200</v>
      </c>
      <c r="C671" s="109">
        <v>4941.0</v>
      </c>
      <c r="D671" s="109">
        <v>1924.0</v>
      </c>
      <c r="E671" s="109">
        <v>3017.0</v>
      </c>
      <c r="F671" s="109">
        <v>1191.0</v>
      </c>
      <c r="G671" s="109">
        <v>1129.0</v>
      </c>
      <c r="H671" s="112">
        <v>443.0</v>
      </c>
      <c r="I671" s="112">
        <v>330.0</v>
      </c>
      <c r="J671" s="112">
        <v>111.0</v>
      </c>
      <c r="K671" s="112">
        <v>111.0</v>
      </c>
      <c r="L671" s="112">
        <v>29.0</v>
      </c>
      <c r="M671" s="112">
        <v>144.0</v>
      </c>
      <c r="N671" s="112">
        <v>14.0</v>
      </c>
      <c r="O671" s="112">
        <v>230.0</v>
      </c>
      <c r="P671" s="112">
        <v>6.0</v>
      </c>
      <c r="Q671" s="112">
        <v>272.0</v>
      </c>
      <c r="R671" s="112">
        <v>11.0</v>
      </c>
      <c r="S671" s="112">
        <v>209.0</v>
      </c>
      <c r="T671" s="112">
        <v>14.0</v>
      </c>
      <c r="U671" s="112">
        <v>149.0</v>
      </c>
      <c r="V671" s="112">
        <v>12.0</v>
      </c>
      <c r="W671" s="112">
        <v>88.0</v>
      </c>
      <c r="X671" s="112">
        <v>13.0</v>
      </c>
      <c r="Y671" s="112">
        <v>90.0</v>
      </c>
      <c r="Z671" s="112">
        <v>15.0</v>
      </c>
      <c r="AA671" s="112">
        <v>81.0</v>
      </c>
      <c r="AB671" s="112">
        <v>19.0</v>
      </c>
      <c r="AC671" s="112">
        <v>50.0</v>
      </c>
      <c r="AD671" s="112">
        <v>9.0</v>
      </c>
      <c r="AE671" s="112">
        <v>34.0</v>
      </c>
      <c r="AF671" s="112">
        <v>8.0</v>
      </c>
      <c r="AG671" s="112">
        <v>33.0</v>
      </c>
      <c r="AH671" s="112">
        <v>13.0</v>
      </c>
      <c r="AI671" s="112">
        <v>24.0</v>
      </c>
      <c r="AJ671" s="112">
        <v>4.0</v>
      </c>
      <c r="AK671" s="112">
        <v>11.0</v>
      </c>
      <c r="AL671" s="112">
        <v>12.0</v>
      </c>
      <c r="AM671" s="112">
        <v>32.0</v>
      </c>
      <c r="AN671" s="109">
        <v>4867.0</v>
      </c>
    </row>
    <row r="672">
      <c r="A672" s="104"/>
      <c r="B672" s="111" t="s">
        <v>201</v>
      </c>
      <c r="C672" s="109">
        <v>6057.0</v>
      </c>
      <c r="D672" s="109">
        <v>2635.0</v>
      </c>
      <c r="E672" s="109">
        <v>3422.0</v>
      </c>
      <c r="F672" s="112">
        <v>122.0</v>
      </c>
      <c r="G672" s="112">
        <v>160.0</v>
      </c>
      <c r="H672" s="112">
        <v>134.0</v>
      </c>
      <c r="I672" s="112">
        <v>148.0</v>
      </c>
      <c r="J672" s="112">
        <v>135.0</v>
      </c>
      <c r="K672" s="112">
        <v>145.0</v>
      </c>
      <c r="L672" s="112">
        <v>95.0</v>
      </c>
      <c r="M672" s="112">
        <v>115.0</v>
      </c>
      <c r="N672" s="112">
        <v>89.0</v>
      </c>
      <c r="O672" s="112">
        <v>107.0</v>
      </c>
      <c r="P672" s="112">
        <v>141.0</v>
      </c>
      <c r="Q672" s="112">
        <v>182.0</v>
      </c>
      <c r="R672" s="112">
        <v>160.0</v>
      </c>
      <c r="S672" s="112">
        <v>198.0</v>
      </c>
      <c r="T672" s="112">
        <v>175.0</v>
      </c>
      <c r="U672" s="112">
        <v>205.0</v>
      </c>
      <c r="V672" s="112">
        <v>163.0</v>
      </c>
      <c r="W672" s="112">
        <v>227.0</v>
      </c>
      <c r="X672" s="112">
        <v>177.0</v>
      </c>
      <c r="Y672" s="112">
        <v>224.0</v>
      </c>
      <c r="Z672" s="112">
        <v>205.0</v>
      </c>
      <c r="AA672" s="112">
        <v>254.0</v>
      </c>
      <c r="AB672" s="112">
        <v>178.0</v>
      </c>
      <c r="AC672" s="112">
        <v>239.0</v>
      </c>
      <c r="AD672" s="112">
        <v>143.0</v>
      </c>
      <c r="AE672" s="112">
        <v>254.0</v>
      </c>
      <c r="AF672" s="112">
        <v>167.0</v>
      </c>
      <c r="AG672" s="112">
        <v>219.0</v>
      </c>
      <c r="AH672" s="112">
        <v>162.0</v>
      </c>
      <c r="AI672" s="112">
        <v>251.0</v>
      </c>
      <c r="AJ672" s="112">
        <v>186.0</v>
      </c>
      <c r="AK672" s="112">
        <v>252.0</v>
      </c>
      <c r="AL672" s="112">
        <v>203.0</v>
      </c>
      <c r="AM672" s="112">
        <v>242.0</v>
      </c>
      <c r="AN672" s="109">
        <v>5828.0</v>
      </c>
    </row>
    <row r="673">
      <c r="A673" s="107" t="s">
        <v>208</v>
      </c>
      <c r="B673" s="111" t="s">
        <v>198</v>
      </c>
      <c r="C673" s="112">
        <v>5.0</v>
      </c>
      <c r="D673" s="112">
        <v>4.0</v>
      </c>
      <c r="E673" s="112">
        <v>1.0</v>
      </c>
      <c r="F673" s="112">
        <v>0.0</v>
      </c>
      <c r="G673" s="112">
        <v>0.0</v>
      </c>
      <c r="H673" s="112">
        <v>2.0</v>
      </c>
      <c r="I673" s="112">
        <v>1.0</v>
      </c>
      <c r="J673" s="112">
        <v>2.0</v>
      </c>
      <c r="K673" s="112">
        <v>0.0</v>
      </c>
      <c r="L673" s="112">
        <v>0.0</v>
      </c>
      <c r="M673" s="112">
        <v>0.0</v>
      </c>
      <c r="N673" s="112">
        <v>0.0</v>
      </c>
      <c r="O673" s="112">
        <v>0.0</v>
      </c>
      <c r="P673" s="110">
        <v>0.0</v>
      </c>
      <c r="Q673" s="110">
        <v>0.0</v>
      </c>
      <c r="R673" s="110">
        <v>0.0</v>
      </c>
      <c r="S673" s="110">
        <v>0.0</v>
      </c>
      <c r="T673" s="110">
        <v>0.0</v>
      </c>
      <c r="U673" s="110">
        <v>0.0</v>
      </c>
      <c r="V673" s="110">
        <v>0.0</v>
      </c>
      <c r="W673" s="110">
        <v>0.0</v>
      </c>
      <c r="X673" s="110">
        <v>0.0</v>
      </c>
      <c r="Y673" s="110">
        <v>0.0</v>
      </c>
      <c r="Z673" s="110">
        <v>0.0</v>
      </c>
      <c r="AA673" s="110">
        <v>0.0</v>
      </c>
      <c r="AB673" s="110">
        <v>0.0</v>
      </c>
      <c r="AC673" s="110">
        <v>0.0</v>
      </c>
      <c r="AD673" s="110">
        <v>0.0</v>
      </c>
      <c r="AE673" s="110">
        <v>0.0</v>
      </c>
      <c r="AF673" s="110">
        <v>0.0</v>
      </c>
      <c r="AG673" s="110">
        <v>0.0</v>
      </c>
      <c r="AH673" s="110">
        <v>0.0</v>
      </c>
      <c r="AI673" s="110">
        <v>0.0</v>
      </c>
      <c r="AJ673" s="110">
        <v>0.0</v>
      </c>
      <c r="AK673" s="110">
        <v>0.0</v>
      </c>
      <c r="AL673" s="110">
        <v>0.0</v>
      </c>
      <c r="AM673" s="110">
        <v>0.0</v>
      </c>
      <c r="AN673" s="112">
        <v>2.0</v>
      </c>
    </row>
    <row r="674">
      <c r="A674" s="98"/>
      <c r="B674" s="111" t="s">
        <v>199</v>
      </c>
      <c r="C674" s="112">
        <v>7.0</v>
      </c>
      <c r="D674" s="112">
        <v>3.0</v>
      </c>
      <c r="E674" s="112">
        <v>4.0</v>
      </c>
      <c r="F674" s="112">
        <v>2.0</v>
      </c>
      <c r="G674" s="112">
        <v>4.0</v>
      </c>
      <c r="H674" s="112">
        <v>1.0</v>
      </c>
      <c r="I674" s="112">
        <v>0.0</v>
      </c>
      <c r="J674" s="112">
        <v>0.0</v>
      </c>
      <c r="K674" s="112">
        <v>0.0</v>
      </c>
      <c r="L674" s="112">
        <v>0.0</v>
      </c>
      <c r="M674" s="112">
        <v>0.0</v>
      </c>
      <c r="N674" s="112">
        <v>0.0</v>
      </c>
      <c r="O674" s="112">
        <v>0.0</v>
      </c>
      <c r="P674" s="110">
        <v>0.0</v>
      </c>
      <c r="Q674" s="110">
        <v>0.0</v>
      </c>
      <c r="R674" s="110">
        <v>0.0</v>
      </c>
      <c r="S674" s="110">
        <v>0.0</v>
      </c>
      <c r="T674" s="110">
        <v>0.0</v>
      </c>
      <c r="U674" s="110">
        <v>0.0</v>
      </c>
      <c r="V674" s="110">
        <v>0.0</v>
      </c>
      <c r="W674" s="110">
        <v>0.0</v>
      </c>
      <c r="X674" s="110">
        <v>0.0</v>
      </c>
      <c r="Y674" s="110">
        <v>0.0</v>
      </c>
      <c r="Z674" s="110">
        <v>0.0</v>
      </c>
      <c r="AA674" s="110">
        <v>0.0</v>
      </c>
      <c r="AB674" s="110">
        <v>0.0</v>
      </c>
      <c r="AC674" s="110">
        <v>0.0</v>
      </c>
      <c r="AD674" s="110">
        <v>0.0</v>
      </c>
      <c r="AE674" s="110">
        <v>0.0</v>
      </c>
      <c r="AF674" s="110">
        <v>0.0</v>
      </c>
      <c r="AG674" s="110">
        <v>0.0</v>
      </c>
      <c r="AH674" s="110">
        <v>0.0</v>
      </c>
      <c r="AI674" s="110">
        <v>0.0</v>
      </c>
      <c r="AJ674" s="110">
        <v>0.0</v>
      </c>
      <c r="AK674" s="110">
        <v>0.0</v>
      </c>
      <c r="AL674" s="110">
        <v>0.0</v>
      </c>
      <c r="AM674" s="110">
        <v>0.0</v>
      </c>
      <c r="AN674" s="112">
        <v>7.0</v>
      </c>
    </row>
    <row r="675">
      <c r="A675" s="98"/>
      <c r="B675" s="111" t="s">
        <v>206</v>
      </c>
      <c r="C675" s="112">
        <v>0.0</v>
      </c>
      <c r="D675" s="112">
        <v>0.0</v>
      </c>
      <c r="E675" s="112">
        <v>0.0</v>
      </c>
      <c r="F675" s="112">
        <v>0.0</v>
      </c>
      <c r="G675" s="112">
        <v>0.0</v>
      </c>
      <c r="H675" s="112">
        <v>0.0</v>
      </c>
      <c r="I675" s="112">
        <v>0.0</v>
      </c>
      <c r="J675" s="112">
        <v>0.0</v>
      </c>
      <c r="K675" s="112">
        <v>0.0</v>
      </c>
      <c r="L675" s="112">
        <v>0.0</v>
      </c>
      <c r="M675" s="112">
        <v>0.0</v>
      </c>
      <c r="N675" s="112">
        <v>0.0</v>
      </c>
      <c r="O675" s="112">
        <v>0.0</v>
      </c>
      <c r="P675" s="110">
        <v>0.0</v>
      </c>
      <c r="Q675" s="110">
        <v>0.0</v>
      </c>
      <c r="R675" s="110">
        <v>0.0</v>
      </c>
      <c r="S675" s="110">
        <v>0.0</v>
      </c>
      <c r="T675" s="110">
        <v>0.0</v>
      </c>
      <c r="U675" s="110">
        <v>0.0</v>
      </c>
      <c r="V675" s="110">
        <v>0.0</v>
      </c>
      <c r="W675" s="110">
        <v>0.0</v>
      </c>
      <c r="X675" s="110">
        <v>0.0</v>
      </c>
      <c r="Y675" s="110">
        <v>0.0</v>
      </c>
      <c r="Z675" s="110">
        <v>0.0</v>
      </c>
      <c r="AA675" s="110">
        <v>0.0</v>
      </c>
      <c r="AB675" s="110">
        <v>0.0</v>
      </c>
      <c r="AC675" s="110">
        <v>0.0</v>
      </c>
      <c r="AD675" s="110">
        <v>0.0</v>
      </c>
      <c r="AE675" s="110">
        <v>0.0</v>
      </c>
      <c r="AF675" s="110">
        <v>0.0</v>
      </c>
      <c r="AG675" s="110">
        <v>0.0</v>
      </c>
      <c r="AH675" s="110">
        <v>0.0</v>
      </c>
      <c r="AI675" s="110">
        <v>0.0</v>
      </c>
      <c r="AJ675" s="110">
        <v>0.0</v>
      </c>
      <c r="AK675" s="110">
        <v>0.0</v>
      </c>
      <c r="AL675" s="110">
        <v>0.0</v>
      </c>
      <c r="AM675" s="110">
        <v>0.0</v>
      </c>
      <c r="AN675" s="112">
        <v>0.0</v>
      </c>
    </row>
    <row r="676">
      <c r="A676" s="98"/>
      <c r="B676" s="111" t="s">
        <v>200</v>
      </c>
      <c r="C676" s="112">
        <v>3.0</v>
      </c>
      <c r="D676" s="112">
        <v>2.0</v>
      </c>
      <c r="E676" s="112">
        <v>1.0</v>
      </c>
      <c r="F676" s="112">
        <v>0.0</v>
      </c>
      <c r="G676" s="112">
        <v>1.0</v>
      </c>
      <c r="H676" s="112">
        <v>2.0</v>
      </c>
      <c r="I676" s="112">
        <v>0.0</v>
      </c>
      <c r="J676" s="112">
        <v>0.0</v>
      </c>
      <c r="K676" s="112">
        <v>0.0</v>
      </c>
      <c r="L676" s="112">
        <v>0.0</v>
      </c>
      <c r="M676" s="112">
        <v>0.0</v>
      </c>
      <c r="N676" s="112">
        <v>0.0</v>
      </c>
      <c r="O676" s="112">
        <v>0.0</v>
      </c>
      <c r="P676" s="110">
        <v>0.0</v>
      </c>
      <c r="Q676" s="110">
        <v>0.0</v>
      </c>
      <c r="R676" s="110">
        <v>0.0</v>
      </c>
      <c r="S676" s="110">
        <v>0.0</v>
      </c>
      <c r="T676" s="110">
        <v>0.0</v>
      </c>
      <c r="U676" s="110">
        <v>0.0</v>
      </c>
      <c r="V676" s="110">
        <v>0.0</v>
      </c>
      <c r="W676" s="110">
        <v>0.0</v>
      </c>
      <c r="X676" s="110">
        <v>0.0</v>
      </c>
      <c r="Y676" s="110">
        <v>0.0</v>
      </c>
      <c r="Z676" s="110">
        <v>0.0</v>
      </c>
      <c r="AA676" s="110">
        <v>0.0</v>
      </c>
      <c r="AB676" s="110">
        <v>0.0</v>
      </c>
      <c r="AC676" s="110">
        <v>0.0</v>
      </c>
      <c r="AD676" s="110">
        <v>0.0</v>
      </c>
      <c r="AE676" s="110">
        <v>0.0</v>
      </c>
      <c r="AF676" s="110">
        <v>0.0</v>
      </c>
      <c r="AG676" s="110">
        <v>0.0</v>
      </c>
      <c r="AH676" s="110">
        <v>0.0</v>
      </c>
      <c r="AI676" s="110">
        <v>0.0</v>
      </c>
      <c r="AJ676" s="110">
        <v>0.0</v>
      </c>
      <c r="AK676" s="110">
        <v>0.0</v>
      </c>
      <c r="AL676" s="110">
        <v>0.0</v>
      </c>
      <c r="AM676" s="110">
        <v>0.0</v>
      </c>
      <c r="AN676" s="112">
        <v>3.0</v>
      </c>
    </row>
    <row r="677">
      <c r="A677" s="104"/>
      <c r="B677" s="111" t="s">
        <v>201</v>
      </c>
      <c r="C677" s="112">
        <v>0.0</v>
      </c>
      <c r="D677" s="112">
        <v>0.0</v>
      </c>
      <c r="E677" s="112">
        <v>0.0</v>
      </c>
      <c r="F677" s="112">
        <v>0.0</v>
      </c>
      <c r="G677" s="112">
        <v>0.0</v>
      </c>
      <c r="H677" s="112">
        <v>0.0</v>
      </c>
      <c r="I677" s="112">
        <v>0.0</v>
      </c>
      <c r="J677" s="112">
        <v>0.0</v>
      </c>
      <c r="K677" s="112">
        <v>0.0</v>
      </c>
      <c r="L677" s="112">
        <v>0.0</v>
      </c>
      <c r="M677" s="112">
        <v>0.0</v>
      </c>
      <c r="N677" s="112">
        <v>0.0</v>
      </c>
      <c r="O677" s="112">
        <v>0.0</v>
      </c>
      <c r="P677" s="110">
        <v>0.0</v>
      </c>
      <c r="Q677" s="110">
        <v>0.0</v>
      </c>
      <c r="R677" s="110">
        <v>0.0</v>
      </c>
      <c r="S677" s="110">
        <v>0.0</v>
      </c>
      <c r="T677" s="110">
        <v>0.0</v>
      </c>
      <c r="U677" s="110">
        <v>0.0</v>
      </c>
      <c r="V677" s="110">
        <v>0.0</v>
      </c>
      <c r="W677" s="110">
        <v>0.0</v>
      </c>
      <c r="X677" s="110">
        <v>0.0</v>
      </c>
      <c r="Y677" s="110">
        <v>0.0</v>
      </c>
      <c r="Z677" s="110">
        <v>0.0</v>
      </c>
      <c r="AA677" s="110">
        <v>0.0</v>
      </c>
      <c r="AB677" s="110">
        <v>0.0</v>
      </c>
      <c r="AC677" s="110">
        <v>0.0</v>
      </c>
      <c r="AD677" s="110">
        <v>0.0</v>
      </c>
      <c r="AE677" s="110">
        <v>0.0</v>
      </c>
      <c r="AF677" s="110">
        <v>0.0</v>
      </c>
      <c r="AG677" s="110">
        <v>0.0</v>
      </c>
      <c r="AH677" s="110">
        <v>0.0</v>
      </c>
      <c r="AI677" s="110">
        <v>0.0</v>
      </c>
      <c r="AJ677" s="110">
        <v>0.0</v>
      </c>
      <c r="AK677" s="110">
        <v>0.0</v>
      </c>
      <c r="AL677" s="110">
        <v>0.0</v>
      </c>
      <c r="AM677" s="110">
        <v>0.0</v>
      </c>
      <c r="AN677" s="112">
        <v>0.0</v>
      </c>
    </row>
    <row r="678">
      <c r="A678" s="113" t="s">
        <v>236</v>
      </c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</row>
    <row r="679">
      <c r="A679" s="107" t="s">
        <v>197</v>
      </c>
      <c r="B679" s="108" t="s">
        <v>198</v>
      </c>
      <c r="C679" s="109">
        <v>20103.0</v>
      </c>
      <c r="D679" s="109">
        <v>7644.0</v>
      </c>
      <c r="E679" s="109">
        <v>12459.0</v>
      </c>
      <c r="F679" s="110">
        <v>0.0</v>
      </c>
      <c r="G679" s="110">
        <v>0.0</v>
      </c>
      <c r="H679" s="110">
        <v>0.0</v>
      </c>
      <c r="I679" s="110">
        <v>0.0</v>
      </c>
      <c r="J679" s="110">
        <v>0.0</v>
      </c>
      <c r="K679" s="110">
        <v>0.0</v>
      </c>
      <c r="L679" s="112">
        <v>8.0</v>
      </c>
      <c r="M679" s="112">
        <v>20.0</v>
      </c>
      <c r="N679" s="112">
        <v>22.0</v>
      </c>
      <c r="O679" s="112">
        <v>24.0</v>
      </c>
      <c r="P679" s="112">
        <v>32.0</v>
      </c>
      <c r="Q679" s="112">
        <v>81.0</v>
      </c>
      <c r="R679" s="112">
        <v>78.0</v>
      </c>
      <c r="S679" s="112">
        <v>141.0</v>
      </c>
      <c r="T679" s="112">
        <v>161.0</v>
      </c>
      <c r="U679" s="112">
        <v>243.0</v>
      </c>
      <c r="V679" s="112">
        <v>243.0</v>
      </c>
      <c r="W679" s="112">
        <v>482.0</v>
      </c>
      <c r="X679" s="112">
        <v>488.0</v>
      </c>
      <c r="Y679" s="112">
        <v>979.0</v>
      </c>
      <c r="Z679" s="112">
        <v>736.0</v>
      </c>
      <c r="AA679" s="109">
        <v>1347.0</v>
      </c>
      <c r="AB679" s="112">
        <v>969.0</v>
      </c>
      <c r="AC679" s="109">
        <v>1574.0</v>
      </c>
      <c r="AD679" s="109">
        <v>1025.0</v>
      </c>
      <c r="AE679" s="109">
        <v>1910.0</v>
      </c>
      <c r="AF679" s="109">
        <v>1124.0</v>
      </c>
      <c r="AG679" s="109">
        <v>1703.0</v>
      </c>
      <c r="AH679" s="109">
        <v>1071.0</v>
      </c>
      <c r="AI679" s="109">
        <v>1591.0</v>
      </c>
      <c r="AJ679" s="112">
        <v>849.0</v>
      </c>
      <c r="AK679" s="109">
        <v>1109.0</v>
      </c>
      <c r="AL679" s="112">
        <v>838.0</v>
      </c>
      <c r="AM679" s="109">
        <v>1255.0</v>
      </c>
      <c r="AN679" s="109">
        <v>19831.0</v>
      </c>
    </row>
    <row r="680">
      <c r="A680" s="98"/>
      <c r="B680" s="111" t="s">
        <v>199</v>
      </c>
      <c r="C680" s="109">
        <v>5219.0</v>
      </c>
      <c r="D680" s="109">
        <v>1963.0</v>
      </c>
      <c r="E680" s="109">
        <v>3256.0</v>
      </c>
      <c r="F680" s="110">
        <v>0.0</v>
      </c>
      <c r="G680" s="110">
        <v>0.0</v>
      </c>
      <c r="H680" s="110">
        <v>0.0</v>
      </c>
      <c r="I680" s="110">
        <v>0.0</v>
      </c>
      <c r="J680" s="110">
        <v>0.0</v>
      </c>
      <c r="K680" s="110">
        <v>0.0</v>
      </c>
      <c r="L680" s="112">
        <v>0.0</v>
      </c>
      <c r="M680" s="112">
        <v>7.0</v>
      </c>
      <c r="N680" s="112">
        <v>5.0</v>
      </c>
      <c r="O680" s="112">
        <v>5.0</v>
      </c>
      <c r="P680" s="112">
        <v>12.0</v>
      </c>
      <c r="Q680" s="112">
        <v>25.0</v>
      </c>
      <c r="R680" s="112">
        <v>22.0</v>
      </c>
      <c r="S680" s="112">
        <v>36.0</v>
      </c>
      <c r="T680" s="112">
        <v>53.0</v>
      </c>
      <c r="U680" s="112">
        <v>75.0</v>
      </c>
      <c r="V680" s="112">
        <v>82.0</v>
      </c>
      <c r="W680" s="112">
        <v>154.0</v>
      </c>
      <c r="X680" s="112">
        <v>129.0</v>
      </c>
      <c r="Y680" s="112">
        <v>224.0</v>
      </c>
      <c r="Z680" s="112">
        <v>190.0</v>
      </c>
      <c r="AA680" s="112">
        <v>332.0</v>
      </c>
      <c r="AB680" s="112">
        <v>207.0</v>
      </c>
      <c r="AC680" s="112">
        <v>407.0</v>
      </c>
      <c r="AD680" s="112">
        <v>220.0</v>
      </c>
      <c r="AE680" s="112">
        <v>466.0</v>
      </c>
      <c r="AF680" s="112">
        <v>259.0</v>
      </c>
      <c r="AG680" s="112">
        <v>430.0</v>
      </c>
      <c r="AH680" s="112">
        <v>310.0</v>
      </c>
      <c r="AI680" s="112">
        <v>398.0</v>
      </c>
      <c r="AJ680" s="112">
        <v>231.0</v>
      </c>
      <c r="AK680" s="112">
        <v>315.0</v>
      </c>
      <c r="AL680" s="112">
        <v>243.0</v>
      </c>
      <c r="AM680" s="112">
        <v>382.0</v>
      </c>
      <c r="AN680" s="109">
        <v>5118.0</v>
      </c>
    </row>
    <row r="681">
      <c r="A681" s="98"/>
      <c r="B681" s="111" t="s">
        <v>200</v>
      </c>
      <c r="C681" s="109">
        <v>3468.0</v>
      </c>
      <c r="D681" s="109">
        <v>1139.0</v>
      </c>
      <c r="E681" s="109">
        <v>2329.0</v>
      </c>
      <c r="F681" s="110">
        <v>0.0</v>
      </c>
      <c r="G681" s="110">
        <v>0.0</v>
      </c>
      <c r="H681" s="110">
        <v>0.0</v>
      </c>
      <c r="I681" s="110">
        <v>0.0</v>
      </c>
      <c r="J681" s="110">
        <v>0.0</v>
      </c>
      <c r="K681" s="110">
        <v>0.0</v>
      </c>
      <c r="L681" s="112">
        <v>2.0</v>
      </c>
      <c r="M681" s="112">
        <v>13.0</v>
      </c>
      <c r="N681" s="112">
        <v>8.0</v>
      </c>
      <c r="O681" s="112">
        <v>16.0</v>
      </c>
      <c r="P681" s="112">
        <v>9.0</v>
      </c>
      <c r="Q681" s="112">
        <v>38.0</v>
      </c>
      <c r="R681" s="112">
        <v>26.0</v>
      </c>
      <c r="S681" s="112">
        <v>61.0</v>
      </c>
      <c r="T681" s="112">
        <v>39.0</v>
      </c>
      <c r="U681" s="112">
        <v>86.0</v>
      </c>
      <c r="V681" s="112">
        <v>46.0</v>
      </c>
      <c r="W681" s="112">
        <v>122.0</v>
      </c>
      <c r="X681" s="112">
        <v>86.0</v>
      </c>
      <c r="Y681" s="112">
        <v>211.0</v>
      </c>
      <c r="Z681" s="112">
        <v>139.0</v>
      </c>
      <c r="AA681" s="112">
        <v>298.0</v>
      </c>
      <c r="AB681" s="112">
        <v>160.0</v>
      </c>
      <c r="AC681" s="112">
        <v>347.0</v>
      </c>
      <c r="AD681" s="112">
        <v>154.0</v>
      </c>
      <c r="AE681" s="112">
        <v>337.0</v>
      </c>
      <c r="AF681" s="112">
        <v>155.0</v>
      </c>
      <c r="AG681" s="112">
        <v>304.0</v>
      </c>
      <c r="AH681" s="112">
        <v>148.0</v>
      </c>
      <c r="AI681" s="112">
        <v>230.0</v>
      </c>
      <c r="AJ681" s="112">
        <v>90.0</v>
      </c>
      <c r="AK681" s="112">
        <v>147.0</v>
      </c>
      <c r="AL681" s="112">
        <v>77.0</v>
      </c>
      <c r="AM681" s="112">
        <v>119.0</v>
      </c>
      <c r="AN681" s="109">
        <v>3423.0</v>
      </c>
    </row>
    <row r="682">
      <c r="A682" s="104"/>
      <c r="B682" s="111" t="s">
        <v>201</v>
      </c>
      <c r="C682" s="112">
        <v>257.0</v>
      </c>
      <c r="D682" s="112">
        <v>132.0</v>
      </c>
      <c r="E682" s="112">
        <v>125.0</v>
      </c>
      <c r="F682" s="110">
        <v>0.0</v>
      </c>
      <c r="G682" s="110">
        <v>0.0</v>
      </c>
      <c r="H682" s="110">
        <v>0.0</v>
      </c>
      <c r="I682" s="110">
        <v>0.0</v>
      </c>
      <c r="J682" s="110">
        <v>0.0</v>
      </c>
      <c r="K682" s="110">
        <v>0.0</v>
      </c>
      <c r="L682" s="112">
        <v>0.0</v>
      </c>
      <c r="M682" s="112">
        <v>2.0</v>
      </c>
      <c r="N682" s="112">
        <v>4.0</v>
      </c>
      <c r="O682" s="112">
        <v>0.0</v>
      </c>
      <c r="P682" s="112">
        <v>8.0</v>
      </c>
      <c r="Q682" s="112">
        <v>3.0</v>
      </c>
      <c r="R682" s="112">
        <v>0.0</v>
      </c>
      <c r="S682" s="112">
        <v>4.0</v>
      </c>
      <c r="T682" s="112">
        <v>2.0</v>
      </c>
      <c r="U682" s="112">
        <v>10.0</v>
      </c>
      <c r="V682" s="112">
        <v>7.0</v>
      </c>
      <c r="W682" s="112">
        <v>17.0</v>
      </c>
      <c r="X682" s="112">
        <v>8.0</v>
      </c>
      <c r="Y682" s="112">
        <v>6.0</v>
      </c>
      <c r="Z682" s="112">
        <v>18.0</v>
      </c>
      <c r="AA682" s="112">
        <v>25.0</v>
      </c>
      <c r="AB682" s="112">
        <v>13.0</v>
      </c>
      <c r="AC682" s="112">
        <v>3.0</v>
      </c>
      <c r="AD682" s="112">
        <v>18.0</v>
      </c>
      <c r="AE682" s="112">
        <v>10.0</v>
      </c>
      <c r="AF682" s="112">
        <v>7.0</v>
      </c>
      <c r="AG682" s="112">
        <v>6.0</v>
      </c>
      <c r="AH682" s="112">
        <v>11.0</v>
      </c>
      <c r="AI682" s="112">
        <v>24.0</v>
      </c>
      <c r="AJ682" s="112">
        <v>12.0</v>
      </c>
      <c r="AK682" s="112">
        <v>1.0</v>
      </c>
      <c r="AL682" s="112">
        <v>24.0</v>
      </c>
      <c r="AM682" s="112">
        <v>14.0</v>
      </c>
      <c r="AN682" s="112">
        <v>230.0</v>
      </c>
    </row>
    <row r="683">
      <c r="A683" s="107" t="s">
        <v>202</v>
      </c>
      <c r="B683" s="111" t="s">
        <v>198</v>
      </c>
      <c r="C683" s="112">
        <v>30.0</v>
      </c>
      <c r="D683" s="112">
        <v>26.0</v>
      </c>
      <c r="E683" s="112">
        <v>4.0</v>
      </c>
      <c r="F683" s="112">
        <v>0.0</v>
      </c>
      <c r="G683" s="112">
        <v>0.0</v>
      </c>
      <c r="H683" s="112">
        <v>0.0</v>
      </c>
      <c r="I683" s="112">
        <v>0.0</v>
      </c>
      <c r="J683" s="112">
        <v>0.0</v>
      </c>
      <c r="K683" s="112">
        <v>0.0</v>
      </c>
      <c r="L683" s="112">
        <v>0.0</v>
      </c>
      <c r="M683" s="112">
        <v>0.0</v>
      </c>
      <c r="N683" s="112">
        <v>0.0</v>
      </c>
      <c r="O683" s="112">
        <v>0.0</v>
      </c>
      <c r="P683" s="112">
        <v>0.0</v>
      </c>
      <c r="Q683" s="112">
        <v>0.0</v>
      </c>
      <c r="R683" s="112">
        <v>0.0</v>
      </c>
      <c r="S683" s="112">
        <v>0.0</v>
      </c>
      <c r="T683" s="112">
        <v>0.0</v>
      </c>
      <c r="U683" s="112">
        <v>0.0</v>
      </c>
      <c r="V683" s="112">
        <v>5.0</v>
      </c>
      <c r="W683" s="112">
        <v>1.0</v>
      </c>
      <c r="X683" s="112">
        <v>8.0</v>
      </c>
      <c r="Y683" s="112">
        <v>1.0</v>
      </c>
      <c r="Z683" s="112">
        <v>2.0</v>
      </c>
      <c r="AA683" s="112">
        <v>0.0</v>
      </c>
      <c r="AB683" s="112">
        <v>6.0</v>
      </c>
      <c r="AC683" s="112">
        <v>0.0</v>
      </c>
      <c r="AD683" s="112">
        <v>2.0</v>
      </c>
      <c r="AE683" s="112">
        <v>2.0</v>
      </c>
      <c r="AF683" s="112">
        <v>0.0</v>
      </c>
      <c r="AG683" s="112">
        <v>0.0</v>
      </c>
      <c r="AH683" s="112">
        <v>3.0</v>
      </c>
      <c r="AI683" s="112">
        <v>0.0</v>
      </c>
      <c r="AJ683" s="112">
        <v>0.0</v>
      </c>
      <c r="AK683" s="112">
        <v>0.0</v>
      </c>
      <c r="AL683" s="112">
        <v>0.0</v>
      </c>
      <c r="AM683" s="112">
        <v>0.0</v>
      </c>
      <c r="AN683" s="112">
        <v>29.0</v>
      </c>
    </row>
    <row r="684">
      <c r="A684" s="104"/>
      <c r="B684" s="111" t="s">
        <v>199</v>
      </c>
      <c r="C684" s="112">
        <v>127.0</v>
      </c>
      <c r="D684" s="112">
        <v>72.0</v>
      </c>
      <c r="E684" s="112">
        <v>55.0</v>
      </c>
      <c r="F684" s="112">
        <v>5.0</v>
      </c>
      <c r="G684" s="112">
        <v>3.0</v>
      </c>
      <c r="H684" s="112">
        <v>5.0</v>
      </c>
      <c r="I684" s="112">
        <v>0.0</v>
      </c>
      <c r="J684" s="112">
        <v>13.0</v>
      </c>
      <c r="K684" s="112">
        <v>25.0</v>
      </c>
      <c r="L684" s="112">
        <v>28.0</v>
      </c>
      <c r="M684" s="112">
        <v>19.0</v>
      </c>
      <c r="N684" s="112">
        <v>5.0</v>
      </c>
      <c r="O684" s="112">
        <v>0.0</v>
      </c>
      <c r="P684" s="112">
        <v>2.0</v>
      </c>
      <c r="Q684" s="112">
        <v>0.0</v>
      </c>
      <c r="R684" s="112">
        <v>0.0</v>
      </c>
      <c r="S684" s="112">
        <v>0.0</v>
      </c>
      <c r="T684" s="112">
        <v>1.0</v>
      </c>
      <c r="U684" s="112">
        <v>1.0</v>
      </c>
      <c r="V684" s="112">
        <v>0.0</v>
      </c>
      <c r="W684" s="112">
        <v>1.0</v>
      </c>
      <c r="X684" s="112">
        <v>2.0</v>
      </c>
      <c r="Y684" s="112">
        <v>0.0</v>
      </c>
      <c r="Z684" s="112">
        <v>2.0</v>
      </c>
      <c r="AA684" s="112">
        <v>0.0</v>
      </c>
      <c r="AB684" s="112">
        <v>3.0</v>
      </c>
      <c r="AC684" s="112">
        <v>0.0</v>
      </c>
      <c r="AD684" s="112">
        <v>0.0</v>
      </c>
      <c r="AE684" s="112">
        <v>1.0</v>
      </c>
      <c r="AF684" s="112">
        <v>1.0</v>
      </c>
      <c r="AG684" s="112">
        <v>1.0</v>
      </c>
      <c r="AH684" s="112">
        <v>2.0</v>
      </c>
      <c r="AI684" s="112">
        <v>1.0</v>
      </c>
      <c r="AJ684" s="112">
        <v>2.0</v>
      </c>
      <c r="AK684" s="112">
        <v>0.0</v>
      </c>
      <c r="AL684" s="112">
        <v>1.0</v>
      </c>
      <c r="AM684" s="112">
        <v>3.0</v>
      </c>
      <c r="AN684" s="112">
        <v>98.0</v>
      </c>
    </row>
    <row r="685">
      <c r="A685" s="107" t="s">
        <v>203</v>
      </c>
      <c r="B685" s="111" t="s">
        <v>198</v>
      </c>
      <c r="C685" s="112">
        <v>1.0</v>
      </c>
      <c r="D685" s="112">
        <v>1.0</v>
      </c>
      <c r="E685" s="112">
        <v>0.0</v>
      </c>
      <c r="F685" s="110">
        <v>0.0</v>
      </c>
      <c r="G685" s="110">
        <v>0.0</v>
      </c>
      <c r="H685" s="110">
        <v>0.0</v>
      </c>
      <c r="I685" s="110">
        <v>0.0</v>
      </c>
      <c r="J685" s="110">
        <v>0.0</v>
      </c>
      <c r="K685" s="110">
        <v>0.0</v>
      </c>
      <c r="L685" s="110">
        <v>0.0</v>
      </c>
      <c r="M685" s="110">
        <v>0.0</v>
      </c>
      <c r="N685" s="110">
        <v>0.0</v>
      </c>
      <c r="O685" s="110">
        <v>0.0</v>
      </c>
      <c r="P685" s="110">
        <v>0.0</v>
      </c>
      <c r="Q685" s="110">
        <v>0.0</v>
      </c>
      <c r="R685" s="110">
        <v>0.0</v>
      </c>
      <c r="S685" s="110">
        <v>0.0</v>
      </c>
      <c r="T685" s="110">
        <v>0.0</v>
      </c>
      <c r="U685" s="110">
        <v>0.0</v>
      </c>
      <c r="V685" s="110">
        <v>0.0</v>
      </c>
      <c r="W685" s="110">
        <v>0.0</v>
      </c>
      <c r="X685" s="110">
        <v>0.0</v>
      </c>
      <c r="Y685" s="110">
        <v>0.0</v>
      </c>
      <c r="Z685" s="110">
        <v>0.0</v>
      </c>
      <c r="AA685" s="110">
        <v>0.0</v>
      </c>
      <c r="AB685" s="110">
        <v>0.0</v>
      </c>
      <c r="AC685" s="110">
        <v>0.0</v>
      </c>
      <c r="AD685" s="110">
        <v>0.0</v>
      </c>
      <c r="AE685" s="110">
        <v>0.0</v>
      </c>
      <c r="AF685" s="112">
        <v>1.0</v>
      </c>
      <c r="AG685" s="112">
        <v>0.0</v>
      </c>
      <c r="AH685" s="112">
        <v>0.0</v>
      </c>
      <c r="AI685" s="112">
        <v>0.0</v>
      </c>
      <c r="AJ685" s="112">
        <v>0.0</v>
      </c>
      <c r="AK685" s="112">
        <v>0.0</v>
      </c>
      <c r="AL685" s="112">
        <v>0.0</v>
      </c>
      <c r="AM685" s="112">
        <v>0.0</v>
      </c>
      <c r="AN685" s="112">
        <v>1.0</v>
      </c>
    </row>
    <row r="686">
      <c r="A686" s="104"/>
      <c r="B686" s="111" t="s">
        <v>199</v>
      </c>
      <c r="C686" s="112">
        <v>25.0</v>
      </c>
      <c r="D686" s="112">
        <v>17.0</v>
      </c>
      <c r="E686" s="112">
        <v>8.0</v>
      </c>
      <c r="F686" s="110">
        <v>0.0</v>
      </c>
      <c r="G686" s="110">
        <v>0.0</v>
      </c>
      <c r="H686" s="110">
        <v>0.0</v>
      </c>
      <c r="I686" s="110">
        <v>0.0</v>
      </c>
      <c r="J686" s="110">
        <v>0.0</v>
      </c>
      <c r="K686" s="110">
        <v>0.0</v>
      </c>
      <c r="L686" s="110">
        <v>0.0</v>
      </c>
      <c r="M686" s="110">
        <v>0.0</v>
      </c>
      <c r="N686" s="110">
        <v>0.0</v>
      </c>
      <c r="O686" s="110">
        <v>0.0</v>
      </c>
      <c r="P686" s="110">
        <v>0.0</v>
      </c>
      <c r="Q686" s="110">
        <v>0.0</v>
      </c>
      <c r="R686" s="110">
        <v>0.0</v>
      </c>
      <c r="S686" s="110">
        <v>0.0</v>
      </c>
      <c r="T686" s="110">
        <v>0.0</v>
      </c>
      <c r="U686" s="110">
        <v>0.0</v>
      </c>
      <c r="V686" s="110">
        <v>0.0</v>
      </c>
      <c r="W686" s="110">
        <v>0.0</v>
      </c>
      <c r="X686" s="110">
        <v>0.0</v>
      </c>
      <c r="Y686" s="110">
        <v>0.0</v>
      </c>
      <c r="Z686" s="110">
        <v>0.0</v>
      </c>
      <c r="AA686" s="110">
        <v>0.0</v>
      </c>
      <c r="AB686" s="110">
        <v>0.0</v>
      </c>
      <c r="AC686" s="110">
        <v>0.0</v>
      </c>
      <c r="AD686" s="110">
        <v>0.0</v>
      </c>
      <c r="AE686" s="110">
        <v>0.0</v>
      </c>
      <c r="AF686" s="112">
        <v>5.0</v>
      </c>
      <c r="AG686" s="112">
        <v>2.0</v>
      </c>
      <c r="AH686" s="112">
        <v>6.0</v>
      </c>
      <c r="AI686" s="112">
        <v>2.0</v>
      </c>
      <c r="AJ686" s="112">
        <v>3.0</v>
      </c>
      <c r="AK686" s="112">
        <v>1.0</v>
      </c>
      <c r="AL686" s="112">
        <v>3.0</v>
      </c>
      <c r="AM686" s="112">
        <v>3.0</v>
      </c>
      <c r="AN686" s="112">
        <v>25.0</v>
      </c>
    </row>
    <row r="687">
      <c r="A687" s="107" t="s">
        <v>204</v>
      </c>
      <c r="B687" s="111" t="s">
        <v>198</v>
      </c>
      <c r="C687" s="112">
        <v>0.0</v>
      </c>
      <c r="D687" s="112">
        <v>0.0</v>
      </c>
      <c r="E687" s="112">
        <v>0.0</v>
      </c>
      <c r="F687" s="110">
        <v>0.0</v>
      </c>
      <c r="G687" s="110">
        <v>0.0</v>
      </c>
      <c r="H687" s="110">
        <v>0.0</v>
      </c>
      <c r="I687" s="110">
        <v>0.0</v>
      </c>
      <c r="J687" s="110">
        <v>0.0</v>
      </c>
      <c r="K687" s="110">
        <v>0.0</v>
      </c>
      <c r="L687" s="110">
        <v>0.0</v>
      </c>
      <c r="M687" s="110">
        <v>0.0</v>
      </c>
      <c r="N687" s="110">
        <v>0.0</v>
      </c>
      <c r="O687" s="110">
        <v>0.0</v>
      </c>
      <c r="P687" s="110">
        <v>0.0</v>
      </c>
      <c r="Q687" s="110">
        <v>0.0</v>
      </c>
      <c r="R687" s="110">
        <v>0.0</v>
      </c>
      <c r="S687" s="110">
        <v>0.0</v>
      </c>
      <c r="T687" s="110">
        <v>0.0</v>
      </c>
      <c r="U687" s="110">
        <v>0.0</v>
      </c>
      <c r="V687" s="110">
        <v>0.0</v>
      </c>
      <c r="W687" s="110">
        <v>0.0</v>
      </c>
      <c r="X687" s="110">
        <v>0.0</v>
      </c>
      <c r="Y687" s="110">
        <v>0.0</v>
      </c>
      <c r="Z687" s="110">
        <v>0.0</v>
      </c>
      <c r="AA687" s="110">
        <v>0.0</v>
      </c>
      <c r="AB687" s="110">
        <v>0.0</v>
      </c>
      <c r="AC687" s="110">
        <v>0.0</v>
      </c>
      <c r="AD687" s="110">
        <v>0.0</v>
      </c>
      <c r="AE687" s="110">
        <v>0.0</v>
      </c>
      <c r="AF687" s="112">
        <v>0.0</v>
      </c>
      <c r="AG687" s="112">
        <v>0.0</v>
      </c>
      <c r="AH687" s="112">
        <v>0.0</v>
      </c>
      <c r="AI687" s="112">
        <v>0.0</v>
      </c>
      <c r="AJ687" s="112">
        <v>0.0</v>
      </c>
      <c r="AK687" s="112">
        <v>0.0</v>
      </c>
      <c r="AL687" s="112">
        <v>0.0</v>
      </c>
      <c r="AM687" s="112">
        <v>0.0</v>
      </c>
      <c r="AN687" s="112">
        <v>0.0</v>
      </c>
    </row>
    <row r="688">
      <c r="A688" s="104"/>
      <c r="B688" s="111" t="s">
        <v>199</v>
      </c>
      <c r="C688" s="112">
        <v>35.0</v>
      </c>
      <c r="D688" s="112">
        <v>17.0</v>
      </c>
      <c r="E688" s="112">
        <v>18.0</v>
      </c>
      <c r="F688" s="110">
        <v>0.0</v>
      </c>
      <c r="G688" s="110">
        <v>0.0</v>
      </c>
      <c r="H688" s="110">
        <v>0.0</v>
      </c>
      <c r="I688" s="110">
        <v>0.0</v>
      </c>
      <c r="J688" s="110">
        <v>0.0</v>
      </c>
      <c r="K688" s="110">
        <v>0.0</v>
      </c>
      <c r="L688" s="110">
        <v>0.0</v>
      </c>
      <c r="M688" s="110">
        <v>0.0</v>
      </c>
      <c r="N688" s="110">
        <v>0.0</v>
      </c>
      <c r="O688" s="110">
        <v>0.0</v>
      </c>
      <c r="P688" s="110">
        <v>0.0</v>
      </c>
      <c r="Q688" s="110">
        <v>0.0</v>
      </c>
      <c r="R688" s="110">
        <v>0.0</v>
      </c>
      <c r="S688" s="110">
        <v>0.0</v>
      </c>
      <c r="T688" s="110">
        <v>0.0</v>
      </c>
      <c r="U688" s="110">
        <v>0.0</v>
      </c>
      <c r="V688" s="110">
        <v>0.0</v>
      </c>
      <c r="W688" s="110">
        <v>0.0</v>
      </c>
      <c r="X688" s="110">
        <v>0.0</v>
      </c>
      <c r="Y688" s="110">
        <v>0.0</v>
      </c>
      <c r="Z688" s="110">
        <v>0.0</v>
      </c>
      <c r="AA688" s="110">
        <v>0.0</v>
      </c>
      <c r="AB688" s="110">
        <v>0.0</v>
      </c>
      <c r="AC688" s="110">
        <v>0.0</v>
      </c>
      <c r="AD688" s="110">
        <v>0.0</v>
      </c>
      <c r="AE688" s="110">
        <v>0.0</v>
      </c>
      <c r="AF688" s="112">
        <v>1.0</v>
      </c>
      <c r="AG688" s="112">
        <v>0.0</v>
      </c>
      <c r="AH688" s="112">
        <v>2.0</v>
      </c>
      <c r="AI688" s="112">
        <v>3.0</v>
      </c>
      <c r="AJ688" s="112">
        <v>4.0</v>
      </c>
      <c r="AK688" s="112">
        <v>5.0</v>
      </c>
      <c r="AL688" s="112">
        <v>10.0</v>
      </c>
      <c r="AM688" s="112">
        <v>10.0</v>
      </c>
      <c r="AN688" s="112">
        <v>34.0</v>
      </c>
    </row>
    <row r="689">
      <c r="A689" s="107" t="s">
        <v>205</v>
      </c>
      <c r="B689" s="111" t="s">
        <v>198</v>
      </c>
      <c r="C689" s="112">
        <v>0.0</v>
      </c>
      <c r="D689" s="112">
        <v>0.0</v>
      </c>
      <c r="E689" s="112">
        <v>0.0</v>
      </c>
      <c r="F689" s="112">
        <v>0.0</v>
      </c>
      <c r="G689" s="112">
        <v>0.0</v>
      </c>
      <c r="H689" s="112">
        <v>0.0</v>
      </c>
      <c r="I689" s="112">
        <v>0.0</v>
      </c>
      <c r="J689" s="112">
        <v>0.0</v>
      </c>
      <c r="K689" s="112">
        <v>0.0</v>
      </c>
      <c r="L689" s="112">
        <v>0.0</v>
      </c>
      <c r="M689" s="112">
        <v>0.0</v>
      </c>
      <c r="N689" s="112">
        <v>0.0</v>
      </c>
      <c r="O689" s="112">
        <v>0.0</v>
      </c>
      <c r="P689" s="112">
        <v>0.0</v>
      </c>
      <c r="Q689" s="112">
        <v>0.0</v>
      </c>
      <c r="R689" s="112">
        <v>0.0</v>
      </c>
      <c r="S689" s="112">
        <v>0.0</v>
      </c>
      <c r="T689" s="112">
        <v>0.0</v>
      </c>
      <c r="U689" s="112">
        <v>0.0</v>
      </c>
      <c r="V689" s="112">
        <v>0.0</v>
      </c>
      <c r="W689" s="112">
        <v>0.0</v>
      </c>
      <c r="X689" s="112">
        <v>0.0</v>
      </c>
      <c r="Y689" s="112">
        <v>0.0</v>
      </c>
      <c r="Z689" s="112">
        <v>0.0</v>
      </c>
      <c r="AA689" s="112">
        <v>0.0</v>
      </c>
      <c r="AB689" s="112">
        <v>0.0</v>
      </c>
      <c r="AC689" s="112">
        <v>0.0</v>
      </c>
      <c r="AD689" s="112">
        <v>0.0</v>
      </c>
      <c r="AE689" s="112">
        <v>0.0</v>
      </c>
      <c r="AF689" s="112">
        <v>0.0</v>
      </c>
      <c r="AG689" s="112">
        <v>0.0</v>
      </c>
      <c r="AH689" s="112">
        <v>0.0</v>
      </c>
      <c r="AI689" s="112">
        <v>0.0</v>
      </c>
      <c r="AJ689" s="112">
        <v>0.0</v>
      </c>
      <c r="AK689" s="112">
        <v>0.0</v>
      </c>
      <c r="AL689" s="112">
        <v>0.0</v>
      </c>
      <c r="AM689" s="112">
        <v>0.0</v>
      </c>
      <c r="AN689" s="112">
        <v>0.0</v>
      </c>
    </row>
    <row r="690">
      <c r="A690" s="98"/>
      <c r="B690" s="111" t="s">
        <v>199</v>
      </c>
      <c r="C690" s="112">
        <v>1.0</v>
      </c>
      <c r="D690" s="112">
        <v>1.0</v>
      </c>
      <c r="E690" s="112">
        <v>0.0</v>
      </c>
      <c r="F690" s="112">
        <v>0.0</v>
      </c>
      <c r="G690" s="112">
        <v>0.0</v>
      </c>
      <c r="H690" s="112">
        <v>0.0</v>
      </c>
      <c r="I690" s="112">
        <v>0.0</v>
      </c>
      <c r="J690" s="112">
        <v>0.0</v>
      </c>
      <c r="K690" s="112">
        <v>0.0</v>
      </c>
      <c r="L690" s="112">
        <v>0.0</v>
      </c>
      <c r="M690" s="112">
        <v>0.0</v>
      </c>
      <c r="N690" s="112">
        <v>0.0</v>
      </c>
      <c r="O690" s="112">
        <v>0.0</v>
      </c>
      <c r="P690" s="112">
        <v>0.0</v>
      </c>
      <c r="Q690" s="112">
        <v>0.0</v>
      </c>
      <c r="R690" s="112">
        <v>0.0</v>
      </c>
      <c r="S690" s="112">
        <v>0.0</v>
      </c>
      <c r="T690" s="112">
        <v>0.0</v>
      </c>
      <c r="U690" s="112">
        <v>0.0</v>
      </c>
      <c r="V690" s="112">
        <v>0.0</v>
      </c>
      <c r="W690" s="112">
        <v>0.0</v>
      </c>
      <c r="X690" s="112">
        <v>0.0</v>
      </c>
      <c r="Y690" s="112">
        <v>0.0</v>
      </c>
      <c r="Z690" s="112">
        <v>0.0</v>
      </c>
      <c r="AA690" s="112">
        <v>0.0</v>
      </c>
      <c r="AB690" s="112">
        <v>0.0</v>
      </c>
      <c r="AC690" s="112">
        <v>0.0</v>
      </c>
      <c r="AD690" s="112">
        <v>0.0</v>
      </c>
      <c r="AE690" s="112">
        <v>0.0</v>
      </c>
      <c r="AF690" s="112">
        <v>0.0</v>
      </c>
      <c r="AG690" s="112">
        <v>0.0</v>
      </c>
      <c r="AH690" s="112">
        <v>0.0</v>
      </c>
      <c r="AI690" s="112">
        <v>0.0</v>
      </c>
      <c r="AJ690" s="112">
        <v>0.0</v>
      </c>
      <c r="AK690" s="112">
        <v>0.0</v>
      </c>
      <c r="AL690" s="112">
        <v>1.0</v>
      </c>
      <c r="AM690" s="112">
        <v>0.0</v>
      </c>
      <c r="AN690" s="112">
        <v>1.0</v>
      </c>
    </row>
    <row r="691">
      <c r="A691" s="104"/>
      <c r="B691" s="111" t="s">
        <v>206</v>
      </c>
      <c r="C691" s="112">
        <v>214.0</v>
      </c>
      <c r="D691" s="112">
        <v>80.0</v>
      </c>
      <c r="E691" s="112">
        <v>134.0</v>
      </c>
      <c r="F691" s="112">
        <v>0.0</v>
      </c>
      <c r="G691" s="112">
        <v>0.0</v>
      </c>
      <c r="H691" s="112">
        <v>0.0</v>
      </c>
      <c r="I691" s="112">
        <v>1.0</v>
      </c>
      <c r="J691" s="112">
        <v>1.0</v>
      </c>
      <c r="K691" s="112">
        <v>1.0</v>
      </c>
      <c r="L691" s="112">
        <v>14.0</v>
      </c>
      <c r="M691" s="112">
        <v>31.0</v>
      </c>
      <c r="N691" s="112">
        <v>31.0</v>
      </c>
      <c r="O691" s="112">
        <v>31.0</v>
      </c>
      <c r="P691" s="112">
        <v>16.0</v>
      </c>
      <c r="Q691" s="112">
        <v>19.0</v>
      </c>
      <c r="R691" s="112">
        <v>0.0</v>
      </c>
      <c r="S691" s="112">
        <v>14.0</v>
      </c>
      <c r="T691" s="112">
        <v>8.0</v>
      </c>
      <c r="U691" s="112">
        <v>12.0</v>
      </c>
      <c r="V691" s="112">
        <v>3.0</v>
      </c>
      <c r="W691" s="112">
        <v>8.0</v>
      </c>
      <c r="X691" s="112">
        <v>0.0</v>
      </c>
      <c r="Y691" s="112">
        <v>7.0</v>
      </c>
      <c r="Z691" s="112">
        <v>1.0</v>
      </c>
      <c r="AA691" s="112">
        <v>3.0</v>
      </c>
      <c r="AB691" s="112">
        <v>3.0</v>
      </c>
      <c r="AC691" s="112">
        <v>1.0</v>
      </c>
      <c r="AD691" s="112">
        <v>1.0</v>
      </c>
      <c r="AE691" s="112">
        <v>4.0</v>
      </c>
      <c r="AF691" s="112">
        <v>1.0</v>
      </c>
      <c r="AG691" s="112">
        <v>2.0</v>
      </c>
      <c r="AH691" s="112">
        <v>1.0</v>
      </c>
      <c r="AI691" s="112">
        <v>0.0</v>
      </c>
      <c r="AJ691" s="112">
        <v>0.0</v>
      </c>
      <c r="AK691" s="112">
        <v>0.0</v>
      </c>
      <c r="AL691" s="112">
        <v>0.0</v>
      </c>
      <c r="AM691" s="112">
        <v>0.0</v>
      </c>
      <c r="AN691" s="112">
        <v>214.0</v>
      </c>
    </row>
    <row r="692">
      <c r="A692" s="107" t="s">
        <v>207</v>
      </c>
      <c r="B692" s="111" t="s">
        <v>198</v>
      </c>
      <c r="C692" s="109">
        <v>2567.0</v>
      </c>
      <c r="D692" s="112">
        <v>743.0</v>
      </c>
      <c r="E692" s="109">
        <v>1824.0</v>
      </c>
      <c r="F692" s="112">
        <v>16.0</v>
      </c>
      <c r="G692" s="112">
        <v>27.0</v>
      </c>
      <c r="H692" s="112">
        <v>26.0</v>
      </c>
      <c r="I692" s="112">
        <v>18.0</v>
      </c>
      <c r="J692" s="112">
        <v>33.0</v>
      </c>
      <c r="K692" s="112">
        <v>14.0</v>
      </c>
      <c r="L692" s="112">
        <v>9.0</v>
      </c>
      <c r="M692" s="112">
        <v>19.0</v>
      </c>
      <c r="N692" s="112">
        <v>9.0</v>
      </c>
      <c r="O692" s="112">
        <v>18.0</v>
      </c>
      <c r="P692" s="112">
        <v>15.0</v>
      </c>
      <c r="Q692" s="112">
        <v>52.0</v>
      </c>
      <c r="R692" s="112">
        <v>13.0</v>
      </c>
      <c r="S692" s="112">
        <v>56.0</v>
      </c>
      <c r="T692" s="112">
        <v>20.0</v>
      </c>
      <c r="U692" s="112">
        <v>73.0</v>
      </c>
      <c r="V692" s="112">
        <v>17.0</v>
      </c>
      <c r="W692" s="112">
        <v>91.0</v>
      </c>
      <c r="X692" s="112">
        <v>26.0</v>
      </c>
      <c r="Y692" s="112">
        <v>166.0</v>
      </c>
      <c r="Z692" s="112">
        <v>56.0</v>
      </c>
      <c r="AA692" s="112">
        <v>181.0</v>
      </c>
      <c r="AB692" s="112">
        <v>53.0</v>
      </c>
      <c r="AC692" s="112">
        <v>193.0</v>
      </c>
      <c r="AD692" s="112">
        <v>71.0</v>
      </c>
      <c r="AE692" s="112">
        <v>211.0</v>
      </c>
      <c r="AF692" s="112">
        <v>72.0</v>
      </c>
      <c r="AG692" s="112">
        <v>192.0</v>
      </c>
      <c r="AH692" s="112">
        <v>106.0</v>
      </c>
      <c r="AI692" s="112">
        <v>207.0</v>
      </c>
      <c r="AJ692" s="112">
        <v>91.0</v>
      </c>
      <c r="AK692" s="112">
        <v>148.0</v>
      </c>
      <c r="AL692" s="112">
        <v>110.0</v>
      </c>
      <c r="AM692" s="112">
        <v>158.0</v>
      </c>
      <c r="AN692" s="109">
        <v>2500.0</v>
      </c>
    </row>
    <row r="693">
      <c r="A693" s="98"/>
      <c r="B693" s="111" t="s">
        <v>199</v>
      </c>
      <c r="C693" s="112">
        <v>254.0</v>
      </c>
      <c r="D693" s="112">
        <v>94.0</v>
      </c>
      <c r="E693" s="112">
        <v>160.0</v>
      </c>
      <c r="F693" s="112">
        <v>0.0</v>
      </c>
      <c r="G693" s="112">
        <v>0.0</v>
      </c>
      <c r="H693" s="112">
        <v>2.0</v>
      </c>
      <c r="I693" s="112">
        <v>1.0</v>
      </c>
      <c r="J693" s="112">
        <v>0.0</v>
      </c>
      <c r="K693" s="112">
        <v>1.0</v>
      </c>
      <c r="L693" s="112">
        <v>1.0</v>
      </c>
      <c r="M693" s="112">
        <v>2.0</v>
      </c>
      <c r="N693" s="112">
        <v>0.0</v>
      </c>
      <c r="O693" s="112">
        <v>3.0</v>
      </c>
      <c r="P693" s="112">
        <v>0.0</v>
      </c>
      <c r="Q693" s="112">
        <v>4.0</v>
      </c>
      <c r="R693" s="112">
        <v>0.0</v>
      </c>
      <c r="S693" s="112">
        <v>2.0</v>
      </c>
      <c r="T693" s="112">
        <v>1.0</v>
      </c>
      <c r="U693" s="112">
        <v>0.0</v>
      </c>
      <c r="V693" s="112">
        <v>2.0</v>
      </c>
      <c r="W693" s="112">
        <v>6.0</v>
      </c>
      <c r="X693" s="112">
        <v>4.0</v>
      </c>
      <c r="Y693" s="112">
        <v>6.0</v>
      </c>
      <c r="Z693" s="112">
        <v>2.0</v>
      </c>
      <c r="AA693" s="112">
        <v>8.0</v>
      </c>
      <c r="AB693" s="112">
        <v>3.0</v>
      </c>
      <c r="AC693" s="112">
        <v>12.0</v>
      </c>
      <c r="AD693" s="112">
        <v>5.0</v>
      </c>
      <c r="AE693" s="112">
        <v>23.0</v>
      </c>
      <c r="AF693" s="112">
        <v>18.0</v>
      </c>
      <c r="AG693" s="112">
        <v>20.0</v>
      </c>
      <c r="AH693" s="112">
        <v>16.0</v>
      </c>
      <c r="AI693" s="112">
        <v>21.0</v>
      </c>
      <c r="AJ693" s="112">
        <v>18.0</v>
      </c>
      <c r="AK693" s="112">
        <v>15.0</v>
      </c>
      <c r="AL693" s="112">
        <v>22.0</v>
      </c>
      <c r="AM693" s="112">
        <v>36.0</v>
      </c>
      <c r="AN693" s="112">
        <v>233.0</v>
      </c>
    </row>
    <row r="694">
      <c r="A694" s="98"/>
      <c r="B694" s="111" t="s">
        <v>206</v>
      </c>
      <c r="C694" s="112">
        <v>8.0</v>
      </c>
      <c r="D694" s="112">
        <v>0.0</v>
      </c>
      <c r="E694" s="112">
        <v>8.0</v>
      </c>
      <c r="F694" s="112">
        <v>0.0</v>
      </c>
      <c r="G694" s="112">
        <v>0.0</v>
      </c>
      <c r="H694" s="112">
        <v>0.0</v>
      </c>
      <c r="I694" s="112">
        <v>1.0</v>
      </c>
      <c r="J694" s="112">
        <v>0.0</v>
      </c>
      <c r="K694" s="112">
        <v>0.0</v>
      </c>
      <c r="L694" s="112">
        <v>0.0</v>
      </c>
      <c r="M694" s="112">
        <v>0.0</v>
      </c>
      <c r="N694" s="112">
        <v>0.0</v>
      </c>
      <c r="O694" s="112">
        <v>1.0</v>
      </c>
      <c r="P694" s="112">
        <v>0.0</v>
      </c>
      <c r="Q694" s="112">
        <v>3.0</v>
      </c>
      <c r="R694" s="112">
        <v>0.0</v>
      </c>
      <c r="S694" s="112">
        <v>2.0</v>
      </c>
      <c r="T694" s="112">
        <v>0.0</v>
      </c>
      <c r="U694" s="112">
        <v>1.0</v>
      </c>
      <c r="V694" s="112">
        <v>0.0</v>
      </c>
      <c r="W694" s="112">
        <v>0.0</v>
      </c>
      <c r="X694" s="112">
        <v>0.0</v>
      </c>
      <c r="Y694" s="112">
        <v>0.0</v>
      </c>
      <c r="Z694" s="112">
        <v>0.0</v>
      </c>
      <c r="AA694" s="112">
        <v>0.0</v>
      </c>
      <c r="AB694" s="112">
        <v>0.0</v>
      </c>
      <c r="AC694" s="112">
        <v>0.0</v>
      </c>
      <c r="AD694" s="112">
        <v>0.0</v>
      </c>
      <c r="AE694" s="112">
        <v>0.0</v>
      </c>
      <c r="AF694" s="112">
        <v>0.0</v>
      </c>
      <c r="AG694" s="112">
        <v>0.0</v>
      </c>
      <c r="AH694" s="112">
        <v>0.0</v>
      </c>
      <c r="AI694" s="112">
        <v>0.0</v>
      </c>
      <c r="AJ694" s="112">
        <v>0.0</v>
      </c>
      <c r="AK694" s="112">
        <v>0.0</v>
      </c>
      <c r="AL694" s="112">
        <v>0.0</v>
      </c>
      <c r="AM694" s="112">
        <v>0.0</v>
      </c>
      <c r="AN694" s="112">
        <v>6.0</v>
      </c>
    </row>
    <row r="695">
      <c r="A695" s="98"/>
      <c r="B695" s="111" t="s">
        <v>200</v>
      </c>
      <c r="C695" s="109">
        <v>1114.0</v>
      </c>
      <c r="D695" s="112">
        <v>326.0</v>
      </c>
      <c r="E695" s="112">
        <v>788.0</v>
      </c>
      <c r="F695" s="112">
        <v>157.0</v>
      </c>
      <c r="G695" s="112">
        <v>135.0</v>
      </c>
      <c r="H695" s="112">
        <v>44.0</v>
      </c>
      <c r="I695" s="112">
        <v>48.0</v>
      </c>
      <c r="J695" s="112">
        <v>44.0</v>
      </c>
      <c r="K695" s="112">
        <v>76.0</v>
      </c>
      <c r="L695" s="112">
        <v>8.0</v>
      </c>
      <c r="M695" s="112">
        <v>72.0</v>
      </c>
      <c r="N695" s="112">
        <v>5.0</v>
      </c>
      <c r="O695" s="112">
        <v>46.0</v>
      </c>
      <c r="P695" s="112">
        <v>8.0</v>
      </c>
      <c r="Q695" s="112">
        <v>83.0</v>
      </c>
      <c r="R695" s="112">
        <v>2.0</v>
      </c>
      <c r="S695" s="112">
        <v>58.0</v>
      </c>
      <c r="T695" s="112">
        <v>4.0</v>
      </c>
      <c r="U695" s="112">
        <v>33.0</v>
      </c>
      <c r="V695" s="112">
        <v>6.0</v>
      </c>
      <c r="W695" s="112">
        <v>30.0</v>
      </c>
      <c r="X695" s="112">
        <v>5.0</v>
      </c>
      <c r="Y695" s="112">
        <v>29.0</v>
      </c>
      <c r="Z695" s="112">
        <v>6.0</v>
      </c>
      <c r="AA695" s="112">
        <v>40.0</v>
      </c>
      <c r="AB695" s="112">
        <v>10.0</v>
      </c>
      <c r="AC695" s="112">
        <v>38.0</v>
      </c>
      <c r="AD695" s="112">
        <v>6.0</v>
      </c>
      <c r="AE695" s="112">
        <v>35.0</v>
      </c>
      <c r="AF695" s="112">
        <v>9.0</v>
      </c>
      <c r="AG695" s="112">
        <v>21.0</v>
      </c>
      <c r="AH695" s="112">
        <v>8.0</v>
      </c>
      <c r="AI695" s="112">
        <v>16.0</v>
      </c>
      <c r="AJ695" s="112">
        <v>2.0</v>
      </c>
      <c r="AK695" s="112">
        <v>14.0</v>
      </c>
      <c r="AL695" s="112">
        <v>2.0</v>
      </c>
      <c r="AM695" s="112">
        <v>14.0</v>
      </c>
      <c r="AN695" s="109">
        <v>1019.0</v>
      </c>
    </row>
    <row r="696">
      <c r="A696" s="104"/>
      <c r="B696" s="111" t="s">
        <v>201</v>
      </c>
      <c r="C696" s="112">
        <v>10.0</v>
      </c>
      <c r="D696" s="112">
        <v>1.0</v>
      </c>
      <c r="E696" s="112">
        <v>9.0</v>
      </c>
      <c r="F696" s="112">
        <v>0.0</v>
      </c>
      <c r="G696" s="112">
        <v>0.0</v>
      </c>
      <c r="H696" s="112">
        <v>0.0</v>
      </c>
      <c r="I696" s="112">
        <v>0.0</v>
      </c>
      <c r="J696" s="112">
        <v>0.0</v>
      </c>
      <c r="K696" s="112">
        <v>0.0</v>
      </c>
      <c r="L696" s="112">
        <v>0.0</v>
      </c>
      <c r="M696" s="112">
        <v>1.0</v>
      </c>
      <c r="N696" s="112">
        <v>0.0</v>
      </c>
      <c r="O696" s="112">
        <v>0.0</v>
      </c>
      <c r="P696" s="112">
        <v>0.0</v>
      </c>
      <c r="Q696" s="112">
        <v>0.0</v>
      </c>
      <c r="R696" s="112">
        <v>0.0</v>
      </c>
      <c r="S696" s="112">
        <v>0.0</v>
      </c>
      <c r="T696" s="112">
        <v>0.0</v>
      </c>
      <c r="U696" s="112">
        <v>0.0</v>
      </c>
      <c r="V696" s="112">
        <v>0.0</v>
      </c>
      <c r="W696" s="112">
        <v>0.0</v>
      </c>
      <c r="X696" s="112">
        <v>0.0</v>
      </c>
      <c r="Y696" s="112">
        <v>0.0</v>
      </c>
      <c r="Z696" s="112">
        <v>0.0</v>
      </c>
      <c r="AA696" s="112">
        <v>1.0</v>
      </c>
      <c r="AB696" s="112">
        <v>0.0</v>
      </c>
      <c r="AC696" s="112">
        <v>1.0</v>
      </c>
      <c r="AD696" s="112">
        <v>0.0</v>
      </c>
      <c r="AE696" s="112">
        <v>3.0</v>
      </c>
      <c r="AF696" s="112">
        <v>1.0</v>
      </c>
      <c r="AG696" s="112">
        <v>1.0</v>
      </c>
      <c r="AH696" s="112">
        <v>0.0</v>
      </c>
      <c r="AI696" s="112">
        <v>1.0</v>
      </c>
      <c r="AJ696" s="112">
        <v>0.0</v>
      </c>
      <c r="AK696" s="112">
        <v>1.0</v>
      </c>
      <c r="AL696" s="112">
        <v>0.0</v>
      </c>
      <c r="AM696" s="112">
        <v>0.0</v>
      </c>
      <c r="AN696" s="112">
        <v>10.0</v>
      </c>
    </row>
    <row r="697">
      <c r="A697" s="107" t="s">
        <v>208</v>
      </c>
      <c r="B697" s="111" t="s">
        <v>198</v>
      </c>
      <c r="C697" s="112">
        <v>2.0</v>
      </c>
      <c r="D697" s="112">
        <v>2.0</v>
      </c>
      <c r="E697" s="112">
        <v>0.0</v>
      </c>
      <c r="F697" s="112">
        <v>2.0</v>
      </c>
      <c r="G697" s="112">
        <v>0.0</v>
      </c>
      <c r="H697" s="112">
        <v>0.0</v>
      </c>
      <c r="I697" s="112">
        <v>0.0</v>
      </c>
      <c r="J697" s="112">
        <v>0.0</v>
      </c>
      <c r="K697" s="112">
        <v>0.0</v>
      </c>
      <c r="L697" s="112">
        <v>0.0</v>
      </c>
      <c r="M697" s="112">
        <v>0.0</v>
      </c>
      <c r="N697" s="112">
        <v>0.0</v>
      </c>
      <c r="O697" s="112">
        <v>0.0</v>
      </c>
      <c r="P697" s="110">
        <v>0.0</v>
      </c>
      <c r="Q697" s="110">
        <v>0.0</v>
      </c>
      <c r="R697" s="110">
        <v>0.0</v>
      </c>
      <c r="S697" s="110">
        <v>0.0</v>
      </c>
      <c r="T697" s="110">
        <v>0.0</v>
      </c>
      <c r="U697" s="110">
        <v>0.0</v>
      </c>
      <c r="V697" s="110">
        <v>0.0</v>
      </c>
      <c r="W697" s="110">
        <v>0.0</v>
      </c>
      <c r="X697" s="110">
        <v>0.0</v>
      </c>
      <c r="Y697" s="110">
        <v>0.0</v>
      </c>
      <c r="Z697" s="110">
        <v>0.0</v>
      </c>
      <c r="AA697" s="110">
        <v>0.0</v>
      </c>
      <c r="AB697" s="110">
        <v>0.0</v>
      </c>
      <c r="AC697" s="110">
        <v>0.0</v>
      </c>
      <c r="AD697" s="110">
        <v>0.0</v>
      </c>
      <c r="AE697" s="110">
        <v>0.0</v>
      </c>
      <c r="AF697" s="110">
        <v>0.0</v>
      </c>
      <c r="AG697" s="110">
        <v>0.0</v>
      </c>
      <c r="AH697" s="110">
        <v>0.0</v>
      </c>
      <c r="AI697" s="110">
        <v>0.0</v>
      </c>
      <c r="AJ697" s="110">
        <v>0.0</v>
      </c>
      <c r="AK697" s="110">
        <v>0.0</v>
      </c>
      <c r="AL697" s="110">
        <v>0.0</v>
      </c>
      <c r="AM697" s="110">
        <v>0.0</v>
      </c>
      <c r="AN697" s="112">
        <v>2.0</v>
      </c>
    </row>
    <row r="698">
      <c r="A698" s="98"/>
      <c r="B698" s="111" t="s">
        <v>199</v>
      </c>
      <c r="C698" s="112">
        <v>1.0</v>
      </c>
      <c r="D698" s="112">
        <v>0.0</v>
      </c>
      <c r="E698" s="112">
        <v>1.0</v>
      </c>
      <c r="F698" s="112">
        <v>0.0</v>
      </c>
      <c r="G698" s="112">
        <v>1.0</v>
      </c>
      <c r="H698" s="112">
        <v>0.0</v>
      </c>
      <c r="I698" s="112">
        <v>0.0</v>
      </c>
      <c r="J698" s="112">
        <v>0.0</v>
      </c>
      <c r="K698" s="112">
        <v>0.0</v>
      </c>
      <c r="L698" s="112">
        <v>0.0</v>
      </c>
      <c r="M698" s="112">
        <v>0.0</v>
      </c>
      <c r="N698" s="112">
        <v>0.0</v>
      </c>
      <c r="O698" s="112">
        <v>0.0</v>
      </c>
      <c r="P698" s="110">
        <v>0.0</v>
      </c>
      <c r="Q698" s="110">
        <v>0.0</v>
      </c>
      <c r="R698" s="110">
        <v>0.0</v>
      </c>
      <c r="S698" s="110">
        <v>0.0</v>
      </c>
      <c r="T698" s="110">
        <v>0.0</v>
      </c>
      <c r="U698" s="110">
        <v>0.0</v>
      </c>
      <c r="V698" s="110">
        <v>0.0</v>
      </c>
      <c r="W698" s="110">
        <v>0.0</v>
      </c>
      <c r="X698" s="110">
        <v>0.0</v>
      </c>
      <c r="Y698" s="110">
        <v>0.0</v>
      </c>
      <c r="Z698" s="110">
        <v>0.0</v>
      </c>
      <c r="AA698" s="110">
        <v>0.0</v>
      </c>
      <c r="AB698" s="110">
        <v>0.0</v>
      </c>
      <c r="AC698" s="110">
        <v>0.0</v>
      </c>
      <c r="AD698" s="110">
        <v>0.0</v>
      </c>
      <c r="AE698" s="110">
        <v>0.0</v>
      </c>
      <c r="AF698" s="110">
        <v>0.0</v>
      </c>
      <c r="AG698" s="110">
        <v>0.0</v>
      </c>
      <c r="AH698" s="110">
        <v>0.0</v>
      </c>
      <c r="AI698" s="110">
        <v>0.0</v>
      </c>
      <c r="AJ698" s="110">
        <v>0.0</v>
      </c>
      <c r="AK698" s="110">
        <v>0.0</v>
      </c>
      <c r="AL698" s="110">
        <v>0.0</v>
      </c>
      <c r="AM698" s="110">
        <v>0.0</v>
      </c>
      <c r="AN698" s="112">
        <v>1.0</v>
      </c>
    </row>
    <row r="699">
      <c r="A699" s="98"/>
      <c r="B699" s="111" t="s">
        <v>206</v>
      </c>
      <c r="C699" s="112">
        <v>0.0</v>
      </c>
      <c r="D699" s="112">
        <v>0.0</v>
      </c>
      <c r="E699" s="112">
        <v>0.0</v>
      </c>
      <c r="F699" s="112">
        <v>0.0</v>
      </c>
      <c r="G699" s="112">
        <v>0.0</v>
      </c>
      <c r="H699" s="112">
        <v>0.0</v>
      </c>
      <c r="I699" s="112">
        <v>0.0</v>
      </c>
      <c r="J699" s="112">
        <v>0.0</v>
      </c>
      <c r="K699" s="112">
        <v>0.0</v>
      </c>
      <c r="L699" s="112">
        <v>0.0</v>
      </c>
      <c r="M699" s="112">
        <v>0.0</v>
      </c>
      <c r="N699" s="112">
        <v>0.0</v>
      </c>
      <c r="O699" s="112">
        <v>0.0</v>
      </c>
      <c r="P699" s="110">
        <v>0.0</v>
      </c>
      <c r="Q699" s="110">
        <v>0.0</v>
      </c>
      <c r="R699" s="110">
        <v>0.0</v>
      </c>
      <c r="S699" s="110">
        <v>0.0</v>
      </c>
      <c r="T699" s="110">
        <v>0.0</v>
      </c>
      <c r="U699" s="110">
        <v>0.0</v>
      </c>
      <c r="V699" s="110">
        <v>0.0</v>
      </c>
      <c r="W699" s="110">
        <v>0.0</v>
      </c>
      <c r="X699" s="110">
        <v>0.0</v>
      </c>
      <c r="Y699" s="110">
        <v>0.0</v>
      </c>
      <c r="Z699" s="110">
        <v>0.0</v>
      </c>
      <c r="AA699" s="110">
        <v>0.0</v>
      </c>
      <c r="AB699" s="110">
        <v>0.0</v>
      </c>
      <c r="AC699" s="110">
        <v>0.0</v>
      </c>
      <c r="AD699" s="110">
        <v>0.0</v>
      </c>
      <c r="AE699" s="110">
        <v>0.0</v>
      </c>
      <c r="AF699" s="110">
        <v>0.0</v>
      </c>
      <c r="AG699" s="110">
        <v>0.0</v>
      </c>
      <c r="AH699" s="110">
        <v>0.0</v>
      </c>
      <c r="AI699" s="110">
        <v>0.0</v>
      </c>
      <c r="AJ699" s="110">
        <v>0.0</v>
      </c>
      <c r="AK699" s="110">
        <v>0.0</v>
      </c>
      <c r="AL699" s="110">
        <v>0.0</v>
      </c>
      <c r="AM699" s="110">
        <v>0.0</v>
      </c>
      <c r="AN699" s="112">
        <v>0.0</v>
      </c>
    </row>
    <row r="700">
      <c r="A700" s="98"/>
      <c r="B700" s="111" t="s">
        <v>200</v>
      </c>
      <c r="C700" s="112">
        <v>0.0</v>
      </c>
      <c r="D700" s="112">
        <v>0.0</v>
      </c>
      <c r="E700" s="112">
        <v>0.0</v>
      </c>
      <c r="F700" s="112">
        <v>0.0</v>
      </c>
      <c r="G700" s="112">
        <v>0.0</v>
      </c>
      <c r="H700" s="112">
        <v>0.0</v>
      </c>
      <c r="I700" s="112">
        <v>0.0</v>
      </c>
      <c r="J700" s="112">
        <v>0.0</v>
      </c>
      <c r="K700" s="112">
        <v>0.0</v>
      </c>
      <c r="L700" s="112">
        <v>0.0</v>
      </c>
      <c r="M700" s="112">
        <v>0.0</v>
      </c>
      <c r="N700" s="112">
        <v>0.0</v>
      </c>
      <c r="O700" s="112">
        <v>0.0</v>
      </c>
      <c r="P700" s="110">
        <v>0.0</v>
      </c>
      <c r="Q700" s="110">
        <v>0.0</v>
      </c>
      <c r="R700" s="110">
        <v>0.0</v>
      </c>
      <c r="S700" s="110">
        <v>0.0</v>
      </c>
      <c r="T700" s="110">
        <v>0.0</v>
      </c>
      <c r="U700" s="110">
        <v>0.0</v>
      </c>
      <c r="V700" s="110">
        <v>0.0</v>
      </c>
      <c r="W700" s="110">
        <v>0.0</v>
      </c>
      <c r="X700" s="110">
        <v>0.0</v>
      </c>
      <c r="Y700" s="110">
        <v>0.0</v>
      </c>
      <c r="Z700" s="110">
        <v>0.0</v>
      </c>
      <c r="AA700" s="110">
        <v>0.0</v>
      </c>
      <c r="AB700" s="110">
        <v>0.0</v>
      </c>
      <c r="AC700" s="110">
        <v>0.0</v>
      </c>
      <c r="AD700" s="110">
        <v>0.0</v>
      </c>
      <c r="AE700" s="110">
        <v>0.0</v>
      </c>
      <c r="AF700" s="110">
        <v>0.0</v>
      </c>
      <c r="AG700" s="110">
        <v>0.0</v>
      </c>
      <c r="AH700" s="110">
        <v>0.0</v>
      </c>
      <c r="AI700" s="110">
        <v>0.0</v>
      </c>
      <c r="AJ700" s="110">
        <v>0.0</v>
      </c>
      <c r="AK700" s="110">
        <v>0.0</v>
      </c>
      <c r="AL700" s="110">
        <v>0.0</v>
      </c>
      <c r="AM700" s="110">
        <v>0.0</v>
      </c>
      <c r="AN700" s="112">
        <v>0.0</v>
      </c>
    </row>
    <row r="701">
      <c r="A701" s="104"/>
      <c r="B701" s="111" t="s">
        <v>201</v>
      </c>
      <c r="C701" s="112">
        <v>0.0</v>
      </c>
      <c r="D701" s="112">
        <v>0.0</v>
      </c>
      <c r="E701" s="112">
        <v>0.0</v>
      </c>
      <c r="F701" s="112">
        <v>0.0</v>
      </c>
      <c r="G701" s="112">
        <v>0.0</v>
      </c>
      <c r="H701" s="112">
        <v>0.0</v>
      </c>
      <c r="I701" s="112">
        <v>0.0</v>
      </c>
      <c r="J701" s="112">
        <v>0.0</v>
      </c>
      <c r="K701" s="112">
        <v>0.0</v>
      </c>
      <c r="L701" s="112">
        <v>0.0</v>
      </c>
      <c r="M701" s="112">
        <v>0.0</v>
      </c>
      <c r="N701" s="112">
        <v>0.0</v>
      </c>
      <c r="O701" s="112">
        <v>0.0</v>
      </c>
      <c r="P701" s="110">
        <v>0.0</v>
      </c>
      <c r="Q701" s="110">
        <v>0.0</v>
      </c>
      <c r="R701" s="110">
        <v>0.0</v>
      </c>
      <c r="S701" s="110">
        <v>0.0</v>
      </c>
      <c r="T701" s="110">
        <v>0.0</v>
      </c>
      <c r="U701" s="110">
        <v>0.0</v>
      </c>
      <c r="V701" s="110">
        <v>0.0</v>
      </c>
      <c r="W701" s="110">
        <v>0.0</v>
      </c>
      <c r="X701" s="110">
        <v>0.0</v>
      </c>
      <c r="Y701" s="110">
        <v>0.0</v>
      </c>
      <c r="Z701" s="110">
        <v>0.0</v>
      </c>
      <c r="AA701" s="110">
        <v>0.0</v>
      </c>
      <c r="AB701" s="110">
        <v>0.0</v>
      </c>
      <c r="AC701" s="110">
        <v>0.0</v>
      </c>
      <c r="AD701" s="110">
        <v>0.0</v>
      </c>
      <c r="AE701" s="110">
        <v>0.0</v>
      </c>
      <c r="AF701" s="110">
        <v>0.0</v>
      </c>
      <c r="AG701" s="110">
        <v>0.0</v>
      </c>
      <c r="AH701" s="110">
        <v>0.0</v>
      </c>
      <c r="AI701" s="110">
        <v>0.0</v>
      </c>
      <c r="AJ701" s="110">
        <v>0.0</v>
      </c>
      <c r="AK701" s="110">
        <v>0.0</v>
      </c>
      <c r="AL701" s="110">
        <v>0.0</v>
      </c>
      <c r="AM701" s="110">
        <v>0.0</v>
      </c>
      <c r="AN701" s="112">
        <v>0.0</v>
      </c>
    </row>
    <row r="702">
      <c r="A702" s="113" t="s">
        <v>237</v>
      </c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</row>
    <row r="703">
      <c r="A703" s="107" t="s">
        <v>197</v>
      </c>
      <c r="B703" s="108" t="s">
        <v>198</v>
      </c>
      <c r="C703" s="109">
        <v>20203.0</v>
      </c>
      <c r="D703" s="109">
        <v>7843.0</v>
      </c>
      <c r="E703" s="109">
        <v>12360.0</v>
      </c>
      <c r="F703" s="110">
        <v>0.0</v>
      </c>
      <c r="G703" s="110">
        <v>0.0</v>
      </c>
      <c r="H703" s="110">
        <v>0.0</v>
      </c>
      <c r="I703" s="110">
        <v>0.0</v>
      </c>
      <c r="J703" s="110">
        <v>0.0</v>
      </c>
      <c r="K703" s="110">
        <v>0.0</v>
      </c>
      <c r="L703" s="112">
        <v>10.0</v>
      </c>
      <c r="M703" s="112">
        <v>8.0</v>
      </c>
      <c r="N703" s="112">
        <v>17.0</v>
      </c>
      <c r="O703" s="112">
        <v>26.0</v>
      </c>
      <c r="P703" s="112">
        <v>39.0</v>
      </c>
      <c r="Q703" s="112">
        <v>49.0</v>
      </c>
      <c r="R703" s="112">
        <v>62.0</v>
      </c>
      <c r="S703" s="112">
        <v>111.0</v>
      </c>
      <c r="T703" s="112">
        <v>121.0</v>
      </c>
      <c r="U703" s="112">
        <v>207.0</v>
      </c>
      <c r="V703" s="112">
        <v>213.0</v>
      </c>
      <c r="W703" s="112">
        <v>383.0</v>
      </c>
      <c r="X703" s="112">
        <v>380.0</v>
      </c>
      <c r="Y703" s="112">
        <v>744.0</v>
      </c>
      <c r="Z703" s="112">
        <v>759.0</v>
      </c>
      <c r="AA703" s="109">
        <v>1300.0</v>
      </c>
      <c r="AB703" s="109">
        <v>1102.0</v>
      </c>
      <c r="AC703" s="109">
        <v>1562.0</v>
      </c>
      <c r="AD703" s="109">
        <v>1238.0</v>
      </c>
      <c r="AE703" s="109">
        <v>1801.0</v>
      </c>
      <c r="AF703" s="109">
        <v>1165.0</v>
      </c>
      <c r="AG703" s="109">
        <v>1697.0</v>
      </c>
      <c r="AH703" s="109">
        <v>1122.0</v>
      </c>
      <c r="AI703" s="109">
        <v>1594.0</v>
      </c>
      <c r="AJ703" s="112">
        <v>803.0</v>
      </c>
      <c r="AK703" s="109">
        <v>1334.0</v>
      </c>
      <c r="AL703" s="112">
        <v>812.0</v>
      </c>
      <c r="AM703" s="109">
        <v>1544.0</v>
      </c>
      <c r="AN703" s="109">
        <v>19472.0</v>
      </c>
    </row>
    <row r="704">
      <c r="A704" s="98"/>
      <c r="B704" s="111" t="s">
        <v>199</v>
      </c>
      <c r="C704" s="109">
        <v>15278.0</v>
      </c>
      <c r="D704" s="109">
        <v>5977.0</v>
      </c>
      <c r="E704" s="109">
        <v>9301.0</v>
      </c>
      <c r="F704" s="110">
        <v>0.0</v>
      </c>
      <c r="G704" s="110">
        <v>0.0</v>
      </c>
      <c r="H704" s="110">
        <v>0.0</v>
      </c>
      <c r="I704" s="110">
        <v>0.0</v>
      </c>
      <c r="J704" s="110">
        <v>0.0</v>
      </c>
      <c r="K704" s="110">
        <v>0.0</v>
      </c>
      <c r="L704" s="112">
        <v>4.0</v>
      </c>
      <c r="M704" s="112">
        <v>6.0</v>
      </c>
      <c r="N704" s="112">
        <v>10.0</v>
      </c>
      <c r="O704" s="112">
        <v>10.0</v>
      </c>
      <c r="P704" s="112">
        <v>14.0</v>
      </c>
      <c r="Q704" s="112">
        <v>36.0</v>
      </c>
      <c r="R704" s="112">
        <v>33.0</v>
      </c>
      <c r="S704" s="112">
        <v>56.0</v>
      </c>
      <c r="T704" s="112">
        <v>79.0</v>
      </c>
      <c r="U704" s="112">
        <v>132.0</v>
      </c>
      <c r="V704" s="112">
        <v>119.0</v>
      </c>
      <c r="W704" s="112">
        <v>286.0</v>
      </c>
      <c r="X704" s="112">
        <v>253.0</v>
      </c>
      <c r="Y704" s="112">
        <v>490.0</v>
      </c>
      <c r="Z704" s="112">
        <v>517.0</v>
      </c>
      <c r="AA704" s="112">
        <v>841.0</v>
      </c>
      <c r="AB704" s="112">
        <v>787.0</v>
      </c>
      <c r="AC704" s="109">
        <v>1071.0</v>
      </c>
      <c r="AD704" s="112">
        <v>894.0</v>
      </c>
      <c r="AE704" s="109">
        <v>1275.0</v>
      </c>
      <c r="AF704" s="112">
        <v>927.0</v>
      </c>
      <c r="AG704" s="109">
        <v>1346.0</v>
      </c>
      <c r="AH704" s="112">
        <v>917.0</v>
      </c>
      <c r="AI704" s="109">
        <v>1325.0</v>
      </c>
      <c r="AJ704" s="112">
        <v>657.0</v>
      </c>
      <c r="AK704" s="109">
        <v>1109.0</v>
      </c>
      <c r="AL704" s="112">
        <v>766.0</v>
      </c>
      <c r="AM704" s="109">
        <v>1318.0</v>
      </c>
      <c r="AN704" s="109">
        <v>14847.0</v>
      </c>
    </row>
    <row r="705">
      <c r="A705" s="98"/>
      <c r="B705" s="111" t="s">
        <v>200</v>
      </c>
      <c r="C705" s="109">
        <v>4187.0</v>
      </c>
      <c r="D705" s="109">
        <v>1546.0</v>
      </c>
      <c r="E705" s="109">
        <v>2641.0</v>
      </c>
      <c r="F705" s="110">
        <v>0.0</v>
      </c>
      <c r="G705" s="110">
        <v>0.0</v>
      </c>
      <c r="H705" s="110">
        <v>0.0</v>
      </c>
      <c r="I705" s="110">
        <v>0.0</v>
      </c>
      <c r="J705" s="110">
        <v>0.0</v>
      </c>
      <c r="K705" s="110">
        <v>0.0</v>
      </c>
      <c r="L705" s="112">
        <v>6.0</v>
      </c>
      <c r="M705" s="112">
        <v>13.0</v>
      </c>
      <c r="N705" s="112">
        <v>4.0</v>
      </c>
      <c r="O705" s="112">
        <v>12.0</v>
      </c>
      <c r="P705" s="112">
        <v>19.0</v>
      </c>
      <c r="Q705" s="112">
        <v>29.0</v>
      </c>
      <c r="R705" s="112">
        <v>27.0</v>
      </c>
      <c r="S705" s="112">
        <v>47.0</v>
      </c>
      <c r="T705" s="112">
        <v>59.0</v>
      </c>
      <c r="U705" s="112">
        <v>78.0</v>
      </c>
      <c r="V705" s="112">
        <v>64.0</v>
      </c>
      <c r="W705" s="112">
        <v>120.0</v>
      </c>
      <c r="X705" s="112">
        <v>87.0</v>
      </c>
      <c r="Y705" s="112">
        <v>237.0</v>
      </c>
      <c r="Z705" s="112">
        <v>166.0</v>
      </c>
      <c r="AA705" s="112">
        <v>315.0</v>
      </c>
      <c r="AB705" s="112">
        <v>224.0</v>
      </c>
      <c r="AC705" s="112">
        <v>417.0</v>
      </c>
      <c r="AD705" s="112">
        <v>260.0</v>
      </c>
      <c r="AE705" s="112">
        <v>393.0</v>
      </c>
      <c r="AF705" s="112">
        <v>211.0</v>
      </c>
      <c r="AG705" s="112">
        <v>331.0</v>
      </c>
      <c r="AH705" s="112">
        <v>199.0</v>
      </c>
      <c r="AI705" s="112">
        <v>304.0</v>
      </c>
      <c r="AJ705" s="112">
        <v>122.0</v>
      </c>
      <c r="AK705" s="112">
        <v>154.0</v>
      </c>
      <c r="AL705" s="112">
        <v>98.0</v>
      </c>
      <c r="AM705" s="112">
        <v>191.0</v>
      </c>
      <c r="AN705" s="109">
        <v>3934.0</v>
      </c>
    </row>
    <row r="706">
      <c r="A706" s="104"/>
      <c r="B706" s="111" t="s">
        <v>201</v>
      </c>
      <c r="C706" s="112">
        <v>32.0</v>
      </c>
      <c r="D706" s="112">
        <v>18.0</v>
      </c>
      <c r="E706" s="112">
        <v>14.0</v>
      </c>
      <c r="F706" s="110">
        <v>0.0</v>
      </c>
      <c r="G706" s="110">
        <v>0.0</v>
      </c>
      <c r="H706" s="110">
        <v>0.0</v>
      </c>
      <c r="I706" s="110">
        <v>0.0</v>
      </c>
      <c r="J706" s="110">
        <v>0.0</v>
      </c>
      <c r="K706" s="110">
        <v>0.0</v>
      </c>
      <c r="L706" s="112">
        <v>1.0</v>
      </c>
      <c r="M706" s="112">
        <v>1.0</v>
      </c>
      <c r="N706" s="112">
        <v>0.0</v>
      </c>
      <c r="O706" s="112">
        <v>1.0</v>
      </c>
      <c r="P706" s="112">
        <v>0.0</v>
      </c>
      <c r="Q706" s="112">
        <v>0.0</v>
      </c>
      <c r="R706" s="112">
        <v>0.0</v>
      </c>
      <c r="S706" s="112">
        <v>0.0</v>
      </c>
      <c r="T706" s="112">
        <v>2.0</v>
      </c>
      <c r="U706" s="112">
        <v>0.0</v>
      </c>
      <c r="V706" s="112">
        <v>0.0</v>
      </c>
      <c r="W706" s="112">
        <v>0.0</v>
      </c>
      <c r="X706" s="112">
        <v>2.0</v>
      </c>
      <c r="Y706" s="112">
        <v>0.0</v>
      </c>
      <c r="Z706" s="112">
        <v>1.0</v>
      </c>
      <c r="AA706" s="112">
        <v>2.0</v>
      </c>
      <c r="AB706" s="112">
        <v>6.0</v>
      </c>
      <c r="AC706" s="112">
        <v>2.0</v>
      </c>
      <c r="AD706" s="112">
        <v>2.0</v>
      </c>
      <c r="AE706" s="112">
        <v>4.0</v>
      </c>
      <c r="AF706" s="112">
        <v>2.0</v>
      </c>
      <c r="AG706" s="112">
        <v>1.0</v>
      </c>
      <c r="AH706" s="112">
        <v>0.0</v>
      </c>
      <c r="AI706" s="112">
        <v>1.0</v>
      </c>
      <c r="AJ706" s="112">
        <v>2.0</v>
      </c>
      <c r="AK706" s="112">
        <v>0.0</v>
      </c>
      <c r="AL706" s="112">
        <v>0.0</v>
      </c>
      <c r="AM706" s="112">
        <v>2.0</v>
      </c>
      <c r="AN706" s="112">
        <v>32.0</v>
      </c>
    </row>
    <row r="707">
      <c r="A707" s="107" t="s">
        <v>202</v>
      </c>
      <c r="B707" s="111" t="s">
        <v>198</v>
      </c>
      <c r="C707" s="112">
        <v>24.0</v>
      </c>
      <c r="D707" s="112">
        <v>16.0</v>
      </c>
      <c r="E707" s="112">
        <v>8.0</v>
      </c>
      <c r="F707" s="112">
        <v>0.0</v>
      </c>
      <c r="G707" s="112">
        <v>0.0</v>
      </c>
      <c r="H707" s="112">
        <v>0.0</v>
      </c>
      <c r="I707" s="112">
        <v>0.0</v>
      </c>
      <c r="J707" s="112">
        <v>0.0</v>
      </c>
      <c r="K707" s="112">
        <v>0.0</v>
      </c>
      <c r="L707" s="112">
        <v>0.0</v>
      </c>
      <c r="M707" s="112">
        <v>0.0</v>
      </c>
      <c r="N707" s="112">
        <v>0.0</v>
      </c>
      <c r="O707" s="112">
        <v>1.0</v>
      </c>
      <c r="P707" s="112">
        <v>0.0</v>
      </c>
      <c r="Q707" s="112">
        <v>0.0</v>
      </c>
      <c r="R707" s="112">
        <v>2.0</v>
      </c>
      <c r="S707" s="112">
        <v>0.0</v>
      </c>
      <c r="T707" s="112">
        <v>0.0</v>
      </c>
      <c r="U707" s="112">
        <v>0.0</v>
      </c>
      <c r="V707" s="112">
        <v>0.0</v>
      </c>
      <c r="W707" s="112">
        <v>0.0</v>
      </c>
      <c r="X707" s="112">
        <v>0.0</v>
      </c>
      <c r="Y707" s="112">
        <v>0.0</v>
      </c>
      <c r="Z707" s="112">
        <v>0.0</v>
      </c>
      <c r="AA707" s="112">
        <v>0.0</v>
      </c>
      <c r="AB707" s="112">
        <v>1.0</v>
      </c>
      <c r="AC707" s="112">
        <v>1.0</v>
      </c>
      <c r="AD707" s="112">
        <v>5.0</v>
      </c>
      <c r="AE707" s="112">
        <v>0.0</v>
      </c>
      <c r="AF707" s="112">
        <v>0.0</v>
      </c>
      <c r="AG707" s="112">
        <v>0.0</v>
      </c>
      <c r="AH707" s="112">
        <v>0.0</v>
      </c>
      <c r="AI707" s="112">
        <v>0.0</v>
      </c>
      <c r="AJ707" s="112">
        <v>8.0</v>
      </c>
      <c r="AK707" s="112">
        <v>0.0</v>
      </c>
      <c r="AL707" s="112">
        <v>0.0</v>
      </c>
      <c r="AM707" s="112">
        <v>6.0</v>
      </c>
      <c r="AN707" s="112">
        <v>23.0</v>
      </c>
    </row>
    <row r="708">
      <c r="A708" s="104"/>
      <c r="B708" s="111" t="s">
        <v>199</v>
      </c>
      <c r="C708" s="112">
        <v>6.0</v>
      </c>
      <c r="D708" s="112">
        <v>3.0</v>
      </c>
      <c r="E708" s="112">
        <v>3.0</v>
      </c>
      <c r="F708" s="112">
        <v>0.0</v>
      </c>
      <c r="G708" s="112">
        <v>0.0</v>
      </c>
      <c r="H708" s="112">
        <v>0.0</v>
      </c>
      <c r="I708" s="112">
        <v>0.0</v>
      </c>
      <c r="J708" s="112">
        <v>0.0</v>
      </c>
      <c r="K708" s="112">
        <v>0.0</v>
      </c>
      <c r="L708" s="112">
        <v>0.0</v>
      </c>
      <c r="M708" s="112">
        <v>0.0</v>
      </c>
      <c r="N708" s="112">
        <v>1.0</v>
      </c>
      <c r="O708" s="112">
        <v>1.0</v>
      </c>
      <c r="P708" s="112">
        <v>0.0</v>
      </c>
      <c r="Q708" s="112">
        <v>0.0</v>
      </c>
      <c r="R708" s="112">
        <v>0.0</v>
      </c>
      <c r="S708" s="112">
        <v>0.0</v>
      </c>
      <c r="T708" s="112">
        <v>0.0</v>
      </c>
      <c r="U708" s="112">
        <v>0.0</v>
      </c>
      <c r="V708" s="112">
        <v>0.0</v>
      </c>
      <c r="W708" s="112">
        <v>0.0</v>
      </c>
      <c r="X708" s="112">
        <v>0.0</v>
      </c>
      <c r="Y708" s="112">
        <v>0.0</v>
      </c>
      <c r="Z708" s="112">
        <v>0.0</v>
      </c>
      <c r="AA708" s="112">
        <v>0.0</v>
      </c>
      <c r="AB708" s="112">
        <v>0.0</v>
      </c>
      <c r="AC708" s="112">
        <v>0.0</v>
      </c>
      <c r="AD708" s="112">
        <v>2.0</v>
      </c>
      <c r="AE708" s="112">
        <v>0.0</v>
      </c>
      <c r="AF708" s="112">
        <v>0.0</v>
      </c>
      <c r="AG708" s="112">
        <v>0.0</v>
      </c>
      <c r="AH708" s="112">
        <v>0.0</v>
      </c>
      <c r="AI708" s="112">
        <v>0.0</v>
      </c>
      <c r="AJ708" s="112">
        <v>0.0</v>
      </c>
      <c r="AK708" s="112">
        <v>0.0</v>
      </c>
      <c r="AL708" s="112">
        <v>0.0</v>
      </c>
      <c r="AM708" s="112">
        <v>2.0</v>
      </c>
      <c r="AN708" s="112">
        <v>5.0</v>
      </c>
    </row>
    <row r="709">
      <c r="A709" s="107" t="s">
        <v>203</v>
      </c>
      <c r="B709" s="111" t="s">
        <v>198</v>
      </c>
      <c r="C709" s="112">
        <v>52.0</v>
      </c>
      <c r="D709" s="112">
        <v>31.0</v>
      </c>
      <c r="E709" s="112">
        <v>21.0</v>
      </c>
      <c r="F709" s="110">
        <v>0.0</v>
      </c>
      <c r="G709" s="110">
        <v>0.0</v>
      </c>
      <c r="H709" s="110">
        <v>0.0</v>
      </c>
      <c r="I709" s="110">
        <v>0.0</v>
      </c>
      <c r="J709" s="110">
        <v>0.0</v>
      </c>
      <c r="K709" s="110">
        <v>0.0</v>
      </c>
      <c r="L709" s="110">
        <v>0.0</v>
      </c>
      <c r="M709" s="110">
        <v>0.0</v>
      </c>
      <c r="N709" s="110">
        <v>0.0</v>
      </c>
      <c r="O709" s="110">
        <v>0.0</v>
      </c>
      <c r="P709" s="110">
        <v>0.0</v>
      </c>
      <c r="Q709" s="110">
        <v>0.0</v>
      </c>
      <c r="R709" s="110">
        <v>0.0</v>
      </c>
      <c r="S709" s="110">
        <v>0.0</v>
      </c>
      <c r="T709" s="110">
        <v>0.0</v>
      </c>
      <c r="U709" s="110">
        <v>0.0</v>
      </c>
      <c r="V709" s="110">
        <v>0.0</v>
      </c>
      <c r="W709" s="110">
        <v>0.0</v>
      </c>
      <c r="X709" s="110">
        <v>0.0</v>
      </c>
      <c r="Y709" s="110">
        <v>0.0</v>
      </c>
      <c r="Z709" s="110">
        <v>0.0</v>
      </c>
      <c r="AA709" s="110">
        <v>0.0</v>
      </c>
      <c r="AB709" s="110">
        <v>0.0</v>
      </c>
      <c r="AC709" s="110">
        <v>0.0</v>
      </c>
      <c r="AD709" s="110">
        <v>0.0</v>
      </c>
      <c r="AE709" s="110">
        <v>0.0</v>
      </c>
      <c r="AF709" s="112">
        <v>6.0</v>
      </c>
      <c r="AG709" s="112">
        <v>6.0</v>
      </c>
      <c r="AH709" s="112">
        <v>13.0</v>
      </c>
      <c r="AI709" s="112">
        <v>9.0</v>
      </c>
      <c r="AJ709" s="112">
        <v>8.0</v>
      </c>
      <c r="AK709" s="112">
        <v>3.0</v>
      </c>
      <c r="AL709" s="112">
        <v>4.0</v>
      </c>
      <c r="AM709" s="112">
        <v>3.0</v>
      </c>
      <c r="AN709" s="112">
        <v>23.0</v>
      </c>
    </row>
    <row r="710">
      <c r="A710" s="104"/>
      <c r="B710" s="111" t="s">
        <v>199</v>
      </c>
      <c r="C710" s="112">
        <v>239.0</v>
      </c>
      <c r="D710" s="112">
        <v>87.0</v>
      </c>
      <c r="E710" s="112">
        <v>152.0</v>
      </c>
      <c r="F710" s="110">
        <v>0.0</v>
      </c>
      <c r="G710" s="110">
        <v>0.0</v>
      </c>
      <c r="H710" s="110">
        <v>0.0</v>
      </c>
      <c r="I710" s="110">
        <v>0.0</v>
      </c>
      <c r="J710" s="110">
        <v>0.0</v>
      </c>
      <c r="K710" s="110">
        <v>0.0</v>
      </c>
      <c r="L710" s="110">
        <v>0.0</v>
      </c>
      <c r="M710" s="110">
        <v>0.0</v>
      </c>
      <c r="N710" s="110">
        <v>0.0</v>
      </c>
      <c r="O710" s="110">
        <v>0.0</v>
      </c>
      <c r="P710" s="110">
        <v>0.0</v>
      </c>
      <c r="Q710" s="110">
        <v>0.0</v>
      </c>
      <c r="R710" s="110">
        <v>0.0</v>
      </c>
      <c r="S710" s="110">
        <v>0.0</v>
      </c>
      <c r="T710" s="110">
        <v>0.0</v>
      </c>
      <c r="U710" s="110">
        <v>0.0</v>
      </c>
      <c r="V710" s="110">
        <v>0.0</v>
      </c>
      <c r="W710" s="110">
        <v>0.0</v>
      </c>
      <c r="X710" s="110">
        <v>0.0</v>
      </c>
      <c r="Y710" s="110">
        <v>0.0</v>
      </c>
      <c r="Z710" s="110">
        <v>0.0</v>
      </c>
      <c r="AA710" s="110">
        <v>0.0</v>
      </c>
      <c r="AB710" s="110">
        <v>0.0</v>
      </c>
      <c r="AC710" s="110">
        <v>0.0</v>
      </c>
      <c r="AD710" s="110">
        <v>0.0</v>
      </c>
      <c r="AE710" s="110">
        <v>0.0</v>
      </c>
      <c r="AF710" s="112">
        <v>24.0</v>
      </c>
      <c r="AG710" s="112">
        <v>35.0</v>
      </c>
      <c r="AH710" s="112">
        <v>20.0</v>
      </c>
      <c r="AI710" s="112">
        <v>38.0</v>
      </c>
      <c r="AJ710" s="112">
        <v>21.0</v>
      </c>
      <c r="AK710" s="112">
        <v>39.0</v>
      </c>
      <c r="AL710" s="112">
        <v>22.0</v>
      </c>
      <c r="AM710" s="112">
        <v>40.0</v>
      </c>
      <c r="AN710" s="112">
        <v>237.0</v>
      </c>
    </row>
    <row r="711">
      <c r="A711" s="107" t="s">
        <v>204</v>
      </c>
      <c r="B711" s="111" t="s">
        <v>198</v>
      </c>
      <c r="C711" s="112">
        <v>1.0</v>
      </c>
      <c r="D711" s="112">
        <v>0.0</v>
      </c>
      <c r="E711" s="112">
        <v>1.0</v>
      </c>
      <c r="F711" s="110">
        <v>0.0</v>
      </c>
      <c r="G711" s="110">
        <v>0.0</v>
      </c>
      <c r="H711" s="110">
        <v>0.0</v>
      </c>
      <c r="I711" s="110">
        <v>0.0</v>
      </c>
      <c r="J711" s="110">
        <v>0.0</v>
      </c>
      <c r="K711" s="110">
        <v>0.0</v>
      </c>
      <c r="L711" s="110">
        <v>0.0</v>
      </c>
      <c r="M711" s="110">
        <v>0.0</v>
      </c>
      <c r="N711" s="110">
        <v>0.0</v>
      </c>
      <c r="O711" s="110">
        <v>0.0</v>
      </c>
      <c r="P711" s="110">
        <v>0.0</v>
      </c>
      <c r="Q711" s="110">
        <v>0.0</v>
      </c>
      <c r="R711" s="110">
        <v>0.0</v>
      </c>
      <c r="S711" s="110">
        <v>0.0</v>
      </c>
      <c r="T711" s="110">
        <v>0.0</v>
      </c>
      <c r="U711" s="110">
        <v>0.0</v>
      </c>
      <c r="V711" s="110">
        <v>0.0</v>
      </c>
      <c r="W711" s="110">
        <v>0.0</v>
      </c>
      <c r="X711" s="110">
        <v>0.0</v>
      </c>
      <c r="Y711" s="110">
        <v>0.0</v>
      </c>
      <c r="Z711" s="110">
        <v>0.0</v>
      </c>
      <c r="AA711" s="110">
        <v>0.0</v>
      </c>
      <c r="AB711" s="110">
        <v>0.0</v>
      </c>
      <c r="AC711" s="110">
        <v>0.0</v>
      </c>
      <c r="AD711" s="110">
        <v>0.0</v>
      </c>
      <c r="AE711" s="110">
        <v>0.0</v>
      </c>
      <c r="AF711" s="112">
        <v>0.0</v>
      </c>
      <c r="AG711" s="112">
        <v>1.0</v>
      </c>
      <c r="AH711" s="112">
        <v>0.0</v>
      </c>
      <c r="AI711" s="112">
        <v>0.0</v>
      </c>
      <c r="AJ711" s="112">
        <v>0.0</v>
      </c>
      <c r="AK711" s="112">
        <v>0.0</v>
      </c>
      <c r="AL711" s="112">
        <v>0.0</v>
      </c>
      <c r="AM711" s="112">
        <v>0.0</v>
      </c>
      <c r="AN711" s="112">
        <v>1.0</v>
      </c>
    </row>
    <row r="712">
      <c r="A712" s="104"/>
      <c r="B712" s="111" t="s">
        <v>199</v>
      </c>
      <c r="C712" s="112">
        <v>154.0</v>
      </c>
      <c r="D712" s="112">
        <v>45.0</v>
      </c>
      <c r="E712" s="112">
        <v>109.0</v>
      </c>
      <c r="F712" s="110">
        <v>0.0</v>
      </c>
      <c r="G712" s="110">
        <v>0.0</v>
      </c>
      <c r="H712" s="110">
        <v>0.0</v>
      </c>
      <c r="I712" s="110">
        <v>0.0</v>
      </c>
      <c r="J712" s="110">
        <v>0.0</v>
      </c>
      <c r="K712" s="110">
        <v>0.0</v>
      </c>
      <c r="L712" s="110">
        <v>0.0</v>
      </c>
      <c r="M712" s="110">
        <v>0.0</v>
      </c>
      <c r="N712" s="110">
        <v>0.0</v>
      </c>
      <c r="O712" s="110">
        <v>0.0</v>
      </c>
      <c r="P712" s="110">
        <v>0.0</v>
      </c>
      <c r="Q712" s="110">
        <v>0.0</v>
      </c>
      <c r="R712" s="110">
        <v>0.0</v>
      </c>
      <c r="S712" s="110">
        <v>0.0</v>
      </c>
      <c r="T712" s="110">
        <v>0.0</v>
      </c>
      <c r="U712" s="110">
        <v>0.0</v>
      </c>
      <c r="V712" s="110">
        <v>0.0</v>
      </c>
      <c r="W712" s="110">
        <v>0.0</v>
      </c>
      <c r="X712" s="110">
        <v>0.0</v>
      </c>
      <c r="Y712" s="110">
        <v>0.0</v>
      </c>
      <c r="Z712" s="110">
        <v>0.0</v>
      </c>
      <c r="AA712" s="110">
        <v>0.0</v>
      </c>
      <c r="AB712" s="110">
        <v>0.0</v>
      </c>
      <c r="AC712" s="110">
        <v>0.0</v>
      </c>
      <c r="AD712" s="110">
        <v>0.0</v>
      </c>
      <c r="AE712" s="110">
        <v>0.0</v>
      </c>
      <c r="AF712" s="112">
        <v>8.0</v>
      </c>
      <c r="AG712" s="112">
        <v>11.0</v>
      </c>
      <c r="AH712" s="112">
        <v>7.0</v>
      </c>
      <c r="AI712" s="112">
        <v>17.0</v>
      </c>
      <c r="AJ712" s="112">
        <v>11.0</v>
      </c>
      <c r="AK712" s="112">
        <v>20.0</v>
      </c>
      <c r="AL712" s="112">
        <v>19.0</v>
      </c>
      <c r="AM712" s="112">
        <v>61.0</v>
      </c>
      <c r="AN712" s="112">
        <v>154.0</v>
      </c>
    </row>
    <row r="713">
      <c r="A713" s="107" t="s">
        <v>205</v>
      </c>
      <c r="B713" s="111" t="s">
        <v>198</v>
      </c>
      <c r="C713" s="112">
        <v>7.0</v>
      </c>
      <c r="D713" s="112">
        <v>0.0</v>
      </c>
      <c r="E713" s="112">
        <v>7.0</v>
      </c>
      <c r="F713" s="112">
        <v>0.0</v>
      </c>
      <c r="G713" s="112">
        <v>0.0</v>
      </c>
      <c r="H713" s="112">
        <v>0.0</v>
      </c>
      <c r="I713" s="112">
        <v>0.0</v>
      </c>
      <c r="J713" s="112">
        <v>0.0</v>
      </c>
      <c r="K713" s="112">
        <v>0.0</v>
      </c>
      <c r="L713" s="112">
        <v>0.0</v>
      </c>
      <c r="M713" s="112">
        <v>0.0</v>
      </c>
      <c r="N713" s="112">
        <v>0.0</v>
      </c>
      <c r="O713" s="112">
        <v>0.0</v>
      </c>
      <c r="P713" s="112">
        <v>0.0</v>
      </c>
      <c r="Q713" s="112">
        <v>1.0</v>
      </c>
      <c r="R713" s="112">
        <v>0.0</v>
      </c>
      <c r="S713" s="112">
        <v>0.0</v>
      </c>
      <c r="T713" s="112">
        <v>0.0</v>
      </c>
      <c r="U713" s="112">
        <v>0.0</v>
      </c>
      <c r="V713" s="112">
        <v>0.0</v>
      </c>
      <c r="W713" s="112">
        <v>2.0</v>
      </c>
      <c r="X713" s="112">
        <v>0.0</v>
      </c>
      <c r="Y713" s="112">
        <v>0.0</v>
      </c>
      <c r="Z713" s="112">
        <v>0.0</v>
      </c>
      <c r="AA713" s="112">
        <v>1.0</v>
      </c>
      <c r="AB713" s="112">
        <v>0.0</v>
      </c>
      <c r="AC713" s="112">
        <v>1.0</v>
      </c>
      <c r="AD713" s="112">
        <v>0.0</v>
      </c>
      <c r="AE713" s="112">
        <v>2.0</v>
      </c>
      <c r="AF713" s="112">
        <v>0.0</v>
      </c>
      <c r="AG713" s="112">
        <v>0.0</v>
      </c>
      <c r="AH713" s="112">
        <v>0.0</v>
      </c>
      <c r="AI713" s="112">
        <v>0.0</v>
      </c>
      <c r="AJ713" s="112">
        <v>0.0</v>
      </c>
      <c r="AK713" s="112">
        <v>0.0</v>
      </c>
      <c r="AL713" s="112">
        <v>0.0</v>
      </c>
      <c r="AM713" s="112">
        <v>0.0</v>
      </c>
      <c r="AN713" s="112">
        <v>7.0</v>
      </c>
    </row>
    <row r="714">
      <c r="A714" s="98"/>
      <c r="B714" s="111" t="s">
        <v>199</v>
      </c>
      <c r="C714" s="112">
        <v>0.0</v>
      </c>
      <c r="D714" s="112">
        <v>0.0</v>
      </c>
      <c r="E714" s="112">
        <v>0.0</v>
      </c>
      <c r="F714" s="112">
        <v>0.0</v>
      </c>
      <c r="G714" s="112">
        <v>0.0</v>
      </c>
      <c r="H714" s="112">
        <v>0.0</v>
      </c>
      <c r="I714" s="112">
        <v>0.0</v>
      </c>
      <c r="J714" s="112">
        <v>0.0</v>
      </c>
      <c r="K714" s="112">
        <v>0.0</v>
      </c>
      <c r="L714" s="112">
        <v>0.0</v>
      </c>
      <c r="M714" s="112">
        <v>0.0</v>
      </c>
      <c r="N714" s="112">
        <v>0.0</v>
      </c>
      <c r="O714" s="112">
        <v>0.0</v>
      </c>
      <c r="P714" s="112">
        <v>0.0</v>
      </c>
      <c r="Q714" s="112">
        <v>0.0</v>
      </c>
      <c r="R714" s="112">
        <v>0.0</v>
      </c>
      <c r="S714" s="112">
        <v>0.0</v>
      </c>
      <c r="T714" s="112">
        <v>0.0</v>
      </c>
      <c r="U714" s="112">
        <v>0.0</v>
      </c>
      <c r="V714" s="112">
        <v>0.0</v>
      </c>
      <c r="W714" s="112">
        <v>0.0</v>
      </c>
      <c r="X714" s="112">
        <v>0.0</v>
      </c>
      <c r="Y714" s="112">
        <v>0.0</v>
      </c>
      <c r="Z714" s="112">
        <v>0.0</v>
      </c>
      <c r="AA714" s="112">
        <v>0.0</v>
      </c>
      <c r="AB714" s="112">
        <v>0.0</v>
      </c>
      <c r="AC714" s="112">
        <v>0.0</v>
      </c>
      <c r="AD714" s="112">
        <v>0.0</v>
      </c>
      <c r="AE714" s="112">
        <v>0.0</v>
      </c>
      <c r="AF714" s="112">
        <v>0.0</v>
      </c>
      <c r="AG714" s="112">
        <v>0.0</v>
      </c>
      <c r="AH714" s="112">
        <v>0.0</v>
      </c>
      <c r="AI714" s="112">
        <v>0.0</v>
      </c>
      <c r="AJ714" s="112">
        <v>0.0</v>
      </c>
      <c r="AK714" s="112">
        <v>0.0</v>
      </c>
      <c r="AL714" s="112">
        <v>0.0</v>
      </c>
      <c r="AM714" s="112">
        <v>0.0</v>
      </c>
      <c r="AN714" s="112">
        <v>0.0</v>
      </c>
    </row>
    <row r="715">
      <c r="A715" s="104"/>
      <c r="B715" s="111" t="s">
        <v>206</v>
      </c>
      <c r="C715" s="112">
        <v>33.0</v>
      </c>
      <c r="D715" s="112">
        <v>11.0</v>
      </c>
      <c r="E715" s="112">
        <v>22.0</v>
      </c>
      <c r="F715" s="112">
        <v>0.0</v>
      </c>
      <c r="G715" s="112">
        <v>0.0</v>
      </c>
      <c r="H715" s="112">
        <v>0.0</v>
      </c>
      <c r="I715" s="112">
        <v>0.0</v>
      </c>
      <c r="J715" s="112">
        <v>0.0</v>
      </c>
      <c r="K715" s="112">
        <v>0.0</v>
      </c>
      <c r="L715" s="112">
        <v>0.0</v>
      </c>
      <c r="M715" s="112">
        <v>2.0</v>
      </c>
      <c r="N715" s="112">
        <v>0.0</v>
      </c>
      <c r="O715" s="112">
        <v>1.0</v>
      </c>
      <c r="P715" s="112">
        <v>0.0</v>
      </c>
      <c r="Q715" s="112">
        <v>3.0</v>
      </c>
      <c r="R715" s="112">
        <v>0.0</v>
      </c>
      <c r="S715" s="112">
        <v>3.0</v>
      </c>
      <c r="T715" s="112">
        <v>1.0</v>
      </c>
      <c r="U715" s="112">
        <v>0.0</v>
      </c>
      <c r="V715" s="112">
        <v>0.0</v>
      </c>
      <c r="W715" s="112">
        <v>2.0</v>
      </c>
      <c r="X715" s="112">
        <v>0.0</v>
      </c>
      <c r="Y715" s="112">
        <v>4.0</v>
      </c>
      <c r="Z715" s="112">
        <v>10.0</v>
      </c>
      <c r="AA715" s="112">
        <v>0.0</v>
      </c>
      <c r="AB715" s="112">
        <v>0.0</v>
      </c>
      <c r="AC715" s="112">
        <v>0.0</v>
      </c>
      <c r="AD715" s="112">
        <v>0.0</v>
      </c>
      <c r="AE715" s="112">
        <v>7.0</v>
      </c>
      <c r="AF715" s="112">
        <v>0.0</v>
      </c>
      <c r="AG715" s="112">
        <v>0.0</v>
      </c>
      <c r="AH715" s="112">
        <v>0.0</v>
      </c>
      <c r="AI715" s="112">
        <v>0.0</v>
      </c>
      <c r="AJ715" s="112">
        <v>0.0</v>
      </c>
      <c r="AK715" s="112">
        <v>0.0</v>
      </c>
      <c r="AL715" s="112">
        <v>0.0</v>
      </c>
      <c r="AM715" s="112">
        <v>0.0</v>
      </c>
      <c r="AN715" s="112">
        <v>33.0</v>
      </c>
    </row>
    <row r="716">
      <c r="A716" s="107" t="s">
        <v>207</v>
      </c>
      <c r="B716" s="111" t="s">
        <v>198</v>
      </c>
      <c r="C716" s="109">
        <v>5967.0</v>
      </c>
      <c r="D716" s="109">
        <v>1195.0</v>
      </c>
      <c r="E716" s="109">
        <v>4772.0</v>
      </c>
      <c r="F716" s="112">
        <v>40.0</v>
      </c>
      <c r="G716" s="112">
        <v>40.0</v>
      </c>
      <c r="H716" s="112">
        <v>20.0</v>
      </c>
      <c r="I716" s="112">
        <v>28.0</v>
      </c>
      <c r="J716" s="112">
        <v>28.0</v>
      </c>
      <c r="K716" s="112">
        <v>42.0</v>
      </c>
      <c r="L716" s="112">
        <v>28.0</v>
      </c>
      <c r="M716" s="112">
        <v>56.0</v>
      </c>
      <c r="N716" s="112">
        <v>12.0</v>
      </c>
      <c r="O716" s="112">
        <v>115.0</v>
      </c>
      <c r="P716" s="112">
        <v>34.0</v>
      </c>
      <c r="Q716" s="112">
        <v>152.0</v>
      </c>
      <c r="R716" s="112">
        <v>32.0</v>
      </c>
      <c r="S716" s="112">
        <v>166.0</v>
      </c>
      <c r="T716" s="112">
        <v>38.0</v>
      </c>
      <c r="U716" s="112">
        <v>279.0</v>
      </c>
      <c r="V716" s="112">
        <v>57.0</v>
      </c>
      <c r="W716" s="112">
        <v>297.0</v>
      </c>
      <c r="X716" s="112">
        <v>68.0</v>
      </c>
      <c r="Y716" s="112">
        <v>397.0</v>
      </c>
      <c r="Z716" s="112">
        <v>123.0</v>
      </c>
      <c r="AA716" s="112">
        <v>626.0</v>
      </c>
      <c r="AB716" s="112">
        <v>158.0</v>
      </c>
      <c r="AC716" s="112">
        <v>662.0</v>
      </c>
      <c r="AD716" s="112">
        <v>138.0</v>
      </c>
      <c r="AE716" s="112">
        <v>592.0</v>
      </c>
      <c r="AF716" s="112">
        <v>129.0</v>
      </c>
      <c r="AG716" s="112">
        <v>451.0</v>
      </c>
      <c r="AH716" s="112">
        <v>122.0</v>
      </c>
      <c r="AI716" s="112">
        <v>374.0</v>
      </c>
      <c r="AJ716" s="112">
        <v>72.0</v>
      </c>
      <c r="AK716" s="112">
        <v>223.0</v>
      </c>
      <c r="AL716" s="112">
        <v>96.0</v>
      </c>
      <c r="AM716" s="112">
        <v>272.0</v>
      </c>
      <c r="AN716" s="109">
        <v>5757.0</v>
      </c>
    </row>
    <row r="717">
      <c r="A717" s="98"/>
      <c r="B717" s="111" t="s">
        <v>199</v>
      </c>
      <c r="C717" s="112">
        <v>444.0</v>
      </c>
      <c r="D717" s="112">
        <v>165.0</v>
      </c>
      <c r="E717" s="112">
        <v>279.0</v>
      </c>
      <c r="F717" s="112">
        <v>11.0</v>
      </c>
      <c r="G717" s="112">
        <v>12.0</v>
      </c>
      <c r="H717" s="112">
        <v>3.0</v>
      </c>
      <c r="I717" s="112">
        <v>1.0</v>
      </c>
      <c r="J717" s="112">
        <v>5.0</v>
      </c>
      <c r="K717" s="112">
        <v>4.0</v>
      </c>
      <c r="L717" s="112">
        <v>6.0</v>
      </c>
      <c r="M717" s="112">
        <v>6.0</v>
      </c>
      <c r="N717" s="112">
        <v>1.0</v>
      </c>
      <c r="O717" s="112">
        <v>17.0</v>
      </c>
      <c r="P717" s="112">
        <v>2.0</v>
      </c>
      <c r="Q717" s="112">
        <v>11.0</v>
      </c>
      <c r="R717" s="112">
        <v>2.0</v>
      </c>
      <c r="S717" s="112">
        <v>9.0</v>
      </c>
      <c r="T717" s="112">
        <v>6.0</v>
      </c>
      <c r="U717" s="112">
        <v>18.0</v>
      </c>
      <c r="V717" s="112">
        <v>8.0</v>
      </c>
      <c r="W717" s="112">
        <v>14.0</v>
      </c>
      <c r="X717" s="112">
        <v>9.0</v>
      </c>
      <c r="Y717" s="112">
        <v>13.0</v>
      </c>
      <c r="Z717" s="112">
        <v>5.0</v>
      </c>
      <c r="AA717" s="112">
        <v>17.0</v>
      </c>
      <c r="AB717" s="112">
        <v>15.0</v>
      </c>
      <c r="AC717" s="112">
        <v>17.0</v>
      </c>
      <c r="AD717" s="112">
        <v>16.0</v>
      </c>
      <c r="AE717" s="112">
        <v>22.0</v>
      </c>
      <c r="AF717" s="112">
        <v>27.0</v>
      </c>
      <c r="AG717" s="112">
        <v>36.0</v>
      </c>
      <c r="AH717" s="112">
        <v>17.0</v>
      </c>
      <c r="AI717" s="112">
        <v>35.0</v>
      </c>
      <c r="AJ717" s="112">
        <v>16.0</v>
      </c>
      <c r="AK717" s="112">
        <v>19.0</v>
      </c>
      <c r="AL717" s="112">
        <v>16.0</v>
      </c>
      <c r="AM717" s="112">
        <v>28.0</v>
      </c>
      <c r="AN717" s="112">
        <v>360.0</v>
      </c>
    </row>
    <row r="718">
      <c r="A718" s="98"/>
      <c r="B718" s="111" t="s">
        <v>206</v>
      </c>
      <c r="C718" s="112">
        <v>35.0</v>
      </c>
      <c r="D718" s="112">
        <v>4.0</v>
      </c>
      <c r="E718" s="112">
        <v>31.0</v>
      </c>
      <c r="F718" s="112">
        <v>0.0</v>
      </c>
      <c r="G718" s="112">
        <v>0.0</v>
      </c>
      <c r="H718" s="112">
        <v>1.0</v>
      </c>
      <c r="I718" s="112">
        <v>0.0</v>
      </c>
      <c r="J718" s="112">
        <v>1.0</v>
      </c>
      <c r="K718" s="112">
        <v>0.0</v>
      </c>
      <c r="L718" s="112">
        <v>0.0</v>
      </c>
      <c r="M718" s="112">
        <v>1.0</v>
      </c>
      <c r="N718" s="112">
        <v>0.0</v>
      </c>
      <c r="O718" s="112">
        <v>1.0</v>
      </c>
      <c r="P718" s="112">
        <v>0.0</v>
      </c>
      <c r="Q718" s="112">
        <v>5.0</v>
      </c>
      <c r="R718" s="112">
        <v>0.0</v>
      </c>
      <c r="S718" s="112">
        <v>4.0</v>
      </c>
      <c r="T718" s="112">
        <v>0.0</v>
      </c>
      <c r="U718" s="112">
        <v>3.0</v>
      </c>
      <c r="V718" s="112">
        <v>1.0</v>
      </c>
      <c r="W718" s="112">
        <v>4.0</v>
      </c>
      <c r="X718" s="112">
        <v>0.0</v>
      </c>
      <c r="Y718" s="112">
        <v>4.0</v>
      </c>
      <c r="Z718" s="112">
        <v>0.0</v>
      </c>
      <c r="AA718" s="112">
        <v>5.0</v>
      </c>
      <c r="AB718" s="112">
        <v>0.0</v>
      </c>
      <c r="AC718" s="112">
        <v>3.0</v>
      </c>
      <c r="AD718" s="112">
        <v>0.0</v>
      </c>
      <c r="AE718" s="112">
        <v>1.0</v>
      </c>
      <c r="AF718" s="112">
        <v>0.0</v>
      </c>
      <c r="AG718" s="112">
        <v>0.0</v>
      </c>
      <c r="AH718" s="112">
        <v>1.0</v>
      </c>
      <c r="AI718" s="112">
        <v>0.0</v>
      </c>
      <c r="AJ718" s="112">
        <v>0.0</v>
      </c>
      <c r="AK718" s="112">
        <v>0.0</v>
      </c>
      <c r="AL718" s="112">
        <v>0.0</v>
      </c>
      <c r="AM718" s="112">
        <v>0.0</v>
      </c>
      <c r="AN718" s="112">
        <v>26.0</v>
      </c>
    </row>
    <row r="719">
      <c r="A719" s="98"/>
      <c r="B719" s="111" t="s">
        <v>200</v>
      </c>
      <c r="C719" s="109">
        <v>4176.0</v>
      </c>
      <c r="D719" s="109">
        <v>1476.0</v>
      </c>
      <c r="E719" s="109">
        <v>2700.0</v>
      </c>
      <c r="F719" s="112">
        <v>836.0</v>
      </c>
      <c r="G719" s="112">
        <v>677.0</v>
      </c>
      <c r="H719" s="112">
        <v>177.0</v>
      </c>
      <c r="I719" s="112">
        <v>172.0</v>
      </c>
      <c r="J719" s="112">
        <v>107.0</v>
      </c>
      <c r="K719" s="112">
        <v>138.0</v>
      </c>
      <c r="L719" s="112">
        <v>43.0</v>
      </c>
      <c r="M719" s="112">
        <v>187.0</v>
      </c>
      <c r="N719" s="112">
        <v>25.0</v>
      </c>
      <c r="O719" s="112">
        <v>160.0</v>
      </c>
      <c r="P719" s="112">
        <v>14.0</v>
      </c>
      <c r="Q719" s="112">
        <v>208.0</v>
      </c>
      <c r="R719" s="112">
        <v>27.0</v>
      </c>
      <c r="S719" s="112">
        <v>209.0</v>
      </c>
      <c r="T719" s="112">
        <v>21.0</v>
      </c>
      <c r="U719" s="112">
        <v>184.0</v>
      </c>
      <c r="V719" s="112">
        <v>25.0</v>
      </c>
      <c r="W719" s="112">
        <v>150.0</v>
      </c>
      <c r="X719" s="112">
        <v>20.0</v>
      </c>
      <c r="Y719" s="112">
        <v>123.0</v>
      </c>
      <c r="Z719" s="112">
        <v>28.0</v>
      </c>
      <c r="AA719" s="112">
        <v>132.0</v>
      </c>
      <c r="AB719" s="112">
        <v>36.0</v>
      </c>
      <c r="AC719" s="112">
        <v>131.0</v>
      </c>
      <c r="AD719" s="112">
        <v>34.0</v>
      </c>
      <c r="AE719" s="112">
        <v>96.0</v>
      </c>
      <c r="AF719" s="112">
        <v>21.0</v>
      </c>
      <c r="AG719" s="112">
        <v>53.0</v>
      </c>
      <c r="AH719" s="112">
        <v>24.0</v>
      </c>
      <c r="AI719" s="112">
        <v>36.0</v>
      </c>
      <c r="AJ719" s="112">
        <v>19.0</v>
      </c>
      <c r="AK719" s="112">
        <v>19.0</v>
      </c>
      <c r="AL719" s="112">
        <v>19.0</v>
      </c>
      <c r="AM719" s="112">
        <v>25.0</v>
      </c>
      <c r="AN719" s="109">
        <v>3546.0</v>
      </c>
    </row>
    <row r="720">
      <c r="A720" s="104"/>
      <c r="B720" s="111" t="s">
        <v>201</v>
      </c>
      <c r="C720" s="109">
        <v>1683.0</v>
      </c>
      <c r="D720" s="112">
        <v>748.0</v>
      </c>
      <c r="E720" s="112">
        <v>935.0</v>
      </c>
      <c r="F720" s="112">
        <v>6.0</v>
      </c>
      <c r="G720" s="112">
        <v>6.0</v>
      </c>
      <c r="H720" s="112">
        <v>5.0</v>
      </c>
      <c r="I720" s="112">
        <v>35.0</v>
      </c>
      <c r="J720" s="112">
        <v>18.0</v>
      </c>
      <c r="K720" s="112">
        <v>38.0</v>
      </c>
      <c r="L720" s="112">
        <v>20.0</v>
      </c>
      <c r="M720" s="112">
        <v>28.0</v>
      </c>
      <c r="N720" s="112">
        <v>22.0</v>
      </c>
      <c r="O720" s="112">
        <v>33.0</v>
      </c>
      <c r="P720" s="112">
        <v>21.0</v>
      </c>
      <c r="Q720" s="112">
        <v>20.0</v>
      </c>
      <c r="R720" s="112">
        <v>22.0</v>
      </c>
      <c r="S720" s="112">
        <v>30.0</v>
      </c>
      <c r="T720" s="112">
        <v>24.0</v>
      </c>
      <c r="U720" s="112">
        <v>30.0</v>
      </c>
      <c r="V720" s="112">
        <v>66.0</v>
      </c>
      <c r="W720" s="112">
        <v>92.0</v>
      </c>
      <c r="X720" s="112">
        <v>29.0</v>
      </c>
      <c r="Y720" s="112">
        <v>41.0</v>
      </c>
      <c r="Z720" s="112">
        <v>51.0</v>
      </c>
      <c r="AA720" s="112">
        <v>89.0</v>
      </c>
      <c r="AB720" s="112">
        <v>56.0</v>
      </c>
      <c r="AC720" s="112">
        <v>77.0</v>
      </c>
      <c r="AD720" s="112">
        <v>100.0</v>
      </c>
      <c r="AE720" s="112">
        <v>130.0</v>
      </c>
      <c r="AF720" s="112">
        <v>109.0</v>
      </c>
      <c r="AG720" s="112">
        <v>128.0</v>
      </c>
      <c r="AH720" s="112">
        <v>48.0</v>
      </c>
      <c r="AI720" s="112">
        <v>92.0</v>
      </c>
      <c r="AJ720" s="112">
        <v>107.0</v>
      </c>
      <c r="AK720" s="112">
        <v>39.0</v>
      </c>
      <c r="AL720" s="112">
        <v>44.0</v>
      </c>
      <c r="AM720" s="112">
        <v>27.0</v>
      </c>
      <c r="AN720" s="109">
        <v>1456.0</v>
      </c>
    </row>
    <row r="721">
      <c r="A721" s="107" t="s">
        <v>208</v>
      </c>
      <c r="B721" s="111" t="s">
        <v>198</v>
      </c>
      <c r="C721" s="112">
        <v>4.0</v>
      </c>
      <c r="D721" s="112">
        <v>0.0</v>
      </c>
      <c r="E721" s="112">
        <v>4.0</v>
      </c>
      <c r="F721" s="112">
        <v>0.0</v>
      </c>
      <c r="G721" s="112">
        <v>4.0</v>
      </c>
      <c r="H721" s="112">
        <v>0.0</v>
      </c>
      <c r="I721" s="112">
        <v>0.0</v>
      </c>
      <c r="J721" s="112">
        <v>0.0</v>
      </c>
      <c r="K721" s="112">
        <v>0.0</v>
      </c>
      <c r="L721" s="112">
        <v>0.0</v>
      </c>
      <c r="M721" s="112">
        <v>0.0</v>
      </c>
      <c r="N721" s="112">
        <v>0.0</v>
      </c>
      <c r="O721" s="112">
        <v>0.0</v>
      </c>
      <c r="P721" s="110">
        <v>0.0</v>
      </c>
      <c r="Q721" s="110">
        <v>0.0</v>
      </c>
      <c r="R721" s="110">
        <v>0.0</v>
      </c>
      <c r="S721" s="110">
        <v>0.0</v>
      </c>
      <c r="T721" s="110">
        <v>0.0</v>
      </c>
      <c r="U721" s="110">
        <v>0.0</v>
      </c>
      <c r="V721" s="110">
        <v>0.0</v>
      </c>
      <c r="W721" s="110">
        <v>0.0</v>
      </c>
      <c r="X721" s="110">
        <v>0.0</v>
      </c>
      <c r="Y721" s="110">
        <v>0.0</v>
      </c>
      <c r="Z721" s="110">
        <v>0.0</v>
      </c>
      <c r="AA721" s="110">
        <v>0.0</v>
      </c>
      <c r="AB721" s="110">
        <v>0.0</v>
      </c>
      <c r="AC721" s="110">
        <v>0.0</v>
      </c>
      <c r="AD721" s="110">
        <v>0.0</v>
      </c>
      <c r="AE721" s="110">
        <v>0.0</v>
      </c>
      <c r="AF721" s="110">
        <v>0.0</v>
      </c>
      <c r="AG721" s="110">
        <v>0.0</v>
      </c>
      <c r="AH721" s="110">
        <v>0.0</v>
      </c>
      <c r="AI721" s="110">
        <v>0.0</v>
      </c>
      <c r="AJ721" s="110">
        <v>0.0</v>
      </c>
      <c r="AK721" s="110">
        <v>0.0</v>
      </c>
      <c r="AL721" s="110">
        <v>0.0</v>
      </c>
      <c r="AM721" s="110">
        <v>0.0</v>
      </c>
      <c r="AN721" s="112">
        <v>2.0</v>
      </c>
    </row>
    <row r="722">
      <c r="A722" s="98"/>
      <c r="B722" s="111" t="s">
        <v>199</v>
      </c>
      <c r="C722" s="112">
        <v>1.0</v>
      </c>
      <c r="D722" s="112">
        <v>1.0</v>
      </c>
      <c r="E722" s="112">
        <v>0.0</v>
      </c>
      <c r="F722" s="112">
        <v>1.0</v>
      </c>
      <c r="G722" s="112">
        <v>0.0</v>
      </c>
      <c r="H722" s="112">
        <v>0.0</v>
      </c>
      <c r="I722" s="112">
        <v>0.0</v>
      </c>
      <c r="J722" s="112">
        <v>0.0</v>
      </c>
      <c r="K722" s="112">
        <v>0.0</v>
      </c>
      <c r="L722" s="112">
        <v>0.0</v>
      </c>
      <c r="M722" s="112">
        <v>0.0</v>
      </c>
      <c r="N722" s="112">
        <v>0.0</v>
      </c>
      <c r="O722" s="112">
        <v>0.0</v>
      </c>
      <c r="P722" s="110">
        <v>0.0</v>
      </c>
      <c r="Q722" s="110">
        <v>0.0</v>
      </c>
      <c r="R722" s="110">
        <v>0.0</v>
      </c>
      <c r="S722" s="110">
        <v>0.0</v>
      </c>
      <c r="T722" s="110">
        <v>0.0</v>
      </c>
      <c r="U722" s="110">
        <v>0.0</v>
      </c>
      <c r="V722" s="110">
        <v>0.0</v>
      </c>
      <c r="W722" s="110">
        <v>0.0</v>
      </c>
      <c r="X722" s="110">
        <v>0.0</v>
      </c>
      <c r="Y722" s="110">
        <v>0.0</v>
      </c>
      <c r="Z722" s="110">
        <v>0.0</v>
      </c>
      <c r="AA722" s="110">
        <v>0.0</v>
      </c>
      <c r="AB722" s="110">
        <v>0.0</v>
      </c>
      <c r="AC722" s="110">
        <v>0.0</v>
      </c>
      <c r="AD722" s="110">
        <v>0.0</v>
      </c>
      <c r="AE722" s="110">
        <v>0.0</v>
      </c>
      <c r="AF722" s="110">
        <v>0.0</v>
      </c>
      <c r="AG722" s="110">
        <v>0.0</v>
      </c>
      <c r="AH722" s="110">
        <v>0.0</v>
      </c>
      <c r="AI722" s="110">
        <v>0.0</v>
      </c>
      <c r="AJ722" s="110">
        <v>0.0</v>
      </c>
      <c r="AK722" s="110">
        <v>0.0</v>
      </c>
      <c r="AL722" s="110">
        <v>0.0</v>
      </c>
      <c r="AM722" s="110">
        <v>0.0</v>
      </c>
      <c r="AN722" s="112">
        <v>1.0</v>
      </c>
    </row>
    <row r="723">
      <c r="A723" s="98"/>
      <c r="B723" s="111" t="s">
        <v>206</v>
      </c>
      <c r="C723" s="112">
        <v>0.0</v>
      </c>
      <c r="D723" s="112">
        <v>0.0</v>
      </c>
      <c r="E723" s="112">
        <v>0.0</v>
      </c>
      <c r="F723" s="112">
        <v>0.0</v>
      </c>
      <c r="G723" s="112">
        <v>0.0</v>
      </c>
      <c r="H723" s="112">
        <v>0.0</v>
      </c>
      <c r="I723" s="112">
        <v>0.0</v>
      </c>
      <c r="J723" s="112">
        <v>0.0</v>
      </c>
      <c r="K723" s="112">
        <v>0.0</v>
      </c>
      <c r="L723" s="112">
        <v>0.0</v>
      </c>
      <c r="M723" s="112">
        <v>0.0</v>
      </c>
      <c r="N723" s="112">
        <v>0.0</v>
      </c>
      <c r="O723" s="112">
        <v>0.0</v>
      </c>
      <c r="P723" s="110">
        <v>0.0</v>
      </c>
      <c r="Q723" s="110">
        <v>0.0</v>
      </c>
      <c r="R723" s="110">
        <v>0.0</v>
      </c>
      <c r="S723" s="110">
        <v>0.0</v>
      </c>
      <c r="T723" s="110">
        <v>0.0</v>
      </c>
      <c r="U723" s="110">
        <v>0.0</v>
      </c>
      <c r="V723" s="110">
        <v>0.0</v>
      </c>
      <c r="W723" s="110">
        <v>0.0</v>
      </c>
      <c r="X723" s="110">
        <v>0.0</v>
      </c>
      <c r="Y723" s="110">
        <v>0.0</v>
      </c>
      <c r="Z723" s="110">
        <v>0.0</v>
      </c>
      <c r="AA723" s="110">
        <v>0.0</v>
      </c>
      <c r="AB723" s="110">
        <v>0.0</v>
      </c>
      <c r="AC723" s="110">
        <v>0.0</v>
      </c>
      <c r="AD723" s="110">
        <v>0.0</v>
      </c>
      <c r="AE723" s="110">
        <v>0.0</v>
      </c>
      <c r="AF723" s="110">
        <v>0.0</v>
      </c>
      <c r="AG723" s="110">
        <v>0.0</v>
      </c>
      <c r="AH723" s="110">
        <v>0.0</v>
      </c>
      <c r="AI723" s="110">
        <v>0.0</v>
      </c>
      <c r="AJ723" s="110">
        <v>0.0</v>
      </c>
      <c r="AK723" s="110">
        <v>0.0</v>
      </c>
      <c r="AL723" s="110">
        <v>0.0</v>
      </c>
      <c r="AM723" s="110">
        <v>0.0</v>
      </c>
      <c r="AN723" s="112">
        <v>0.0</v>
      </c>
    </row>
    <row r="724">
      <c r="A724" s="98"/>
      <c r="B724" s="111" t="s">
        <v>200</v>
      </c>
      <c r="C724" s="112">
        <v>1.0</v>
      </c>
      <c r="D724" s="112">
        <v>1.0</v>
      </c>
      <c r="E724" s="112">
        <v>0.0</v>
      </c>
      <c r="F724" s="112">
        <v>1.0</v>
      </c>
      <c r="G724" s="112">
        <v>0.0</v>
      </c>
      <c r="H724" s="112">
        <v>0.0</v>
      </c>
      <c r="I724" s="112">
        <v>0.0</v>
      </c>
      <c r="J724" s="112">
        <v>0.0</v>
      </c>
      <c r="K724" s="112">
        <v>0.0</v>
      </c>
      <c r="L724" s="112">
        <v>0.0</v>
      </c>
      <c r="M724" s="112">
        <v>0.0</v>
      </c>
      <c r="N724" s="112">
        <v>0.0</v>
      </c>
      <c r="O724" s="112">
        <v>0.0</v>
      </c>
      <c r="P724" s="110">
        <v>0.0</v>
      </c>
      <c r="Q724" s="110">
        <v>0.0</v>
      </c>
      <c r="R724" s="110">
        <v>0.0</v>
      </c>
      <c r="S724" s="110">
        <v>0.0</v>
      </c>
      <c r="T724" s="110">
        <v>0.0</v>
      </c>
      <c r="U724" s="110">
        <v>0.0</v>
      </c>
      <c r="V724" s="110">
        <v>0.0</v>
      </c>
      <c r="W724" s="110">
        <v>0.0</v>
      </c>
      <c r="X724" s="110">
        <v>0.0</v>
      </c>
      <c r="Y724" s="110">
        <v>0.0</v>
      </c>
      <c r="Z724" s="110">
        <v>0.0</v>
      </c>
      <c r="AA724" s="110">
        <v>0.0</v>
      </c>
      <c r="AB724" s="110">
        <v>0.0</v>
      </c>
      <c r="AC724" s="110">
        <v>0.0</v>
      </c>
      <c r="AD724" s="110">
        <v>0.0</v>
      </c>
      <c r="AE724" s="110">
        <v>0.0</v>
      </c>
      <c r="AF724" s="110">
        <v>0.0</v>
      </c>
      <c r="AG724" s="110">
        <v>0.0</v>
      </c>
      <c r="AH724" s="110">
        <v>0.0</v>
      </c>
      <c r="AI724" s="110">
        <v>0.0</v>
      </c>
      <c r="AJ724" s="110">
        <v>0.0</v>
      </c>
      <c r="AK724" s="110">
        <v>0.0</v>
      </c>
      <c r="AL724" s="110">
        <v>0.0</v>
      </c>
      <c r="AM724" s="110">
        <v>0.0</v>
      </c>
      <c r="AN724" s="112">
        <v>1.0</v>
      </c>
    </row>
    <row r="725">
      <c r="A725" s="104"/>
      <c r="B725" s="111" t="s">
        <v>201</v>
      </c>
      <c r="C725" s="112">
        <v>0.0</v>
      </c>
      <c r="D725" s="112">
        <v>0.0</v>
      </c>
      <c r="E725" s="112">
        <v>0.0</v>
      </c>
      <c r="F725" s="112">
        <v>0.0</v>
      </c>
      <c r="G725" s="112">
        <v>0.0</v>
      </c>
      <c r="H725" s="112">
        <v>0.0</v>
      </c>
      <c r="I725" s="112">
        <v>0.0</v>
      </c>
      <c r="J725" s="112">
        <v>0.0</v>
      </c>
      <c r="K725" s="112">
        <v>0.0</v>
      </c>
      <c r="L725" s="112">
        <v>0.0</v>
      </c>
      <c r="M725" s="112">
        <v>0.0</v>
      </c>
      <c r="N725" s="112">
        <v>0.0</v>
      </c>
      <c r="O725" s="112">
        <v>0.0</v>
      </c>
      <c r="P725" s="110">
        <v>0.0</v>
      </c>
      <c r="Q725" s="110">
        <v>0.0</v>
      </c>
      <c r="R725" s="110">
        <v>0.0</v>
      </c>
      <c r="S725" s="110">
        <v>0.0</v>
      </c>
      <c r="T725" s="110">
        <v>0.0</v>
      </c>
      <c r="U725" s="110">
        <v>0.0</v>
      </c>
      <c r="V725" s="110">
        <v>0.0</v>
      </c>
      <c r="W725" s="110">
        <v>0.0</v>
      </c>
      <c r="X725" s="110">
        <v>0.0</v>
      </c>
      <c r="Y725" s="110">
        <v>0.0</v>
      </c>
      <c r="Z725" s="110">
        <v>0.0</v>
      </c>
      <c r="AA725" s="110">
        <v>0.0</v>
      </c>
      <c r="AB725" s="110">
        <v>0.0</v>
      </c>
      <c r="AC725" s="110">
        <v>0.0</v>
      </c>
      <c r="AD725" s="110">
        <v>0.0</v>
      </c>
      <c r="AE725" s="110">
        <v>0.0</v>
      </c>
      <c r="AF725" s="110">
        <v>0.0</v>
      </c>
      <c r="AG725" s="110">
        <v>0.0</v>
      </c>
      <c r="AH725" s="110">
        <v>0.0</v>
      </c>
      <c r="AI725" s="110">
        <v>0.0</v>
      </c>
      <c r="AJ725" s="110">
        <v>0.0</v>
      </c>
      <c r="AK725" s="110">
        <v>0.0</v>
      </c>
      <c r="AL725" s="110">
        <v>0.0</v>
      </c>
      <c r="AM725" s="110">
        <v>0.0</v>
      </c>
      <c r="AN725" s="112">
        <v>0.0</v>
      </c>
    </row>
    <row r="727">
      <c r="A727" s="114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115"/>
      <c r="AL727" s="115"/>
      <c r="AM727" s="115"/>
      <c r="AN727" s="115"/>
    </row>
    <row r="728">
      <c r="A728" s="116"/>
      <c r="B728" s="116"/>
      <c r="C728" s="116"/>
      <c r="F728" s="116"/>
      <c r="AN728" s="116"/>
    </row>
    <row r="729">
      <c r="F729" s="116"/>
      <c r="H729" s="117"/>
      <c r="J729" s="118"/>
      <c r="L729" s="116"/>
      <c r="N729" s="116"/>
      <c r="P729" s="116"/>
      <c r="R729" s="116"/>
      <c r="T729" s="116"/>
      <c r="V729" s="116"/>
      <c r="X729" s="116"/>
      <c r="Z729" s="116"/>
      <c r="AB729" s="116"/>
      <c r="AD729" s="116"/>
      <c r="AF729" s="116"/>
      <c r="AH729" s="116"/>
      <c r="AJ729" s="116"/>
      <c r="AL729" s="116"/>
    </row>
    <row r="730"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  <c r="AH730" s="116"/>
      <c r="AI730" s="116"/>
      <c r="AJ730" s="116"/>
      <c r="AK730" s="116"/>
      <c r="AL730" s="116"/>
      <c r="AM730" s="116"/>
    </row>
    <row r="731">
      <c r="A731" s="119"/>
    </row>
    <row r="732">
      <c r="A732" s="120"/>
      <c r="B732" s="120"/>
      <c r="C732" s="121"/>
      <c r="D732" s="121"/>
      <c r="E732" s="121"/>
      <c r="F732" s="122"/>
      <c r="G732" s="122"/>
      <c r="H732" s="122"/>
      <c r="I732" s="122"/>
      <c r="J732" s="122"/>
      <c r="K732" s="122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</row>
    <row r="733">
      <c r="B733" s="120"/>
      <c r="C733" s="121"/>
      <c r="D733" s="121"/>
      <c r="E733" s="121"/>
      <c r="F733" s="122"/>
      <c r="G733" s="122"/>
      <c r="H733" s="122"/>
      <c r="I733" s="122"/>
      <c r="J733" s="122"/>
      <c r="K733" s="122"/>
      <c r="L733" s="122"/>
      <c r="M733" s="122"/>
      <c r="N733" s="122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</row>
    <row r="734">
      <c r="B734" s="120"/>
      <c r="C734" s="121"/>
      <c r="D734" s="121"/>
      <c r="E734" s="121"/>
      <c r="F734" s="122"/>
      <c r="G734" s="122"/>
      <c r="H734" s="122"/>
      <c r="I734" s="122"/>
      <c r="J734" s="122"/>
      <c r="K734" s="122"/>
      <c r="L734" s="122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</row>
    <row r="735">
      <c r="B735" s="120"/>
      <c r="C735" s="121"/>
      <c r="D735" s="121"/>
      <c r="E735" s="121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</row>
    <row r="736">
      <c r="A736" s="120"/>
      <c r="B736" s="120"/>
      <c r="C736" s="121"/>
      <c r="D736" s="121"/>
      <c r="E736" s="121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  <c r="AE736" s="122"/>
      <c r="AF736" s="122"/>
      <c r="AG736" s="122"/>
      <c r="AH736" s="122"/>
      <c r="AI736" s="122"/>
      <c r="AJ736" s="122"/>
      <c r="AK736" s="122"/>
      <c r="AL736" s="122"/>
      <c r="AM736" s="122"/>
      <c r="AN736" s="121"/>
    </row>
    <row r="737">
      <c r="B737" s="120"/>
      <c r="C737" s="121"/>
      <c r="D737" s="121"/>
      <c r="E737" s="121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  <c r="AF737" s="122"/>
      <c r="AG737" s="122"/>
      <c r="AH737" s="122"/>
      <c r="AI737" s="122"/>
      <c r="AJ737" s="122"/>
      <c r="AK737" s="122"/>
      <c r="AL737" s="122"/>
      <c r="AM737" s="122"/>
      <c r="AN737" s="121"/>
    </row>
    <row r="738">
      <c r="A738" s="120"/>
      <c r="B738" s="120"/>
      <c r="C738" s="121"/>
      <c r="D738" s="122"/>
      <c r="E738" s="121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  <c r="AE738" s="122"/>
      <c r="AF738" s="122"/>
      <c r="AG738" s="122"/>
      <c r="AH738" s="122"/>
      <c r="AI738" s="122"/>
      <c r="AJ738" s="122"/>
      <c r="AK738" s="122"/>
      <c r="AL738" s="122"/>
      <c r="AM738" s="122"/>
      <c r="AN738" s="121"/>
    </row>
    <row r="739">
      <c r="B739" s="120"/>
      <c r="C739" s="121"/>
      <c r="D739" s="121"/>
      <c r="E739" s="121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  <c r="AF739" s="121"/>
      <c r="AG739" s="121"/>
      <c r="AH739" s="121"/>
      <c r="AI739" s="121"/>
      <c r="AJ739" s="121"/>
      <c r="AK739" s="121"/>
      <c r="AL739" s="121"/>
      <c r="AM739" s="121"/>
      <c r="AN739" s="121"/>
    </row>
    <row r="740">
      <c r="A740" s="120"/>
      <c r="B740" s="120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  <c r="AE740" s="122"/>
      <c r="AF740" s="122"/>
      <c r="AG740" s="122"/>
      <c r="AH740" s="122"/>
      <c r="AI740" s="122"/>
      <c r="AJ740" s="122"/>
      <c r="AK740" s="122"/>
      <c r="AL740" s="122"/>
      <c r="AM740" s="122"/>
      <c r="AN740" s="122"/>
    </row>
    <row r="741">
      <c r="B741" s="120"/>
      <c r="C741" s="121"/>
      <c r="D741" s="121"/>
      <c r="E741" s="121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  <c r="AF741" s="122"/>
      <c r="AG741" s="121"/>
      <c r="AH741" s="122"/>
      <c r="AI741" s="121"/>
      <c r="AJ741" s="121"/>
      <c r="AK741" s="121"/>
      <c r="AL741" s="121"/>
      <c r="AM741" s="121"/>
      <c r="AN741" s="121"/>
    </row>
    <row r="742">
      <c r="A742" s="120"/>
      <c r="B742" s="120"/>
      <c r="C742" s="121"/>
      <c r="D742" s="121"/>
      <c r="E742" s="121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  <c r="AE742" s="122"/>
      <c r="AF742" s="122"/>
      <c r="AG742" s="122"/>
      <c r="AH742" s="122"/>
      <c r="AI742" s="122"/>
      <c r="AJ742" s="122"/>
      <c r="AK742" s="122"/>
      <c r="AL742" s="122"/>
      <c r="AM742" s="122"/>
      <c r="AN742" s="121"/>
    </row>
    <row r="743">
      <c r="B743" s="120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  <c r="AF743" s="122"/>
      <c r="AG743" s="122"/>
      <c r="AH743" s="122"/>
      <c r="AI743" s="122"/>
      <c r="AJ743" s="122"/>
      <c r="AK743" s="122"/>
      <c r="AL743" s="122"/>
      <c r="AM743" s="122"/>
      <c r="AN743" s="122"/>
    </row>
    <row r="744">
      <c r="B744" s="120"/>
      <c r="C744" s="121"/>
      <c r="D744" s="121"/>
      <c r="E744" s="121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  <c r="AE744" s="122"/>
      <c r="AF744" s="122"/>
      <c r="AG744" s="122"/>
      <c r="AH744" s="122"/>
      <c r="AI744" s="122"/>
      <c r="AJ744" s="122"/>
      <c r="AK744" s="122"/>
      <c r="AL744" s="122"/>
      <c r="AM744" s="122"/>
      <c r="AN744" s="121"/>
    </row>
    <row r="745">
      <c r="A745" s="120"/>
      <c r="B745" s="120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  <c r="AD745" s="121"/>
      <c r="AE745" s="121"/>
      <c r="AF745" s="121"/>
      <c r="AG745" s="121"/>
      <c r="AH745" s="121"/>
      <c r="AI745" s="121"/>
      <c r="AJ745" s="121"/>
      <c r="AK745" s="121"/>
      <c r="AL745" s="121"/>
      <c r="AM745" s="121"/>
      <c r="AN745" s="121"/>
    </row>
    <row r="746">
      <c r="B746" s="120"/>
      <c r="C746" s="121"/>
      <c r="D746" s="121"/>
      <c r="E746" s="121"/>
      <c r="F746" s="121"/>
      <c r="G746" s="121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1"/>
      <c r="T746" s="122"/>
      <c r="U746" s="121"/>
      <c r="V746" s="122"/>
      <c r="W746" s="121"/>
      <c r="X746" s="121"/>
      <c r="Y746" s="121"/>
      <c r="Z746" s="121"/>
      <c r="AA746" s="121"/>
      <c r="AB746" s="121"/>
      <c r="AC746" s="121"/>
      <c r="AD746" s="121"/>
      <c r="AE746" s="121"/>
      <c r="AF746" s="121"/>
      <c r="AG746" s="121"/>
      <c r="AH746" s="121"/>
      <c r="AI746" s="121"/>
      <c r="AJ746" s="121"/>
      <c r="AK746" s="121"/>
      <c r="AL746" s="121"/>
      <c r="AM746" s="121"/>
      <c r="AN746" s="121"/>
    </row>
    <row r="747">
      <c r="B747" s="120"/>
      <c r="C747" s="121"/>
      <c r="D747" s="121"/>
      <c r="E747" s="121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1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1"/>
      <c r="AB747" s="122"/>
      <c r="AC747" s="121"/>
      <c r="AD747" s="122"/>
      <c r="AE747" s="121"/>
      <c r="AF747" s="122"/>
      <c r="AG747" s="122"/>
      <c r="AH747" s="122"/>
      <c r="AI747" s="122"/>
      <c r="AJ747" s="122"/>
      <c r="AK747" s="122"/>
      <c r="AL747" s="122"/>
      <c r="AM747" s="122"/>
      <c r="AN747" s="121"/>
    </row>
    <row r="748">
      <c r="B748" s="120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2"/>
      <c r="O748" s="121"/>
      <c r="P748" s="122"/>
      <c r="Q748" s="121"/>
      <c r="R748" s="122"/>
      <c r="S748" s="121"/>
      <c r="T748" s="122"/>
      <c r="U748" s="121"/>
      <c r="V748" s="122"/>
      <c r="W748" s="121"/>
      <c r="X748" s="122"/>
      <c r="Y748" s="121"/>
      <c r="Z748" s="121"/>
      <c r="AA748" s="121"/>
      <c r="AB748" s="121"/>
      <c r="AC748" s="121"/>
      <c r="AD748" s="121"/>
      <c r="AE748" s="121"/>
      <c r="AF748" s="121"/>
      <c r="AG748" s="121"/>
      <c r="AH748" s="121"/>
      <c r="AI748" s="121"/>
      <c r="AJ748" s="121"/>
      <c r="AK748" s="121"/>
      <c r="AL748" s="121"/>
      <c r="AM748" s="121"/>
      <c r="AN748" s="121"/>
    </row>
    <row r="749">
      <c r="B749" s="120"/>
      <c r="C749" s="121"/>
      <c r="D749" s="121"/>
      <c r="E749" s="121"/>
      <c r="F749" s="121"/>
      <c r="G749" s="121"/>
      <c r="H749" s="122"/>
      <c r="I749" s="121"/>
      <c r="J749" s="122"/>
      <c r="K749" s="121"/>
      <c r="L749" s="122"/>
      <c r="M749" s="121"/>
      <c r="N749" s="122"/>
      <c r="O749" s="121"/>
      <c r="P749" s="122"/>
      <c r="Q749" s="121"/>
      <c r="R749" s="122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  <c r="AE749" s="121"/>
      <c r="AF749" s="121"/>
      <c r="AG749" s="121"/>
      <c r="AH749" s="121"/>
      <c r="AI749" s="121"/>
      <c r="AJ749" s="121"/>
      <c r="AK749" s="121"/>
      <c r="AL749" s="121"/>
      <c r="AM749" s="121"/>
      <c r="AN749" s="121"/>
    </row>
    <row r="750">
      <c r="A750" s="120"/>
      <c r="B750" s="120"/>
      <c r="C750" s="121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  <c r="AE750" s="122"/>
      <c r="AF750" s="122"/>
      <c r="AG750" s="122"/>
      <c r="AH750" s="122"/>
      <c r="AI750" s="122"/>
      <c r="AJ750" s="122"/>
      <c r="AK750" s="122"/>
      <c r="AL750" s="122"/>
      <c r="AM750" s="122"/>
      <c r="AN750" s="121"/>
    </row>
    <row r="751">
      <c r="B751" s="120"/>
      <c r="C751" s="121"/>
      <c r="D751" s="121"/>
      <c r="E751" s="121"/>
      <c r="F751" s="121"/>
      <c r="G751" s="121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  <c r="AF751" s="122"/>
      <c r="AG751" s="122"/>
      <c r="AH751" s="122"/>
      <c r="AI751" s="122"/>
      <c r="AJ751" s="122"/>
      <c r="AK751" s="122"/>
      <c r="AL751" s="122"/>
      <c r="AM751" s="122"/>
      <c r="AN751" s="121"/>
    </row>
    <row r="752">
      <c r="B752" s="120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  <c r="AE752" s="122"/>
      <c r="AF752" s="122"/>
      <c r="AG752" s="122"/>
      <c r="AH752" s="122"/>
      <c r="AI752" s="122"/>
      <c r="AJ752" s="122"/>
      <c r="AK752" s="122"/>
      <c r="AL752" s="122"/>
      <c r="AM752" s="122"/>
      <c r="AN752" s="122"/>
    </row>
    <row r="753">
      <c r="B753" s="120"/>
      <c r="C753" s="121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  <c r="AF753" s="122"/>
      <c r="AG753" s="122"/>
      <c r="AH753" s="122"/>
      <c r="AI753" s="122"/>
      <c r="AJ753" s="122"/>
      <c r="AK753" s="122"/>
      <c r="AL753" s="122"/>
      <c r="AM753" s="122"/>
      <c r="AN753" s="121"/>
    </row>
    <row r="754">
      <c r="B754" s="120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  <c r="AE754" s="122"/>
      <c r="AF754" s="122"/>
      <c r="AG754" s="122"/>
      <c r="AH754" s="122"/>
      <c r="AI754" s="122"/>
      <c r="AJ754" s="122"/>
      <c r="AK754" s="122"/>
      <c r="AL754" s="122"/>
      <c r="AM754" s="122"/>
      <c r="AN754" s="122"/>
    </row>
    <row r="755">
      <c r="A755" s="123"/>
    </row>
    <row r="756">
      <c r="A756" s="120"/>
      <c r="B756" s="120"/>
      <c r="C756" s="121"/>
      <c r="D756" s="121"/>
      <c r="E756" s="121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1"/>
      <c r="AB756" s="122"/>
      <c r="AC756" s="121"/>
      <c r="AD756" s="122"/>
      <c r="AE756" s="121"/>
      <c r="AF756" s="121"/>
      <c r="AG756" s="121"/>
      <c r="AH756" s="121"/>
      <c r="AI756" s="121"/>
      <c r="AJ756" s="121"/>
      <c r="AK756" s="121"/>
      <c r="AL756" s="122"/>
      <c r="AM756" s="121"/>
      <c r="AN756" s="121"/>
    </row>
    <row r="757">
      <c r="B757" s="120"/>
      <c r="C757" s="121"/>
      <c r="D757" s="121"/>
      <c r="E757" s="121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1"/>
      <c r="AD757" s="122"/>
      <c r="AE757" s="121"/>
      <c r="AF757" s="121"/>
      <c r="AG757" s="121"/>
      <c r="AH757" s="121"/>
      <c r="AI757" s="121"/>
      <c r="AJ757" s="122"/>
      <c r="AK757" s="121"/>
      <c r="AL757" s="122"/>
      <c r="AM757" s="121"/>
      <c r="AN757" s="121"/>
    </row>
    <row r="758">
      <c r="B758" s="120"/>
      <c r="C758" s="121"/>
      <c r="D758" s="121"/>
      <c r="E758" s="121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  <c r="AE758" s="122"/>
      <c r="AF758" s="122"/>
      <c r="AG758" s="122"/>
      <c r="AH758" s="122"/>
      <c r="AI758" s="121"/>
      <c r="AJ758" s="122"/>
      <c r="AK758" s="122"/>
      <c r="AL758" s="122"/>
      <c r="AM758" s="122"/>
      <c r="AN758" s="121"/>
    </row>
    <row r="759">
      <c r="B759" s="120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  <c r="AF759" s="122"/>
      <c r="AG759" s="122"/>
      <c r="AH759" s="122"/>
      <c r="AI759" s="122"/>
      <c r="AJ759" s="122"/>
      <c r="AK759" s="122"/>
      <c r="AL759" s="122"/>
      <c r="AM759" s="122"/>
      <c r="AN759" s="122"/>
    </row>
    <row r="760">
      <c r="A760" s="120"/>
      <c r="B760" s="120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  <c r="AE760" s="122"/>
      <c r="AF760" s="122"/>
      <c r="AG760" s="122"/>
      <c r="AH760" s="122"/>
      <c r="AI760" s="122"/>
      <c r="AJ760" s="122"/>
      <c r="AK760" s="122"/>
      <c r="AL760" s="122"/>
      <c r="AM760" s="122"/>
      <c r="AN760" s="122"/>
    </row>
    <row r="761">
      <c r="B761" s="120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  <c r="AF761" s="122"/>
      <c r="AG761" s="122"/>
      <c r="AH761" s="122"/>
      <c r="AI761" s="122"/>
      <c r="AJ761" s="122"/>
      <c r="AK761" s="122"/>
      <c r="AL761" s="122"/>
      <c r="AM761" s="122"/>
      <c r="AN761" s="122"/>
    </row>
    <row r="762">
      <c r="A762" s="120"/>
      <c r="B762" s="120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  <c r="AE762" s="122"/>
      <c r="AF762" s="122"/>
      <c r="AG762" s="122"/>
      <c r="AH762" s="122"/>
      <c r="AI762" s="122"/>
      <c r="AJ762" s="122"/>
      <c r="AK762" s="122"/>
      <c r="AL762" s="122"/>
      <c r="AM762" s="122"/>
      <c r="AN762" s="122"/>
    </row>
    <row r="763">
      <c r="B763" s="120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  <c r="AF763" s="122"/>
      <c r="AG763" s="122"/>
      <c r="AH763" s="122"/>
      <c r="AI763" s="122"/>
      <c r="AJ763" s="122"/>
      <c r="AK763" s="122"/>
      <c r="AL763" s="122"/>
      <c r="AM763" s="122"/>
      <c r="AN763" s="122"/>
    </row>
    <row r="764">
      <c r="A764" s="120"/>
      <c r="B764" s="120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  <c r="AE764" s="122"/>
      <c r="AF764" s="122"/>
      <c r="AG764" s="122"/>
      <c r="AH764" s="122"/>
      <c r="AI764" s="122"/>
      <c r="AJ764" s="122"/>
      <c r="AK764" s="122"/>
      <c r="AL764" s="122"/>
      <c r="AM764" s="122"/>
      <c r="AN764" s="122"/>
    </row>
    <row r="765">
      <c r="B765" s="120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  <c r="AF765" s="122"/>
      <c r="AG765" s="122"/>
      <c r="AH765" s="122"/>
      <c r="AI765" s="122"/>
      <c r="AJ765" s="122"/>
      <c r="AK765" s="122"/>
      <c r="AL765" s="122"/>
      <c r="AM765" s="122"/>
      <c r="AN765" s="122"/>
    </row>
    <row r="766">
      <c r="A766" s="120"/>
      <c r="B766" s="120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  <c r="AE766" s="122"/>
      <c r="AF766" s="122"/>
      <c r="AG766" s="122"/>
      <c r="AH766" s="122"/>
      <c r="AI766" s="122"/>
      <c r="AJ766" s="122"/>
      <c r="AK766" s="122"/>
      <c r="AL766" s="122"/>
      <c r="AM766" s="122"/>
      <c r="AN766" s="122"/>
    </row>
    <row r="767">
      <c r="B767" s="120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  <c r="AF767" s="122"/>
      <c r="AG767" s="122"/>
      <c r="AH767" s="122"/>
      <c r="AI767" s="122"/>
      <c r="AJ767" s="122"/>
      <c r="AK767" s="122"/>
      <c r="AL767" s="122"/>
      <c r="AM767" s="122"/>
      <c r="AN767" s="122"/>
    </row>
    <row r="768">
      <c r="B768" s="120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  <c r="AE768" s="122"/>
      <c r="AF768" s="122"/>
      <c r="AG768" s="122"/>
      <c r="AH768" s="122"/>
      <c r="AI768" s="122"/>
      <c r="AJ768" s="122"/>
      <c r="AK768" s="122"/>
      <c r="AL768" s="122"/>
      <c r="AM768" s="122"/>
      <c r="AN768" s="122"/>
    </row>
    <row r="769">
      <c r="A769" s="120"/>
      <c r="B769" s="120"/>
      <c r="C769" s="121"/>
      <c r="D769" s="121"/>
      <c r="E769" s="121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1"/>
      <c r="AB769" s="122"/>
      <c r="AC769" s="121"/>
      <c r="AD769" s="122"/>
      <c r="AE769" s="121"/>
      <c r="AF769" s="122"/>
      <c r="AG769" s="121"/>
      <c r="AH769" s="122"/>
      <c r="AI769" s="121"/>
      <c r="AJ769" s="122"/>
      <c r="AK769" s="122"/>
      <c r="AL769" s="122"/>
      <c r="AM769" s="121"/>
      <c r="AN769" s="121"/>
    </row>
    <row r="770">
      <c r="B770" s="120"/>
      <c r="C770" s="121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  <c r="AE770" s="122"/>
      <c r="AF770" s="122"/>
      <c r="AG770" s="122"/>
      <c r="AH770" s="122"/>
      <c r="AI770" s="122"/>
      <c r="AJ770" s="122"/>
      <c r="AK770" s="122"/>
      <c r="AL770" s="122"/>
      <c r="AM770" s="122"/>
      <c r="AN770" s="121"/>
    </row>
    <row r="771">
      <c r="B771" s="120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  <c r="AF771" s="122"/>
      <c r="AG771" s="122"/>
      <c r="AH771" s="122"/>
      <c r="AI771" s="122"/>
      <c r="AJ771" s="122"/>
      <c r="AK771" s="122"/>
      <c r="AL771" s="122"/>
      <c r="AM771" s="122"/>
      <c r="AN771" s="122"/>
    </row>
    <row r="772">
      <c r="B772" s="120"/>
      <c r="C772" s="121"/>
      <c r="D772" s="121"/>
      <c r="E772" s="121"/>
      <c r="F772" s="121"/>
      <c r="G772" s="121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  <c r="AE772" s="122"/>
      <c r="AF772" s="122"/>
      <c r="AG772" s="122"/>
      <c r="AH772" s="122"/>
      <c r="AI772" s="122"/>
      <c r="AJ772" s="122"/>
      <c r="AK772" s="122"/>
      <c r="AL772" s="122"/>
      <c r="AM772" s="122"/>
      <c r="AN772" s="121"/>
    </row>
    <row r="773">
      <c r="B773" s="120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  <c r="AF773" s="122"/>
      <c r="AG773" s="122"/>
      <c r="AH773" s="122"/>
      <c r="AI773" s="122"/>
      <c r="AJ773" s="122"/>
      <c r="AK773" s="122"/>
      <c r="AL773" s="122"/>
      <c r="AM773" s="122"/>
      <c r="AN773" s="122"/>
    </row>
    <row r="774">
      <c r="A774" s="120"/>
      <c r="B774" s="120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  <c r="AE774" s="122"/>
      <c r="AF774" s="122"/>
      <c r="AG774" s="122"/>
      <c r="AH774" s="122"/>
      <c r="AI774" s="122"/>
      <c r="AJ774" s="122"/>
      <c r="AK774" s="122"/>
      <c r="AL774" s="122"/>
      <c r="AM774" s="122"/>
      <c r="AN774" s="122"/>
    </row>
    <row r="775">
      <c r="B775" s="120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  <c r="AF775" s="122"/>
      <c r="AG775" s="122"/>
      <c r="AH775" s="122"/>
      <c r="AI775" s="122"/>
      <c r="AJ775" s="122"/>
      <c r="AK775" s="122"/>
      <c r="AL775" s="122"/>
      <c r="AM775" s="122"/>
      <c r="AN775" s="122"/>
    </row>
    <row r="776">
      <c r="B776" s="120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  <c r="AE776" s="122"/>
      <c r="AF776" s="122"/>
      <c r="AG776" s="122"/>
      <c r="AH776" s="122"/>
      <c r="AI776" s="122"/>
      <c r="AJ776" s="122"/>
      <c r="AK776" s="122"/>
      <c r="AL776" s="122"/>
      <c r="AM776" s="122"/>
      <c r="AN776" s="122"/>
    </row>
    <row r="777">
      <c r="B777" s="120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  <c r="AF777" s="122"/>
      <c r="AG777" s="122"/>
      <c r="AH777" s="122"/>
      <c r="AI777" s="122"/>
      <c r="AJ777" s="122"/>
      <c r="AK777" s="122"/>
      <c r="AL777" s="122"/>
      <c r="AM777" s="122"/>
      <c r="AN777" s="122"/>
    </row>
    <row r="778">
      <c r="B778" s="120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  <c r="AE778" s="122"/>
      <c r="AF778" s="122"/>
      <c r="AG778" s="122"/>
      <c r="AH778" s="122"/>
      <c r="AI778" s="122"/>
      <c r="AJ778" s="122"/>
      <c r="AK778" s="122"/>
      <c r="AL778" s="122"/>
      <c r="AM778" s="122"/>
      <c r="AN778" s="122"/>
    </row>
    <row r="779">
      <c r="A779" s="123"/>
    </row>
    <row r="780">
      <c r="A780" s="120"/>
      <c r="B780" s="120"/>
      <c r="C780" s="121"/>
      <c r="D780" s="121"/>
      <c r="E780" s="121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1"/>
      <c r="X780" s="121"/>
      <c r="Y780" s="121"/>
      <c r="Z780" s="121"/>
      <c r="AA780" s="121"/>
      <c r="AB780" s="121"/>
      <c r="AC780" s="121"/>
      <c r="AD780" s="121"/>
      <c r="AE780" s="121"/>
      <c r="AF780" s="121"/>
      <c r="AG780" s="121"/>
      <c r="AH780" s="121"/>
      <c r="AI780" s="121"/>
      <c r="AJ780" s="121"/>
      <c r="AK780" s="121"/>
      <c r="AL780" s="121"/>
      <c r="AM780" s="121"/>
      <c r="AN780" s="121"/>
    </row>
    <row r="781">
      <c r="B781" s="120"/>
      <c r="C781" s="121"/>
      <c r="D781" s="121"/>
      <c r="E781" s="121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1"/>
      <c r="AD781" s="122"/>
      <c r="AE781" s="121"/>
      <c r="AF781" s="122"/>
      <c r="AG781" s="121"/>
      <c r="AH781" s="122"/>
      <c r="AI781" s="121"/>
      <c r="AJ781" s="122"/>
      <c r="AK781" s="122"/>
      <c r="AL781" s="122"/>
      <c r="AM781" s="122"/>
      <c r="AN781" s="121"/>
    </row>
    <row r="782">
      <c r="B782" s="120"/>
      <c r="C782" s="121"/>
      <c r="D782" s="121"/>
      <c r="E782" s="121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  <c r="AE782" s="122"/>
      <c r="AF782" s="122"/>
      <c r="AG782" s="122"/>
      <c r="AH782" s="122"/>
      <c r="AI782" s="122"/>
      <c r="AJ782" s="122"/>
      <c r="AK782" s="122"/>
      <c r="AL782" s="122"/>
      <c r="AM782" s="122"/>
      <c r="AN782" s="121"/>
    </row>
    <row r="783">
      <c r="B783" s="120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  <c r="AF783" s="122"/>
      <c r="AG783" s="122"/>
      <c r="AH783" s="122"/>
      <c r="AI783" s="122"/>
      <c r="AJ783" s="122"/>
      <c r="AK783" s="122"/>
      <c r="AL783" s="122"/>
      <c r="AM783" s="122"/>
      <c r="AN783" s="122"/>
    </row>
    <row r="784">
      <c r="A784" s="120"/>
      <c r="B784" s="120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  <c r="AE784" s="122"/>
      <c r="AF784" s="122"/>
      <c r="AG784" s="122"/>
      <c r="AH784" s="122"/>
      <c r="AI784" s="122"/>
      <c r="AJ784" s="122"/>
      <c r="AK784" s="122"/>
      <c r="AL784" s="122"/>
      <c r="AM784" s="122"/>
      <c r="AN784" s="122"/>
    </row>
    <row r="785">
      <c r="B785" s="120"/>
      <c r="C785" s="121"/>
      <c r="D785" s="121"/>
      <c r="E785" s="121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  <c r="AF785" s="122"/>
      <c r="AG785" s="122"/>
      <c r="AH785" s="122"/>
      <c r="AI785" s="122"/>
      <c r="AJ785" s="122"/>
      <c r="AK785" s="122"/>
      <c r="AL785" s="122"/>
      <c r="AM785" s="122"/>
      <c r="AN785" s="121"/>
    </row>
    <row r="786">
      <c r="A786" s="120"/>
      <c r="B786" s="120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  <c r="AE786" s="122"/>
      <c r="AF786" s="122"/>
      <c r="AG786" s="122"/>
      <c r="AH786" s="122"/>
      <c r="AI786" s="122"/>
      <c r="AJ786" s="122"/>
      <c r="AK786" s="122"/>
      <c r="AL786" s="122"/>
      <c r="AM786" s="122"/>
      <c r="AN786" s="122"/>
    </row>
    <row r="787">
      <c r="B787" s="120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  <c r="AF787" s="122"/>
      <c r="AG787" s="122"/>
      <c r="AH787" s="122"/>
      <c r="AI787" s="122"/>
      <c r="AJ787" s="122"/>
      <c r="AK787" s="122"/>
      <c r="AL787" s="122"/>
      <c r="AM787" s="122"/>
      <c r="AN787" s="122"/>
    </row>
    <row r="788">
      <c r="A788" s="120"/>
      <c r="B788" s="120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  <c r="AE788" s="122"/>
      <c r="AF788" s="122"/>
      <c r="AG788" s="122"/>
      <c r="AH788" s="122"/>
      <c r="AI788" s="122"/>
      <c r="AJ788" s="122"/>
      <c r="AK788" s="122"/>
      <c r="AL788" s="122"/>
      <c r="AM788" s="122"/>
      <c r="AN788" s="122"/>
    </row>
    <row r="789">
      <c r="B789" s="120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  <c r="AF789" s="122"/>
      <c r="AG789" s="122"/>
      <c r="AH789" s="122"/>
      <c r="AI789" s="122"/>
      <c r="AJ789" s="122"/>
      <c r="AK789" s="122"/>
      <c r="AL789" s="122"/>
      <c r="AM789" s="122"/>
      <c r="AN789" s="122"/>
    </row>
    <row r="790">
      <c r="A790" s="120"/>
      <c r="B790" s="120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  <c r="AE790" s="122"/>
      <c r="AF790" s="122"/>
      <c r="AG790" s="122"/>
      <c r="AH790" s="122"/>
      <c r="AI790" s="122"/>
      <c r="AJ790" s="122"/>
      <c r="AK790" s="122"/>
      <c r="AL790" s="122"/>
      <c r="AM790" s="122"/>
      <c r="AN790" s="122"/>
    </row>
    <row r="791">
      <c r="B791" s="120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  <c r="AF791" s="122"/>
      <c r="AG791" s="122"/>
      <c r="AH791" s="122"/>
      <c r="AI791" s="122"/>
      <c r="AJ791" s="122"/>
      <c r="AK791" s="122"/>
      <c r="AL791" s="122"/>
      <c r="AM791" s="122"/>
      <c r="AN791" s="122"/>
    </row>
    <row r="792">
      <c r="B792" s="120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  <c r="AE792" s="122"/>
      <c r="AF792" s="122"/>
      <c r="AG792" s="122"/>
      <c r="AH792" s="122"/>
      <c r="AI792" s="122"/>
      <c r="AJ792" s="122"/>
      <c r="AK792" s="122"/>
      <c r="AL792" s="122"/>
      <c r="AM792" s="122"/>
      <c r="AN792" s="122"/>
    </row>
    <row r="793">
      <c r="A793" s="120"/>
      <c r="B793" s="120"/>
      <c r="C793" s="121"/>
      <c r="D793" s="121"/>
      <c r="E793" s="121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1"/>
      <c r="AB793" s="122"/>
      <c r="AC793" s="121"/>
      <c r="AD793" s="122"/>
      <c r="AE793" s="121"/>
      <c r="AF793" s="122"/>
      <c r="AG793" s="121"/>
      <c r="AH793" s="122"/>
      <c r="AI793" s="121"/>
      <c r="AJ793" s="122"/>
      <c r="AK793" s="121"/>
      <c r="AL793" s="122"/>
      <c r="AM793" s="121"/>
      <c r="AN793" s="121"/>
    </row>
    <row r="794">
      <c r="B794" s="120"/>
      <c r="C794" s="121"/>
      <c r="D794" s="121"/>
      <c r="E794" s="121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  <c r="AE794" s="122"/>
      <c r="AF794" s="122"/>
      <c r="AG794" s="122"/>
      <c r="AH794" s="122"/>
      <c r="AI794" s="122"/>
      <c r="AJ794" s="122"/>
      <c r="AK794" s="122"/>
      <c r="AL794" s="122"/>
      <c r="AM794" s="122"/>
      <c r="AN794" s="121"/>
    </row>
    <row r="795">
      <c r="B795" s="120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  <c r="AF795" s="122"/>
      <c r="AG795" s="122"/>
      <c r="AH795" s="122"/>
      <c r="AI795" s="122"/>
      <c r="AJ795" s="122"/>
      <c r="AK795" s="122"/>
      <c r="AL795" s="122"/>
      <c r="AM795" s="122"/>
      <c r="AN795" s="122"/>
    </row>
    <row r="796">
      <c r="B796" s="120"/>
      <c r="C796" s="121"/>
      <c r="D796" s="121"/>
      <c r="E796" s="121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  <c r="AE796" s="122"/>
      <c r="AF796" s="122"/>
      <c r="AG796" s="122"/>
      <c r="AH796" s="122"/>
      <c r="AI796" s="122"/>
      <c r="AJ796" s="122"/>
      <c r="AK796" s="122"/>
      <c r="AL796" s="122"/>
      <c r="AM796" s="122"/>
      <c r="AN796" s="121"/>
    </row>
    <row r="797">
      <c r="B797" s="120"/>
      <c r="C797" s="121"/>
      <c r="D797" s="122"/>
      <c r="E797" s="121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  <c r="AF797" s="122"/>
      <c r="AG797" s="122"/>
      <c r="AH797" s="122"/>
      <c r="AI797" s="122"/>
      <c r="AJ797" s="122"/>
      <c r="AK797" s="122"/>
      <c r="AL797" s="122"/>
      <c r="AM797" s="122"/>
      <c r="AN797" s="121"/>
    </row>
    <row r="798">
      <c r="A798" s="120"/>
      <c r="B798" s="120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  <c r="AE798" s="122"/>
      <c r="AF798" s="122"/>
      <c r="AG798" s="122"/>
      <c r="AH798" s="122"/>
      <c r="AI798" s="122"/>
      <c r="AJ798" s="122"/>
      <c r="AK798" s="122"/>
      <c r="AL798" s="122"/>
      <c r="AM798" s="122"/>
      <c r="AN798" s="122"/>
    </row>
    <row r="799">
      <c r="B799" s="120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  <c r="AF799" s="122"/>
      <c r="AG799" s="122"/>
      <c r="AH799" s="122"/>
      <c r="AI799" s="122"/>
      <c r="AJ799" s="122"/>
      <c r="AK799" s="122"/>
      <c r="AL799" s="122"/>
      <c r="AM799" s="122"/>
      <c r="AN799" s="122"/>
    </row>
    <row r="800">
      <c r="B800" s="120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  <c r="AE800" s="122"/>
      <c r="AF800" s="122"/>
      <c r="AG800" s="122"/>
      <c r="AH800" s="122"/>
      <c r="AI800" s="122"/>
      <c r="AJ800" s="122"/>
      <c r="AK800" s="122"/>
      <c r="AL800" s="122"/>
      <c r="AM800" s="122"/>
      <c r="AN800" s="122"/>
    </row>
    <row r="801">
      <c r="B801" s="120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  <c r="AF801" s="122"/>
      <c r="AG801" s="122"/>
      <c r="AH801" s="122"/>
      <c r="AI801" s="122"/>
      <c r="AJ801" s="122"/>
      <c r="AK801" s="122"/>
      <c r="AL801" s="122"/>
      <c r="AM801" s="122"/>
      <c r="AN801" s="122"/>
    </row>
    <row r="802">
      <c r="B802" s="120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  <c r="AE802" s="122"/>
      <c r="AF802" s="122"/>
      <c r="AG802" s="122"/>
      <c r="AH802" s="122"/>
      <c r="AI802" s="122"/>
      <c r="AJ802" s="122"/>
      <c r="AK802" s="122"/>
      <c r="AL802" s="122"/>
      <c r="AM802" s="122"/>
      <c r="AN802" s="122"/>
    </row>
    <row r="803">
      <c r="A803" s="123"/>
    </row>
    <row r="804">
      <c r="A804" s="120"/>
      <c r="B804" s="120"/>
      <c r="C804" s="121"/>
      <c r="D804" s="121"/>
      <c r="E804" s="121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1"/>
      <c r="V804" s="122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</row>
    <row r="805">
      <c r="B805" s="120"/>
      <c r="C805" s="121"/>
      <c r="D805" s="121"/>
      <c r="E805" s="121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1"/>
      <c r="AB805" s="122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</row>
    <row r="806">
      <c r="B806" s="120"/>
      <c r="C806" s="121"/>
      <c r="D806" s="121"/>
      <c r="E806" s="121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1"/>
      <c r="AB806" s="122"/>
      <c r="AC806" s="121"/>
      <c r="AD806" s="122"/>
      <c r="AE806" s="121"/>
      <c r="AF806" s="122"/>
      <c r="AG806" s="121"/>
      <c r="AH806" s="122"/>
      <c r="AI806" s="121"/>
      <c r="AJ806" s="122"/>
      <c r="AK806" s="121"/>
      <c r="AL806" s="122"/>
      <c r="AM806" s="121"/>
      <c r="AN806" s="121"/>
    </row>
    <row r="807">
      <c r="B807" s="120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  <c r="AE807" s="122"/>
      <c r="AF807" s="122"/>
      <c r="AG807" s="122"/>
      <c r="AH807" s="122"/>
      <c r="AI807" s="122"/>
      <c r="AJ807" s="122"/>
      <c r="AK807" s="122"/>
      <c r="AL807" s="122"/>
      <c r="AM807" s="122"/>
      <c r="AN807" s="122"/>
    </row>
    <row r="808">
      <c r="A808" s="120"/>
      <c r="B808" s="120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  <c r="AE808" s="122"/>
      <c r="AF808" s="122"/>
      <c r="AG808" s="122"/>
      <c r="AH808" s="122"/>
      <c r="AI808" s="122"/>
      <c r="AJ808" s="122"/>
      <c r="AK808" s="122"/>
      <c r="AL808" s="122"/>
      <c r="AM808" s="122"/>
      <c r="AN808" s="122"/>
    </row>
    <row r="809">
      <c r="B809" s="120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  <c r="AE809" s="122"/>
      <c r="AF809" s="122"/>
      <c r="AG809" s="122"/>
      <c r="AH809" s="122"/>
      <c r="AI809" s="122"/>
      <c r="AJ809" s="122"/>
      <c r="AK809" s="122"/>
      <c r="AL809" s="122"/>
      <c r="AM809" s="122"/>
      <c r="AN809" s="122"/>
    </row>
    <row r="810">
      <c r="A810" s="120"/>
      <c r="B810" s="120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  <c r="AE810" s="122"/>
      <c r="AF810" s="122"/>
      <c r="AG810" s="122"/>
      <c r="AH810" s="122"/>
      <c r="AI810" s="122"/>
      <c r="AJ810" s="122"/>
      <c r="AK810" s="122"/>
      <c r="AL810" s="122"/>
      <c r="AM810" s="122"/>
      <c r="AN810" s="122"/>
    </row>
    <row r="811">
      <c r="B811" s="120"/>
      <c r="C811" s="121"/>
      <c r="D811" s="122"/>
      <c r="E811" s="121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  <c r="AE811" s="122"/>
      <c r="AF811" s="122"/>
      <c r="AG811" s="122"/>
      <c r="AH811" s="122"/>
      <c r="AI811" s="122"/>
      <c r="AJ811" s="122"/>
      <c r="AK811" s="122"/>
      <c r="AL811" s="122"/>
      <c r="AM811" s="122"/>
      <c r="AN811" s="121"/>
    </row>
    <row r="812">
      <c r="A812" s="120"/>
      <c r="B812" s="120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  <c r="AE812" s="122"/>
      <c r="AF812" s="122"/>
      <c r="AG812" s="122"/>
      <c r="AH812" s="122"/>
      <c r="AI812" s="122"/>
      <c r="AJ812" s="122"/>
      <c r="AK812" s="122"/>
      <c r="AL812" s="122"/>
      <c r="AM812" s="122"/>
      <c r="AN812" s="122"/>
    </row>
    <row r="813">
      <c r="B813" s="120"/>
      <c r="C813" s="121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  <c r="AE813" s="122"/>
      <c r="AF813" s="122"/>
      <c r="AG813" s="122"/>
      <c r="AH813" s="122"/>
      <c r="AI813" s="122"/>
      <c r="AJ813" s="122"/>
      <c r="AK813" s="122"/>
      <c r="AL813" s="122"/>
      <c r="AM813" s="122"/>
      <c r="AN813" s="121"/>
    </row>
    <row r="814">
      <c r="A814" s="120"/>
      <c r="B814" s="120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  <c r="AE814" s="122"/>
      <c r="AF814" s="122"/>
      <c r="AG814" s="122"/>
      <c r="AH814" s="122"/>
      <c r="AI814" s="122"/>
      <c r="AJ814" s="122"/>
      <c r="AK814" s="122"/>
      <c r="AL814" s="122"/>
      <c r="AM814" s="122"/>
      <c r="AN814" s="122"/>
    </row>
    <row r="815">
      <c r="B815" s="120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  <c r="AE815" s="122"/>
      <c r="AF815" s="122"/>
      <c r="AG815" s="122"/>
      <c r="AH815" s="122"/>
      <c r="AI815" s="122"/>
      <c r="AJ815" s="122"/>
      <c r="AK815" s="122"/>
      <c r="AL815" s="122"/>
      <c r="AM815" s="122"/>
      <c r="AN815" s="122"/>
    </row>
    <row r="816">
      <c r="B816" s="120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  <c r="AE816" s="122"/>
      <c r="AF816" s="122"/>
      <c r="AG816" s="122"/>
      <c r="AH816" s="122"/>
      <c r="AI816" s="122"/>
      <c r="AJ816" s="122"/>
      <c r="AK816" s="122"/>
      <c r="AL816" s="122"/>
      <c r="AM816" s="122"/>
      <c r="AN816" s="122"/>
    </row>
    <row r="817">
      <c r="A817" s="120"/>
      <c r="B817" s="120"/>
      <c r="C817" s="121"/>
      <c r="D817" s="121"/>
      <c r="E817" s="121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1"/>
      <c r="X817" s="122"/>
      <c r="Y817" s="121"/>
      <c r="Z817" s="122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</row>
    <row r="818">
      <c r="B818" s="120"/>
      <c r="C818" s="121"/>
      <c r="D818" s="121"/>
      <c r="E818" s="121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  <c r="AE818" s="122"/>
      <c r="AF818" s="122"/>
      <c r="AG818" s="122"/>
      <c r="AH818" s="122"/>
      <c r="AI818" s="122"/>
      <c r="AJ818" s="122"/>
      <c r="AK818" s="122"/>
      <c r="AL818" s="122"/>
      <c r="AM818" s="122"/>
      <c r="AN818" s="121"/>
    </row>
    <row r="819">
      <c r="B819" s="120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  <c r="AE819" s="122"/>
      <c r="AF819" s="122"/>
      <c r="AG819" s="122"/>
      <c r="AH819" s="122"/>
      <c r="AI819" s="122"/>
      <c r="AJ819" s="122"/>
      <c r="AK819" s="122"/>
      <c r="AL819" s="122"/>
      <c r="AM819" s="122"/>
      <c r="AN819" s="122"/>
    </row>
    <row r="820">
      <c r="B820" s="120"/>
      <c r="C820" s="121"/>
      <c r="D820" s="121"/>
      <c r="E820" s="121"/>
      <c r="F820" s="121"/>
      <c r="G820" s="121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  <c r="AE820" s="122"/>
      <c r="AF820" s="122"/>
      <c r="AG820" s="122"/>
      <c r="AH820" s="122"/>
      <c r="AI820" s="122"/>
      <c r="AJ820" s="122"/>
      <c r="AK820" s="122"/>
      <c r="AL820" s="122"/>
      <c r="AM820" s="122"/>
      <c r="AN820" s="121"/>
    </row>
    <row r="821">
      <c r="B821" s="120"/>
      <c r="C821" s="121"/>
      <c r="D821" s="121"/>
      <c r="E821" s="121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  <c r="AE821" s="122"/>
      <c r="AF821" s="122"/>
      <c r="AG821" s="122"/>
      <c r="AH821" s="122"/>
      <c r="AI821" s="122"/>
      <c r="AJ821" s="122"/>
      <c r="AK821" s="122"/>
      <c r="AL821" s="122"/>
      <c r="AM821" s="122"/>
      <c r="AN821" s="121"/>
    </row>
    <row r="822">
      <c r="A822" s="120"/>
      <c r="B822" s="120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  <c r="AE822" s="122"/>
      <c r="AF822" s="122"/>
      <c r="AG822" s="122"/>
      <c r="AH822" s="122"/>
      <c r="AI822" s="122"/>
      <c r="AJ822" s="122"/>
      <c r="AK822" s="122"/>
      <c r="AL822" s="122"/>
      <c r="AM822" s="122"/>
      <c r="AN822" s="122"/>
    </row>
    <row r="823">
      <c r="B823" s="120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  <c r="AE823" s="122"/>
      <c r="AF823" s="122"/>
      <c r="AG823" s="122"/>
      <c r="AH823" s="122"/>
      <c r="AI823" s="122"/>
      <c r="AJ823" s="122"/>
      <c r="AK823" s="122"/>
      <c r="AL823" s="122"/>
      <c r="AM823" s="122"/>
      <c r="AN823" s="122"/>
    </row>
    <row r="824">
      <c r="B824" s="120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  <c r="AE824" s="122"/>
      <c r="AF824" s="122"/>
      <c r="AG824" s="122"/>
      <c r="AH824" s="122"/>
      <c r="AI824" s="122"/>
      <c r="AJ824" s="122"/>
      <c r="AK824" s="122"/>
      <c r="AL824" s="122"/>
      <c r="AM824" s="122"/>
      <c r="AN824" s="122"/>
    </row>
    <row r="825">
      <c r="B825" s="120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  <c r="AE825" s="122"/>
      <c r="AF825" s="122"/>
      <c r="AG825" s="122"/>
      <c r="AH825" s="122"/>
      <c r="AI825" s="122"/>
      <c r="AJ825" s="122"/>
      <c r="AK825" s="122"/>
      <c r="AL825" s="122"/>
      <c r="AM825" s="122"/>
      <c r="AN825" s="122"/>
    </row>
    <row r="826">
      <c r="B826" s="120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  <c r="AE826" s="122"/>
      <c r="AF826" s="122"/>
      <c r="AG826" s="122"/>
      <c r="AH826" s="122"/>
      <c r="AI826" s="122"/>
      <c r="AJ826" s="122"/>
      <c r="AK826" s="122"/>
      <c r="AL826" s="122"/>
      <c r="AM826" s="122"/>
      <c r="AN826" s="122"/>
    </row>
    <row r="827">
      <c r="A827" s="123"/>
    </row>
    <row r="828">
      <c r="A828" s="120"/>
      <c r="B828" s="120"/>
      <c r="C828" s="121"/>
      <c r="D828" s="121"/>
      <c r="E828" s="121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1"/>
      <c r="X828" s="122"/>
      <c r="Y828" s="121"/>
      <c r="Z828" s="121"/>
      <c r="AA828" s="121"/>
      <c r="AB828" s="121"/>
      <c r="AC828" s="121"/>
      <c r="AD828" s="121"/>
      <c r="AE828" s="121"/>
      <c r="AF828" s="121"/>
      <c r="AG828" s="121"/>
      <c r="AH828" s="121"/>
      <c r="AI828" s="121"/>
      <c r="AJ828" s="121"/>
      <c r="AK828" s="121"/>
      <c r="AL828" s="121"/>
      <c r="AM828" s="121"/>
      <c r="AN828" s="121"/>
    </row>
    <row r="829">
      <c r="B829" s="120"/>
      <c r="C829" s="121"/>
      <c r="D829" s="121"/>
      <c r="E829" s="121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1"/>
      <c r="AB829" s="122"/>
      <c r="AC829" s="121"/>
      <c r="AD829" s="122"/>
      <c r="AE829" s="121"/>
      <c r="AF829" s="122"/>
      <c r="AG829" s="121"/>
      <c r="AH829" s="122"/>
      <c r="AI829" s="121"/>
      <c r="AJ829" s="122"/>
      <c r="AK829" s="121"/>
      <c r="AL829" s="122"/>
      <c r="AM829" s="121"/>
      <c r="AN829" s="121"/>
    </row>
    <row r="830">
      <c r="B830" s="120"/>
      <c r="C830" s="121"/>
      <c r="D830" s="121"/>
      <c r="E830" s="121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1"/>
      <c r="AD830" s="122"/>
      <c r="AE830" s="121"/>
      <c r="AF830" s="122"/>
      <c r="AG830" s="121"/>
      <c r="AH830" s="122"/>
      <c r="AI830" s="121"/>
      <c r="AJ830" s="122"/>
      <c r="AK830" s="122"/>
      <c r="AL830" s="122"/>
      <c r="AM830" s="122"/>
      <c r="AN830" s="121"/>
    </row>
    <row r="831">
      <c r="B831" s="120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  <c r="AE831" s="122"/>
      <c r="AF831" s="122"/>
      <c r="AG831" s="122"/>
      <c r="AH831" s="122"/>
      <c r="AI831" s="122"/>
      <c r="AJ831" s="122"/>
      <c r="AK831" s="122"/>
      <c r="AL831" s="122"/>
      <c r="AM831" s="122"/>
      <c r="AN831" s="122"/>
    </row>
    <row r="832">
      <c r="A832" s="120"/>
      <c r="B832" s="120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  <c r="AE832" s="122"/>
      <c r="AF832" s="122"/>
      <c r="AG832" s="122"/>
      <c r="AH832" s="122"/>
      <c r="AI832" s="122"/>
      <c r="AJ832" s="122"/>
      <c r="AK832" s="122"/>
      <c r="AL832" s="122"/>
      <c r="AM832" s="122"/>
      <c r="AN832" s="122"/>
    </row>
    <row r="833">
      <c r="B833" s="120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  <c r="AE833" s="122"/>
      <c r="AF833" s="122"/>
      <c r="AG833" s="122"/>
      <c r="AH833" s="122"/>
      <c r="AI833" s="122"/>
      <c r="AJ833" s="122"/>
      <c r="AK833" s="122"/>
      <c r="AL833" s="122"/>
      <c r="AM833" s="122"/>
      <c r="AN833" s="122"/>
    </row>
    <row r="834">
      <c r="A834" s="120"/>
      <c r="B834" s="120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  <c r="AE834" s="122"/>
      <c r="AF834" s="122"/>
      <c r="AG834" s="122"/>
      <c r="AH834" s="122"/>
      <c r="AI834" s="122"/>
      <c r="AJ834" s="122"/>
      <c r="AK834" s="122"/>
      <c r="AL834" s="122"/>
      <c r="AM834" s="122"/>
      <c r="AN834" s="122"/>
    </row>
    <row r="835">
      <c r="B835" s="120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  <c r="AE835" s="122"/>
      <c r="AF835" s="122"/>
      <c r="AG835" s="122"/>
      <c r="AH835" s="122"/>
      <c r="AI835" s="122"/>
      <c r="AJ835" s="122"/>
      <c r="AK835" s="122"/>
      <c r="AL835" s="122"/>
      <c r="AM835" s="122"/>
      <c r="AN835" s="122"/>
    </row>
    <row r="836">
      <c r="A836" s="120"/>
      <c r="B836" s="120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  <c r="AE836" s="122"/>
      <c r="AF836" s="122"/>
      <c r="AG836" s="122"/>
      <c r="AH836" s="122"/>
      <c r="AI836" s="122"/>
      <c r="AJ836" s="122"/>
      <c r="AK836" s="122"/>
      <c r="AL836" s="122"/>
      <c r="AM836" s="122"/>
      <c r="AN836" s="122"/>
    </row>
    <row r="837">
      <c r="B837" s="120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  <c r="AE837" s="122"/>
      <c r="AF837" s="122"/>
      <c r="AG837" s="122"/>
      <c r="AH837" s="122"/>
      <c r="AI837" s="122"/>
      <c r="AJ837" s="122"/>
      <c r="AK837" s="122"/>
      <c r="AL837" s="122"/>
      <c r="AM837" s="122"/>
      <c r="AN837" s="122"/>
    </row>
    <row r="838">
      <c r="A838" s="120"/>
      <c r="B838" s="120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  <c r="AE838" s="122"/>
      <c r="AF838" s="122"/>
      <c r="AG838" s="122"/>
      <c r="AH838" s="122"/>
      <c r="AI838" s="122"/>
      <c r="AJ838" s="122"/>
      <c r="AK838" s="122"/>
      <c r="AL838" s="122"/>
      <c r="AM838" s="122"/>
      <c r="AN838" s="122"/>
    </row>
    <row r="839">
      <c r="B839" s="120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  <c r="AE839" s="122"/>
      <c r="AF839" s="122"/>
      <c r="AG839" s="122"/>
      <c r="AH839" s="122"/>
      <c r="AI839" s="122"/>
      <c r="AJ839" s="122"/>
      <c r="AK839" s="122"/>
      <c r="AL839" s="122"/>
      <c r="AM839" s="122"/>
      <c r="AN839" s="122"/>
    </row>
    <row r="840">
      <c r="B840" s="120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  <c r="AE840" s="122"/>
      <c r="AF840" s="122"/>
      <c r="AG840" s="122"/>
      <c r="AH840" s="122"/>
      <c r="AI840" s="122"/>
      <c r="AJ840" s="122"/>
      <c r="AK840" s="122"/>
      <c r="AL840" s="122"/>
      <c r="AM840" s="122"/>
      <c r="AN840" s="122"/>
    </row>
    <row r="841">
      <c r="A841" s="120"/>
      <c r="B841" s="120"/>
      <c r="C841" s="121"/>
      <c r="D841" s="121"/>
      <c r="E841" s="121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  <c r="AF841" s="122"/>
      <c r="AG841" s="122"/>
      <c r="AH841" s="122"/>
      <c r="AI841" s="122"/>
      <c r="AJ841" s="122"/>
      <c r="AK841" s="122"/>
      <c r="AL841" s="122"/>
      <c r="AM841" s="122"/>
      <c r="AN841" s="121"/>
    </row>
    <row r="842">
      <c r="B842" s="120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  <c r="AE842" s="122"/>
      <c r="AF842" s="122"/>
      <c r="AG842" s="122"/>
      <c r="AH842" s="122"/>
      <c r="AI842" s="122"/>
      <c r="AJ842" s="122"/>
      <c r="AK842" s="122"/>
      <c r="AL842" s="122"/>
      <c r="AM842" s="122"/>
      <c r="AN842" s="122"/>
    </row>
    <row r="843">
      <c r="B843" s="120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  <c r="AE843" s="122"/>
      <c r="AF843" s="122"/>
      <c r="AG843" s="122"/>
      <c r="AH843" s="122"/>
      <c r="AI843" s="122"/>
      <c r="AJ843" s="122"/>
      <c r="AK843" s="122"/>
      <c r="AL843" s="122"/>
      <c r="AM843" s="122"/>
      <c r="AN843" s="122"/>
    </row>
    <row r="844">
      <c r="B844" s="120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  <c r="AE844" s="122"/>
      <c r="AF844" s="122"/>
      <c r="AG844" s="122"/>
      <c r="AH844" s="122"/>
      <c r="AI844" s="122"/>
      <c r="AJ844" s="122"/>
      <c r="AK844" s="122"/>
      <c r="AL844" s="122"/>
      <c r="AM844" s="122"/>
      <c r="AN844" s="122"/>
    </row>
    <row r="845">
      <c r="B845" s="120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  <c r="AE845" s="122"/>
      <c r="AF845" s="122"/>
      <c r="AG845" s="122"/>
      <c r="AH845" s="122"/>
      <c r="AI845" s="122"/>
      <c r="AJ845" s="122"/>
      <c r="AK845" s="122"/>
      <c r="AL845" s="122"/>
      <c r="AM845" s="122"/>
      <c r="AN845" s="122"/>
    </row>
    <row r="846">
      <c r="A846" s="120"/>
      <c r="B846" s="120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  <c r="AE846" s="122"/>
      <c r="AF846" s="122"/>
      <c r="AG846" s="122"/>
      <c r="AH846" s="122"/>
      <c r="AI846" s="122"/>
      <c r="AJ846" s="122"/>
      <c r="AK846" s="122"/>
      <c r="AL846" s="122"/>
      <c r="AM846" s="122"/>
      <c r="AN846" s="122"/>
    </row>
    <row r="847">
      <c r="B847" s="120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  <c r="AE847" s="122"/>
      <c r="AF847" s="122"/>
      <c r="AG847" s="122"/>
      <c r="AH847" s="122"/>
      <c r="AI847" s="122"/>
      <c r="AJ847" s="122"/>
      <c r="AK847" s="122"/>
      <c r="AL847" s="122"/>
      <c r="AM847" s="122"/>
      <c r="AN847" s="122"/>
    </row>
    <row r="848">
      <c r="B848" s="120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  <c r="AE848" s="122"/>
      <c r="AF848" s="122"/>
      <c r="AG848" s="122"/>
      <c r="AH848" s="122"/>
      <c r="AI848" s="122"/>
      <c r="AJ848" s="122"/>
      <c r="AK848" s="122"/>
      <c r="AL848" s="122"/>
      <c r="AM848" s="122"/>
      <c r="AN848" s="122"/>
    </row>
    <row r="849">
      <c r="B849" s="120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  <c r="AE849" s="122"/>
      <c r="AF849" s="122"/>
      <c r="AG849" s="122"/>
      <c r="AH849" s="122"/>
      <c r="AI849" s="122"/>
      <c r="AJ849" s="122"/>
      <c r="AK849" s="122"/>
      <c r="AL849" s="122"/>
      <c r="AM849" s="122"/>
      <c r="AN849" s="122"/>
    </row>
    <row r="850">
      <c r="B850" s="120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  <c r="AE850" s="122"/>
      <c r="AF850" s="122"/>
      <c r="AG850" s="122"/>
      <c r="AH850" s="122"/>
      <c r="AI850" s="122"/>
      <c r="AJ850" s="122"/>
      <c r="AK850" s="122"/>
      <c r="AL850" s="122"/>
      <c r="AM850" s="122"/>
      <c r="AN850" s="122"/>
    </row>
    <row r="851">
      <c r="A851" s="123"/>
    </row>
    <row r="852">
      <c r="A852" s="120"/>
      <c r="B852" s="120"/>
      <c r="C852" s="121"/>
      <c r="D852" s="121"/>
      <c r="E852" s="121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1"/>
      <c r="T852" s="122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</row>
    <row r="853">
      <c r="B853" s="120"/>
      <c r="C853" s="121"/>
      <c r="D853" s="121"/>
      <c r="E853" s="121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1"/>
      <c r="X853" s="122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</row>
    <row r="854">
      <c r="B854" s="120"/>
      <c r="C854" s="121"/>
      <c r="D854" s="121"/>
      <c r="E854" s="121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1"/>
      <c r="X854" s="122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</row>
    <row r="855">
      <c r="B855" s="120"/>
      <c r="C855" s="121"/>
      <c r="D855" s="121"/>
      <c r="E855" s="121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  <c r="AE855" s="122"/>
      <c r="AF855" s="122"/>
      <c r="AG855" s="122"/>
      <c r="AH855" s="122"/>
      <c r="AI855" s="122"/>
      <c r="AJ855" s="122"/>
      <c r="AK855" s="122"/>
      <c r="AL855" s="122"/>
      <c r="AM855" s="122"/>
      <c r="AN855" s="121"/>
    </row>
    <row r="856">
      <c r="A856" s="120"/>
      <c r="B856" s="120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  <c r="AE856" s="122"/>
      <c r="AF856" s="122"/>
      <c r="AG856" s="122"/>
      <c r="AH856" s="122"/>
      <c r="AI856" s="122"/>
      <c r="AJ856" s="122"/>
      <c r="AK856" s="122"/>
      <c r="AL856" s="122"/>
      <c r="AM856" s="122"/>
      <c r="AN856" s="122"/>
    </row>
    <row r="857">
      <c r="B857" s="120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  <c r="AE857" s="122"/>
      <c r="AF857" s="122"/>
      <c r="AG857" s="122"/>
      <c r="AH857" s="122"/>
      <c r="AI857" s="122"/>
      <c r="AJ857" s="122"/>
      <c r="AK857" s="122"/>
      <c r="AL857" s="122"/>
      <c r="AM857" s="122"/>
      <c r="AN857" s="122"/>
    </row>
    <row r="858">
      <c r="A858" s="120"/>
      <c r="B858" s="120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  <c r="AE858" s="122"/>
      <c r="AF858" s="122"/>
      <c r="AG858" s="122"/>
      <c r="AH858" s="122"/>
      <c r="AI858" s="122"/>
      <c r="AJ858" s="122"/>
      <c r="AK858" s="122"/>
      <c r="AL858" s="122"/>
      <c r="AM858" s="122"/>
      <c r="AN858" s="122"/>
    </row>
    <row r="859">
      <c r="B859" s="120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  <c r="AF859" s="122"/>
      <c r="AG859" s="122"/>
      <c r="AH859" s="122"/>
      <c r="AI859" s="122"/>
      <c r="AJ859" s="122"/>
      <c r="AK859" s="122"/>
      <c r="AL859" s="122"/>
      <c r="AM859" s="122"/>
      <c r="AN859" s="122"/>
    </row>
    <row r="860">
      <c r="A860" s="120"/>
      <c r="B860" s="120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  <c r="AE860" s="122"/>
      <c r="AF860" s="122"/>
      <c r="AG860" s="122"/>
      <c r="AH860" s="122"/>
      <c r="AI860" s="122"/>
      <c r="AJ860" s="122"/>
      <c r="AK860" s="122"/>
      <c r="AL860" s="122"/>
      <c r="AM860" s="122"/>
      <c r="AN860" s="122"/>
    </row>
    <row r="861">
      <c r="B861" s="120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  <c r="AF861" s="122"/>
      <c r="AG861" s="122"/>
      <c r="AH861" s="122"/>
      <c r="AI861" s="122"/>
      <c r="AJ861" s="122"/>
      <c r="AK861" s="122"/>
      <c r="AL861" s="122"/>
      <c r="AM861" s="122"/>
      <c r="AN861" s="122"/>
    </row>
    <row r="862">
      <c r="A862" s="120"/>
      <c r="B862" s="120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  <c r="AE862" s="122"/>
      <c r="AF862" s="122"/>
      <c r="AG862" s="122"/>
      <c r="AH862" s="122"/>
      <c r="AI862" s="122"/>
      <c r="AJ862" s="122"/>
      <c r="AK862" s="122"/>
      <c r="AL862" s="122"/>
      <c r="AM862" s="122"/>
      <c r="AN862" s="122"/>
    </row>
    <row r="863">
      <c r="B863" s="120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  <c r="AE863" s="122"/>
      <c r="AF863" s="122"/>
      <c r="AG863" s="122"/>
      <c r="AH863" s="122"/>
      <c r="AI863" s="122"/>
      <c r="AJ863" s="122"/>
      <c r="AK863" s="122"/>
      <c r="AL863" s="122"/>
      <c r="AM863" s="122"/>
      <c r="AN863" s="122"/>
    </row>
    <row r="864">
      <c r="B864" s="120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  <c r="AE864" s="122"/>
      <c r="AF864" s="122"/>
      <c r="AG864" s="122"/>
      <c r="AH864" s="122"/>
      <c r="AI864" s="122"/>
      <c r="AJ864" s="122"/>
      <c r="AK864" s="122"/>
      <c r="AL864" s="122"/>
      <c r="AM864" s="122"/>
      <c r="AN864" s="122"/>
    </row>
    <row r="865">
      <c r="A865" s="120"/>
      <c r="B865" s="120"/>
      <c r="C865" s="121"/>
      <c r="D865" s="121"/>
      <c r="E865" s="121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1"/>
      <c r="X865" s="122"/>
      <c r="Y865" s="121"/>
      <c r="Z865" s="122"/>
      <c r="AA865" s="121"/>
      <c r="AB865" s="122"/>
      <c r="AC865" s="121"/>
      <c r="AD865" s="121"/>
      <c r="AE865" s="121"/>
      <c r="AF865" s="121"/>
      <c r="AG865" s="121"/>
      <c r="AH865" s="121"/>
      <c r="AI865" s="121"/>
      <c r="AJ865" s="121"/>
      <c r="AK865" s="121"/>
      <c r="AL865" s="121"/>
      <c r="AM865" s="121"/>
      <c r="AN865" s="121"/>
    </row>
    <row r="866">
      <c r="B866" s="120"/>
      <c r="C866" s="121"/>
      <c r="D866" s="121"/>
      <c r="E866" s="121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  <c r="AE866" s="122"/>
      <c r="AF866" s="122"/>
      <c r="AG866" s="122"/>
      <c r="AH866" s="122"/>
      <c r="AI866" s="122"/>
      <c r="AJ866" s="122"/>
      <c r="AK866" s="122"/>
      <c r="AL866" s="122"/>
      <c r="AM866" s="122"/>
      <c r="AN866" s="121"/>
    </row>
    <row r="867">
      <c r="B867" s="120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  <c r="AE867" s="122"/>
      <c r="AF867" s="122"/>
      <c r="AG867" s="122"/>
      <c r="AH867" s="122"/>
      <c r="AI867" s="122"/>
      <c r="AJ867" s="122"/>
      <c r="AK867" s="122"/>
      <c r="AL867" s="122"/>
      <c r="AM867" s="122"/>
      <c r="AN867" s="122"/>
    </row>
    <row r="868">
      <c r="B868" s="120"/>
      <c r="C868" s="121"/>
      <c r="D868" s="121"/>
      <c r="E868" s="121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  <c r="AE868" s="122"/>
      <c r="AF868" s="122"/>
      <c r="AG868" s="122"/>
      <c r="AH868" s="122"/>
      <c r="AI868" s="122"/>
      <c r="AJ868" s="122"/>
      <c r="AK868" s="122"/>
      <c r="AL868" s="122"/>
      <c r="AM868" s="122"/>
      <c r="AN868" s="121"/>
    </row>
    <row r="869">
      <c r="B869" s="120"/>
      <c r="C869" s="121"/>
      <c r="D869" s="121"/>
      <c r="E869" s="121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  <c r="AE869" s="122"/>
      <c r="AF869" s="122"/>
      <c r="AG869" s="122"/>
      <c r="AH869" s="122"/>
      <c r="AI869" s="122"/>
      <c r="AJ869" s="122"/>
      <c r="AK869" s="122"/>
      <c r="AL869" s="122"/>
      <c r="AM869" s="122"/>
      <c r="AN869" s="121"/>
    </row>
    <row r="870">
      <c r="A870" s="120"/>
      <c r="B870" s="120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  <c r="AE870" s="122"/>
      <c r="AF870" s="122"/>
      <c r="AG870" s="122"/>
      <c r="AH870" s="122"/>
      <c r="AI870" s="122"/>
      <c r="AJ870" s="122"/>
      <c r="AK870" s="122"/>
      <c r="AL870" s="122"/>
      <c r="AM870" s="122"/>
      <c r="AN870" s="122"/>
    </row>
    <row r="871">
      <c r="B871" s="120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  <c r="AE871" s="122"/>
      <c r="AF871" s="122"/>
      <c r="AG871" s="122"/>
      <c r="AH871" s="122"/>
      <c r="AI871" s="122"/>
      <c r="AJ871" s="122"/>
      <c r="AK871" s="122"/>
      <c r="AL871" s="122"/>
      <c r="AM871" s="122"/>
      <c r="AN871" s="122"/>
    </row>
    <row r="872">
      <c r="B872" s="120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  <c r="AE872" s="122"/>
      <c r="AF872" s="122"/>
      <c r="AG872" s="122"/>
      <c r="AH872" s="122"/>
      <c r="AI872" s="122"/>
      <c r="AJ872" s="122"/>
      <c r="AK872" s="122"/>
      <c r="AL872" s="122"/>
      <c r="AM872" s="122"/>
      <c r="AN872" s="122"/>
    </row>
    <row r="873">
      <c r="B873" s="120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  <c r="AE873" s="122"/>
      <c r="AF873" s="122"/>
      <c r="AG873" s="122"/>
      <c r="AH873" s="122"/>
      <c r="AI873" s="122"/>
      <c r="AJ873" s="122"/>
      <c r="AK873" s="122"/>
      <c r="AL873" s="122"/>
      <c r="AM873" s="122"/>
      <c r="AN873" s="122"/>
    </row>
    <row r="874">
      <c r="B874" s="120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  <c r="AE874" s="122"/>
      <c r="AF874" s="122"/>
      <c r="AG874" s="122"/>
      <c r="AH874" s="122"/>
      <c r="AI874" s="122"/>
      <c r="AJ874" s="122"/>
      <c r="AK874" s="122"/>
      <c r="AL874" s="122"/>
      <c r="AM874" s="122"/>
      <c r="AN874" s="122"/>
    </row>
    <row r="875">
      <c r="A875" s="123"/>
    </row>
    <row r="876">
      <c r="A876" s="120"/>
      <c r="B876" s="120"/>
      <c r="C876" s="121"/>
      <c r="D876" s="121"/>
      <c r="E876" s="121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  <c r="AE876" s="121"/>
      <c r="AF876" s="121"/>
      <c r="AG876" s="121"/>
      <c r="AH876" s="121"/>
      <c r="AI876" s="121"/>
      <c r="AJ876" s="121"/>
      <c r="AK876" s="121"/>
      <c r="AL876" s="121"/>
      <c r="AM876" s="121"/>
      <c r="AN876" s="121"/>
    </row>
    <row r="877">
      <c r="B877" s="120"/>
      <c r="C877" s="121"/>
      <c r="D877" s="121"/>
      <c r="E877" s="121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1"/>
      <c r="Z877" s="121"/>
      <c r="AA877" s="121"/>
      <c r="AB877" s="121"/>
      <c r="AC877" s="121"/>
      <c r="AD877" s="121"/>
      <c r="AE877" s="121"/>
      <c r="AF877" s="121"/>
      <c r="AG877" s="121"/>
      <c r="AH877" s="121"/>
      <c r="AI877" s="121"/>
      <c r="AJ877" s="121"/>
      <c r="AK877" s="121"/>
      <c r="AL877" s="121"/>
      <c r="AM877" s="121"/>
      <c r="AN877" s="121"/>
    </row>
    <row r="878">
      <c r="B878" s="120"/>
      <c r="C878" s="121"/>
      <c r="D878" s="121"/>
      <c r="E878" s="121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1"/>
      <c r="Z878" s="122"/>
      <c r="AA878" s="121"/>
      <c r="AB878" s="121"/>
      <c r="AC878" s="121"/>
      <c r="AD878" s="121"/>
      <c r="AE878" s="121"/>
      <c r="AF878" s="121"/>
      <c r="AG878" s="121"/>
      <c r="AH878" s="121"/>
      <c r="AI878" s="121"/>
      <c r="AJ878" s="121"/>
      <c r="AK878" s="121"/>
      <c r="AL878" s="122"/>
      <c r="AM878" s="121"/>
      <c r="AN878" s="121"/>
    </row>
    <row r="879">
      <c r="B879" s="120"/>
      <c r="C879" s="121"/>
      <c r="D879" s="121"/>
      <c r="E879" s="121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  <c r="AF879" s="122"/>
      <c r="AG879" s="122"/>
      <c r="AH879" s="122"/>
      <c r="AI879" s="122"/>
      <c r="AJ879" s="122"/>
      <c r="AK879" s="122"/>
      <c r="AL879" s="122"/>
      <c r="AM879" s="122"/>
      <c r="AN879" s="121"/>
    </row>
    <row r="880">
      <c r="A880" s="120"/>
      <c r="B880" s="120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  <c r="AE880" s="122"/>
      <c r="AF880" s="122"/>
      <c r="AG880" s="122"/>
      <c r="AH880" s="122"/>
      <c r="AI880" s="122"/>
      <c r="AJ880" s="122"/>
      <c r="AK880" s="122"/>
      <c r="AL880" s="122"/>
      <c r="AM880" s="122"/>
      <c r="AN880" s="122"/>
    </row>
    <row r="881">
      <c r="B881" s="120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  <c r="AF881" s="122"/>
      <c r="AG881" s="122"/>
      <c r="AH881" s="122"/>
      <c r="AI881" s="122"/>
      <c r="AJ881" s="122"/>
      <c r="AK881" s="122"/>
      <c r="AL881" s="122"/>
      <c r="AM881" s="122"/>
      <c r="AN881" s="122"/>
    </row>
    <row r="882">
      <c r="A882" s="120"/>
      <c r="B882" s="120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  <c r="AE882" s="122"/>
      <c r="AF882" s="122"/>
      <c r="AG882" s="122"/>
      <c r="AH882" s="122"/>
      <c r="AI882" s="122"/>
      <c r="AJ882" s="122"/>
      <c r="AK882" s="122"/>
      <c r="AL882" s="122"/>
      <c r="AM882" s="122"/>
      <c r="AN882" s="122"/>
    </row>
    <row r="883">
      <c r="B883" s="120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  <c r="AF883" s="122"/>
      <c r="AG883" s="122"/>
      <c r="AH883" s="122"/>
      <c r="AI883" s="122"/>
      <c r="AJ883" s="122"/>
      <c r="AK883" s="122"/>
      <c r="AL883" s="122"/>
      <c r="AM883" s="122"/>
      <c r="AN883" s="122"/>
    </row>
    <row r="884">
      <c r="A884" s="120"/>
      <c r="B884" s="120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  <c r="AE884" s="122"/>
      <c r="AF884" s="122"/>
      <c r="AG884" s="122"/>
      <c r="AH884" s="122"/>
      <c r="AI884" s="122"/>
      <c r="AJ884" s="122"/>
      <c r="AK884" s="122"/>
      <c r="AL884" s="122"/>
      <c r="AM884" s="122"/>
      <c r="AN884" s="122"/>
    </row>
    <row r="885">
      <c r="B885" s="120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  <c r="AE885" s="122"/>
      <c r="AF885" s="122"/>
      <c r="AG885" s="122"/>
      <c r="AH885" s="122"/>
      <c r="AI885" s="122"/>
      <c r="AJ885" s="122"/>
      <c r="AK885" s="122"/>
      <c r="AL885" s="122"/>
      <c r="AM885" s="122"/>
      <c r="AN885" s="122"/>
    </row>
    <row r="886">
      <c r="A886" s="120"/>
      <c r="B886" s="120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  <c r="AE886" s="122"/>
      <c r="AF886" s="122"/>
      <c r="AG886" s="122"/>
      <c r="AH886" s="122"/>
      <c r="AI886" s="122"/>
      <c r="AJ886" s="122"/>
      <c r="AK886" s="122"/>
      <c r="AL886" s="122"/>
      <c r="AM886" s="122"/>
      <c r="AN886" s="122"/>
    </row>
    <row r="887">
      <c r="B887" s="120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  <c r="AE887" s="122"/>
      <c r="AF887" s="122"/>
      <c r="AG887" s="122"/>
      <c r="AH887" s="122"/>
      <c r="AI887" s="122"/>
      <c r="AJ887" s="122"/>
      <c r="AK887" s="122"/>
      <c r="AL887" s="122"/>
      <c r="AM887" s="122"/>
      <c r="AN887" s="122"/>
    </row>
    <row r="888">
      <c r="B888" s="120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  <c r="AE888" s="122"/>
      <c r="AF888" s="122"/>
      <c r="AG888" s="122"/>
      <c r="AH888" s="122"/>
      <c r="AI888" s="122"/>
      <c r="AJ888" s="122"/>
      <c r="AK888" s="122"/>
      <c r="AL888" s="122"/>
      <c r="AM888" s="122"/>
      <c r="AN888" s="122"/>
    </row>
    <row r="889">
      <c r="A889" s="120"/>
      <c r="B889" s="120"/>
      <c r="C889" s="121"/>
      <c r="D889" s="121"/>
      <c r="E889" s="121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1"/>
      <c r="Z889" s="122"/>
      <c r="AA889" s="121"/>
      <c r="AB889" s="122"/>
      <c r="AC889" s="121"/>
      <c r="AD889" s="122"/>
      <c r="AE889" s="121"/>
      <c r="AF889" s="122"/>
      <c r="AG889" s="121"/>
      <c r="AH889" s="122"/>
      <c r="AI889" s="121"/>
      <c r="AJ889" s="122"/>
      <c r="AK889" s="121"/>
      <c r="AL889" s="122"/>
      <c r="AM889" s="121"/>
      <c r="AN889" s="121"/>
    </row>
    <row r="890">
      <c r="B890" s="120"/>
      <c r="C890" s="121"/>
      <c r="D890" s="122"/>
      <c r="E890" s="121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  <c r="AE890" s="122"/>
      <c r="AF890" s="122"/>
      <c r="AG890" s="122"/>
      <c r="AH890" s="122"/>
      <c r="AI890" s="122"/>
      <c r="AJ890" s="122"/>
      <c r="AK890" s="122"/>
      <c r="AL890" s="122"/>
      <c r="AM890" s="122"/>
      <c r="AN890" s="121"/>
    </row>
    <row r="891">
      <c r="B891" s="120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  <c r="AE891" s="122"/>
      <c r="AF891" s="122"/>
      <c r="AG891" s="122"/>
      <c r="AH891" s="122"/>
      <c r="AI891" s="122"/>
      <c r="AJ891" s="122"/>
      <c r="AK891" s="122"/>
      <c r="AL891" s="122"/>
      <c r="AM891" s="122"/>
      <c r="AN891" s="122"/>
    </row>
    <row r="892">
      <c r="B892" s="120"/>
      <c r="C892" s="121"/>
      <c r="D892" s="121"/>
      <c r="E892" s="121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  <c r="AE892" s="122"/>
      <c r="AF892" s="122"/>
      <c r="AG892" s="122"/>
      <c r="AH892" s="122"/>
      <c r="AI892" s="122"/>
      <c r="AJ892" s="122"/>
      <c r="AK892" s="122"/>
      <c r="AL892" s="122"/>
      <c r="AM892" s="122"/>
      <c r="AN892" s="121"/>
    </row>
    <row r="893">
      <c r="B893" s="120"/>
      <c r="C893" s="121"/>
      <c r="D893" s="121"/>
      <c r="E893" s="121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  <c r="AE893" s="122"/>
      <c r="AF893" s="122"/>
      <c r="AG893" s="122"/>
      <c r="AH893" s="122"/>
      <c r="AI893" s="122"/>
      <c r="AJ893" s="122"/>
      <c r="AK893" s="122"/>
      <c r="AL893" s="122"/>
      <c r="AM893" s="122"/>
      <c r="AN893" s="121"/>
    </row>
    <row r="894">
      <c r="A894" s="120"/>
      <c r="B894" s="120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  <c r="AE894" s="122"/>
      <c r="AF894" s="122"/>
      <c r="AG894" s="122"/>
      <c r="AH894" s="122"/>
      <c r="AI894" s="122"/>
      <c r="AJ894" s="122"/>
      <c r="AK894" s="122"/>
      <c r="AL894" s="122"/>
      <c r="AM894" s="122"/>
      <c r="AN894" s="122"/>
    </row>
    <row r="895">
      <c r="B895" s="120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  <c r="AE895" s="122"/>
      <c r="AF895" s="122"/>
      <c r="AG895" s="122"/>
      <c r="AH895" s="122"/>
      <c r="AI895" s="122"/>
      <c r="AJ895" s="122"/>
      <c r="AK895" s="122"/>
      <c r="AL895" s="122"/>
      <c r="AM895" s="122"/>
      <c r="AN895" s="122"/>
    </row>
    <row r="896">
      <c r="B896" s="120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  <c r="AE896" s="122"/>
      <c r="AF896" s="122"/>
      <c r="AG896" s="122"/>
      <c r="AH896" s="122"/>
      <c r="AI896" s="122"/>
      <c r="AJ896" s="122"/>
      <c r="AK896" s="122"/>
      <c r="AL896" s="122"/>
      <c r="AM896" s="122"/>
      <c r="AN896" s="122"/>
    </row>
    <row r="897">
      <c r="B897" s="120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  <c r="AE897" s="122"/>
      <c r="AF897" s="122"/>
      <c r="AG897" s="122"/>
      <c r="AH897" s="122"/>
      <c r="AI897" s="122"/>
      <c r="AJ897" s="122"/>
      <c r="AK897" s="122"/>
      <c r="AL897" s="122"/>
      <c r="AM897" s="122"/>
      <c r="AN897" s="122"/>
    </row>
    <row r="898">
      <c r="B898" s="120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  <c r="AE898" s="122"/>
      <c r="AF898" s="122"/>
      <c r="AG898" s="122"/>
      <c r="AH898" s="122"/>
      <c r="AI898" s="122"/>
      <c r="AJ898" s="122"/>
      <c r="AK898" s="122"/>
      <c r="AL898" s="122"/>
      <c r="AM898" s="122"/>
      <c r="AN898" s="122"/>
    </row>
    <row r="899">
      <c r="A899" s="123"/>
    </row>
    <row r="900">
      <c r="A900" s="120"/>
      <c r="B900" s="120"/>
      <c r="C900" s="121"/>
      <c r="D900" s="121"/>
      <c r="E900" s="121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1"/>
      <c r="T900" s="122"/>
      <c r="U900" s="121"/>
      <c r="V900" s="121"/>
      <c r="W900" s="121"/>
      <c r="X900" s="121"/>
      <c r="Y900" s="121"/>
      <c r="Z900" s="121"/>
      <c r="AA900" s="121"/>
      <c r="AB900" s="121"/>
      <c r="AC900" s="121"/>
      <c r="AD900" s="121"/>
      <c r="AE900" s="121"/>
      <c r="AF900" s="121"/>
      <c r="AG900" s="121"/>
      <c r="AH900" s="121"/>
      <c r="AI900" s="121"/>
      <c r="AJ900" s="121"/>
      <c r="AK900" s="121"/>
      <c r="AL900" s="121"/>
      <c r="AM900" s="121"/>
      <c r="AN900" s="121"/>
    </row>
    <row r="901">
      <c r="B901" s="120"/>
      <c r="C901" s="121"/>
      <c r="D901" s="121"/>
      <c r="E901" s="121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1"/>
      <c r="X901" s="122"/>
      <c r="Y901" s="121"/>
      <c r="Z901" s="121"/>
      <c r="AA901" s="121"/>
      <c r="AB901" s="121"/>
      <c r="AC901" s="121"/>
      <c r="AD901" s="121"/>
      <c r="AE901" s="121"/>
      <c r="AF901" s="121"/>
      <c r="AG901" s="121"/>
      <c r="AH901" s="121"/>
      <c r="AI901" s="121"/>
      <c r="AJ901" s="121"/>
      <c r="AK901" s="121"/>
      <c r="AL901" s="121"/>
      <c r="AM901" s="121"/>
      <c r="AN901" s="121"/>
    </row>
    <row r="902">
      <c r="B902" s="120"/>
      <c r="C902" s="121"/>
      <c r="D902" s="121"/>
      <c r="E902" s="121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1"/>
      <c r="X902" s="122"/>
      <c r="Y902" s="121"/>
      <c r="Z902" s="121"/>
      <c r="AA902" s="121"/>
      <c r="AB902" s="121"/>
      <c r="AC902" s="121"/>
      <c r="AD902" s="121"/>
      <c r="AE902" s="121"/>
      <c r="AF902" s="121"/>
      <c r="AG902" s="121"/>
      <c r="AH902" s="121"/>
      <c r="AI902" s="121"/>
      <c r="AJ902" s="121"/>
      <c r="AK902" s="121"/>
      <c r="AL902" s="121"/>
      <c r="AM902" s="121"/>
      <c r="AN902" s="121"/>
    </row>
    <row r="903">
      <c r="B903" s="120"/>
      <c r="C903" s="121"/>
      <c r="D903" s="122"/>
      <c r="E903" s="121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  <c r="AE903" s="122"/>
      <c r="AF903" s="122"/>
      <c r="AG903" s="122"/>
      <c r="AH903" s="122"/>
      <c r="AI903" s="122"/>
      <c r="AJ903" s="122"/>
      <c r="AK903" s="122"/>
      <c r="AL903" s="122"/>
      <c r="AM903" s="122"/>
      <c r="AN903" s="121"/>
    </row>
    <row r="904">
      <c r="A904" s="120"/>
      <c r="B904" s="120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  <c r="AE904" s="122"/>
      <c r="AF904" s="122"/>
      <c r="AG904" s="122"/>
      <c r="AH904" s="122"/>
      <c r="AI904" s="122"/>
      <c r="AJ904" s="122"/>
      <c r="AK904" s="122"/>
      <c r="AL904" s="122"/>
      <c r="AM904" s="122"/>
      <c r="AN904" s="122"/>
    </row>
    <row r="905">
      <c r="B905" s="120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  <c r="AE905" s="122"/>
      <c r="AF905" s="122"/>
      <c r="AG905" s="122"/>
      <c r="AH905" s="122"/>
      <c r="AI905" s="122"/>
      <c r="AJ905" s="122"/>
      <c r="AK905" s="122"/>
      <c r="AL905" s="122"/>
      <c r="AM905" s="122"/>
      <c r="AN905" s="122"/>
    </row>
    <row r="906">
      <c r="A906" s="120"/>
      <c r="B906" s="120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  <c r="AE906" s="122"/>
      <c r="AF906" s="122"/>
      <c r="AG906" s="122"/>
      <c r="AH906" s="122"/>
      <c r="AI906" s="122"/>
      <c r="AJ906" s="122"/>
      <c r="AK906" s="122"/>
      <c r="AL906" s="122"/>
      <c r="AM906" s="122"/>
      <c r="AN906" s="122"/>
    </row>
    <row r="907">
      <c r="B907" s="120"/>
      <c r="C907" s="121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  <c r="AE907" s="122"/>
      <c r="AF907" s="122"/>
      <c r="AG907" s="122"/>
      <c r="AH907" s="122"/>
      <c r="AI907" s="122"/>
      <c r="AJ907" s="122"/>
      <c r="AK907" s="122"/>
      <c r="AL907" s="122"/>
      <c r="AM907" s="122"/>
      <c r="AN907" s="121"/>
    </row>
    <row r="908">
      <c r="A908" s="120"/>
      <c r="B908" s="120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  <c r="AE908" s="122"/>
      <c r="AF908" s="122"/>
      <c r="AG908" s="122"/>
      <c r="AH908" s="122"/>
      <c r="AI908" s="122"/>
      <c r="AJ908" s="122"/>
      <c r="AK908" s="122"/>
      <c r="AL908" s="122"/>
      <c r="AM908" s="122"/>
      <c r="AN908" s="122"/>
    </row>
    <row r="909">
      <c r="B909" s="120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  <c r="AE909" s="122"/>
      <c r="AF909" s="122"/>
      <c r="AG909" s="122"/>
      <c r="AH909" s="122"/>
      <c r="AI909" s="122"/>
      <c r="AJ909" s="122"/>
      <c r="AK909" s="122"/>
      <c r="AL909" s="122"/>
      <c r="AM909" s="122"/>
      <c r="AN909" s="122"/>
    </row>
    <row r="910">
      <c r="A910" s="120"/>
      <c r="B910" s="120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  <c r="AE910" s="122"/>
      <c r="AF910" s="122"/>
      <c r="AG910" s="122"/>
      <c r="AH910" s="122"/>
      <c r="AI910" s="122"/>
      <c r="AJ910" s="122"/>
      <c r="AK910" s="122"/>
      <c r="AL910" s="122"/>
      <c r="AM910" s="122"/>
      <c r="AN910" s="122"/>
    </row>
    <row r="911">
      <c r="B911" s="120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  <c r="AE911" s="122"/>
      <c r="AF911" s="122"/>
      <c r="AG911" s="122"/>
      <c r="AH911" s="122"/>
      <c r="AI911" s="122"/>
      <c r="AJ911" s="122"/>
      <c r="AK911" s="122"/>
      <c r="AL911" s="122"/>
      <c r="AM911" s="122"/>
      <c r="AN911" s="122"/>
    </row>
    <row r="912">
      <c r="B912" s="120"/>
      <c r="C912" s="121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  <c r="AE912" s="122"/>
      <c r="AF912" s="122"/>
      <c r="AG912" s="122"/>
      <c r="AH912" s="122"/>
      <c r="AI912" s="122"/>
      <c r="AJ912" s="122"/>
      <c r="AK912" s="122"/>
      <c r="AL912" s="122"/>
      <c r="AM912" s="122"/>
      <c r="AN912" s="121"/>
    </row>
    <row r="913">
      <c r="A913" s="120"/>
      <c r="B913" s="120"/>
      <c r="C913" s="121"/>
      <c r="D913" s="121"/>
      <c r="E913" s="121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1"/>
      <c r="Z913" s="122"/>
      <c r="AA913" s="121"/>
      <c r="AB913" s="122"/>
      <c r="AC913" s="121"/>
      <c r="AD913" s="122"/>
      <c r="AE913" s="121"/>
      <c r="AF913" s="122"/>
      <c r="AG913" s="121"/>
      <c r="AH913" s="122"/>
      <c r="AI913" s="121"/>
      <c r="AJ913" s="122"/>
      <c r="AK913" s="121"/>
      <c r="AL913" s="122"/>
      <c r="AM913" s="121"/>
      <c r="AN913" s="121"/>
    </row>
    <row r="914">
      <c r="B914" s="120"/>
      <c r="C914" s="121"/>
      <c r="D914" s="121"/>
      <c r="E914" s="121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  <c r="AE914" s="122"/>
      <c r="AF914" s="122"/>
      <c r="AG914" s="122"/>
      <c r="AH914" s="122"/>
      <c r="AI914" s="122"/>
      <c r="AJ914" s="122"/>
      <c r="AK914" s="122"/>
      <c r="AL914" s="122"/>
      <c r="AM914" s="122"/>
      <c r="AN914" s="121"/>
    </row>
    <row r="915">
      <c r="B915" s="120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  <c r="AE915" s="122"/>
      <c r="AF915" s="122"/>
      <c r="AG915" s="122"/>
      <c r="AH915" s="122"/>
      <c r="AI915" s="122"/>
      <c r="AJ915" s="122"/>
      <c r="AK915" s="122"/>
      <c r="AL915" s="122"/>
      <c r="AM915" s="122"/>
      <c r="AN915" s="122"/>
    </row>
    <row r="916">
      <c r="B916" s="120"/>
      <c r="C916" s="121"/>
      <c r="D916" s="121"/>
      <c r="E916" s="121"/>
      <c r="F916" s="121"/>
      <c r="G916" s="121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  <c r="AE916" s="122"/>
      <c r="AF916" s="122"/>
      <c r="AG916" s="122"/>
      <c r="AH916" s="122"/>
      <c r="AI916" s="122"/>
      <c r="AJ916" s="122"/>
      <c r="AK916" s="122"/>
      <c r="AL916" s="122"/>
      <c r="AM916" s="122"/>
      <c r="AN916" s="121"/>
    </row>
    <row r="917">
      <c r="B917" s="120"/>
      <c r="C917" s="121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  <c r="AE917" s="122"/>
      <c r="AF917" s="122"/>
      <c r="AG917" s="122"/>
      <c r="AH917" s="122"/>
      <c r="AI917" s="122"/>
      <c r="AJ917" s="122"/>
      <c r="AK917" s="122"/>
      <c r="AL917" s="122"/>
      <c r="AM917" s="122"/>
      <c r="AN917" s="121"/>
    </row>
    <row r="918">
      <c r="A918" s="120"/>
      <c r="B918" s="120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  <c r="AE918" s="122"/>
      <c r="AF918" s="122"/>
      <c r="AG918" s="122"/>
      <c r="AH918" s="122"/>
      <c r="AI918" s="122"/>
      <c r="AJ918" s="122"/>
      <c r="AK918" s="122"/>
      <c r="AL918" s="122"/>
      <c r="AM918" s="122"/>
      <c r="AN918" s="122"/>
    </row>
    <row r="919">
      <c r="B919" s="120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  <c r="AE919" s="122"/>
      <c r="AF919" s="122"/>
      <c r="AG919" s="122"/>
      <c r="AH919" s="122"/>
      <c r="AI919" s="122"/>
      <c r="AJ919" s="122"/>
      <c r="AK919" s="122"/>
      <c r="AL919" s="122"/>
      <c r="AM919" s="122"/>
      <c r="AN919" s="122"/>
    </row>
    <row r="920">
      <c r="B920" s="120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  <c r="AE920" s="122"/>
      <c r="AF920" s="122"/>
      <c r="AG920" s="122"/>
      <c r="AH920" s="122"/>
      <c r="AI920" s="122"/>
      <c r="AJ920" s="122"/>
      <c r="AK920" s="122"/>
      <c r="AL920" s="122"/>
      <c r="AM920" s="122"/>
      <c r="AN920" s="122"/>
    </row>
    <row r="921">
      <c r="B921" s="120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  <c r="AE921" s="122"/>
      <c r="AF921" s="122"/>
      <c r="AG921" s="122"/>
      <c r="AH921" s="122"/>
      <c r="AI921" s="122"/>
      <c r="AJ921" s="122"/>
      <c r="AK921" s="122"/>
      <c r="AL921" s="122"/>
      <c r="AM921" s="122"/>
      <c r="AN921" s="122"/>
    </row>
    <row r="922">
      <c r="B922" s="120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  <c r="AE922" s="122"/>
      <c r="AF922" s="122"/>
      <c r="AG922" s="122"/>
      <c r="AH922" s="122"/>
      <c r="AI922" s="122"/>
      <c r="AJ922" s="122"/>
      <c r="AK922" s="122"/>
      <c r="AL922" s="122"/>
      <c r="AM922" s="122"/>
      <c r="AN922" s="122"/>
    </row>
    <row r="923">
      <c r="A923" s="123"/>
    </row>
    <row r="924">
      <c r="A924" s="120"/>
      <c r="B924" s="120"/>
      <c r="C924" s="121"/>
      <c r="D924" s="121"/>
      <c r="E924" s="121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</row>
    <row r="925">
      <c r="B925" s="120"/>
      <c r="C925" s="121"/>
      <c r="D925" s="121"/>
      <c r="E925" s="121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1"/>
      <c r="AB925" s="122"/>
      <c r="AC925" s="121"/>
      <c r="AD925" s="122"/>
      <c r="AE925" s="121"/>
      <c r="AF925" s="121"/>
      <c r="AG925" s="121"/>
      <c r="AH925" s="121"/>
      <c r="AI925" s="121"/>
      <c r="AJ925" s="122"/>
      <c r="AK925" s="121"/>
      <c r="AL925" s="122"/>
      <c r="AM925" s="121"/>
      <c r="AN925" s="121"/>
    </row>
    <row r="926">
      <c r="B926" s="120"/>
      <c r="C926" s="121"/>
      <c r="D926" s="121"/>
      <c r="E926" s="121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1"/>
      <c r="AB926" s="122"/>
      <c r="AC926" s="121"/>
      <c r="AD926" s="121"/>
      <c r="AE926" s="121"/>
      <c r="AF926" s="121"/>
      <c r="AG926" s="121"/>
      <c r="AH926" s="121"/>
      <c r="AI926" s="121"/>
      <c r="AJ926" s="122"/>
      <c r="AK926" s="121"/>
      <c r="AL926" s="122"/>
      <c r="AM926" s="121"/>
      <c r="AN926" s="121"/>
    </row>
    <row r="927">
      <c r="B927" s="120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  <c r="AE927" s="122"/>
      <c r="AF927" s="122"/>
      <c r="AG927" s="122"/>
      <c r="AH927" s="122"/>
      <c r="AI927" s="122"/>
      <c r="AJ927" s="122"/>
      <c r="AK927" s="122"/>
      <c r="AL927" s="122"/>
      <c r="AM927" s="122"/>
      <c r="AN927" s="122"/>
    </row>
    <row r="928">
      <c r="A928" s="120"/>
      <c r="B928" s="120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  <c r="AE928" s="122"/>
      <c r="AF928" s="122"/>
      <c r="AG928" s="122"/>
      <c r="AH928" s="122"/>
      <c r="AI928" s="122"/>
      <c r="AJ928" s="122"/>
      <c r="AK928" s="122"/>
      <c r="AL928" s="122"/>
      <c r="AM928" s="122"/>
      <c r="AN928" s="122"/>
    </row>
    <row r="929">
      <c r="B929" s="120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  <c r="AE929" s="122"/>
      <c r="AF929" s="122"/>
      <c r="AG929" s="122"/>
      <c r="AH929" s="122"/>
      <c r="AI929" s="122"/>
      <c r="AJ929" s="122"/>
      <c r="AK929" s="122"/>
      <c r="AL929" s="122"/>
      <c r="AM929" s="122"/>
      <c r="AN929" s="122"/>
    </row>
    <row r="930">
      <c r="A930" s="120"/>
      <c r="B930" s="120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  <c r="AE930" s="122"/>
      <c r="AF930" s="122"/>
      <c r="AG930" s="122"/>
      <c r="AH930" s="122"/>
      <c r="AI930" s="122"/>
      <c r="AJ930" s="122"/>
      <c r="AK930" s="122"/>
      <c r="AL930" s="122"/>
      <c r="AM930" s="122"/>
      <c r="AN930" s="122"/>
    </row>
    <row r="931">
      <c r="B931" s="120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  <c r="AE931" s="122"/>
      <c r="AF931" s="122"/>
      <c r="AG931" s="122"/>
      <c r="AH931" s="122"/>
      <c r="AI931" s="122"/>
      <c r="AJ931" s="122"/>
      <c r="AK931" s="122"/>
      <c r="AL931" s="122"/>
      <c r="AM931" s="122"/>
      <c r="AN931" s="122"/>
    </row>
    <row r="932">
      <c r="A932" s="120"/>
      <c r="B932" s="120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  <c r="AE932" s="122"/>
      <c r="AF932" s="122"/>
      <c r="AG932" s="122"/>
      <c r="AH932" s="122"/>
      <c r="AI932" s="122"/>
      <c r="AJ932" s="122"/>
      <c r="AK932" s="122"/>
      <c r="AL932" s="122"/>
      <c r="AM932" s="122"/>
      <c r="AN932" s="122"/>
    </row>
    <row r="933">
      <c r="B933" s="120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  <c r="AE933" s="122"/>
      <c r="AF933" s="122"/>
      <c r="AG933" s="122"/>
      <c r="AH933" s="122"/>
      <c r="AI933" s="122"/>
      <c r="AJ933" s="122"/>
      <c r="AK933" s="122"/>
      <c r="AL933" s="122"/>
      <c r="AM933" s="122"/>
      <c r="AN933" s="122"/>
    </row>
    <row r="934">
      <c r="A934" s="120"/>
      <c r="B934" s="120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  <c r="AE934" s="122"/>
      <c r="AF934" s="122"/>
      <c r="AG934" s="122"/>
      <c r="AH934" s="122"/>
      <c r="AI934" s="122"/>
      <c r="AJ934" s="122"/>
      <c r="AK934" s="122"/>
      <c r="AL934" s="122"/>
      <c r="AM934" s="122"/>
      <c r="AN934" s="122"/>
    </row>
    <row r="935">
      <c r="B935" s="120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  <c r="AE935" s="122"/>
      <c r="AF935" s="122"/>
      <c r="AG935" s="122"/>
      <c r="AH935" s="122"/>
      <c r="AI935" s="122"/>
      <c r="AJ935" s="122"/>
      <c r="AK935" s="122"/>
      <c r="AL935" s="122"/>
      <c r="AM935" s="122"/>
      <c r="AN935" s="122"/>
    </row>
    <row r="936">
      <c r="B936" s="120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  <c r="AE936" s="122"/>
      <c r="AF936" s="122"/>
      <c r="AG936" s="122"/>
      <c r="AH936" s="122"/>
      <c r="AI936" s="122"/>
      <c r="AJ936" s="122"/>
      <c r="AK936" s="122"/>
      <c r="AL936" s="122"/>
      <c r="AM936" s="122"/>
      <c r="AN936" s="122"/>
    </row>
    <row r="937">
      <c r="A937" s="120"/>
      <c r="B937" s="120"/>
      <c r="C937" s="121"/>
      <c r="D937" s="121"/>
      <c r="E937" s="121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1"/>
      <c r="AD937" s="122"/>
      <c r="AE937" s="121"/>
      <c r="AF937" s="122"/>
      <c r="AG937" s="121"/>
      <c r="AH937" s="122"/>
      <c r="AI937" s="122"/>
      <c r="AJ937" s="122"/>
      <c r="AK937" s="122"/>
      <c r="AL937" s="122"/>
      <c r="AM937" s="122"/>
      <c r="AN937" s="121"/>
    </row>
    <row r="938">
      <c r="B938" s="120"/>
      <c r="C938" s="121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  <c r="AE938" s="122"/>
      <c r="AF938" s="122"/>
      <c r="AG938" s="122"/>
      <c r="AH938" s="122"/>
      <c r="AI938" s="122"/>
      <c r="AJ938" s="122"/>
      <c r="AK938" s="122"/>
      <c r="AL938" s="122"/>
      <c r="AM938" s="122"/>
      <c r="AN938" s="121"/>
    </row>
    <row r="939">
      <c r="B939" s="120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  <c r="AE939" s="122"/>
      <c r="AF939" s="122"/>
      <c r="AG939" s="122"/>
      <c r="AH939" s="122"/>
      <c r="AI939" s="122"/>
      <c r="AJ939" s="122"/>
      <c r="AK939" s="122"/>
      <c r="AL939" s="122"/>
      <c r="AM939" s="122"/>
      <c r="AN939" s="122"/>
    </row>
    <row r="940">
      <c r="B940" s="120"/>
      <c r="C940" s="121"/>
      <c r="D940" s="122"/>
      <c r="E940" s="121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  <c r="AE940" s="122"/>
      <c r="AF940" s="122"/>
      <c r="AG940" s="122"/>
      <c r="AH940" s="122"/>
      <c r="AI940" s="122"/>
      <c r="AJ940" s="122"/>
      <c r="AK940" s="122"/>
      <c r="AL940" s="122"/>
      <c r="AM940" s="122"/>
      <c r="AN940" s="121"/>
    </row>
    <row r="941">
      <c r="B941" s="120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  <c r="AE941" s="122"/>
      <c r="AF941" s="122"/>
      <c r="AG941" s="122"/>
      <c r="AH941" s="122"/>
      <c r="AI941" s="122"/>
      <c r="AJ941" s="122"/>
      <c r="AK941" s="122"/>
      <c r="AL941" s="122"/>
      <c r="AM941" s="122"/>
      <c r="AN941" s="122"/>
    </row>
    <row r="942">
      <c r="A942" s="120"/>
      <c r="B942" s="120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  <c r="AE942" s="122"/>
      <c r="AF942" s="122"/>
      <c r="AG942" s="122"/>
      <c r="AH942" s="122"/>
      <c r="AI942" s="122"/>
      <c r="AJ942" s="122"/>
      <c r="AK942" s="122"/>
      <c r="AL942" s="122"/>
      <c r="AM942" s="122"/>
      <c r="AN942" s="122"/>
    </row>
    <row r="943">
      <c r="B943" s="120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  <c r="AE943" s="122"/>
      <c r="AF943" s="122"/>
      <c r="AG943" s="122"/>
      <c r="AH943" s="122"/>
      <c r="AI943" s="122"/>
      <c r="AJ943" s="122"/>
      <c r="AK943" s="122"/>
      <c r="AL943" s="122"/>
      <c r="AM943" s="122"/>
      <c r="AN943" s="122"/>
    </row>
    <row r="944">
      <c r="B944" s="120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  <c r="AE944" s="122"/>
      <c r="AF944" s="122"/>
      <c r="AG944" s="122"/>
      <c r="AH944" s="122"/>
      <c r="AI944" s="122"/>
      <c r="AJ944" s="122"/>
      <c r="AK944" s="122"/>
      <c r="AL944" s="122"/>
      <c r="AM944" s="122"/>
      <c r="AN944" s="122"/>
    </row>
    <row r="945">
      <c r="B945" s="120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  <c r="AE945" s="122"/>
      <c r="AF945" s="122"/>
      <c r="AG945" s="122"/>
      <c r="AH945" s="122"/>
      <c r="AI945" s="122"/>
      <c r="AJ945" s="122"/>
      <c r="AK945" s="122"/>
      <c r="AL945" s="122"/>
      <c r="AM945" s="122"/>
      <c r="AN945" s="122"/>
    </row>
    <row r="946">
      <c r="B946" s="120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  <c r="AE946" s="122"/>
      <c r="AF946" s="122"/>
      <c r="AG946" s="122"/>
      <c r="AH946" s="122"/>
      <c r="AI946" s="122"/>
      <c r="AJ946" s="122"/>
      <c r="AK946" s="122"/>
      <c r="AL946" s="122"/>
      <c r="AM946" s="122"/>
      <c r="AN946" s="122"/>
    </row>
    <row r="947">
      <c r="A947" s="123"/>
    </row>
    <row r="948">
      <c r="A948" s="120"/>
      <c r="B948" s="120"/>
      <c r="C948" s="121"/>
      <c r="D948" s="121"/>
      <c r="E948" s="121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1"/>
      <c r="V948" s="121"/>
      <c r="W948" s="121"/>
      <c r="X948" s="121"/>
      <c r="Y948" s="121"/>
      <c r="Z948" s="121"/>
      <c r="AA948" s="121"/>
      <c r="AB948" s="121"/>
      <c r="AC948" s="121"/>
      <c r="AD948" s="121"/>
      <c r="AE948" s="121"/>
      <c r="AF948" s="121"/>
      <c r="AG948" s="121"/>
      <c r="AH948" s="121"/>
      <c r="AI948" s="121"/>
      <c r="AJ948" s="121"/>
      <c r="AK948" s="121"/>
      <c r="AL948" s="121"/>
      <c r="AM948" s="121"/>
      <c r="AN948" s="121"/>
    </row>
    <row r="949">
      <c r="B949" s="120"/>
      <c r="C949" s="121"/>
      <c r="D949" s="121"/>
      <c r="E949" s="121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1"/>
      <c r="X949" s="121"/>
      <c r="Y949" s="121"/>
      <c r="Z949" s="121"/>
      <c r="AA949" s="121"/>
      <c r="AB949" s="121"/>
      <c r="AC949" s="121"/>
      <c r="AD949" s="121"/>
      <c r="AE949" s="121"/>
      <c r="AF949" s="121"/>
      <c r="AG949" s="121"/>
      <c r="AH949" s="121"/>
      <c r="AI949" s="121"/>
      <c r="AJ949" s="121"/>
      <c r="AK949" s="121"/>
      <c r="AL949" s="121"/>
      <c r="AM949" s="121"/>
      <c r="AN949" s="121"/>
    </row>
    <row r="950">
      <c r="B950" s="120"/>
      <c r="C950" s="121"/>
      <c r="D950" s="121"/>
      <c r="E950" s="121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1"/>
      <c r="X950" s="121"/>
      <c r="Y950" s="121"/>
      <c r="Z950" s="121"/>
      <c r="AA950" s="121"/>
      <c r="AB950" s="121"/>
      <c r="AC950" s="121"/>
      <c r="AD950" s="121"/>
      <c r="AE950" s="121"/>
      <c r="AF950" s="121"/>
      <c r="AG950" s="121"/>
      <c r="AH950" s="121"/>
      <c r="AI950" s="121"/>
      <c r="AJ950" s="121"/>
      <c r="AK950" s="121"/>
      <c r="AL950" s="121"/>
      <c r="AM950" s="121"/>
      <c r="AN950" s="121"/>
    </row>
    <row r="951">
      <c r="B951" s="120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  <c r="AE951" s="122"/>
      <c r="AF951" s="122"/>
      <c r="AG951" s="122"/>
      <c r="AH951" s="122"/>
      <c r="AI951" s="122"/>
      <c r="AJ951" s="122"/>
      <c r="AK951" s="122"/>
      <c r="AL951" s="122"/>
      <c r="AM951" s="122"/>
      <c r="AN951" s="122"/>
    </row>
    <row r="952">
      <c r="A952" s="120"/>
      <c r="B952" s="120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  <c r="AE952" s="122"/>
      <c r="AF952" s="122"/>
      <c r="AG952" s="122"/>
      <c r="AH952" s="122"/>
      <c r="AI952" s="122"/>
      <c r="AJ952" s="122"/>
      <c r="AK952" s="122"/>
      <c r="AL952" s="122"/>
      <c r="AM952" s="122"/>
      <c r="AN952" s="122"/>
    </row>
    <row r="953">
      <c r="B953" s="120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  <c r="AE953" s="122"/>
      <c r="AF953" s="122"/>
      <c r="AG953" s="122"/>
      <c r="AH953" s="122"/>
      <c r="AI953" s="122"/>
      <c r="AJ953" s="122"/>
      <c r="AK953" s="122"/>
      <c r="AL953" s="122"/>
      <c r="AM953" s="122"/>
      <c r="AN953" s="122"/>
    </row>
    <row r="954">
      <c r="A954" s="120"/>
      <c r="B954" s="120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  <c r="AE954" s="122"/>
      <c r="AF954" s="122"/>
      <c r="AG954" s="122"/>
      <c r="AH954" s="122"/>
      <c r="AI954" s="122"/>
      <c r="AJ954" s="122"/>
      <c r="AK954" s="122"/>
      <c r="AL954" s="122"/>
      <c r="AM954" s="122"/>
      <c r="AN954" s="122"/>
    </row>
    <row r="955">
      <c r="B955" s="120"/>
      <c r="C955" s="121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  <c r="AE955" s="122"/>
      <c r="AF955" s="122"/>
      <c r="AG955" s="122"/>
      <c r="AH955" s="122"/>
      <c r="AI955" s="122"/>
      <c r="AJ955" s="122"/>
      <c r="AK955" s="122"/>
      <c r="AL955" s="122"/>
      <c r="AM955" s="122"/>
      <c r="AN955" s="121"/>
    </row>
    <row r="956">
      <c r="A956" s="120"/>
      <c r="B956" s="120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  <c r="AE956" s="122"/>
      <c r="AF956" s="122"/>
      <c r="AG956" s="122"/>
      <c r="AH956" s="122"/>
      <c r="AI956" s="122"/>
      <c r="AJ956" s="122"/>
      <c r="AK956" s="122"/>
      <c r="AL956" s="122"/>
      <c r="AM956" s="122"/>
      <c r="AN956" s="122"/>
    </row>
    <row r="957">
      <c r="B957" s="120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  <c r="AE957" s="122"/>
      <c r="AF957" s="122"/>
      <c r="AG957" s="122"/>
      <c r="AH957" s="122"/>
      <c r="AI957" s="122"/>
      <c r="AJ957" s="122"/>
      <c r="AK957" s="122"/>
      <c r="AL957" s="122"/>
      <c r="AM957" s="122"/>
      <c r="AN957" s="122"/>
    </row>
    <row r="958">
      <c r="A958" s="120"/>
      <c r="B958" s="120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  <c r="AE958" s="122"/>
      <c r="AF958" s="122"/>
      <c r="AG958" s="122"/>
      <c r="AH958" s="122"/>
      <c r="AI958" s="122"/>
      <c r="AJ958" s="122"/>
      <c r="AK958" s="122"/>
      <c r="AL958" s="122"/>
      <c r="AM958" s="122"/>
      <c r="AN958" s="122"/>
    </row>
    <row r="959">
      <c r="B959" s="120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  <c r="AE959" s="122"/>
      <c r="AF959" s="122"/>
      <c r="AG959" s="122"/>
      <c r="AH959" s="122"/>
      <c r="AI959" s="122"/>
      <c r="AJ959" s="122"/>
      <c r="AK959" s="122"/>
      <c r="AL959" s="122"/>
      <c r="AM959" s="122"/>
      <c r="AN959" s="122"/>
    </row>
    <row r="960">
      <c r="B960" s="120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  <c r="AE960" s="122"/>
      <c r="AF960" s="122"/>
      <c r="AG960" s="122"/>
      <c r="AH960" s="122"/>
      <c r="AI960" s="122"/>
      <c r="AJ960" s="122"/>
      <c r="AK960" s="122"/>
      <c r="AL960" s="122"/>
      <c r="AM960" s="122"/>
      <c r="AN960" s="122"/>
    </row>
    <row r="961">
      <c r="A961" s="120"/>
      <c r="B961" s="120"/>
      <c r="C961" s="121"/>
      <c r="D961" s="121"/>
      <c r="E961" s="121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1"/>
      <c r="X961" s="122"/>
      <c r="Y961" s="121"/>
      <c r="Z961" s="122"/>
      <c r="AA961" s="121"/>
      <c r="AB961" s="122"/>
      <c r="AC961" s="121"/>
      <c r="AD961" s="122"/>
      <c r="AE961" s="121"/>
      <c r="AF961" s="122"/>
      <c r="AG961" s="121"/>
      <c r="AH961" s="122"/>
      <c r="AI961" s="121"/>
      <c r="AJ961" s="122"/>
      <c r="AK961" s="121"/>
      <c r="AL961" s="122"/>
      <c r="AM961" s="121"/>
      <c r="AN961" s="121"/>
    </row>
    <row r="962">
      <c r="B962" s="120"/>
      <c r="C962" s="121"/>
      <c r="D962" s="121"/>
      <c r="E962" s="121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  <c r="AE962" s="122"/>
      <c r="AF962" s="122"/>
      <c r="AG962" s="122"/>
      <c r="AH962" s="122"/>
      <c r="AI962" s="122"/>
      <c r="AJ962" s="122"/>
      <c r="AK962" s="122"/>
      <c r="AL962" s="122"/>
      <c r="AM962" s="122"/>
      <c r="AN962" s="121"/>
    </row>
    <row r="963">
      <c r="B963" s="120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  <c r="AE963" s="122"/>
      <c r="AF963" s="122"/>
      <c r="AG963" s="122"/>
      <c r="AH963" s="122"/>
      <c r="AI963" s="122"/>
      <c r="AJ963" s="122"/>
      <c r="AK963" s="122"/>
      <c r="AL963" s="122"/>
      <c r="AM963" s="122"/>
      <c r="AN963" s="122"/>
    </row>
    <row r="964">
      <c r="B964" s="120"/>
      <c r="C964" s="121"/>
      <c r="D964" s="121"/>
      <c r="E964" s="121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  <c r="AE964" s="122"/>
      <c r="AF964" s="122"/>
      <c r="AG964" s="122"/>
      <c r="AH964" s="122"/>
      <c r="AI964" s="122"/>
      <c r="AJ964" s="122"/>
      <c r="AK964" s="122"/>
      <c r="AL964" s="122"/>
      <c r="AM964" s="122"/>
      <c r="AN964" s="121"/>
    </row>
    <row r="965">
      <c r="B965" s="120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  <c r="AE965" s="122"/>
      <c r="AF965" s="122"/>
      <c r="AG965" s="122"/>
      <c r="AH965" s="122"/>
      <c r="AI965" s="122"/>
      <c r="AJ965" s="122"/>
      <c r="AK965" s="122"/>
      <c r="AL965" s="122"/>
      <c r="AM965" s="122"/>
      <c r="AN965" s="122"/>
    </row>
    <row r="966">
      <c r="A966" s="120"/>
      <c r="B966" s="120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  <c r="AE966" s="122"/>
      <c r="AF966" s="122"/>
      <c r="AG966" s="122"/>
      <c r="AH966" s="122"/>
      <c r="AI966" s="122"/>
      <c r="AJ966" s="122"/>
      <c r="AK966" s="122"/>
      <c r="AL966" s="122"/>
      <c r="AM966" s="122"/>
      <c r="AN966" s="122"/>
    </row>
    <row r="967">
      <c r="B967" s="120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  <c r="AE967" s="122"/>
      <c r="AF967" s="122"/>
      <c r="AG967" s="122"/>
      <c r="AH967" s="122"/>
      <c r="AI967" s="122"/>
      <c r="AJ967" s="122"/>
      <c r="AK967" s="122"/>
      <c r="AL967" s="122"/>
      <c r="AM967" s="122"/>
      <c r="AN967" s="122"/>
    </row>
    <row r="968">
      <c r="B968" s="120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  <c r="AE968" s="122"/>
      <c r="AF968" s="122"/>
      <c r="AG968" s="122"/>
      <c r="AH968" s="122"/>
      <c r="AI968" s="122"/>
      <c r="AJ968" s="122"/>
      <c r="AK968" s="122"/>
      <c r="AL968" s="122"/>
      <c r="AM968" s="122"/>
      <c r="AN968" s="122"/>
    </row>
    <row r="969">
      <c r="B969" s="120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  <c r="AE969" s="122"/>
      <c r="AF969" s="122"/>
      <c r="AG969" s="122"/>
      <c r="AH969" s="122"/>
      <c r="AI969" s="122"/>
      <c r="AJ969" s="122"/>
      <c r="AK969" s="122"/>
      <c r="AL969" s="122"/>
      <c r="AM969" s="122"/>
      <c r="AN969" s="122"/>
    </row>
    <row r="970">
      <c r="B970" s="120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  <c r="AE970" s="122"/>
      <c r="AF970" s="122"/>
      <c r="AG970" s="122"/>
      <c r="AH970" s="122"/>
      <c r="AI970" s="122"/>
      <c r="AJ970" s="122"/>
      <c r="AK970" s="122"/>
      <c r="AL970" s="122"/>
      <c r="AM970" s="122"/>
      <c r="AN970" s="122"/>
    </row>
    <row r="971">
      <c r="A971" s="123"/>
    </row>
    <row r="972">
      <c r="A972" s="120"/>
      <c r="B972" s="120"/>
      <c r="C972" s="121"/>
      <c r="D972" s="121"/>
      <c r="E972" s="121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  <c r="AC972" s="121"/>
      <c r="AD972" s="121"/>
      <c r="AE972" s="121"/>
      <c r="AF972" s="121"/>
      <c r="AG972" s="121"/>
      <c r="AH972" s="121"/>
      <c r="AI972" s="121"/>
      <c r="AJ972" s="121"/>
      <c r="AK972" s="121"/>
      <c r="AL972" s="121"/>
      <c r="AM972" s="121"/>
      <c r="AN972" s="121"/>
    </row>
    <row r="973">
      <c r="B973" s="120"/>
      <c r="C973" s="121"/>
      <c r="D973" s="121"/>
      <c r="E973" s="121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1"/>
      <c r="X973" s="121"/>
      <c r="Y973" s="121"/>
      <c r="Z973" s="121"/>
      <c r="AA973" s="121"/>
      <c r="AB973" s="121"/>
      <c r="AC973" s="121"/>
      <c r="AD973" s="121"/>
      <c r="AE973" s="121"/>
      <c r="AF973" s="121"/>
      <c r="AG973" s="121"/>
      <c r="AH973" s="121"/>
      <c r="AI973" s="121"/>
      <c r="AJ973" s="121"/>
      <c r="AK973" s="121"/>
      <c r="AL973" s="121"/>
      <c r="AM973" s="121"/>
      <c r="AN973" s="121"/>
    </row>
    <row r="974">
      <c r="B974" s="120"/>
      <c r="C974" s="121"/>
      <c r="D974" s="121"/>
      <c r="E974" s="121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1"/>
      <c r="V974" s="122"/>
      <c r="W974" s="121"/>
      <c r="X974" s="121"/>
      <c r="Y974" s="121"/>
      <c r="Z974" s="121"/>
      <c r="AA974" s="121"/>
      <c r="AB974" s="121"/>
      <c r="AC974" s="121"/>
      <c r="AD974" s="121"/>
      <c r="AE974" s="121"/>
      <c r="AF974" s="121"/>
      <c r="AG974" s="121"/>
      <c r="AH974" s="121"/>
      <c r="AI974" s="121"/>
      <c r="AJ974" s="121"/>
      <c r="AK974" s="121"/>
      <c r="AL974" s="121"/>
      <c r="AM974" s="121"/>
      <c r="AN974" s="121"/>
    </row>
    <row r="975">
      <c r="B975" s="120"/>
      <c r="C975" s="121"/>
      <c r="D975" s="121"/>
      <c r="E975" s="121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  <c r="AE975" s="122"/>
      <c r="AF975" s="122"/>
      <c r="AG975" s="122"/>
      <c r="AH975" s="122"/>
      <c r="AI975" s="122"/>
      <c r="AJ975" s="122"/>
      <c r="AK975" s="122"/>
      <c r="AL975" s="122"/>
      <c r="AM975" s="122"/>
      <c r="AN975" s="121"/>
    </row>
    <row r="976">
      <c r="A976" s="120"/>
      <c r="B976" s="120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  <c r="AE976" s="122"/>
      <c r="AF976" s="122"/>
      <c r="AG976" s="122"/>
      <c r="AH976" s="122"/>
      <c r="AI976" s="122"/>
      <c r="AJ976" s="122"/>
      <c r="AK976" s="122"/>
      <c r="AL976" s="122"/>
      <c r="AM976" s="122"/>
      <c r="AN976" s="122"/>
    </row>
    <row r="977">
      <c r="B977" s="120"/>
      <c r="C977" s="121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  <c r="AE977" s="122"/>
      <c r="AF977" s="122"/>
      <c r="AG977" s="122"/>
      <c r="AH977" s="122"/>
      <c r="AI977" s="122"/>
      <c r="AJ977" s="122"/>
      <c r="AK977" s="122"/>
      <c r="AL977" s="122"/>
      <c r="AM977" s="122"/>
      <c r="AN977" s="121"/>
    </row>
    <row r="978">
      <c r="A978" s="120"/>
      <c r="B978" s="120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  <c r="AE978" s="122"/>
      <c r="AF978" s="122"/>
      <c r="AG978" s="122"/>
      <c r="AH978" s="122"/>
      <c r="AI978" s="122"/>
      <c r="AJ978" s="122"/>
      <c r="AK978" s="122"/>
      <c r="AL978" s="122"/>
      <c r="AM978" s="122"/>
      <c r="AN978" s="122"/>
    </row>
    <row r="979">
      <c r="B979" s="120"/>
      <c r="C979" s="121"/>
      <c r="D979" s="122"/>
      <c r="E979" s="121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  <c r="AE979" s="122"/>
      <c r="AF979" s="122"/>
      <c r="AG979" s="122"/>
      <c r="AH979" s="122"/>
      <c r="AI979" s="122"/>
      <c r="AJ979" s="122"/>
      <c r="AK979" s="122"/>
      <c r="AL979" s="122"/>
      <c r="AM979" s="122"/>
      <c r="AN979" s="121"/>
    </row>
    <row r="980">
      <c r="A980" s="120"/>
      <c r="B980" s="120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  <c r="AE980" s="122"/>
      <c r="AF980" s="122"/>
      <c r="AG980" s="122"/>
      <c r="AH980" s="122"/>
      <c r="AI980" s="122"/>
      <c r="AJ980" s="122"/>
      <c r="AK980" s="122"/>
      <c r="AL980" s="122"/>
      <c r="AM980" s="122"/>
      <c r="AN980" s="122"/>
    </row>
    <row r="981">
      <c r="B981" s="120"/>
      <c r="C981" s="121"/>
      <c r="D981" s="122"/>
      <c r="E981" s="121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  <c r="AE981" s="122"/>
      <c r="AF981" s="122"/>
      <c r="AG981" s="122"/>
      <c r="AH981" s="122"/>
      <c r="AI981" s="122"/>
      <c r="AJ981" s="122"/>
      <c r="AK981" s="122"/>
      <c r="AL981" s="122"/>
      <c r="AM981" s="122"/>
      <c r="AN981" s="121"/>
    </row>
    <row r="982">
      <c r="A982" s="120"/>
      <c r="B982" s="120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  <c r="AE982" s="122"/>
      <c r="AF982" s="122"/>
      <c r="AG982" s="122"/>
      <c r="AH982" s="122"/>
      <c r="AI982" s="122"/>
      <c r="AJ982" s="122"/>
      <c r="AK982" s="122"/>
      <c r="AL982" s="122"/>
      <c r="AM982" s="122"/>
      <c r="AN982" s="122"/>
    </row>
    <row r="983">
      <c r="B983" s="120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  <c r="AE983" s="122"/>
      <c r="AF983" s="122"/>
      <c r="AG983" s="122"/>
      <c r="AH983" s="122"/>
      <c r="AI983" s="122"/>
      <c r="AJ983" s="122"/>
      <c r="AK983" s="122"/>
      <c r="AL983" s="122"/>
      <c r="AM983" s="122"/>
      <c r="AN983" s="122"/>
    </row>
    <row r="984">
      <c r="B984" s="120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  <c r="AE984" s="122"/>
      <c r="AF984" s="122"/>
      <c r="AG984" s="122"/>
      <c r="AH984" s="122"/>
      <c r="AI984" s="122"/>
      <c r="AJ984" s="122"/>
      <c r="AK984" s="122"/>
      <c r="AL984" s="122"/>
      <c r="AM984" s="122"/>
      <c r="AN984" s="122"/>
    </row>
    <row r="985">
      <c r="A985" s="120"/>
      <c r="B985" s="120"/>
      <c r="C985" s="121"/>
      <c r="D985" s="121"/>
      <c r="E985" s="121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1"/>
      <c r="Z985" s="122"/>
      <c r="AA985" s="121"/>
      <c r="AB985" s="122"/>
      <c r="AC985" s="121"/>
      <c r="AD985" s="122"/>
      <c r="AE985" s="121"/>
      <c r="AF985" s="122"/>
      <c r="AG985" s="121"/>
      <c r="AH985" s="122"/>
      <c r="AI985" s="121"/>
      <c r="AJ985" s="122"/>
      <c r="AK985" s="121"/>
      <c r="AL985" s="122"/>
      <c r="AM985" s="121"/>
      <c r="AN985" s="121"/>
    </row>
    <row r="986">
      <c r="B986" s="120"/>
      <c r="C986" s="121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2"/>
      <c r="AE986" s="122"/>
      <c r="AF986" s="122"/>
      <c r="AG986" s="122"/>
      <c r="AH986" s="122"/>
      <c r="AI986" s="122"/>
      <c r="AJ986" s="122"/>
      <c r="AK986" s="122"/>
      <c r="AL986" s="122"/>
      <c r="AM986" s="122"/>
      <c r="AN986" s="121"/>
    </row>
    <row r="987">
      <c r="B987" s="120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  <c r="AE987" s="122"/>
      <c r="AF987" s="122"/>
      <c r="AG987" s="122"/>
      <c r="AH987" s="122"/>
      <c r="AI987" s="122"/>
      <c r="AJ987" s="122"/>
      <c r="AK987" s="122"/>
      <c r="AL987" s="122"/>
      <c r="AM987" s="122"/>
      <c r="AN987" s="122"/>
    </row>
    <row r="988">
      <c r="B988" s="120"/>
      <c r="C988" s="121"/>
      <c r="D988" s="121"/>
      <c r="E988" s="121"/>
      <c r="F988" s="121"/>
      <c r="G988" s="121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2"/>
      <c r="AE988" s="122"/>
      <c r="AF988" s="122"/>
      <c r="AG988" s="122"/>
      <c r="AH988" s="122"/>
      <c r="AI988" s="122"/>
      <c r="AJ988" s="122"/>
      <c r="AK988" s="122"/>
      <c r="AL988" s="122"/>
      <c r="AM988" s="122"/>
      <c r="AN988" s="121"/>
    </row>
    <row r="989">
      <c r="B989" s="120"/>
      <c r="C989" s="121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  <c r="AE989" s="122"/>
      <c r="AF989" s="122"/>
      <c r="AG989" s="122"/>
      <c r="AH989" s="122"/>
      <c r="AI989" s="122"/>
      <c r="AJ989" s="122"/>
      <c r="AK989" s="122"/>
      <c r="AL989" s="122"/>
      <c r="AM989" s="122"/>
      <c r="AN989" s="121"/>
    </row>
    <row r="990">
      <c r="A990" s="120"/>
      <c r="B990" s="120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2"/>
      <c r="AE990" s="122"/>
      <c r="AF990" s="122"/>
      <c r="AG990" s="122"/>
      <c r="AH990" s="122"/>
      <c r="AI990" s="122"/>
      <c r="AJ990" s="122"/>
      <c r="AK990" s="122"/>
      <c r="AL990" s="122"/>
      <c r="AM990" s="122"/>
      <c r="AN990" s="122"/>
    </row>
    <row r="991">
      <c r="B991" s="120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  <c r="AE991" s="122"/>
      <c r="AF991" s="122"/>
      <c r="AG991" s="122"/>
      <c r="AH991" s="122"/>
      <c r="AI991" s="122"/>
      <c r="AJ991" s="122"/>
      <c r="AK991" s="122"/>
      <c r="AL991" s="122"/>
      <c r="AM991" s="122"/>
      <c r="AN991" s="122"/>
    </row>
    <row r="992">
      <c r="B992" s="120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2"/>
      <c r="AE992" s="122"/>
      <c r="AF992" s="122"/>
      <c r="AG992" s="122"/>
      <c r="AH992" s="122"/>
      <c r="AI992" s="122"/>
      <c r="AJ992" s="122"/>
      <c r="AK992" s="122"/>
      <c r="AL992" s="122"/>
      <c r="AM992" s="122"/>
      <c r="AN992" s="122"/>
    </row>
    <row r="993">
      <c r="B993" s="120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  <c r="AE993" s="122"/>
      <c r="AF993" s="122"/>
      <c r="AG993" s="122"/>
      <c r="AH993" s="122"/>
      <c r="AI993" s="122"/>
      <c r="AJ993" s="122"/>
      <c r="AK993" s="122"/>
      <c r="AL993" s="122"/>
      <c r="AM993" s="122"/>
      <c r="AN993" s="122"/>
    </row>
    <row r="994">
      <c r="B994" s="120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  <c r="AD994" s="122"/>
      <c r="AE994" s="122"/>
      <c r="AF994" s="122"/>
      <c r="AG994" s="122"/>
      <c r="AH994" s="122"/>
      <c r="AI994" s="122"/>
      <c r="AJ994" s="122"/>
      <c r="AK994" s="122"/>
      <c r="AL994" s="122"/>
      <c r="AM994" s="122"/>
      <c r="AN994" s="122"/>
    </row>
    <row r="995">
      <c r="A995" s="123"/>
    </row>
    <row r="996">
      <c r="A996" s="120"/>
      <c r="B996" s="120"/>
      <c r="C996" s="121"/>
      <c r="D996" s="121"/>
      <c r="E996" s="121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1"/>
      <c r="X996" s="121"/>
      <c r="Y996" s="121"/>
      <c r="Z996" s="121"/>
      <c r="AA996" s="121"/>
      <c r="AB996" s="121"/>
      <c r="AC996" s="121"/>
      <c r="AD996" s="121"/>
      <c r="AE996" s="121"/>
      <c r="AF996" s="121"/>
      <c r="AG996" s="121"/>
      <c r="AH996" s="121"/>
      <c r="AI996" s="121"/>
      <c r="AJ996" s="121"/>
      <c r="AK996" s="121"/>
      <c r="AL996" s="121"/>
      <c r="AM996" s="121"/>
      <c r="AN996" s="121"/>
    </row>
    <row r="997">
      <c r="B997" s="120"/>
      <c r="C997" s="121"/>
      <c r="D997" s="121"/>
      <c r="E997" s="121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1"/>
      <c r="AL997" s="121"/>
      <c r="AM997" s="121"/>
      <c r="AN997" s="121"/>
    </row>
    <row r="998">
      <c r="B998" s="120"/>
      <c r="C998" s="121"/>
      <c r="D998" s="121"/>
      <c r="E998" s="121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</row>
    <row r="999">
      <c r="B999" s="120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  <c r="AD999" s="122"/>
      <c r="AE999" s="122"/>
      <c r="AF999" s="122"/>
      <c r="AG999" s="122"/>
      <c r="AH999" s="122"/>
      <c r="AI999" s="122"/>
      <c r="AJ999" s="122"/>
      <c r="AK999" s="122"/>
      <c r="AL999" s="122"/>
      <c r="AM999" s="122"/>
      <c r="AN999" s="122"/>
    </row>
    <row r="1000">
      <c r="A1000" s="120"/>
      <c r="B1000" s="120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  <c r="AC1000" s="122"/>
      <c r="AD1000" s="122"/>
      <c r="AE1000" s="122"/>
      <c r="AF1000" s="122"/>
      <c r="AG1000" s="122"/>
      <c r="AH1000" s="122"/>
      <c r="AI1000" s="122"/>
      <c r="AJ1000" s="122"/>
      <c r="AK1000" s="122"/>
      <c r="AL1000" s="122"/>
      <c r="AM1000" s="122"/>
      <c r="AN1000" s="122"/>
    </row>
    <row r="1001">
      <c r="B1001" s="120"/>
      <c r="C1001" s="122"/>
      <c r="D1001" s="122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  <c r="AC1001" s="122"/>
      <c r="AD1001" s="122"/>
      <c r="AE1001" s="122"/>
      <c r="AF1001" s="122"/>
      <c r="AG1001" s="122"/>
      <c r="AH1001" s="122"/>
      <c r="AI1001" s="122"/>
      <c r="AJ1001" s="122"/>
      <c r="AK1001" s="122"/>
      <c r="AL1001" s="122"/>
      <c r="AM1001" s="122"/>
      <c r="AN1001" s="122"/>
    </row>
    <row r="1002">
      <c r="A1002" s="120"/>
      <c r="B1002" s="120"/>
      <c r="C1002" s="122"/>
      <c r="D1002" s="122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  <c r="AA1002" s="122"/>
      <c r="AB1002" s="122"/>
      <c r="AC1002" s="122"/>
      <c r="AD1002" s="122"/>
      <c r="AE1002" s="122"/>
      <c r="AF1002" s="122"/>
      <c r="AG1002" s="122"/>
      <c r="AH1002" s="122"/>
      <c r="AI1002" s="122"/>
      <c r="AJ1002" s="122"/>
      <c r="AK1002" s="122"/>
      <c r="AL1002" s="122"/>
      <c r="AM1002" s="122"/>
      <c r="AN1002" s="122"/>
    </row>
    <row r="1003">
      <c r="B1003" s="120"/>
      <c r="C1003" s="122"/>
      <c r="D1003" s="122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  <c r="AA1003" s="122"/>
      <c r="AB1003" s="122"/>
      <c r="AC1003" s="122"/>
      <c r="AD1003" s="122"/>
      <c r="AE1003" s="122"/>
      <c r="AF1003" s="122"/>
      <c r="AG1003" s="122"/>
      <c r="AH1003" s="122"/>
      <c r="AI1003" s="122"/>
      <c r="AJ1003" s="122"/>
      <c r="AK1003" s="122"/>
      <c r="AL1003" s="122"/>
      <c r="AM1003" s="122"/>
      <c r="AN1003" s="122"/>
    </row>
    <row r="1004">
      <c r="A1004" s="120"/>
      <c r="B1004" s="120"/>
      <c r="C1004" s="122"/>
      <c r="D1004" s="122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  <c r="AA1004" s="122"/>
      <c r="AB1004" s="122"/>
      <c r="AC1004" s="122"/>
      <c r="AD1004" s="122"/>
      <c r="AE1004" s="122"/>
      <c r="AF1004" s="122"/>
      <c r="AG1004" s="122"/>
      <c r="AH1004" s="122"/>
      <c r="AI1004" s="122"/>
      <c r="AJ1004" s="122"/>
      <c r="AK1004" s="122"/>
      <c r="AL1004" s="122"/>
      <c r="AM1004" s="122"/>
      <c r="AN1004" s="122"/>
    </row>
    <row r="1005">
      <c r="B1005" s="120"/>
      <c r="C1005" s="122"/>
      <c r="D1005" s="122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  <c r="AA1005" s="122"/>
      <c r="AB1005" s="122"/>
      <c r="AC1005" s="122"/>
      <c r="AD1005" s="122"/>
      <c r="AE1005" s="122"/>
      <c r="AF1005" s="122"/>
      <c r="AG1005" s="122"/>
      <c r="AH1005" s="122"/>
      <c r="AI1005" s="122"/>
      <c r="AJ1005" s="122"/>
      <c r="AK1005" s="122"/>
      <c r="AL1005" s="122"/>
      <c r="AM1005" s="122"/>
      <c r="AN1005" s="122"/>
    </row>
    <row r="1006">
      <c r="A1006" s="120"/>
      <c r="B1006" s="120"/>
      <c r="C1006" s="122"/>
      <c r="D1006" s="122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  <c r="AA1006" s="122"/>
      <c r="AB1006" s="122"/>
      <c r="AC1006" s="122"/>
      <c r="AD1006" s="122"/>
      <c r="AE1006" s="122"/>
      <c r="AF1006" s="122"/>
      <c r="AG1006" s="122"/>
      <c r="AH1006" s="122"/>
      <c r="AI1006" s="122"/>
      <c r="AJ1006" s="122"/>
      <c r="AK1006" s="122"/>
      <c r="AL1006" s="122"/>
      <c r="AM1006" s="122"/>
      <c r="AN1006" s="122"/>
    </row>
    <row r="1007">
      <c r="B1007" s="120"/>
      <c r="C1007" s="122"/>
      <c r="D1007" s="122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  <c r="AA1007" s="122"/>
      <c r="AB1007" s="122"/>
      <c r="AC1007" s="122"/>
      <c r="AD1007" s="122"/>
      <c r="AE1007" s="122"/>
      <c r="AF1007" s="122"/>
      <c r="AG1007" s="122"/>
      <c r="AH1007" s="122"/>
      <c r="AI1007" s="122"/>
      <c r="AJ1007" s="122"/>
      <c r="AK1007" s="122"/>
      <c r="AL1007" s="122"/>
      <c r="AM1007" s="122"/>
      <c r="AN1007" s="122"/>
    </row>
    <row r="1008">
      <c r="B1008" s="120"/>
      <c r="C1008" s="122"/>
      <c r="D1008" s="122"/>
      <c r="E1008" s="122"/>
      <c r="F1008" s="122"/>
      <c r="G1008" s="12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2"/>
      <c r="Y1008" s="122"/>
      <c r="Z1008" s="122"/>
      <c r="AA1008" s="122"/>
      <c r="AB1008" s="122"/>
      <c r="AC1008" s="122"/>
      <c r="AD1008" s="122"/>
      <c r="AE1008" s="122"/>
      <c r="AF1008" s="122"/>
      <c r="AG1008" s="122"/>
      <c r="AH1008" s="122"/>
      <c r="AI1008" s="122"/>
      <c r="AJ1008" s="122"/>
      <c r="AK1008" s="122"/>
      <c r="AL1008" s="122"/>
      <c r="AM1008" s="122"/>
      <c r="AN1008" s="122"/>
    </row>
    <row r="1009">
      <c r="A1009" s="120"/>
      <c r="B1009" s="120"/>
      <c r="C1009" s="121"/>
      <c r="D1009" s="121"/>
      <c r="E1009" s="121"/>
      <c r="F1009" s="122"/>
      <c r="G1009" s="122"/>
      <c r="H1009" s="122"/>
      <c r="I1009" s="122"/>
      <c r="J1009" s="122"/>
      <c r="K1009" s="122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  <c r="V1009" s="122"/>
      <c r="W1009" s="122"/>
      <c r="X1009" s="122"/>
      <c r="Y1009" s="122"/>
      <c r="Z1009" s="122"/>
      <c r="AA1009" s="121"/>
      <c r="AB1009" s="122"/>
      <c r="AC1009" s="121"/>
      <c r="AD1009" s="122"/>
      <c r="AE1009" s="121"/>
      <c r="AF1009" s="122"/>
      <c r="AG1009" s="121"/>
      <c r="AH1009" s="122"/>
      <c r="AI1009" s="121"/>
      <c r="AJ1009" s="122"/>
      <c r="AK1009" s="121"/>
      <c r="AL1009" s="122"/>
      <c r="AM1009" s="121"/>
      <c r="AN1009" s="121"/>
    </row>
    <row r="1010">
      <c r="B1010" s="120"/>
      <c r="C1010" s="122"/>
      <c r="D1010" s="122"/>
      <c r="E1010" s="122"/>
      <c r="F1010" s="122"/>
      <c r="G1010" s="122"/>
      <c r="H1010" s="122"/>
      <c r="I1010" s="122"/>
      <c r="J1010" s="122"/>
      <c r="K1010" s="122"/>
      <c r="L1010" s="122"/>
      <c r="M1010" s="122"/>
      <c r="N1010" s="122"/>
      <c r="O1010" s="122"/>
      <c r="P1010" s="122"/>
      <c r="Q1010" s="122"/>
      <c r="R1010" s="122"/>
      <c r="S1010" s="122"/>
      <c r="T1010" s="122"/>
      <c r="U1010" s="122"/>
      <c r="V1010" s="122"/>
      <c r="W1010" s="122"/>
      <c r="X1010" s="122"/>
      <c r="Y1010" s="122"/>
      <c r="Z1010" s="122"/>
      <c r="AA1010" s="122"/>
      <c r="AB1010" s="122"/>
      <c r="AC1010" s="122"/>
      <c r="AD1010" s="122"/>
      <c r="AE1010" s="122"/>
      <c r="AF1010" s="122"/>
      <c r="AG1010" s="122"/>
      <c r="AH1010" s="122"/>
      <c r="AI1010" s="122"/>
      <c r="AJ1010" s="122"/>
      <c r="AK1010" s="122"/>
      <c r="AL1010" s="122"/>
      <c r="AM1010" s="122"/>
      <c r="AN1010" s="122"/>
    </row>
    <row r="1011">
      <c r="B1011" s="120"/>
      <c r="C1011" s="122"/>
      <c r="D1011" s="122"/>
      <c r="E1011" s="122"/>
      <c r="F1011" s="122"/>
      <c r="G1011" s="122"/>
      <c r="H1011" s="122"/>
      <c r="I1011" s="122"/>
      <c r="J1011" s="122"/>
      <c r="K1011" s="122"/>
      <c r="L1011" s="122"/>
      <c r="M1011" s="122"/>
      <c r="N1011" s="122"/>
      <c r="O1011" s="122"/>
      <c r="P1011" s="122"/>
      <c r="Q1011" s="122"/>
      <c r="R1011" s="122"/>
      <c r="S1011" s="122"/>
      <c r="T1011" s="122"/>
      <c r="U1011" s="122"/>
      <c r="V1011" s="122"/>
      <c r="W1011" s="122"/>
      <c r="X1011" s="122"/>
      <c r="Y1011" s="122"/>
      <c r="Z1011" s="122"/>
      <c r="AA1011" s="122"/>
      <c r="AB1011" s="122"/>
      <c r="AC1011" s="122"/>
      <c r="AD1011" s="122"/>
      <c r="AE1011" s="122"/>
      <c r="AF1011" s="122"/>
      <c r="AG1011" s="122"/>
      <c r="AH1011" s="122"/>
      <c r="AI1011" s="122"/>
      <c r="AJ1011" s="122"/>
      <c r="AK1011" s="122"/>
      <c r="AL1011" s="122"/>
      <c r="AM1011" s="122"/>
      <c r="AN1011" s="122"/>
    </row>
    <row r="1012">
      <c r="B1012" s="120"/>
      <c r="C1012" s="121"/>
      <c r="D1012" s="122"/>
      <c r="E1012" s="121"/>
      <c r="F1012" s="122"/>
      <c r="G1012" s="122"/>
      <c r="H1012" s="122"/>
      <c r="I1012" s="122"/>
      <c r="J1012" s="122"/>
      <c r="K1012" s="122"/>
      <c r="L1012" s="122"/>
      <c r="M1012" s="122"/>
      <c r="N1012" s="122"/>
      <c r="O1012" s="122"/>
      <c r="P1012" s="122"/>
      <c r="Q1012" s="122"/>
      <c r="R1012" s="122"/>
      <c r="S1012" s="122"/>
      <c r="T1012" s="122"/>
      <c r="U1012" s="122"/>
      <c r="V1012" s="122"/>
      <c r="W1012" s="122"/>
      <c r="X1012" s="122"/>
      <c r="Y1012" s="122"/>
      <c r="Z1012" s="122"/>
      <c r="AA1012" s="122"/>
      <c r="AB1012" s="122"/>
      <c r="AC1012" s="122"/>
      <c r="AD1012" s="122"/>
      <c r="AE1012" s="122"/>
      <c r="AF1012" s="122"/>
      <c r="AG1012" s="122"/>
      <c r="AH1012" s="122"/>
      <c r="AI1012" s="122"/>
      <c r="AJ1012" s="122"/>
      <c r="AK1012" s="122"/>
      <c r="AL1012" s="122"/>
      <c r="AM1012" s="122"/>
      <c r="AN1012" s="121"/>
    </row>
    <row r="1013">
      <c r="B1013" s="120"/>
      <c r="C1013" s="122"/>
      <c r="D1013" s="122"/>
      <c r="E1013" s="122"/>
      <c r="F1013" s="122"/>
      <c r="G1013" s="122"/>
      <c r="H1013" s="122"/>
      <c r="I1013" s="122"/>
      <c r="J1013" s="122"/>
      <c r="K1013" s="122"/>
      <c r="L1013" s="122"/>
      <c r="M1013" s="122"/>
      <c r="N1013" s="122"/>
      <c r="O1013" s="122"/>
      <c r="P1013" s="122"/>
      <c r="Q1013" s="122"/>
      <c r="R1013" s="122"/>
      <c r="S1013" s="122"/>
      <c r="T1013" s="122"/>
      <c r="U1013" s="122"/>
      <c r="V1013" s="122"/>
      <c r="W1013" s="122"/>
      <c r="X1013" s="122"/>
      <c r="Y1013" s="122"/>
      <c r="Z1013" s="122"/>
      <c r="AA1013" s="122"/>
      <c r="AB1013" s="122"/>
      <c r="AC1013" s="122"/>
      <c r="AD1013" s="122"/>
      <c r="AE1013" s="122"/>
      <c r="AF1013" s="122"/>
      <c r="AG1013" s="122"/>
      <c r="AH1013" s="122"/>
      <c r="AI1013" s="122"/>
      <c r="AJ1013" s="122"/>
      <c r="AK1013" s="122"/>
      <c r="AL1013" s="122"/>
      <c r="AM1013" s="122"/>
      <c r="AN1013" s="122"/>
    </row>
    <row r="1014">
      <c r="A1014" s="120"/>
      <c r="B1014" s="120"/>
      <c r="C1014" s="122"/>
      <c r="D1014" s="122"/>
      <c r="E1014" s="122"/>
      <c r="F1014" s="122"/>
      <c r="G1014" s="122"/>
      <c r="H1014" s="122"/>
      <c r="I1014" s="122"/>
      <c r="J1014" s="122"/>
      <c r="K1014" s="122"/>
      <c r="L1014" s="122"/>
      <c r="M1014" s="122"/>
      <c r="N1014" s="122"/>
      <c r="O1014" s="122"/>
      <c r="P1014" s="122"/>
      <c r="Q1014" s="122"/>
      <c r="R1014" s="122"/>
      <c r="S1014" s="122"/>
      <c r="T1014" s="122"/>
      <c r="U1014" s="122"/>
      <c r="V1014" s="122"/>
      <c r="W1014" s="122"/>
      <c r="X1014" s="122"/>
      <c r="Y1014" s="122"/>
      <c r="Z1014" s="122"/>
      <c r="AA1014" s="122"/>
      <c r="AB1014" s="122"/>
      <c r="AC1014" s="122"/>
      <c r="AD1014" s="122"/>
      <c r="AE1014" s="122"/>
      <c r="AF1014" s="122"/>
      <c r="AG1014" s="122"/>
      <c r="AH1014" s="122"/>
      <c r="AI1014" s="122"/>
      <c r="AJ1014" s="122"/>
      <c r="AK1014" s="122"/>
      <c r="AL1014" s="122"/>
      <c r="AM1014" s="122"/>
      <c r="AN1014" s="122"/>
    </row>
    <row r="1015">
      <c r="B1015" s="120"/>
      <c r="C1015" s="122"/>
      <c r="D1015" s="122"/>
      <c r="E1015" s="122"/>
      <c r="F1015" s="122"/>
      <c r="G1015" s="122"/>
      <c r="H1015" s="122"/>
      <c r="I1015" s="122"/>
      <c r="J1015" s="122"/>
      <c r="K1015" s="122"/>
      <c r="L1015" s="122"/>
      <c r="M1015" s="122"/>
      <c r="N1015" s="122"/>
      <c r="O1015" s="122"/>
      <c r="P1015" s="122"/>
      <c r="Q1015" s="122"/>
      <c r="R1015" s="122"/>
      <c r="S1015" s="122"/>
      <c r="T1015" s="122"/>
      <c r="U1015" s="122"/>
      <c r="V1015" s="122"/>
      <c r="W1015" s="122"/>
      <c r="X1015" s="122"/>
      <c r="Y1015" s="122"/>
      <c r="Z1015" s="122"/>
      <c r="AA1015" s="122"/>
      <c r="AB1015" s="122"/>
      <c r="AC1015" s="122"/>
      <c r="AD1015" s="122"/>
      <c r="AE1015" s="122"/>
      <c r="AF1015" s="122"/>
      <c r="AG1015" s="122"/>
      <c r="AH1015" s="122"/>
      <c r="AI1015" s="122"/>
      <c r="AJ1015" s="122"/>
      <c r="AK1015" s="122"/>
      <c r="AL1015" s="122"/>
      <c r="AM1015" s="122"/>
      <c r="AN1015" s="122"/>
    </row>
    <row r="1016">
      <c r="B1016" s="120"/>
      <c r="C1016" s="122"/>
      <c r="D1016" s="122"/>
      <c r="E1016" s="122"/>
      <c r="F1016" s="122"/>
      <c r="G1016" s="122"/>
      <c r="H1016" s="122"/>
      <c r="I1016" s="122"/>
      <c r="J1016" s="122"/>
      <c r="K1016" s="122"/>
      <c r="L1016" s="122"/>
      <c r="M1016" s="122"/>
      <c r="N1016" s="122"/>
      <c r="O1016" s="122"/>
      <c r="P1016" s="122"/>
      <c r="Q1016" s="122"/>
      <c r="R1016" s="122"/>
      <c r="S1016" s="122"/>
      <c r="T1016" s="122"/>
      <c r="U1016" s="122"/>
      <c r="V1016" s="122"/>
      <c r="W1016" s="122"/>
      <c r="X1016" s="122"/>
      <c r="Y1016" s="122"/>
      <c r="Z1016" s="122"/>
      <c r="AA1016" s="122"/>
      <c r="AB1016" s="122"/>
      <c r="AC1016" s="122"/>
      <c r="AD1016" s="122"/>
      <c r="AE1016" s="122"/>
      <c r="AF1016" s="122"/>
      <c r="AG1016" s="122"/>
      <c r="AH1016" s="122"/>
      <c r="AI1016" s="122"/>
      <c r="AJ1016" s="122"/>
      <c r="AK1016" s="122"/>
      <c r="AL1016" s="122"/>
      <c r="AM1016" s="122"/>
      <c r="AN1016" s="122"/>
    </row>
    <row r="1017">
      <c r="B1017" s="120"/>
      <c r="C1017" s="122"/>
      <c r="D1017" s="122"/>
      <c r="E1017" s="122"/>
      <c r="F1017" s="122"/>
      <c r="G1017" s="122"/>
      <c r="H1017" s="122"/>
      <c r="I1017" s="122"/>
      <c r="J1017" s="122"/>
      <c r="K1017" s="122"/>
      <c r="L1017" s="122"/>
      <c r="M1017" s="122"/>
      <c r="N1017" s="122"/>
      <c r="O1017" s="122"/>
      <c r="P1017" s="122"/>
      <c r="Q1017" s="122"/>
      <c r="R1017" s="122"/>
      <c r="S1017" s="122"/>
      <c r="T1017" s="122"/>
      <c r="U1017" s="122"/>
      <c r="V1017" s="122"/>
      <c r="W1017" s="122"/>
      <c r="X1017" s="122"/>
      <c r="Y1017" s="122"/>
      <c r="Z1017" s="122"/>
      <c r="AA1017" s="122"/>
      <c r="AB1017" s="122"/>
      <c r="AC1017" s="122"/>
      <c r="AD1017" s="122"/>
      <c r="AE1017" s="122"/>
      <c r="AF1017" s="122"/>
      <c r="AG1017" s="122"/>
      <c r="AH1017" s="122"/>
      <c r="AI1017" s="122"/>
      <c r="AJ1017" s="122"/>
      <c r="AK1017" s="122"/>
      <c r="AL1017" s="122"/>
      <c r="AM1017" s="122"/>
      <c r="AN1017" s="122"/>
    </row>
    <row r="1018">
      <c r="B1018" s="120"/>
      <c r="C1018" s="122"/>
      <c r="D1018" s="122"/>
      <c r="E1018" s="122"/>
      <c r="F1018" s="122"/>
      <c r="G1018" s="122"/>
      <c r="H1018" s="122"/>
      <c r="I1018" s="122"/>
      <c r="J1018" s="122"/>
      <c r="K1018" s="122"/>
      <c r="L1018" s="122"/>
      <c r="M1018" s="122"/>
      <c r="N1018" s="122"/>
      <c r="O1018" s="122"/>
      <c r="P1018" s="122"/>
      <c r="Q1018" s="122"/>
      <c r="R1018" s="122"/>
      <c r="S1018" s="122"/>
      <c r="T1018" s="122"/>
      <c r="U1018" s="122"/>
      <c r="V1018" s="122"/>
      <c r="W1018" s="122"/>
      <c r="X1018" s="122"/>
      <c r="Y1018" s="122"/>
      <c r="Z1018" s="122"/>
      <c r="AA1018" s="122"/>
      <c r="AB1018" s="122"/>
      <c r="AC1018" s="122"/>
      <c r="AD1018" s="122"/>
      <c r="AE1018" s="122"/>
      <c r="AF1018" s="122"/>
      <c r="AG1018" s="122"/>
      <c r="AH1018" s="122"/>
      <c r="AI1018" s="122"/>
      <c r="AJ1018" s="122"/>
      <c r="AK1018" s="122"/>
      <c r="AL1018" s="122"/>
      <c r="AM1018" s="122"/>
      <c r="AN1018" s="122"/>
    </row>
    <row r="1019">
      <c r="A1019" s="123"/>
    </row>
    <row r="1020">
      <c r="A1020" s="120"/>
      <c r="B1020" s="120"/>
      <c r="C1020" s="121"/>
      <c r="D1020" s="121"/>
      <c r="E1020" s="121"/>
      <c r="F1020" s="122"/>
      <c r="G1020" s="122"/>
      <c r="H1020" s="122"/>
      <c r="I1020" s="122"/>
      <c r="J1020" s="122"/>
      <c r="K1020" s="122"/>
      <c r="L1020" s="122"/>
      <c r="M1020" s="122"/>
      <c r="N1020" s="122"/>
      <c r="O1020" s="122"/>
      <c r="P1020" s="122"/>
      <c r="Q1020" s="122"/>
      <c r="R1020" s="122"/>
      <c r="S1020" s="122"/>
      <c r="T1020" s="122"/>
      <c r="U1020" s="121"/>
      <c r="V1020" s="121"/>
      <c r="W1020" s="121"/>
      <c r="X1020" s="121"/>
      <c r="Y1020" s="121"/>
      <c r="Z1020" s="121"/>
      <c r="AA1020" s="121"/>
      <c r="AB1020" s="121"/>
      <c r="AC1020" s="121"/>
      <c r="AD1020" s="121"/>
      <c r="AE1020" s="121"/>
      <c r="AF1020" s="121"/>
      <c r="AG1020" s="121"/>
      <c r="AH1020" s="121"/>
      <c r="AI1020" s="121"/>
      <c r="AJ1020" s="121"/>
      <c r="AK1020" s="121"/>
      <c r="AL1020" s="121"/>
      <c r="AM1020" s="121"/>
      <c r="AN1020" s="121"/>
    </row>
    <row r="1021">
      <c r="B1021" s="120"/>
      <c r="C1021" s="121"/>
      <c r="D1021" s="121"/>
      <c r="E1021" s="121"/>
      <c r="F1021" s="122"/>
      <c r="G1021" s="122"/>
      <c r="H1021" s="122"/>
      <c r="I1021" s="122"/>
      <c r="J1021" s="122"/>
      <c r="K1021" s="122"/>
      <c r="L1021" s="122"/>
      <c r="M1021" s="122"/>
      <c r="N1021" s="122"/>
      <c r="O1021" s="122"/>
      <c r="P1021" s="122"/>
      <c r="Q1021" s="122"/>
      <c r="R1021" s="122"/>
      <c r="S1021" s="122"/>
      <c r="T1021" s="122"/>
      <c r="U1021" s="122"/>
      <c r="V1021" s="122"/>
      <c r="W1021" s="122"/>
      <c r="X1021" s="122"/>
      <c r="Y1021" s="121"/>
      <c r="Z1021" s="121"/>
      <c r="AA1021" s="121"/>
      <c r="AB1021" s="121"/>
      <c r="AC1021" s="121"/>
      <c r="AD1021" s="121"/>
      <c r="AE1021" s="121"/>
      <c r="AF1021" s="121"/>
      <c r="AG1021" s="121"/>
      <c r="AH1021" s="121"/>
      <c r="AI1021" s="121"/>
      <c r="AJ1021" s="121"/>
      <c r="AK1021" s="121"/>
      <c r="AL1021" s="121"/>
      <c r="AM1021" s="121"/>
      <c r="AN1021" s="121"/>
    </row>
    <row r="1022">
      <c r="B1022" s="120"/>
      <c r="C1022" s="121"/>
      <c r="D1022" s="121"/>
      <c r="E1022" s="121"/>
      <c r="F1022" s="122"/>
      <c r="G1022" s="122"/>
      <c r="H1022" s="122"/>
      <c r="I1022" s="122"/>
      <c r="J1022" s="122"/>
      <c r="K1022" s="122"/>
      <c r="L1022" s="122"/>
      <c r="M1022" s="122"/>
      <c r="N1022" s="122"/>
      <c r="O1022" s="122"/>
      <c r="P1022" s="122"/>
      <c r="Q1022" s="122"/>
      <c r="R1022" s="122"/>
      <c r="S1022" s="122"/>
      <c r="T1022" s="122"/>
      <c r="U1022" s="122"/>
      <c r="V1022" s="122"/>
      <c r="W1022" s="122"/>
      <c r="X1022" s="122"/>
      <c r="Y1022" s="121"/>
      <c r="Z1022" s="121"/>
      <c r="AA1022" s="121"/>
      <c r="AB1022" s="121"/>
      <c r="AC1022" s="121"/>
      <c r="AD1022" s="121"/>
      <c r="AE1022" s="121"/>
      <c r="AF1022" s="121"/>
      <c r="AG1022" s="121"/>
      <c r="AH1022" s="121"/>
      <c r="AI1022" s="121"/>
      <c r="AJ1022" s="121"/>
      <c r="AK1022" s="121"/>
      <c r="AL1022" s="121"/>
      <c r="AM1022" s="121"/>
      <c r="AN1022" s="121"/>
    </row>
    <row r="1023">
      <c r="B1023" s="120"/>
      <c r="C1023" s="121"/>
      <c r="D1023" s="122"/>
      <c r="E1023" s="122"/>
      <c r="F1023" s="122"/>
      <c r="G1023" s="122"/>
      <c r="H1023" s="122"/>
      <c r="I1023" s="122"/>
      <c r="J1023" s="122"/>
      <c r="K1023" s="122"/>
      <c r="L1023" s="122"/>
      <c r="M1023" s="122"/>
      <c r="N1023" s="122"/>
      <c r="O1023" s="122"/>
      <c r="P1023" s="122"/>
      <c r="Q1023" s="122"/>
      <c r="R1023" s="122"/>
      <c r="S1023" s="122"/>
      <c r="T1023" s="122"/>
      <c r="U1023" s="122"/>
      <c r="V1023" s="122"/>
      <c r="W1023" s="122"/>
      <c r="X1023" s="122"/>
      <c r="Y1023" s="122"/>
      <c r="Z1023" s="122"/>
      <c r="AA1023" s="122"/>
      <c r="AB1023" s="122"/>
      <c r="AC1023" s="122"/>
      <c r="AD1023" s="122"/>
      <c r="AE1023" s="122"/>
      <c r="AF1023" s="122"/>
      <c r="AG1023" s="122"/>
      <c r="AH1023" s="122"/>
      <c r="AI1023" s="122"/>
      <c r="AJ1023" s="122"/>
      <c r="AK1023" s="122"/>
      <c r="AL1023" s="122"/>
      <c r="AM1023" s="122"/>
      <c r="AN1023" s="121"/>
    </row>
    <row r="1024">
      <c r="A1024" s="120"/>
      <c r="B1024" s="120"/>
      <c r="C1024" s="122"/>
      <c r="D1024" s="122"/>
      <c r="E1024" s="122"/>
      <c r="F1024" s="122"/>
      <c r="G1024" s="122"/>
      <c r="H1024" s="122"/>
      <c r="I1024" s="122"/>
      <c r="J1024" s="122"/>
      <c r="K1024" s="122"/>
      <c r="L1024" s="122"/>
      <c r="M1024" s="122"/>
      <c r="N1024" s="122"/>
      <c r="O1024" s="122"/>
      <c r="P1024" s="122"/>
      <c r="Q1024" s="122"/>
      <c r="R1024" s="122"/>
      <c r="S1024" s="122"/>
      <c r="T1024" s="122"/>
      <c r="U1024" s="122"/>
      <c r="V1024" s="122"/>
      <c r="W1024" s="122"/>
      <c r="X1024" s="122"/>
      <c r="Y1024" s="122"/>
      <c r="Z1024" s="122"/>
      <c r="AA1024" s="122"/>
      <c r="AB1024" s="122"/>
      <c r="AC1024" s="122"/>
      <c r="AD1024" s="122"/>
      <c r="AE1024" s="122"/>
      <c r="AF1024" s="122"/>
      <c r="AG1024" s="122"/>
      <c r="AH1024" s="122"/>
      <c r="AI1024" s="122"/>
      <c r="AJ1024" s="122"/>
      <c r="AK1024" s="122"/>
      <c r="AL1024" s="122"/>
      <c r="AM1024" s="122"/>
      <c r="AN1024" s="122"/>
    </row>
    <row r="1025">
      <c r="B1025" s="120"/>
      <c r="C1025" s="122"/>
      <c r="D1025" s="122"/>
      <c r="E1025" s="122"/>
      <c r="F1025" s="122"/>
      <c r="G1025" s="122"/>
      <c r="H1025" s="122"/>
      <c r="I1025" s="122"/>
      <c r="J1025" s="122"/>
      <c r="K1025" s="122"/>
      <c r="L1025" s="122"/>
      <c r="M1025" s="122"/>
      <c r="N1025" s="122"/>
      <c r="O1025" s="122"/>
      <c r="P1025" s="122"/>
      <c r="Q1025" s="122"/>
      <c r="R1025" s="122"/>
      <c r="S1025" s="122"/>
      <c r="T1025" s="122"/>
      <c r="U1025" s="122"/>
      <c r="V1025" s="122"/>
      <c r="W1025" s="122"/>
      <c r="X1025" s="122"/>
      <c r="Y1025" s="122"/>
      <c r="Z1025" s="122"/>
      <c r="AA1025" s="122"/>
      <c r="AB1025" s="122"/>
      <c r="AC1025" s="122"/>
      <c r="AD1025" s="122"/>
      <c r="AE1025" s="122"/>
      <c r="AF1025" s="122"/>
      <c r="AG1025" s="122"/>
      <c r="AH1025" s="122"/>
      <c r="AI1025" s="122"/>
      <c r="AJ1025" s="122"/>
      <c r="AK1025" s="122"/>
      <c r="AL1025" s="122"/>
      <c r="AM1025" s="122"/>
      <c r="AN1025" s="122"/>
    </row>
    <row r="1026">
      <c r="A1026" s="120"/>
      <c r="B1026" s="120"/>
      <c r="C1026" s="122"/>
      <c r="D1026" s="122"/>
      <c r="E1026" s="122"/>
      <c r="F1026" s="122"/>
      <c r="G1026" s="122"/>
      <c r="H1026" s="122"/>
      <c r="I1026" s="122"/>
      <c r="J1026" s="122"/>
      <c r="K1026" s="122"/>
      <c r="L1026" s="122"/>
      <c r="M1026" s="122"/>
      <c r="N1026" s="122"/>
      <c r="O1026" s="122"/>
      <c r="P1026" s="122"/>
      <c r="Q1026" s="122"/>
      <c r="R1026" s="122"/>
      <c r="S1026" s="122"/>
      <c r="T1026" s="122"/>
      <c r="U1026" s="122"/>
      <c r="V1026" s="122"/>
      <c r="W1026" s="122"/>
      <c r="X1026" s="122"/>
      <c r="Y1026" s="122"/>
      <c r="Z1026" s="122"/>
      <c r="AA1026" s="122"/>
      <c r="AB1026" s="122"/>
      <c r="AC1026" s="122"/>
      <c r="AD1026" s="122"/>
      <c r="AE1026" s="122"/>
      <c r="AF1026" s="122"/>
      <c r="AG1026" s="122"/>
      <c r="AH1026" s="122"/>
      <c r="AI1026" s="122"/>
      <c r="AJ1026" s="122"/>
      <c r="AK1026" s="122"/>
      <c r="AL1026" s="122"/>
      <c r="AM1026" s="122"/>
      <c r="AN1026" s="122"/>
    </row>
    <row r="1027">
      <c r="B1027" s="120"/>
      <c r="C1027" s="121"/>
      <c r="D1027" s="121"/>
      <c r="E1027" s="121"/>
      <c r="F1027" s="122"/>
      <c r="G1027" s="122"/>
      <c r="H1027" s="122"/>
      <c r="I1027" s="122"/>
      <c r="J1027" s="122"/>
      <c r="K1027" s="122"/>
      <c r="L1027" s="122"/>
      <c r="M1027" s="122"/>
      <c r="N1027" s="122"/>
      <c r="O1027" s="122"/>
      <c r="P1027" s="122"/>
      <c r="Q1027" s="122"/>
      <c r="R1027" s="122"/>
      <c r="S1027" s="122"/>
      <c r="T1027" s="122"/>
      <c r="U1027" s="122"/>
      <c r="V1027" s="122"/>
      <c r="W1027" s="122"/>
      <c r="X1027" s="122"/>
      <c r="Y1027" s="122"/>
      <c r="Z1027" s="122"/>
      <c r="AA1027" s="122"/>
      <c r="AB1027" s="122"/>
      <c r="AC1027" s="122"/>
      <c r="AD1027" s="122"/>
      <c r="AE1027" s="122"/>
      <c r="AF1027" s="122"/>
      <c r="AG1027" s="122"/>
      <c r="AH1027" s="122"/>
      <c r="AI1027" s="122"/>
      <c r="AJ1027" s="122"/>
      <c r="AK1027" s="122"/>
      <c r="AL1027" s="122"/>
      <c r="AM1027" s="122"/>
      <c r="AN1027" s="121"/>
    </row>
    <row r="1028">
      <c r="A1028" s="120"/>
      <c r="B1028" s="120"/>
      <c r="C1028" s="122"/>
      <c r="D1028" s="122"/>
      <c r="E1028" s="122"/>
      <c r="F1028" s="122"/>
      <c r="G1028" s="122"/>
      <c r="H1028" s="122"/>
      <c r="I1028" s="122"/>
      <c r="J1028" s="122"/>
      <c r="K1028" s="122"/>
      <c r="L1028" s="122"/>
      <c r="M1028" s="122"/>
      <c r="N1028" s="122"/>
      <c r="O1028" s="122"/>
      <c r="P1028" s="122"/>
      <c r="Q1028" s="122"/>
      <c r="R1028" s="122"/>
      <c r="S1028" s="122"/>
      <c r="T1028" s="122"/>
      <c r="U1028" s="122"/>
      <c r="V1028" s="122"/>
      <c r="W1028" s="122"/>
      <c r="X1028" s="122"/>
      <c r="Y1028" s="122"/>
      <c r="Z1028" s="122"/>
      <c r="AA1028" s="122"/>
      <c r="AB1028" s="122"/>
      <c r="AC1028" s="122"/>
      <c r="AD1028" s="122"/>
      <c r="AE1028" s="122"/>
      <c r="AF1028" s="122"/>
      <c r="AG1028" s="122"/>
      <c r="AH1028" s="122"/>
      <c r="AI1028" s="122"/>
      <c r="AJ1028" s="122"/>
      <c r="AK1028" s="122"/>
      <c r="AL1028" s="122"/>
      <c r="AM1028" s="122"/>
      <c r="AN1028" s="122"/>
    </row>
    <row r="1029">
      <c r="B1029" s="120"/>
      <c r="C1029" s="121"/>
      <c r="D1029" s="121"/>
      <c r="E1029" s="121"/>
      <c r="F1029" s="122"/>
      <c r="G1029" s="122"/>
      <c r="H1029" s="122"/>
      <c r="I1029" s="122"/>
      <c r="J1029" s="122"/>
      <c r="K1029" s="122"/>
      <c r="L1029" s="122"/>
      <c r="M1029" s="122"/>
      <c r="N1029" s="122"/>
      <c r="O1029" s="122"/>
      <c r="P1029" s="122"/>
      <c r="Q1029" s="122"/>
      <c r="R1029" s="122"/>
      <c r="S1029" s="122"/>
      <c r="T1029" s="122"/>
      <c r="U1029" s="122"/>
      <c r="V1029" s="122"/>
      <c r="W1029" s="122"/>
      <c r="X1029" s="122"/>
      <c r="Y1029" s="122"/>
      <c r="Z1029" s="122"/>
      <c r="AA1029" s="122"/>
      <c r="AB1029" s="122"/>
      <c r="AC1029" s="122"/>
      <c r="AD1029" s="122"/>
      <c r="AE1029" s="122"/>
      <c r="AF1029" s="122"/>
      <c r="AG1029" s="122"/>
      <c r="AH1029" s="122"/>
      <c r="AI1029" s="122"/>
      <c r="AJ1029" s="122"/>
      <c r="AK1029" s="122"/>
      <c r="AL1029" s="122"/>
      <c r="AM1029" s="121"/>
      <c r="AN1029" s="121"/>
    </row>
    <row r="1030">
      <c r="A1030" s="120"/>
      <c r="B1030" s="120"/>
      <c r="C1030" s="122"/>
      <c r="D1030" s="122"/>
      <c r="E1030" s="122"/>
      <c r="F1030" s="122"/>
      <c r="G1030" s="122"/>
      <c r="H1030" s="122"/>
      <c r="I1030" s="122"/>
      <c r="J1030" s="122"/>
      <c r="K1030" s="122"/>
      <c r="L1030" s="122"/>
      <c r="M1030" s="122"/>
      <c r="N1030" s="122"/>
      <c r="O1030" s="122"/>
      <c r="P1030" s="122"/>
      <c r="Q1030" s="122"/>
      <c r="R1030" s="122"/>
      <c r="S1030" s="122"/>
      <c r="T1030" s="122"/>
      <c r="U1030" s="122"/>
      <c r="V1030" s="122"/>
      <c r="W1030" s="122"/>
      <c r="X1030" s="122"/>
      <c r="Y1030" s="122"/>
      <c r="Z1030" s="122"/>
      <c r="AA1030" s="122"/>
      <c r="AB1030" s="122"/>
      <c r="AC1030" s="122"/>
      <c r="AD1030" s="122"/>
      <c r="AE1030" s="122"/>
      <c r="AF1030" s="122"/>
      <c r="AG1030" s="122"/>
      <c r="AH1030" s="122"/>
      <c r="AI1030" s="122"/>
      <c r="AJ1030" s="122"/>
      <c r="AK1030" s="122"/>
      <c r="AL1030" s="122"/>
      <c r="AM1030" s="122"/>
      <c r="AN1030" s="122"/>
    </row>
    <row r="1031">
      <c r="B1031" s="120"/>
      <c r="C1031" s="122"/>
      <c r="D1031" s="122"/>
      <c r="E1031" s="122"/>
      <c r="F1031" s="122"/>
      <c r="G1031" s="122"/>
      <c r="H1031" s="122"/>
      <c r="I1031" s="122"/>
      <c r="J1031" s="122"/>
      <c r="K1031" s="122"/>
      <c r="L1031" s="122"/>
      <c r="M1031" s="122"/>
      <c r="N1031" s="122"/>
      <c r="O1031" s="122"/>
      <c r="P1031" s="122"/>
      <c r="Q1031" s="122"/>
      <c r="R1031" s="122"/>
      <c r="S1031" s="122"/>
      <c r="T1031" s="122"/>
      <c r="U1031" s="122"/>
      <c r="V1031" s="122"/>
      <c r="W1031" s="122"/>
      <c r="X1031" s="122"/>
      <c r="Y1031" s="122"/>
      <c r="Z1031" s="122"/>
      <c r="AA1031" s="122"/>
      <c r="AB1031" s="122"/>
      <c r="AC1031" s="122"/>
      <c r="AD1031" s="122"/>
      <c r="AE1031" s="122"/>
      <c r="AF1031" s="122"/>
      <c r="AG1031" s="122"/>
      <c r="AH1031" s="122"/>
      <c r="AI1031" s="122"/>
      <c r="AJ1031" s="122"/>
      <c r="AK1031" s="122"/>
      <c r="AL1031" s="122"/>
      <c r="AM1031" s="122"/>
      <c r="AN1031" s="122"/>
    </row>
    <row r="1032">
      <c r="B1032" s="120"/>
      <c r="C1032" s="122"/>
      <c r="D1032" s="122"/>
      <c r="E1032" s="122"/>
      <c r="F1032" s="122"/>
      <c r="G1032" s="122"/>
      <c r="H1032" s="122"/>
      <c r="I1032" s="122"/>
      <c r="J1032" s="122"/>
      <c r="K1032" s="122"/>
      <c r="L1032" s="122"/>
      <c r="M1032" s="122"/>
      <c r="N1032" s="122"/>
      <c r="O1032" s="122"/>
      <c r="P1032" s="122"/>
      <c r="Q1032" s="122"/>
      <c r="R1032" s="122"/>
      <c r="S1032" s="122"/>
      <c r="T1032" s="122"/>
      <c r="U1032" s="122"/>
      <c r="V1032" s="122"/>
      <c r="W1032" s="122"/>
      <c r="X1032" s="122"/>
      <c r="Y1032" s="122"/>
      <c r="Z1032" s="122"/>
      <c r="AA1032" s="122"/>
      <c r="AB1032" s="122"/>
      <c r="AC1032" s="122"/>
      <c r="AD1032" s="122"/>
      <c r="AE1032" s="122"/>
      <c r="AF1032" s="122"/>
      <c r="AG1032" s="122"/>
      <c r="AH1032" s="122"/>
      <c r="AI1032" s="122"/>
      <c r="AJ1032" s="122"/>
      <c r="AK1032" s="122"/>
      <c r="AL1032" s="122"/>
      <c r="AM1032" s="122"/>
      <c r="AN1032" s="122"/>
    </row>
    <row r="1033">
      <c r="A1033" s="120"/>
      <c r="B1033" s="120"/>
      <c r="C1033" s="121"/>
      <c r="D1033" s="121"/>
      <c r="E1033" s="121"/>
      <c r="F1033" s="122"/>
      <c r="G1033" s="122"/>
      <c r="H1033" s="122"/>
      <c r="I1033" s="122"/>
      <c r="J1033" s="122"/>
      <c r="K1033" s="122"/>
      <c r="L1033" s="122"/>
      <c r="M1033" s="122"/>
      <c r="N1033" s="122"/>
      <c r="O1033" s="122"/>
      <c r="P1033" s="122"/>
      <c r="Q1033" s="122"/>
      <c r="R1033" s="122"/>
      <c r="S1033" s="122"/>
      <c r="T1033" s="122"/>
      <c r="U1033" s="122"/>
      <c r="V1033" s="122"/>
      <c r="W1033" s="122"/>
      <c r="X1033" s="122"/>
      <c r="Y1033" s="122"/>
      <c r="Z1033" s="122"/>
      <c r="AA1033" s="122"/>
      <c r="AB1033" s="122"/>
      <c r="AC1033" s="121"/>
      <c r="AD1033" s="122"/>
      <c r="AE1033" s="121"/>
      <c r="AF1033" s="122"/>
      <c r="AG1033" s="121"/>
      <c r="AH1033" s="122"/>
      <c r="AI1033" s="121"/>
      <c r="AJ1033" s="122"/>
      <c r="AK1033" s="122"/>
      <c r="AL1033" s="122"/>
      <c r="AM1033" s="121"/>
      <c r="AN1033" s="121"/>
    </row>
    <row r="1034">
      <c r="B1034" s="120"/>
      <c r="C1034" s="121"/>
      <c r="D1034" s="121"/>
      <c r="E1034" s="121"/>
      <c r="F1034" s="122"/>
      <c r="G1034" s="122"/>
      <c r="H1034" s="122"/>
      <c r="I1034" s="122"/>
      <c r="J1034" s="122"/>
      <c r="K1034" s="122"/>
      <c r="L1034" s="122"/>
      <c r="M1034" s="122"/>
      <c r="N1034" s="122"/>
      <c r="O1034" s="122"/>
      <c r="P1034" s="122"/>
      <c r="Q1034" s="122"/>
      <c r="R1034" s="122"/>
      <c r="S1034" s="122"/>
      <c r="T1034" s="122"/>
      <c r="U1034" s="122"/>
      <c r="V1034" s="122"/>
      <c r="W1034" s="122"/>
      <c r="X1034" s="122"/>
      <c r="Y1034" s="122"/>
      <c r="Z1034" s="122"/>
      <c r="AA1034" s="122"/>
      <c r="AB1034" s="122"/>
      <c r="AC1034" s="122"/>
      <c r="AD1034" s="122"/>
      <c r="AE1034" s="122"/>
      <c r="AF1034" s="122"/>
      <c r="AG1034" s="122"/>
      <c r="AH1034" s="122"/>
      <c r="AI1034" s="122"/>
      <c r="AJ1034" s="122"/>
      <c r="AK1034" s="122"/>
      <c r="AL1034" s="122"/>
      <c r="AM1034" s="122"/>
      <c r="AN1034" s="121"/>
    </row>
    <row r="1035">
      <c r="B1035" s="120"/>
      <c r="C1035" s="122"/>
      <c r="D1035" s="122"/>
      <c r="E1035" s="122"/>
      <c r="F1035" s="122"/>
      <c r="G1035" s="122"/>
      <c r="H1035" s="122"/>
      <c r="I1035" s="122"/>
      <c r="J1035" s="122"/>
      <c r="K1035" s="122"/>
      <c r="L1035" s="122"/>
      <c r="M1035" s="122"/>
      <c r="N1035" s="122"/>
      <c r="O1035" s="122"/>
      <c r="P1035" s="122"/>
      <c r="Q1035" s="122"/>
      <c r="R1035" s="122"/>
      <c r="S1035" s="122"/>
      <c r="T1035" s="122"/>
      <c r="U1035" s="122"/>
      <c r="V1035" s="122"/>
      <c r="W1035" s="122"/>
      <c r="X1035" s="122"/>
      <c r="Y1035" s="122"/>
      <c r="Z1035" s="122"/>
      <c r="AA1035" s="122"/>
      <c r="AB1035" s="122"/>
      <c r="AC1035" s="122"/>
      <c r="AD1035" s="122"/>
      <c r="AE1035" s="122"/>
      <c r="AF1035" s="122"/>
      <c r="AG1035" s="122"/>
      <c r="AH1035" s="122"/>
      <c r="AI1035" s="122"/>
      <c r="AJ1035" s="122"/>
      <c r="AK1035" s="122"/>
      <c r="AL1035" s="122"/>
      <c r="AM1035" s="122"/>
      <c r="AN1035" s="122"/>
    </row>
    <row r="1036">
      <c r="B1036" s="120"/>
      <c r="C1036" s="121"/>
      <c r="D1036" s="121"/>
      <c r="E1036" s="121"/>
      <c r="F1036" s="122"/>
      <c r="G1036" s="122"/>
      <c r="H1036" s="122"/>
      <c r="I1036" s="122"/>
      <c r="J1036" s="122"/>
      <c r="K1036" s="122"/>
      <c r="L1036" s="122"/>
      <c r="M1036" s="122"/>
      <c r="N1036" s="122"/>
      <c r="O1036" s="122"/>
      <c r="P1036" s="122"/>
      <c r="Q1036" s="122"/>
      <c r="R1036" s="122"/>
      <c r="S1036" s="122"/>
      <c r="T1036" s="122"/>
      <c r="U1036" s="122"/>
      <c r="V1036" s="122"/>
      <c r="W1036" s="122"/>
      <c r="X1036" s="122"/>
      <c r="Y1036" s="122"/>
      <c r="Z1036" s="122"/>
      <c r="AA1036" s="122"/>
      <c r="AB1036" s="122"/>
      <c r="AC1036" s="122"/>
      <c r="AD1036" s="122"/>
      <c r="AE1036" s="122"/>
      <c r="AF1036" s="122"/>
      <c r="AG1036" s="122"/>
      <c r="AH1036" s="122"/>
      <c r="AI1036" s="122"/>
      <c r="AJ1036" s="122"/>
      <c r="AK1036" s="122"/>
      <c r="AL1036" s="122"/>
      <c r="AM1036" s="122"/>
      <c r="AN1036" s="121"/>
    </row>
    <row r="1037">
      <c r="B1037" s="120"/>
      <c r="C1037" s="122"/>
      <c r="D1037" s="122"/>
      <c r="E1037" s="122"/>
      <c r="F1037" s="122"/>
      <c r="G1037" s="122"/>
      <c r="H1037" s="122"/>
      <c r="I1037" s="122"/>
      <c r="J1037" s="122"/>
      <c r="K1037" s="122"/>
      <c r="L1037" s="122"/>
      <c r="M1037" s="122"/>
      <c r="N1037" s="122"/>
      <c r="O1037" s="122"/>
      <c r="P1037" s="122"/>
      <c r="Q1037" s="122"/>
      <c r="R1037" s="122"/>
      <c r="S1037" s="122"/>
      <c r="T1037" s="122"/>
      <c r="U1037" s="122"/>
      <c r="V1037" s="122"/>
      <c r="W1037" s="122"/>
      <c r="X1037" s="122"/>
      <c r="Y1037" s="122"/>
      <c r="Z1037" s="122"/>
      <c r="AA1037" s="122"/>
      <c r="AB1037" s="122"/>
      <c r="AC1037" s="122"/>
      <c r="AD1037" s="122"/>
      <c r="AE1037" s="122"/>
      <c r="AF1037" s="122"/>
      <c r="AG1037" s="122"/>
      <c r="AH1037" s="122"/>
      <c r="AI1037" s="122"/>
      <c r="AJ1037" s="122"/>
      <c r="AK1037" s="122"/>
      <c r="AL1037" s="122"/>
      <c r="AM1037" s="122"/>
      <c r="AN1037" s="122"/>
    </row>
    <row r="1038">
      <c r="A1038" s="120"/>
      <c r="B1038" s="120"/>
      <c r="C1038" s="122"/>
      <c r="D1038" s="122"/>
      <c r="E1038" s="122"/>
      <c r="F1038" s="122"/>
      <c r="G1038" s="122"/>
      <c r="H1038" s="122"/>
      <c r="I1038" s="122"/>
      <c r="J1038" s="122"/>
      <c r="K1038" s="122"/>
      <c r="L1038" s="122"/>
      <c r="M1038" s="122"/>
      <c r="N1038" s="122"/>
      <c r="O1038" s="122"/>
      <c r="P1038" s="122"/>
      <c r="Q1038" s="122"/>
      <c r="R1038" s="122"/>
      <c r="S1038" s="122"/>
      <c r="T1038" s="122"/>
      <c r="U1038" s="122"/>
      <c r="V1038" s="122"/>
      <c r="W1038" s="122"/>
      <c r="X1038" s="122"/>
      <c r="Y1038" s="122"/>
      <c r="Z1038" s="122"/>
      <c r="AA1038" s="122"/>
      <c r="AB1038" s="122"/>
      <c r="AC1038" s="122"/>
      <c r="AD1038" s="122"/>
      <c r="AE1038" s="122"/>
      <c r="AF1038" s="122"/>
      <c r="AG1038" s="122"/>
      <c r="AH1038" s="122"/>
      <c r="AI1038" s="122"/>
      <c r="AJ1038" s="122"/>
      <c r="AK1038" s="122"/>
      <c r="AL1038" s="122"/>
      <c r="AM1038" s="122"/>
      <c r="AN1038" s="122"/>
    </row>
    <row r="1039">
      <c r="B1039" s="120"/>
      <c r="C1039" s="122"/>
      <c r="D1039" s="122"/>
      <c r="E1039" s="122"/>
      <c r="F1039" s="122"/>
      <c r="G1039" s="122"/>
      <c r="H1039" s="122"/>
      <c r="I1039" s="122"/>
      <c r="J1039" s="122"/>
      <c r="K1039" s="122"/>
      <c r="L1039" s="122"/>
      <c r="M1039" s="122"/>
      <c r="N1039" s="122"/>
      <c r="O1039" s="122"/>
      <c r="P1039" s="122"/>
      <c r="Q1039" s="122"/>
      <c r="R1039" s="122"/>
      <c r="S1039" s="122"/>
      <c r="T1039" s="122"/>
      <c r="U1039" s="122"/>
      <c r="V1039" s="122"/>
      <c r="W1039" s="122"/>
      <c r="X1039" s="122"/>
      <c r="Y1039" s="122"/>
      <c r="Z1039" s="122"/>
      <c r="AA1039" s="122"/>
      <c r="AB1039" s="122"/>
      <c r="AC1039" s="122"/>
      <c r="AD1039" s="122"/>
      <c r="AE1039" s="122"/>
      <c r="AF1039" s="122"/>
      <c r="AG1039" s="122"/>
      <c r="AH1039" s="122"/>
      <c r="AI1039" s="122"/>
      <c r="AJ1039" s="122"/>
      <c r="AK1039" s="122"/>
      <c r="AL1039" s="122"/>
      <c r="AM1039" s="122"/>
      <c r="AN1039" s="122"/>
    </row>
    <row r="1040">
      <c r="B1040" s="120"/>
      <c r="C1040" s="122"/>
      <c r="D1040" s="122"/>
      <c r="E1040" s="122"/>
      <c r="F1040" s="122"/>
      <c r="G1040" s="122"/>
      <c r="H1040" s="122"/>
      <c r="I1040" s="122"/>
      <c r="J1040" s="122"/>
      <c r="K1040" s="122"/>
      <c r="L1040" s="122"/>
      <c r="M1040" s="122"/>
      <c r="N1040" s="122"/>
      <c r="O1040" s="122"/>
      <c r="P1040" s="122"/>
      <c r="Q1040" s="122"/>
      <c r="R1040" s="122"/>
      <c r="S1040" s="122"/>
      <c r="T1040" s="122"/>
      <c r="U1040" s="122"/>
      <c r="V1040" s="122"/>
      <c r="W1040" s="122"/>
      <c r="X1040" s="122"/>
      <c r="Y1040" s="122"/>
      <c r="Z1040" s="122"/>
      <c r="AA1040" s="122"/>
      <c r="AB1040" s="122"/>
      <c r="AC1040" s="122"/>
      <c r="AD1040" s="122"/>
      <c r="AE1040" s="122"/>
      <c r="AF1040" s="122"/>
      <c r="AG1040" s="122"/>
      <c r="AH1040" s="122"/>
      <c r="AI1040" s="122"/>
      <c r="AJ1040" s="122"/>
      <c r="AK1040" s="122"/>
      <c r="AL1040" s="122"/>
      <c r="AM1040" s="122"/>
      <c r="AN1040" s="122"/>
    </row>
    <row r="1041">
      <c r="B1041" s="120"/>
      <c r="C1041" s="122"/>
      <c r="D1041" s="122"/>
      <c r="E1041" s="122"/>
      <c r="F1041" s="122"/>
      <c r="G1041" s="122"/>
      <c r="H1041" s="122"/>
      <c r="I1041" s="122"/>
      <c r="J1041" s="122"/>
      <c r="K1041" s="122"/>
      <c r="L1041" s="122"/>
      <c r="M1041" s="122"/>
      <c r="N1041" s="122"/>
      <c r="O1041" s="122"/>
      <c r="P1041" s="122"/>
      <c r="Q1041" s="122"/>
      <c r="R1041" s="122"/>
      <c r="S1041" s="122"/>
      <c r="T1041" s="122"/>
      <c r="U1041" s="122"/>
      <c r="V1041" s="122"/>
      <c r="W1041" s="122"/>
      <c r="X1041" s="122"/>
      <c r="Y1041" s="122"/>
      <c r="Z1041" s="122"/>
      <c r="AA1041" s="122"/>
      <c r="AB1041" s="122"/>
      <c r="AC1041" s="122"/>
      <c r="AD1041" s="122"/>
      <c r="AE1041" s="122"/>
      <c r="AF1041" s="122"/>
      <c r="AG1041" s="122"/>
      <c r="AH1041" s="122"/>
      <c r="AI1041" s="122"/>
      <c r="AJ1041" s="122"/>
      <c r="AK1041" s="122"/>
      <c r="AL1041" s="122"/>
      <c r="AM1041" s="122"/>
      <c r="AN1041" s="122"/>
    </row>
    <row r="1042">
      <c r="B1042" s="120"/>
      <c r="C1042" s="122"/>
      <c r="D1042" s="122"/>
      <c r="E1042" s="122"/>
      <c r="F1042" s="122"/>
      <c r="G1042" s="122"/>
      <c r="H1042" s="122"/>
      <c r="I1042" s="122"/>
      <c r="J1042" s="122"/>
      <c r="K1042" s="122"/>
      <c r="L1042" s="122"/>
      <c r="M1042" s="122"/>
      <c r="N1042" s="122"/>
      <c r="O1042" s="122"/>
      <c r="P1042" s="122"/>
      <c r="Q1042" s="122"/>
      <c r="R1042" s="122"/>
      <c r="S1042" s="122"/>
      <c r="T1042" s="122"/>
      <c r="U1042" s="122"/>
      <c r="V1042" s="122"/>
      <c r="W1042" s="122"/>
      <c r="X1042" s="122"/>
      <c r="Y1042" s="122"/>
      <c r="Z1042" s="122"/>
      <c r="AA1042" s="122"/>
      <c r="AB1042" s="122"/>
      <c r="AC1042" s="122"/>
      <c r="AD1042" s="122"/>
      <c r="AE1042" s="122"/>
      <c r="AF1042" s="122"/>
      <c r="AG1042" s="122"/>
      <c r="AH1042" s="122"/>
      <c r="AI1042" s="122"/>
      <c r="AJ1042" s="122"/>
      <c r="AK1042" s="122"/>
      <c r="AL1042" s="122"/>
      <c r="AM1042" s="122"/>
      <c r="AN1042" s="122"/>
    </row>
    <row r="1043">
      <c r="A1043" s="123"/>
    </row>
    <row r="1044">
      <c r="A1044" s="120"/>
      <c r="B1044" s="120"/>
      <c r="C1044" s="121"/>
      <c r="D1044" s="121"/>
      <c r="E1044" s="121"/>
      <c r="F1044" s="122"/>
      <c r="G1044" s="122"/>
      <c r="H1044" s="122"/>
      <c r="I1044" s="122"/>
      <c r="J1044" s="122"/>
      <c r="K1044" s="122"/>
      <c r="L1044" s="122"/>
      <c r="M1044" s="122"/>
      <c r="N1044" s="122"/>
      <c r="O1044" s="122"/>
      <c r="P1044" s="122"/>
      <c r="Q1044" s="122"/>
      <c r="R1044" s="122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</row>
    <row r="1045">
      <c r="B1045" s="120"/>
      <c r="C1045" s="121"/>
      <c r="D1045" s="121"/>
      <c r="E1045" s="121"/>
      <c r="F1045" s="122"/>
      <c r="G1045" s="122"/>
      <c r="H1045" s="122"/>
      <c r="I1045" s="122"/>
      <c r="J1045" s="122"/>
      <c r="K1045" s="122"/>
      <c r="L1045" s="122"/>
      <c r="M1045" s="122"/>
      <c r="N1045" s="122"/>
      <c r="O1045" s="122"/>
      <c r="P1045" s="122"/>
      <c r="Q1045" s="122"/>
      <c r="R1045" s="122"/>
      <c r="S1045" s="122"/>
      <c r="T1045" s="122"/>
      <c r="U1045" s="122"/>
      <c r="V1045" s="122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</row>
    <row r="1046">
      <c r="B1046" s="120"/>
      <c r="C1046" s="121"/>
      <c r="D1046" s="121"/>
      <c r="E1046" s="121"/>
      <c r="F1046" s="122"/>
      <c r="G1046" s="122"/>
      <c r="H1046" s="122"/>
      <c r="I1046" s="122"/>
      <c r="J1046" s="122"/>
      <c r="K1046" s="122"/>
      <c r="L1046" s="122"/>
      <c r="M1046" s="122"/>
      <c r="N1046" s="122"/>
      <c r="O1046" s="122"/>
      <c r="P1046" s="122"/>
      <c r="Q1046" s="122"/>
      <c r="R1046" s="122"/>
      <c r="S1046" s="122"/>
      <c r="T1046" s="122"/>
      <c r="U1046" s="121"/>
      <c r="V1046" s="122"/>
      <c r="W1046" s="121"/>
      <c r="X1046" s="121"/>
      <c r="Y1046" s="121"/>
      <c r="Z1046" s="121"/>
      <c r="AA1046" s="121"/>
      <c r="AB1046" s="121"/>
      <c r="AC1046" s="121"/>
      <c r="AD1046" s="121"/>
      <c r="AE1046" s="121"/>
      <c r="AF1046" s="121"/>
      <c r="AG1046" s="121"/>
      <c r="AH1046" s="121"/>
      <c r="AI1046" s="121"/>
      <c r="AJ1046" s="121"/>
      <c r="AK1046" s="121"/>
      <c r="AL1046" s="121"/>
      <c r="AM1046" s="121"/>
      <c r="AN1046" s="121"/>
    </row>
    <row r="1047">
      <c r="B1047" s="120"/>
      <c r="C1047" s="121"/>
      <c r="D1047" s="121"/>
      <c r="E1047" s="121"/>
      <c r="F1047" s="122"/>
      <c r="G1047" s="122"/>
      <c r="H1047" s="122"/>
      <c r="I1047" s="122"/>
      <c r="J1047" s="122"/>
      <c r="K1047" s="122"/>
      <c r="L1047" s="122"/>
      <c r="M1047" s="122"/>
      <c r="N1047" s="122"/>
      <c r="O1047" s="122"/>
      <c r="P1047" s="122"/>
      <c r="Q1047" s="122"/>
      <c r="R1047" s="122"/>
      <c r="S1047" s="122"/>
      <c r="T1047" s="122"/>
      <c r="U1047" s="122"/>
      <c r="V1047" s="122"/>
      <c r="W1047" s="122"/>
      <c r="X1047" s="122"/>
      <c r="Y1047" s="122"/>
      <c r="Z1047" s="122"/>
      <c r="AA1047" s="122"/>
      <c r="AB1047" s="122"/>
      <c r="AC1047" s="122"/>
      <c r="AD1047" s="122"/>
      <c r="AE1047" s="122"/>
      <c r="AF1047" s="122"/>
      <c r="AG1047" s="122"/>
      <c r="AH1047" s="122"/>
      <c r="AI1047" s="122"/>
      <c r="AJ1047" s="122"/>
      <c r="AK1047" s="122"/>
      <c r="AL1047" s="122"/>
      <c r="AM1047" s="122"/>
      <c r="AN1047" s="121"/>
    </row>
    <row r="1048">
      <c r="A1048" s="120"/>
      <c r="B1048" s="120"/>
      <c r="C1048" s="121"/>
      <c r="D1048" s="122"/>
      <c r="E1048" s="122"/>
      <c r="F1048" s="122"/>
      <c r="G1048" s="122"/>
      <c r="H1048" s="122"/>
      <c r="I1048" s="122"/>
      <c r="J1048" s="122"/>
      <c r="K1048" s="122"/>
      <c r="L1048" s="122"/>
      <c r="M1048" s="122"/>
      <c r="N1048" s="122"/>
      <c r="O1048" s="122"/>
      <c r="P1048" s="122"/>
      <c r="Q1048" s="122"/>
      <c r="R1048" s="122"/>
      <c r="S1048" s="122"/>
      <c r="T1048" s="122"/>
      <c r="U1048" s="122"/>
      <c r="V1048" s="122"/>
      <c r="W1048" s="122"/>
      <c r="X1048" s="122"/>
      <c r="Y1048" s="122"/>
      <c r="Z1048" s="122"/>
      <c r="AA1048" s="122"/>
      <c r="AB1048" s="122"/>
      <c r="AC1048" s="122"/>
      <c r="AD1048" s="122"/>
      <c r="AE1048" s="122"/>
      <c r="AF1048" s="122"/>
      <c r="AG1048" s="122"/>
      <c r="AH1048" s="122"/>
      <c r="AI1048" s="122"/>
      <c r="AJ1048" s="122"/>
      <c r="AK1048" s="122"/>
      <c r="AL1048" s="122"/>
      <c r="AM1048" s="122"/>
      <c r="AN1048" s="121"/>
    </row>
    <row r="1049">
      <c r="B1049" s="120"/>
      <c r="C1049" s="121"/>
      <c r="D1049" s="122"/>
      <c r="E1049" s="122"/>
      <c r="F1049" s="122"/>
      <c r="G1049" s="122"/>
      <c r="H1049" s="122"/>
      <c r="I1049" s="122"/>
      <c r="J1049" s="122"/>
      <c r="K1049" s="122"/>
      <c r="L1049" s="122"/>
      <c r="M1049" s="122"/>
      <c r="N1049" s="122"/>
      <c r="O1049" s="122"/>
      <c r="P1049" s="122"/>
      <c r="Q1049" s="122"/>
      <c r="R1049" s="122"/>
      <c r="S1049" s="122"/>
      <c r="T1049" s="122"/>
      <c r="U1049" s="122"/>
      <c r="V1049" s="122"/>
      <c r="W1049" s="122"/>
      <c r="X1049" s="122"/>
      <c r="Y1049" s="122"/>
      <c r="Z1049" s="122"/>
      <c r="AA1049" s="122"/>
      <c r="AB1049" s="122"/>
      <c r="AC1049" s="122"/>
      <c r="AD1049" s="122"/>
      <c r="AE1049" s="122"/>
      <c r="AF1049" s="122"/>
      <c r="AG1049" s="122"/>
      <c r="AH1049" s="122"/>
      <c r="AI1049" s="122"/>
      <c r="AJ1049" s="122"/>
      <c r="AK1049" s="122"/>
      <c r="AL1049" s="122"/>
      <c r="AM1049" s="122"/>
      <c r="AN1049" s="121"/>
    </row>
    <row r="1050">
      <c r="A1050" s="120"/>
      <c r="B1050" s="120"/>
      <c r="C1050" s="122"/>
      <c r="D1050" s="122"/>
      <c r="E1050" s="122"/>
      <c r="F1050" s="122"/>
      <c r="G1050" s="122"/>
      <c r="H1050" s="122"/>
      <c r="I1050" s="122"/>
      <c r="J1050" s="122"/>
      <c r="K1050" s="122"/>
      <c r="L1050" s="122"/>
      <c r="M1050" s="122"/>
      <c r="N1050" s="122"/>
      <c r="O1050" s="122"/>
      <c r="P1050" s="122"/>
      <c r="Q1050" s="122"/>
      <c r="R1050" s="122"/>
      <c r="S1050" s="122"/>
      <c r="T1050" s="122"/>
      <c r="U1050" s="122"/>
      <c r="V1050" s="122"/>
      <c r="W1050" s="122"/>
      <c r="X1050" s="122"/>
      <c r="Y1050" s="122"/>
      <c r="Z1050" s="122"/>
      <c r="AA1050" s="122"/>
      <c r="AB1050" s="122"/>
      <c r="AC1050" s="122"/>
      <c r="AD1050" s="122"/>
      <c r="AE1050" s="122"/>
      <c r="AF1050" s="122"/>
      <c r="AG1050" s="122"/>
      <c r="AH1050" s="122"/>
      <c r="AI1050" s="122"/>
      <c r="AJ1050" s="122"/>
      <c r="AK1050" s="122"/>
      <c r="AL1050" s="122"/>
      <c r="AM1050" s="122"/>
      <c r="AN1050" s="122"/>
    </row>
    <row r="1051">
      <c r="B1051" s="120"/>
      <c r="C1051" s="121"/>
      <c r="D1051" s="122"/>
      <c r="E1051" s="122"/>
      <c r="F1051" s="122"/>
      <c r="G1051" s="122"/>
      <c r="H1051" s="122"/>
      <c r="I1051" s="122"/>
      <c r="J1051" s="122"/>
      <c r="K1051" s="122"/>
      <c r="L1051" s="122"/>
      <c r="M1051" s="122"/>
      <c r="N1051" s="122"/>
      <c r="O1051" s="122"/>
      <c r="P1051" s="122"/>
      <c r="Q1051" s="122"/>
      <c r="R1051" s="122"/>
      <c r="S1051" s="122"/>
      <c r="T1051" s="122"/>
      <c r="U1051" s="122"/>
      <c r="V1051" s="122"/>
      <c r="W1051" s="122"/>
      <c r="X1051" s="122"/>
      <c r="Y1051" s="122"/>
      <c r="Z1051" s="122"/>
      <c r="AA1051" s="122"/>
      <c r="AB1051" s="122"/>
      <c r="AC1051" s="122"/>
      <c r="AD1051" s="122"/>
      <c r="AE1051" s="122"/>
      <c r="AF1051" s="122"/>
      <c r="AG1051" s="122"/>
      <c r="AH1051" s="122"/>
      <c r="AI1051" s="122"/>
      <c r="AJ1051" s="122"/>
      <c r="AK1051" s="122"/>
      <c r="AL1051" s="122"/>
      <c r="AM1051" s="122"/>
      <c r="AN1051" s="121"/>
    </row>
    <row r="1052">
      <c r="A1052" s="120"/>
      <c r="B1052" s="120"/>
      <c r="C1052" s="122"/>
      <c r="D1052" s="122"/>
      <c r="E1052" s="122"/>
      <c r="F1052" s="122"/>
      <c r="G1052" s="122"/>
      <c r="H1052" s="122"/>
      <c r="I1052" s="122"/>
      <c r="J1052" s="122"/>
      <c r="K1052" s="122"/>
      <c r="L1052" s="122"/>
      <c r="M1052" s="122"/>
      <c r="N1052" s="122"/>
      <c r="O1052" s="122"/>
      <c r="P1052" s="122"/>
      <c r="Q1052" s="122"/>
      <c r="R1052" s="122"/>
      <c r="S1052" s="122"/>
      <c r="T1052" s="122"/>
      <c r="U1052" s="122"/>
      <c r="V1052" s="122"/>
      <c r="W1052" s="122"/>
      <c r="X1052" s="122"/>
      <c r="Y1052" s="122"/>
      <c r="Z1052" s="122"/>
      <c r="AA1052" s="122"/>
      <c r="AB1052" s="122"/>
      <c r="AC1052" s="122"/>
      <c r="AD1052" s="122"/>
      <c r="AE1052" s="122"/>
      <c r="AF1052" s="122"/>
      <c r="AG1052" s="122"/>
      <c r="AH1052" s="122"/>
      <c r="AI1052" s="122"/>
      <c r="AJ1052" s="122"/>
      <c r="AK1052" s="122"/>
      <c r="AL1052" s="122"/>
      <c r="AM1052" s="122"/>
      <c r="AN1052" s="122"/>
    </row>
    <row r="1053">
      <c r="B1053" s="120"/>
      <c r="C1053" s="122"/>
      <c r="D1053" s="122"/>
      <c r="E1053" s="122"/>
      <c r="F1053" s="122"/>
      <c r="G1053" s="122"/>
      <c r="H1053" s="122"/>
      <c r="I1053" s="122"/>
      <c r="J1053" s="122"/>
      <c r="K1053" s="122"/>
      <c r="L1053" s="122"/>
      <c r="M1053" s="122"/>
      <c r="N1053" s="122"/>
      <c r="O1053" s="122"/>
      <c r="P1053" s="122"/>
      <c r="Q1053" s="122"/>
      <c r="R1053" s="122"/>
      <c r="S1053" s="122"/>
      <c r="T1053" s="122"/>
      <c r="U1053" s="122"/>
      <c r="V1053" s="122"/>
      <c r="W1053" s="122"/>
      <c r="X1053" s="122"/>
      <c r="Y1053" s="122"/>
      <c r="Z1053" s="122"/>
      <c r="AA1053" s="122"/>
      <c r="AB1053" s="122"/>
      <c r="AC1053" s="122"/>
      <c r="AD1053" s="122"/>
      <c r="AE1053" s="122"/>
      <c r="AF1053" s="122"/>
      <c r="AG1053" s="122"/>
      <c r="AH1053" s="122"/>
      <c r="AI1053" s="122"/>
      <c r="AJ1053" s="122"/>
      <c r="AK1053" s="122"/>
      <c r="AL1053" s="122"/>
      <c r="AM1053" s="122"/>
      <c r="AN1053" s="122"/>
    </row>
    <row r="1054">
      <c r="A1054" s="120"/>
      <c r="B1054" s="120"/>
      <c r="C1054" s="122"/>
      <c r="D1054" s="122"/>
      <c r="E1054" s="122"/>
      <c r="F1054" s="122"/>
      <c r="G1054" s="122"/>
      <c r="H1054" s="122"/>
      <c r="I1054" s="122"/>
      <c r="J1054" s="122"/>
      <c r="K1054" s="122"/>
      <c r="L1054" s="122"/>
      <c r="M1054" s="122"/>
      <c r="N1054" s="122"/>
      <c r="O1054" s="122"/>
      <c r="P1054" s="122"/>
      <c r="Q1054" s="122"/>
      <c r="R1054" s="122"/>
      <c r="S1054" s="122"/>
      <c r="T1054" s="122"/>
      <c r="U1054" s="122"/>
      <c r="V1054" s="122"/>
      <c r="W1054" s="122"/>
      <c r="X1054" s="122"/>
      <c r="Y1054" s="122"/>
      <c r="Z1054" s="122"/>
      <c r="AA1054" s="122"/>
      <c r="AB1054" s="122"/>
      <c r="AC1054" s="122"/>
      <c r="AD1054" s="122"/>
      <c r="AE1054" s="122"/>
      <c r="AF1054" s="122"/>
      <c r="AG1054" s="122"/>
      <c r="AH1054" s="122"/>
      <c r="AI1054" s="122"/>
      <c r="AJ1054" s="122"/>
      <c r="AK1054" s="122"/>
      <c r="AL1054" s="122"/>
      <c r="AM1054" s="122"/>
      <c r="AN1054" s="122"/>
    </row>
    <row r="1055">
      <c r="B1055" s="120"/>
      <c r="C1055" s="122"/>
      <c r="D1055" s="122"/>
      <c r="E1055" s="122"/>
      <c r="F1055" s="122"/>
      <c r="G1055" s="122"/>
      <c r="H1055" s="122"/>
      <c r="I1055" s="122"/>
      <c r="J1055" s="122"/>
      <c r="K1055" s="122"/>
      <c r="L1055" s="122"/>
      <c r="M1055" s="122"/>
      <c r="N1055" s="122"/>
      <c r="O1055" s="122"/>
      <c r="P1055" s="122"/>
      <c r="Q1055" s="122"/>
      <c r="R1055" s="122"/>
      <c r="S1055" s="122"/>
      <c r="T1055" s="122"/>
      <c r="U1055" s="122"/>
      <c r="V1055" s="122"/>
      <c r="W1055" s="122"/>
      <c r="X1055" s="122"/>
      <c r="Y1055" s="122"/>
      <c r="Z1055" s="122"/>
      <c r="AA1055" s="122"/>
      <c r="AB1055" s="122"/>
      <c r="AC1055" s="122"/>
      <c r="AD1055" s="122"/>
      <c r="AE1055" s="122"/>
      <c r="AF1055" s="122"/>
      <c r="AG1055" s="122"/>
      <c r="AH1055" s="122"/>
      <c r="AI1055" s="122"/>
      <c r="AJ1055" s="122"/>
      <c r="AK1055" s="122"/>
      <c r="AL1055" s="122"/>
      <c r="AM1055" s="122"/>
      <c r="AN1055" s="122"/>
    </row>
    <row r="1056">
      <c r="B1056" s="120"/>
      <c r="C1056" s="122"/>
      <c r="D1056" s="122"/>
      <c r="E1056" s="122"/>
      <c r="F1056" s="122"/>
      <c r="G1056" s="122"/>
      <c r="H1056" s="122"/>
      <c r="I1056" s="122"/>
      <c r="J1056" s="122"/>
      <c r="K1056" s="122"/>
      <c r="L1056" s="122"/>
      <c r="M1056" s="122"/>
      <c r="N1056" s="122"/>
      <c r="O1056" s="122"/>
      <c r="P1056" s="122"/>
      <c r="Q1056" s="122"/>
      <c r="R1056" s="122"/>
      <c r="S1056" s="122"/>
      <c r="T1056" s="122"/>
      <c r="U1056" s="122"/>
      <c r="V1056" s="122"/>
      <c r="W1056" s="122"/>
      <c r="X1056" s="122"/>
      <c r="Y1056" s="122"/>
      <c r="Z1056" s="122"/>
      <c r="AA1056" s="122"/>
      <c r="AB1056" s="122"/>
      <c r="AC1056" s="122"/>
      <c r="AD1056" s="122"/>
      <c r="AE1056" s="122"/>
      <c r="AF1056" s="122"/>
      <c r="AG1056" s="122"/>
      <c r="AH1056" s="122"/>
      <c r="AI1056" s="122"/>
      <c r="AJ1056" s="122"/>
      <c r="AK1056" s="122"/>
      <c r="AL1056" s="122"/>
      <c r="AM1056" s="122"/>
      <c r="AN1056" s="122"/>
    </row>
    <row r="1057">
      <c r="A1057" s="120"/>
      <c r="B1057" s="120"/>
      <c r="C1057" s="121"/>
      <c r="D1057" s="121"/>
      <c r="E1057" s="121"/>
      <c r="F1057" s="122"/>
      <c r="G1057" s="122"/>
      <c r="H1057" s="122"/>
      <c r="I1057" s="122"/>
      <c r="J1057" s="122"/>
      <c r="K1057" s="122"/>
      <c r="L1057" s="122"/>
      <c r="M1057" s="122"/>
      <c r="N1057" s="122"/>
      <c r="O1057" s="122"/>
      <c r="P1057" s="122"/>
      <c r="Q1057" s="121"/>
      <c r="R1057" s="122"/>
      <c r="S1057" s="121"/>
      <c r="T1057" s="122"/>
      <c r="U1057" s="121"/>
      <c r="V1057" s="122"/>
      <c r="W1057" s="121"/>
      <c r="X1057" s="122"/>
      <c r="Y1057" s="121"/>
      <c r="Z1057" s="122"/>
      <c r="AA1057" s="121"/>
      <c r="AB1057" s="121"/>
      <c r="AC1057" s="121"/>
      <c r="AD1057" s="121"/>
      <c r="AE1057" s="121"/>
      <c r="AF1057" s="121"/>
      <c r="AG1057" s="121"/>
      <c r="AH1057" s="121"/>
      <c r="AI1057" s="121"/>
      <c r="AJ1057" s="121"/>
      <c r="AK1057" s="121"/>
      <c r="AL1057" s="121"/>
      <c r="AM1057" s="121"/>
      <c r="AN1057" s="121"/>
    </row>
    <row r="1058">
      <c r="B1058" s="120"/>
      <c r="C1058" s="121"/>
      <c r="D1058" s="121"/>
      <c r="E1058" s="121"/>
      <c r="F1058" s="122"/>
      <c r="G1058" s="122"/>
      <c r="H1058" s="122"/>
      <c r="I1058" s="122"/>
      <c r="J1058" s="122"/>
      <c r="K1058" s="122"/>
      <c r="L1058" s="122"/>
      <c r="M1058" s="122"/>
      <c r="N1058" s="122"/>
      <c r="O1058" s="122"/>
      <c r="P1058" s="122"/>
      <c r="Q1058" s="122"/>
      <c r="R1058" s="122"/>
      <c r="S1058" s="122"/>
      <c r="T1058" s="122"/>
      <c r="U1058" s="122"/>
      <c r="V1058" s="122"/>
      <c r="W1058" s="122"/>
      <c r="X1058" s="122"/>
      <c r="Y1058" s="122"/>
      <c r="Z1058" s="122"/>
      <c r="AA1058" s="122"/>
      <c r="AB1058" s="122"/>
      <c r="AC1058" s="122"/>
      <c r="AD1058" s="122"/>
      <c r="AE1058" s="122"/>
      <c r="AF1058" s="122"/>
      <c r="AG1058" s="122"/>
      <c r="AH1058" s="122"/>
      <c r="AI1058" s="122"/>
      <c r="AJ1058" s="122"/>
      <c r="AK1058" s="122"/>
      <c r="AL1058" s="122"/>
      <c r="AM1058" s="122"/>
      <c r="AN1058" s="121"/>
    </row>
    <row r="1059">
      <c r="B1059" s="120"/>
      <c r="C1059" s="122"/>
      <c r="D1059" s="122"/>
      <c r="E1059" s="122"/>
      <c r="F1059" s="122"/>
      <c r="G1059" s="122"/>
      <c r="H1059" s="122"/>
      <c r="I1059" s="122"/>
      <c r="J1059" s="122"/>
      <c r="K1059" s="122"/>
      <c r="L1059" s="122"/>
      <c r="M1059" s="122"/>
      <c r="N1059" s="122"/>
      <c r="O1059" s="122"/>
      <c r="P1059" s="122"/>
      <c r="Q1059" s="122"/>
      <c r="R1059" s="122"/>
      <c r="S1059" s="122"/>
      <c r="T1059" s="122"/>
      <c r="U1059" s="122"/>
      <c r="V1059" s="122"/>
      <c r="W1059" s="122"/>
      <c r="X1059" s="122"/>
      <c r="Y1059" s="122"/>
      <c r="Z1059" s="122"/>
      <c r="AA1059" s="122"/>
      <c r="AB1059" s="122"/>
      <c r="AC1059" s="122"/>
      <c r="AD1059" s="122"/>
      <c r="AE1059" s="122"/>
      <c r="AF1059" s="122"/>
      <c r="AG1059" s="122"/>
      <c r="AH1059" s="122"/>
      <c r="AI1059" s="122"/>
      <c r="AJ1059" s="122"/>
      <c r="AK1059" s="122"/>
      <c r="AL1059" s="122"/>
      <c r="AM1059" s="122"/>
      <c r="AN1059" s="122"/>
    </row>
    <row r="1060">
      <c r="B1060" s="120"/>
      <c r="C1060" s="121"/>
      <c r="D1060" s="121"/>
      <c r="E1060" s="121"/>
      <c r="F1060" s="121"/>
      <c r="G1060" s="121"/>
      <c r="H1060" s="122"/>
      <c r="I1060" s="122"/>
      <c r="J1060" s="122"/>
      <c r="K1060" s="122"/>
      <c r="L1060" s="122"/>
      <c r="M1060" s="122"/>
      <c r="N1060" s="122"/>
      <c r="O1060" s="122"/>
      <c r="P1060" s="122"/>
      <c r="Q1060" s="122"/>
      <c r="R1060" s="122"/>
      <c r="S1060" s="122"/>
      <c r="T1060" s="122"/>
      <c r="U1060" s="122"/>
      <c r="V1060" s="122"/>
      <c r="W1060" s="122"/>
      <c r="X1060" s="122"/>
      <c r="Y1060" s="122"/>
      <c r="Z1060" s="122"/>
      <c r="AA1060" s="122"/>
      <c r="AB1060" s="122"/>
      <c r="AC1060" s="122"/>
      <c r="AD1060" s="122"/>
      <c r="AE1060" s="122"/>
      <c r="AF1060" s="122"/>
      <c r="AG1060" s="122"/>
      <c r="AH1060" s="122"/>
      <c r="AI1060" s="122"/>
      <c r="AJ1060" s="122"/>
      <c r="AK1060" s="122"/>
      <c r="AL1060" s="122"/>
      <c r="AM1060" s="122"/>
      <c r="AN1060" s="121"/>
    </row>
    <row r="1061">
      <c r="B1061" s="120"/>
      <c r="C1061" s="121"/>
      <c r="D1061" s="122"/>
      <c r="E1061" s="121"/>
      <c r="F1061" s="122"/>
      <c r="G1061" s="122"/>
      <c r="H1061" s="122"/>
      <c r="I1061" s="122"/>
      <c r="J1061" s="122"/>
      <c r="K1061" s="122"/>
      <c r="L1061" s="122"/>
      <c r="M1061" s="122"/>
      <c r="N1061" s="122"/>
      <c r="O1061" s="122"/>
      <c r="P1061" s="122"/>
      <c r="Q1061" s="122"/>
      <c r="R1061" s="122"/>
      <c r="S1061" s="122"/>
      <c r="T1061" s="122"/>
      <c r="U1061" s="122"/>
      <c r="V1061" s="122"/>
      <c r="W1061" s="122"/>
      <c r="X1061" s="122"/>
      <c r="Y1061" s="122"/>
      <c r="Z1061" s="122"/>
      <c r="AA1061" s="122"/>
      <c r="AB1061" s="122"/>
      <c r="AC1061" s="122"/>
      <c r="AD1061" s="122"/>
      <c r="AE1061" s="122"/>
      <c r="AF1061" s="122"/>
      <c r="AG1061" s="122"/>
      <c r="AH1061" s="122"/>
      <c r="AI1061" s="122"/>
      <c r="AJ1061" s="122"/>
      <c r="AK1061" s="122"/>
      <c r="AL1061" s="122"/>
      <c r="AM1061" s="122"/>
      <c r="AN1061" s="121"/>
    </row>
    <row r="1062">
      <c r="A1062" s="120"/>
      <c r="B1062" s="120"/>
      <c r="C1062" s="122"/>
      <c r="D1062" s="122"/>
      <c r="E1062" s="122"/>
      <c r="F1062" s="122"/>
      <c r="G1062" s="122"/>
      <c r="H1062" s="122"/>
      <c r="I1062" s="122"/>
      <c r="J1062" s="122"/>
      <c r="K1062" s="122"/>
      <c r="L1062" s="122"/>
      <c r="M1062" s="122"/>
      <c r="N1062" s="122"/>
      <c r="O1062" s="122"/>
      <c r="P1062" s="122"/>
      <c r="Q1062" s="122"/>
      <c r="R1062" s="122"/>
      <c r="S1062" s="122"/>
      <c r="T1062" s="122"/>
      <c r="U1062" s="122"/>
      <c r="V1062" s="122"/>
      <c r="W1062" s="122"/>
      <c r="X1062" s="122"/>
      <c r="Y1062" s="122"/>
      <c r="Z1062" s="122"/>
      <c r="AA1062" s="122"/>
      <c r="AB1062" s="122"/>
      <c r="AC1062" s="122"/>
      <c r="AD1062" s="122"/>
      <c r="AE1062" s="122"/>
      <c r="AF1062" s="122"/>
      <c r="AG1062" s="122"/>
      <c r="AH1062" s="122"/>
      <c r="AI1062" s="122"/>
      <c r="AJ1062" s="122"/>
      <c r="AK1062" s="122"/>
      <c r="AL1062" s="122"/>
      <c r="AM1062" s="122"/>
      <c r="AN1062" s="122"/>
    </row>
    <row r="1063">
      <c r="B1063" s="120"/>
      <c r="C1063" s="122"/>
      <c r="D1063" s="122"/>
      <c r="E1063" s="122"/>
      <c r="F1063" s="122"/>
      <c r="G1063" s="122"/>
      <c r="H1063" s="122"/>
      <c r="I1063" s="122"/>
      <c r="J1063" s="122"/>
      <c r="K1063" s="122"/>
      <c r="L1063" s="122"/>
      <c r="M1063" s="122"/>
      <c r="N1063" s="122"/>
      <c r="O1063" s="122"/>
      <c r="P1063" s="122"/>
      <c r="Q1063" s="122"/>
      <c r="R1063" s="122"/>
      <c r="S1063" s="122"/>
      <c r="T1063" s="122"/>
      <c r="U1063" s="122"/>
      <c r="V1063" s="122"/>
      <c r="W1063" s="122"/>
      <c r="X1063" s="122"/>
      <c r="Y1063" s="122"/>
      <c r="Z1063" s="122"/>
      <c r="AA1063" s="122"/>
      <c r="AB1063" s="122"/>
      <c r="AC1063" s="122"/>
      <c r="AD1063" s="122"/>
      <c r="AE1063" s="122"/>
      <c r="AF1063" s="122"/>
      <c r="AG1063" s="122"/>
      <c r="AH1063" s="122"/>
      <c r="AI1063" s="122"/>
      <c r="AJ1063" s="122"/>
      <c r="AK1063" s="122"/>
      <c r="AL1063" s="122"/>
      <c r="AM1063" s="122"/>
      <c r="AN1063" s="122"/>
    </row>
    <row r="1064">
      <c r="B1064" s="120"/>
      <c r="C1064" s="122"/>
      <c r="D1064" s="122"/>
      <c r="E1064" s="122"/>
      <c r="F1064" s="122"/>
      <c r="G1064" s="122"/>
      <c r="H1064" s="122"/>
      <c r="I1064" s="122"/>
      <c r="J1064" s="122"/>
      <c r="K1064" s="122"/>
      <c r="L1064" s="122"/>
      <c r="M1064" s="122"/>
      <c r="N1064" s="122"/>
      <c r="O1064" s="122"/>
      <c r="P1064" s="122"/>
      <c r="Q1064" s="122"/>
      <c r="R1064" s="122"/>
      <c r="S1064" s="122"/>
      <c r="T1064" s="122"/>
      <c r="U1064" s="122"/>
      <c r="V1064" s="122"/>
      <c r="W1064" s="122"/>
      <c r="X1064" s="122"/>
      <c r="Y1064" s="122"/>
      <c r="Z1064" s="122"/>
      <c r="AA1064" s="122"/>
      <c r="AB1064" s="122"/>
      <c r="AC1064" s="122"/>
      <c r="AD1064" s="122"/>
      <c r="AE1064" s="122"/>
      <c r="AF1064" s="122"/>
      <c r="AG1064" s="122"/>
      <c r="AH1064" s="122"/>
      <c r="AI1064" s="122"/>
      <c r="AJ1064" s="122"/>
      <c r="AK1064" s="122"/>
      <c r="AL1064" s="122"/>
      <c r="AM1064" s="122"/>
      <c r="AN1064" s="122"/>
    </row>
    <row r="1065">
      <c r="B1065" s="120"/>
      <c r="C1065" s="122"/>
      <c r="D1065" s="122"/>
      <c r="E1065" s="122"/>
      <c r="F1065" s="122"/>
      <c r="G1065" s="122"/>
      <c r="H1065" s="122"/>
      <c r="I1065" s="122"/>
      <c r="J1065" s="122"/>
      <c r="K1065" s="122"/>
      <c r="L1065" s="122"/>
      <c r="M1065" s="122"/>
      <c r="N1065" s="122"/>
      <c r="O1065" s="122"/>
      <c r="P1065" s="122"/>
      <c r="Q1065" s="122"/>
      <c r="R1065" s="122"/>
      <c r="S1065" s="122"/>
      <c r="T1065" s="122"/>
      <c r="U1065" s="122"/>
      <c r="V1065" s="122"/>
      <c r="W1065" s="122"/>
      <c r="X1065" s="122"/>
      <c r="Y1065" s="122"/>
      <c r="Z1065" s="122"/>
      <c r="AA1065" s="122"/>
      <c r="AB1065" s="122"/>
      <c r="AC1065" s="122"/>
      <c r="AD1065" s="122"/>
      <c r="AE1065" s="122"/>
      <c r="AF1065" s="122"/>
      <c r="AG1065" s="122"/>
      <c r="AH1065" s="122"/>
      <c r="AI1065" s="122"/>
      <c r="AJ1065" s="122"/>
      <c r="AK1065" s="122"/>
      <c r="AL1065" s="122"/>
      <c r="AM1065" s="122"/>
      <c r="AN1065" s="122"/>
    </row>
    <row r="1066">
      <c r="B1066" s="120"/>
      <c r="C1066" s="122"/>
      <c r="D1066" s="122"/>
      <c r="E1066" s="122"/>
      <c r="F1066" s="122"/>
      <c r="G1066" s="122"/>
      <c r="H1066" s="122"/>
      <c r="I1066" s="122"/>
      <c r="J1066" s="122"/>
      <c r="K1066" s="122"/>
      <c r="L1066" s="122"/>
      <c r="M1066" s="122"/>
      <c r="N1066" s="122"/>
      <c r="O1066" s="122"/>
      <c r="P1066" s="122"/>
      <c r="Q1066" s="122"/>
      <c r="R1066" s="122"/>
      <c r="S1066" s="122"/>
      <c r="T1066" s="122"/>
      <c r="U1066" s="122"/>
      <c r="V1066" s="122"/>
      <c r="W1066" s="122"/>
      <c r="X1066" s="122"/>
      <c r="Y1066" s="122"/>
      <c r="Z1066" s="122"/>
      <c r="AA1066" s="122"/>
      <c r="AB1066" s="122"/>
      <c r="AC1066" s="122"/>
      <c r="AD1066" s="122"/>
      <c r="AE1066" s="122"/>
      <c r="AF1066" s="122"/>
      <c r="AG1066" s="122"/>
      <c r="AH1066" s="122"/>
      <c r="AI1066" s="122"/>
      <c r="AJ1066" s="122"/>
      <c r="AK1066" s="122"/>
      <c r="AL1066" s="122"/>
      <c r="AM1066" s="122"/>
      <c r="AN1066" s="122"/>
    </row>
    <row r="1067">
      <c r="A1067" s="123"/>
    </row>
    <row r="1068">
      <c r="A1068" s="120"/>
      <c r="B1068" s="120"/>
      <c r="C1068" s="121"/>
      <c r="D1068" s="121"/>
      <c r="E1068" s="121"/>
      <c r="F1068" s="122"/>
      <c r="G1068" s="122"/>
      <c r="H1068" s="122"/>
      <c r="I1068" s="122"/>
      <c r="J1068" s="122"/>
      <c r="K1068" s="122"/>
      <c r="L1068" s="122"/>
      <c r="M1068" s="122"/>
      <c r="N1068" s="122"/>
      <c r="O1068" s="122"/>
      <c r="P1068" s="122"/>
      <c r="Q1068" s="122"/>
      <c r="R1068" s="122"/>
      <c r="S1068" s="121"/>
      <c r="T1068" s="121"/>
      <c r="U1068" s="121"/>
      <c r="V1068" s="121"/>
      <c r="W1068" s="121"/>
      <c r="X1068" s="121"/>
      <c r="Y1068" s="121"/>
      <c r="Z1068" s="121"/>
      <c r="AA1068" s="121"/>
      <c r="AB1068" s="121"/>
      <c r="AC1068" s="121"/>
      <c r="AD1068" s="121"/>
      <c r="AE1068" s="121"/>
      <c r="AF1068" s="121"/>
      <c r="AG1068" s="121"/>
      <c r="AH1068" s="121"/>
      <c r="AI1068" s="121"/>
      <c r="AJ1068" s="121"/>
      <c r="AK1068" s="121"/>
      <c r="AL1068" s="121"/>
      <c r="AM1068" s="121"/>
      <c r="AN1068" s="121"/>
    </row>
    <row r="1069">
      <c r="B1069" s="120"/>
      <c r="C1069" s="121"/>
      <c r="D1069" s="121"/>
      <c r="E1069" s="121"/>
      <c r="F1069" s="122"/>
      <c r="G1069" s="122"/>
      <c r="H1069" s="122"/>
      <c r="I1069" s="122"/>
      <c r="J1069" s="122"/>
      <c r="K1069" s="122"/>
      <c r="L1069" s="122"/>
      <c r="M1069" s="122"/>
      <c r="N1069" s="122"/>
      <c r="O1069" s="122"/>
      <c r="P1069" s="122"/>
      <c r="Q1069" s="122"/>
      <c r="R1069" s="122"/>
      <c r="S1069" s="122"/>
      <c r="T1069" s="122"/>
      <c r="U1069" s="122"/>
      <c r="V1069" s="122"/>
      <c r="W1069" s="121"/>
      <c r="X1069" s="121"/>
      <c r="Y1069" s="121"/>
      <c r="Z1069" s="121"/>
      <c r="AA1069" s="121"/>
      <c r="AB1069" s="121"/>
      <c r="AC1069" s="121"/>
      <c r="AD1069" s="121"/>
      <c r="AE1069" s="121"/>
      <c r="AF1069" s="121"/>
      <c r="AG1069" s="121"/>
      <c r="AH1069" s="121"/>
      <c r="AI1069" s="121"/>
      <c r="AJ1069" s="121"/>
      <c r="AK1069" s="121"/>
      <c r="AL1069" s="121"/>
      <c r="AM1069" s="121"/>
      <c r="AN1069" s="121"/>
    </row>
    <row r="1070">
      <c r="B1070" s="120"/>
      <c r="C1070" s="121"/>
      <c r="D1070" s="121"/>
      <c r="E1070" s="121"/>
      <c r="F1070" s="122"/>
      <c r="G1070" s="122"/>
      <c r="H1070" s="122"/>
      <c r="I1070" s="122"/>
      <c r="J1070" s="122"/>
      <c r="K1070" s="122"/>
      <c r="L1070" s="122"/>
      <c r="M1070" s="122"/>
      <c r="N1070" s="122"/>
      <c r="O1070" s="122"/>
      <c r="P1070" s="122"/>
      <c r="Q1070" s="122"/>
      <c r="R1070" s="122"/>
      <c r="S1070" s="122"/>
      <c r="T1070" s="122"/>
      <c r="U1070" s="121"/>
      <c r="V1070" s="122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</row>
    <row r="1071">
      <c r="B1071" s="120"/>
      <c r="C1071" s="122"/>
      <c r="D1071" s="122"/>
      <c r="E1071" s="122"/>
      <c r="F1071" s="122"/>
      <c r="G1071" s="122"/>
      <c r="H1071" s="122"/>
      <c r="I1071" s="122"/>
      <c r="J1071" s="122"/>
      <c r="K1071" s="122"/>
      <c r="L1071" s="122"/>
      <c r="M1071" s="122"/>
      <c r="N1071" s="122"/>
      <c r="O1071" s="122"/>
      <c r="P1071" s="122"/>
      <c r="Q1071" s="122"/>
      <c r="R1071" s="122"/>
      <c r="S1071" s="122"/>
      <c r="T1071" s="122"/>
      <c r="U1071" s="122"/>
      <c r="V1071" s="122"/>
      <c r="W1071" s="122"/>
      <c r="X1071" s="122"/>
      <c r="Y1071" s="122"/>
      <c r="Z1071" s="122"/>
      <c r="AA1071" s="122"/>
      <c r="AB1071" s="122"/>
      <c r="AC1071" s="122"/>
      <c r="AD1071" s="122"/>
      <c r="AE1071" s="122"/>
      <c r="AF1071" s="122"/>
      <c r="AG1071" s="122"/>
      <c r="AH1071" s="122"/>
      <c r="AI1071" s="122"/>
      <c r="AJ1071" s="122"/>
      <c r="AK1071" s="122"/>
      <c r="AL1071" s="122"/>
      <c r="AM1071" s="122"/>
      <c r="AN1071" s="122"/>
    </row>
    <row r="1072">
      <c r="A1072" s="120"/>
      <c r="B1072" s="120"/>
      <c r="C1072" s="122"/>
      <c r="D1072" s="122"/>
      <c r="E1072" s="122"/>
      <c r="F1072" s="122"/>
      <c r="G1072" s="122"/>
      <c r="H1072" s="122"/>
      <c r="I1072" s="122"/>
      <c r="J1072" s="122"/>
      <c r="K1072" s="122"/>
      <c r="L1072" s="122"/>
      <c r="M1072" s="122"/>
      <c r="N1072" s="122"/>
      <c r="O1072" s="122"/>
      <c r="P1072" s="122"/>
      <c r="Q1072" s="122"/>
      <c r="R1072" s="122"/>
      <c r="S1072" s="122"/>
      <c r="T1072" s="122"/>
      <c r="U1072" s="122"/>
      <c r="V1072" s="122"/>
      <c r="W1072" s="122"/>
      <c r="X1072" s="122"/>
      <c r="Y1072" s="122"/>
      <c r="Z1072" s="122"/>
      <c r="AA1072" s="122"/>
      <c r="AB1072" s="122"/>
      <c r="AC1072" s="122"/>
      <c r="AD1072" s="122"/>
      <c r="AE1072" s="122"/>
      <c r="AF1072" s="122"/>
      <c r="AG1072" s="122"/>
      <c r="AH1072" s="122"/>
      <c r="AI1072" s="122"/>
      <c r="AJ1072" s="122"/>
      <c r="AK1072" s="122"/>
      <c r="AL1072" s="122"/>
      <c r="AM1072" s="122"/>
      <c r="AN1072" s="122"/>
    </row>
    <row r="1073">
      <c r="B1073" s="120"/>
      <c r="C1073" s="122"/>
      <c r="D1073" s="122"/>
      <c r="E1073" s="122"/>
      <c r="F1073" s="122"/>
      <c r="G1073" s="122"/>
      <c r="H1073" s="122"/>
      <c r="I1073" s="122"/>
      <c r="J1073" s="122"/>
      <c r="K1073" s="122"/>
      <c r="L1073" s="122"/>
      <c r="M1073" s="122"/>
      <c r="N1073" s="122"/>
      <c r="O1073" s="122"/>
      <c r="P1073" s="122"/>
      <c r="Q1073" s="122"/>
      <c r="R1073" s="122"/>
      <c r="S1073" s="122"/>
      <c r="T1073" s="122"/>
      <c r="U1073" s="122"/>
      <c r="V1073" s="122"/>
      <c r="W1073" s="122"/>
      <c r="X1073" s="122"/>
      <c r="Y1073" s="122"/>
      <c r="Z1073" s="122"/>
      <c r="AA1073" s="122"/>
      <c r="AB1073" s="122"/>
      <c r="AC1073" s="122"/>
      <c r="AD1073" s="122"/>
      <c r="AE1073" s="122"/>
      <c r="AF1073" s="122"/>
      <c r="AG1073" s="122"/>
      <c r="AH1073" s="122"/>
      <c r="AI1073" s="122"/>
      <c r="AJ1073" s="122"/>
      <c r="AK1073" s="122"/>
      <c r="AL1073" s="122"/>
      <c r="AM1073" s="122"/>
      <c r="AN1073" s="122"/>
    </row>
    <row r="1074">
      <c r="A1074" s="120"/>
      <c r="B1074" s="120"/>
      <c r="C1074" s="122"/>
      <c r="D1074" s="122"/>
      <c r="E1074" s="122"/>
      <c r="F1074" s="122"/>
      <c r="G1074" s="122"/>
      <c r="H1074" s="122"/>
      <c r="I1074" s="122"/>
      <c r="J1074" s="122"/>
      <c r="K1074" s="122"/>
      <c r="L1074" s="122"/>
      <c r="M1074" s="122"/>
      <c r="N1074" s="122"/>
      <c r="O1074" s="122"/>
      <c r="P1074" s="122"/>
      <c r="Q1074" s="122"/>
      <c r="R1074" s="122"/>
      <c r="S1074" s="122"/>
      <c r="T1074" s="122"/>
      <c r="U1074" s="122"/>
      <c r="V1074" s="122"/>
      <c r="W1074" s="122"/>
      <c r="X1074" s="122"/>
      <c r="Y1074" s="122"/>
      <c r="Z1074" s="122"/>
      <c r="AA1074" s="122"/>
      <c r="AB1074" s="122"/>
      <c r="AC1074" s="122"/>
      <c r="AD1074" s="122"/>
      <c r="AE1074" s="122"/>
      <c r="AF1074" s="122"/>
      <c r="AG1074" s="122"/>
      <c r="AH1074" s="122"/>
      <c r="AI1074" s="122"/>
      <c r="AJ1074" s="122"/>
      <c r="AK1074" s="122"/>
      <c r="AL1074" s="122"/>
      <c r="AM1074" s="122"/>
      <c r="AN1074" s="122"/>
    </row>
    <row r="1075">
      <c r="B1075" s="120"/>
      <c r="C1075" s="122"/>
      <c r="D1075" s="122"/>
      <c r="E1075" s="122"/>
      <c r="F1075" s="122"/>
      <c r="G1075" s="122"/>
      <c r="H1075" s="122"/>
      <c r="I1075" s="122"/>
      <c r="J1075" s="122"/>
      <c r="K1075" s="122"/>
      <c r="L1075" s="122"/>
      <c r="M1075" s="122"/>
      <c r="N1075" s="122"/>
      <c r="O1075" s="122"/>
      <c r="P1075" s="122"/>
      <c r="Q1075" s="122"/>
      <c r="R1075" s="122"/>
      <c r="S1075" s="122"/>
      <c r="T1075" s="122"/>
      <c r="U1075" s="122"/>
      <c r="V1075" s="122"/>
      <c r="W1075" s="122"/>
      <c r="X1075" s="122"/>
      <c r="Y1075" s="122"/>
      <c r="Z1075" s="122"/>
      <c r="AA1075" s="122"/>
      <c r="AB1075" s="122"/>
      <c r="AC1075" s="122"/>
      <c r="AD1075" s="122"/>
      <c r="AE1075" s="122"/>
      <c r="AF1075" s="122"/>
      <c r="AG1075" s="122"/>
      <c r="AH1075" s="122"/>
      <c r="AI1075" s="122"/>
      <c r="AJ1075" s="122"/>
      <c r="AK1075" s="122"/>
      <c r="AL1075" s="122"/>
      <c r="AM1075" s="122"/>
      <c r="AN1075" s="122"/>
    </row>
    <row r="1076">
      <c r="A1076" s="120"/>
      <c r="B1076" s="120"/>
      <c r="C1076" s="122"/>
      <c r="D1076" s="122"/>
      <c r="E1076" s="122"/>
      <c r="F1076" s="122"/>
      <c r="G1076" s="122"/>
      <c r="H1076" s="122"/>
      <c r="I1076" s="122"/>
      <c r="J1076" s="122"/>
      <c r="K1076" s="122"/>
      <c r="L1076" s="122"/>
      <c r="M1076" s="122"/>
      <c r="N1076" s="122"/>
      <c r="O1076" s="122"/>
      <c r="P1076" s="122"/>
      <c r="Q1076" s="122"/>
      <c r="R1076" s="122"/>
      <c r="S1076" s="122"/>
      <c r="T1076" s="122"/>
      <c r="U1076" s="122"/>
      <c r="V1076" s="122"/>
      <c r="W1076" s="122"/>
      <c r="X1076" s="122"/>
      <c r="Y1076" s="122"/>
      <c r="Z1076" s="122"/>
      <c r="AA1076" s="122"/>
      <c r="AB1076" s="122"/>
      <c r="AC1076" s="122"/>
      <c r="AD1076" s="122"/>
      <c r="AE1076" s="122"/>
      <c r="AF1076" s="122"/>
      <c r="AG1076" s="122"/>
      <c r="AH1076" s="122"/>
      <c r="AI1076" s="122"/>
      <c r="AJ1076" s="122"/>
      <c r="AK1076" s="122"/>
      <c r="AL1076" s="122"/>
      <c r="AM1076" s="122"/>
      <c r="AN1076" s="122"/>
    </row>
    <row r="1077">
      <c r="B1077" s="120"/>
      <c r="C1077" s="122"/>
      <c r="D1077" s="122"/>
      <c r="E1077" s="122"/>
      <c r="F1077" s="122"/>
      <c r="G1077" s="122"/>
      <c r="H1077" s="122"/>
      <c r="I1077" s="122"/>
      <c r="J1077" s="122"/>
      <c r="K1077" s="122"/>
      <c r="L1077" s="122"/>
      <c r="M1077" s="122"/>
      <c r="N1077" s="122"/>
      <c r="O1077" s="122"/>
      <c r="P1077" s="122"/>
      <c r="Q1077" s="122"/>
      <c r="R1077" s="122"/>
      <c r="S1077" s="122"/>
      <c r="T1077" s="122"/>
      <c r="U1077" s="122"/>
      <c r="V1077" s="122"/>
      <c r="W1077" s="122"/>
      <c r="X1077" s="122"/>
      <c r="Y1077" s="122"/>
      <c r="Z1077" s="122"/>
      <c r="AA1077" s="122"/>
      <c r="AB1077" s="122"/>
      <c r="AC1077" s="122"/>
      <c r="AD1077" s="122"/>
      <c r="AE1077" s="122"/>
      <c r="AF1077" s="122"/>
      <c r="AG1077" s="122"/>
      <c r="AH1077" s="122"/>
      <c r="AI1077" s="122"/>
      <c r="AJ1077" s="122"/>
      <c r="AK1077" s="122"/>
      <c r="AL1077" s="122"/>
      <c r="AM1077" s="122"/>
      <c r="AN1077" s="122"/>
    </row>
    <row r="1078">
      <c r="A1078" s="120"/>
      <c r="B1078" s="120"/>
      <c r="C1078" s="122"/>
      <c r="D1078" s="122"/>
      <c r="E1078" s="122"/>
      <c r="F1078" s="122"/>
      <c r="G1078" s="122"/>
      <c r="H1078" s="122"/>
      <c r="I1078" s="122"/>
      <c r="J1078" s="122"/>
      <c r="K1078" s="122"/>
      <c r="L1078" s="122"/>
      <c r="M1078" s="122"/>
      <c r="N1078" s="122"/>
      <c r="O1078" s="122"/>
      <c r="P1078" s="122"/>
      <c r="Q1078" s="122"/>
      <c r="R1078" s="122"/>
      <c r="S1078" s="122"/>
      <c r="T1078" s="122"/>
      <c r="U1078" s="122"/>
      <c r="V1078" s="122"/>
      <c r="W1078" s="122"/>
      <c r="X1078" s="122"/>
      <c r="Y1078" s="122"/>
      <c r="Z1078" s="122"/>
      <c r="AA1078" s="122"/>
      <c r="AB1078" s="122"/>
      <c r="AC1078" s="122"/>
      <c r="AD1078" s="122"/>
      <c r="AE1078" s="122"/>
      <c r="AF1078" s="122"/>
      <c r="AG1078" s="122"/>
      <c r="AH1078" s="122"/>
      <c r="AI1078" s="122"/>
      <c r="AJ1078" s="122"/>
      <c r="AK1078" s="122"/>
      <c r="AL1078" s="122"/>
      <c r="AM1078" s="122"/>
      <c r="AN1078" s="122"/>
    </row>
    <row r="1079">
      <c r="B1079" s="120"/>
      <c r="C1079" s="122"/>
      <c r="D1079" s="122"/>
      <c r="E1079" s="122"/>
      <c r="F1079" s="122"/>
      <c r="G1079" s="122"/>
      <c r="H1079" s="122"/>
      <c r="I1079" s="122"/>
      <c r="J1079" s="122"/>
      <c r="K1079" s="122"/>
      <c r="L1079" s="122"/>
      <c r="M1079" s="122"/>
      <c r="N1079" s="122"/>
      <c r="O1079" s="122"/>
      <c r="P1079" s="122"/>
      <c r="Q1079" s="122"/>
      <c r="R1079" s="122"/>
      <c r="S1079" s="122"/>
      <c r="T1079" s="122"/>
      <c r="U1079" s="122"/>
      <c r="V1079" s="122"/>
      <c r="W1079" s="122"/>
      <c r="X1079" s="122"/>
      <c r="Y1079" s="122"/>
      <c r="Z1079" s="122"/>
      <c r="AA1079" s="122"/>
      <c r="AB1079" s="122"/>
      <c r="AC1079" s="122"/>
      <c r="AD1079" s="122"/>
      <c r="AE1079" s="122"/>
      <c r="AF1079" s="122"/>
      <c r="AG1079" s="122"/>
      <c r="AH1079" s="122"/>
      <c r="AI1079" s="122"/>
      <c r="AJ1079" s="122"/>
      <c r="AK1079" s="122"/>
      <c r="AL1079" s="122"/>
      <c r="AM1079" s="122"/>
      <c r="AN1079" s="122"/>
    </row>
    <row r="1080">
      <c r="B1080" s="120"/>
      <c r="C1080" s="122"/>
      <c r="D1080" s="122"/>
      <c r="E1080" s="122"/>
      <c r="F1080" s="122"/>
      <c r="G1080" s="122"/>
      <c r="H1080" s="122"/>
      <c r="I1080" s="122"/>
      <c r="J1080" s="122"/>
      <c r="K1080" s="122"/>
      <c r="L1080" s="122"/>
      <c r="M1080" s="122"/>
      <c r="N1080" s="122"/>
      <c r="O1080" s="122"/>
      <c r="P1080" s="122"/>
      <c r="Q1080" s="122"/>
      <c r="R1080" s="122"/>
      <c r="S1080" s="122"/>
      <c r="T1080" s="122"/>
      <c r="U1080" s="122"/>
      <c r="V1080" s="122"/>
      <c r="W1080" s="122"/>
      <c r="X1080" s="122"/>
      <c r="Y1080" s="122"/>
      <c r="Z1080" s="122"/>
      <c r="AA1080" s="122"/>
      <c r="AB1080" s="122"/>
      <c r="AC1080" s="122"/>
      <c r="AD1080" s="122"/>
      <c r="AE1080" s="122"/>
      <c r="AF1080" s="122"/>
      <c r="AG1080" s="122"/>
      <c r="AH1080" s="122"/>
      <c r="AI1080" s="122"/>
      <c r="AJ1080" s="122"/>
      <c r="AK1080" s="122"/>
      <c r="AL1080" s="122"/>
      <c r="AM1080" s="122"/>
      <c r="AN1080" s="122"/>
    </row>
    <row r="1081">
      <c r="A1081" s="120"/>
      <c r="B1081" s="120"/>
      <c r="C1081" s="121"/>
      <c r="D1081" s="121"/>
      <c r="E1081" s="121"/>
      <c r="F1081" s="122"/>
      <c r="G1081" s="122"/>
      <c r="H1081" s="122"/>
      <c r="I1081" s="122"/>
      <c r="J1081" s="122"/>
      <c r="K1081" s="122"/>
      <c r="L1081" s="122"/>
      <c r="M1081" s="122"/>
      <c r="N1081" s="122"/>
      <c r="O1081" s="122"/>
      <c r="P1081" s="122"/>
      <c r="Q1081" s="122"/>
      <c r="R1081" s="122"/>
      <c r="S1081" s="122"/>
      <c r="T1081" s="122"/>
      <c r="U1081" s="122"/>
      <c r="V1081" s="122"/>
      <c r="W1081" s="121"/>
      <c r="X1081" s="122"/>
      <c r="Y1081" s="121"/>
      <c r="Z1081" s="122"/>
      <c r="AA1081" s="121"/>
      <c r="AB1081" s="122"/>
      <c r="AC1081" s="121"/>
      <c r="AD1081" s="122"/>
      <c r="AE1081" s="121"/>
      <c r="AF1081" s="122"/>
      <c r="AG1081" s="121"/>
      <c r="AH1081" s="122"/>
      <c r="AI1081" s="121"/>
      <c r="AJ1081" s="122"/>
      <c r="AK1081" s="121"/>
      <c r="AL1081" s="122"/>
      <c r="AM1081" s="121"/>
      <c r="AN1081" s="121"/>
    </row>
    <row r="1082">
      <c r="B1082" s="120"/>
      <c r="C1082" s="121"/>
      <c r="D1082" s="122"/>
      <c r="E1082" s="121"/>
      <c r="F1082" s="122"/>
      <c r="G1082" s="122"/>
      <c r="H1082" s="122"/>
      <c r="I1082" s="122"/>
      <c r="J1082" s="122"/>
      <c r="K1082" s="122"/>
      <c r="L1082" s="122"/>
      <c r="M1082" s="122"/>
      <c r="N1082" s="122"/>
      <c r="O1082" s="122"/>
      <c r="P1082" s="122"/>
      <c r="Q1082" s="122"/>
      <c r="R1082" s="122"/>
      <c r="S1082" s="122"/>
      <c r="T1082" s="122"/>
      <c r="U1082" s="122"/>
      <c r="V1082" s="122"/>
      <c r="W1082" s="122"/>
      <c r="X1082" s="122"/>
      <c r="Y1082" s="122"/>
      <c r="Z1082" s="122"/>
      <c r="AA1082" s="122"/>
      <c r="AB1082" s="122"/>
      <c r="AC1082" s="122"/>
      <c r="AD1082" s="122"/>
      <c r="AE1082" s="122"/>
      <c r="AF1082" s="122"/>
      <c r="AG1082" s="122"/>
      <c r="AH1082" s="122"/>
      <c r="AI1082" s="122"/>
      <c r="AJ1082" s="122"/>
      <c r="AK1082" s="122"/>
      <c r="AL1082" s="122"/>
      <c r="AM1082" s="122"/>
      <c r="AN1082" s="121"/>
    </row>
    <row r="1083">
      <c r="B1083" s="120"/>
      <c r="C1083" s="121"/>
      <c r="D1083" s="122"/>
      <c r="E1083" s="121"/>
      <c r="F1083" s="122"/>
      <c r="G1083" s="122"/>
      <c r="H1083" s="122"/>
      <c r="I1083" s="122"/>
      <c r="J1083" s="122"/>
      <c r="K1083" s="122"/>
      <c r="L1083" s="122"/>
      <c r="M1083" s="122"/>
      <c r="N1083" s="122"/>
      <c r="O1083" s="122"/>
      <c r="P1083" s="122"/>
      <c r="Q1083" s="122"/>
      <c r="R1083" s="122"/>
      <c r="S1083" s="122"/>
      <c r="T1083" s="122"/>
      <c r="U1083" s="122"/>
      <c r="V1083" s="122"/>
      <c r="W1083" s="122"/>
      <c r="X1083" s="122"/>
      <c r="Y1083" s="122"/>
      <c r="Z1083" s="122"/>
      <c r="AA1083" s="122"/>
      <c r="AB1083" s="122"/>
      <c r="AC1083" s="122"/>
      <c r="AD1083" s="122"/>
      <c r="AE1083" s="122"/>
      <c r="AF1083" s="122"/>
      <c r="AG1083" s="122"/>
      <c r="AH1083" s="122"/>
      <c r="AI1083" s="122"/>
      <c r="AJ1083" s="122"/>
      <c r="AK1083" s="122"/>
      <c r="AL1083" s="122"/>
      <c r="AM1083" s="122"/>
      <c r="AN1083" s="121"/>
    </row>
    <row r="1084">
      <c r="B1084" s="120"/>
      <c r="C1084" s="122"/>
      <c r="D1084" s="122"/>
      <c r="E1084" s="122"/>
      <c r="F1084" s="122"/>
      <c r="G1084" s="122"/>
      <c r="H1084" s="122"/>
      <c r="I1084" s="122"/>
      <c r="J1084" s="122"/>
      <c r="K1084" s="122"/>
      <c r="L1084" s="122"/>
      <c r="M1084" s="122"/>
      <c r="N1084" s="122"/>
      <c r="O1084" s="122"/>
      <c r="P1084" s="122"/>
      <c r="Q1084" s="122"/>
      <c r="R1084" s="122"/>
      <c r="S1084" s="122"/>
      <c r="T1084" s="122"/>
      <c r="U1084" s="122"/>
      <c r="V1084" s="122"/>
      <c r="W1084" s="122"/>
      <c r="X1084" s="122"/>
      <c r="Y1084" s="122"/>
      <c r="Z1084" s="122"/>
      <c r="AA1084" s="122"/>
      <c r="AB1084" s="122"/>
      <c r="AC1084" s="122"/>
      <c r="AD1084" s="122"/>
      <c r="AE1084" s="122"/>
      <c r="AF1084" s="122"/>
      <c r="AG1084" s="122"/>
      <c r="AH1084" s="122"/>
      <c r="AI1084" s="122"/>
      <c r="AJ1084" s="122"/>
      <c r="AK1084" s="122"/>
      <c r="AL1084" s="122"/>
      <c r="AM1084" s="122"/>
      <c r="AN1084" s="122"/>
    </row>
    <row r="1085">
      <c r="B1085" s="120"/>
      <c r="C1085" s="122"/>
      <c r="D1085" s="122"/>
      <c r="E1085" s="122"/>
      <c r="F1085" s="122"/>
      <c r="G1085" s="122"/>
      <c r="H1085" s="122"/>
      <c r="I1085" s="122"/>
      <c r="J1085" s="122"/>
      <c r="K1085" s="122"/>
      <c r="L1085" s="122"/>
      <c r="M1085" s="122"/>
      <c r="N1085" s="122"/>
      <c r="O1085" s="122"/>
      <c r="P1085" s="122"/>
      <c r="Q1085" s="122"/>
      <c r="R1085" s="122"/>
      <c r="S1085" s="122"/>
      <c r="T1085" s="122"/>
      <c r="U1085" s="122"/>
      <c r="V1085" s="122"/>
      <c r="W1085" s="122"/>
      <c r="X1085" s="122"/>
      <c r="Y1085" s="122"/>
      <c r="Z1085" s="122"/>
      <c r="AA1085" s="122"/>
      <c r="AB1085" s="122"/>
      <c r="AC1085" s="122"/>
      <c r="AD1085" s="122"/>
      <c r="AE1085" s="122"/>
      <c r="AF1085" s="122"/>
      <c r="AG1085" s="122"/>
      <c r="AH1085" s="122"/>
      <c r="AI1085" s="122"/>
      <c r="AJ1085" s="122"/>
      <c r="AK1085" s="122"/>
      <c r="AL1085" s="122"/>
      <c r="AM1085" s="122"/>
      <c r="AN1085" s="122"/>
    </row>
    <row r="1086">
      <c r="A1086" s="120"/>
      <c r="B1086" s="120"/>
      <c r="C1086" s="122"/>
      <c r="D1086" s="122"/>
      <c r="E1086" s="122"/>
      <c r="F1086" s="122"/>
      <c r="G1086" s="122"/>
      <c r="H1086" s="122"/>
      <c r="I1086" s="122"/>
      <c r="J1086" s="122"/>
      <c r="K1086" s="122"/>
      <c r="L1086" s="122"/>
      <c r="M1086" s="122"/>
      <c r="N1086" s="122"/>
      <c r="O1086" s="122"/>
      <c r="P1086" s="122"/>
      <c r="Q1086" s="122"/>
      <c r="R1086" s="122"/>
      <c r="S1086" s="122"/>
      <c r="T1086" s="122"/>
      <c r="U1086" s="122"/>
      <c r="V1086" s="122"/>
      <c r="W1086" s="122"/>
      <c r="X1086" s="122"/>
      <c r="Y1086" s="122"/>
      <c r="Z1086" s="122"/>
      <c r="AA1086" s="122"/>
      <c r="AB1086" s="122"/>
      <c r="AC1086" s="122"/>
      <c r="AD1086" s="122"/>
      <c r="AE1086" s="122"/>
      <c r="AF1086" s="122"/>
      <c r="AG1086" s="122"/>
      <c r="AH1086" s="122"/>
      <c r="AI1086" s="122"/>
      <c r="AJ1086" s="122"/>
      <c r="AK1086" s="122"/>
      <c r="AL1086" s="122"/>
      <c r="AM1086" s="122"/>
      <c r="AN1086" s="122"/>
    </row>
    <row r="1087">
      <c r="B1087" s="120"/>
      <c r="C1087" s="122"/>
      <c r="D1087" s="122"/>
      <c r="E1087" s="122"/>
      <c r="F1087" s="122"/>
      <c r="G1087" s="122"/>
      <c r="H1087" s="122"/>
      <c r="I1087" s="122"/>
      <c r="J1087" s="122"/>
      <c r="K1087" s="122"/>
      <c r="L1087" s="122"/>
      <c r="M1087" s="122"/>
      <c r="N1087" s="122"/>
      <c r="O1087" s="122"/>
      <c r="P1087" s="122"/>
      <c r="Q1087" s="122"/>
      <c r="R1087" s="122"/>
      <c r="S1087" s="122"/>
      <c r="T1087" s="122"/>
      <c r="U1087" s="122"/>
      <c r="V1087" s="122"/>
      <c r="W1087" s="122"/>
      <c r="X1087" s="122"/>
      <c r="Y1087" s="122"/>
      <c r="Z1087" s="122"/>
      <c r="AA1087" s="122"/>
      <c r="AB1087" s="122"/>
      <c r="AC1087" s="122"/>
      <c r="AD1087" s="122"/>
      <c r="AE1087" s="122"/>
      <c r="AF1087" s="122"/>
      <c r="AG1087" s="122"/>
      <c r="AH1087" s="122"/>
      <c r="AI1087" s="122"/>
      <c r="AJ1087" s="122"/>
      <c r="AK1087" s="122"/>
      <c r="AL1087" s="122"/>
      <c r="AM1087" s="122"/>
      <c r="AN1087" s="122"/>
    </row>
    <row r="1088">
      <c r="B1088" s="120"/>
      <c r="C1088" s="122"/>
      <c r="D1088" s="122"/>
      <c r="E1088" s="122"/>
      <c r="F1088" s="122"/>
      <c r="G1088" s="122"/>
      <c r="H1088" s="122"/>
      <c r="I1088" s="122"/>
      <c r="J1088" s="122"/>
      <c r="K1088" s="122"/>
      <c r="L1088" s="122"/>
      <c r="M1088" s="122"/>
      <c r="N1088" s="122"/>
      <c r="O1088" s="122"/>
      <c r="P1088" s="122"/>
      <c r="Q1088" s="122"/>
      <c r="R1088" s="122"/>
      <c r="S1088" s="122"/>
      <c r="T1088" s="122"/>
      <c r="U1088" s="122"/>
      <c r="V1088" s="122"/>
      <c r="W1088" s="122"/>
      <c r="X1088" s="122"/>
      <c r="Y1088" s="122"/>
      <c r="Z1088" s="122"/>
      <c r="AA1088" s="122"/>
      <c r="AB1088" s="122"/>
      <c r="AC1088" s="122"/>
      <c r="AD1088" s="122"/>
      <c r="AE1088" s="122"/>
      <c r="AF1088" s="122"/>
      <c r="AG1088" s="122"/>
      <c r="AH1088" s="122"/>
      <c r="AI1088" s="122"/>
      <c r="AJ1088" s="122"/>
      <c r="AK1088" s="122"/>
      <c r="AL1088" s="122"/>
      <c r="AM1088" s="122"/>
      <c r="AN1088" s="122"/>
    </row>
    <row r="1089">
      <c r="B1089" s="120"/>
      <c r="C1089" s="122"/>
      <c r="D1089" s="122"/>
      <c r="E1089" s="122"/>
      <c r="F1089" s="122"/>
      <c r="G1089" s="122"/>
      <c r="H1089" s="122"/>
      <c r="I1089" s="122"/>
      <c r="J1089" s="122"/>
      <c r="K1089" s="122"/>
      <c r="L1089" s="122"/>
      <c r="M1089" s="122"/>
      <c r="N1089" s="122"/>
      <c r="O1089" s="122"/>
      <c r="P1089" s="122"/>
      <c r="Q1089" s="122"/>
      <c r="R1089" s="122"/>
      <c r="S1089" s="122"/>
      <c r="T1089" s="122"/>
      <c r="U1089" s="122"/>
      <c r="V1089" s="122"/>
      <c r="W1089" s="122"/>
      <c r="X1089" s="122"/>
      <c r="Y1089" s="122"/>
      <c r="Z1089" s="122"/>
      <c r="AA1089" s="122"/>
      <c r="AB1089" s="122"/>
      <c r="AC1089" s="122"/>
      <c r="AD1089" s="122"/>
      <c r="AE1089" s="122"/>
      <c r="AF1089" s="122"/>
      <c r="AG1089" s="122"/>
      <c r="AH1089" s="122"/>
      <c r="AI1089" s="122"/>
      <c r="AJ1089" s="122"/>
      <c r="AK1089" s="122"/>
      <c r="AL1089" s="122"/>
      <c r="AM1089" s="122"/>
      <c r="AN1089" s="122"/>
    </row>
    <row r="1090">
      <c r="B1090" s="120"/>
      <c r="C1090" s="122"/>
      <c r="D1090" s="122"/>
      <c r="E1090" s="122"/>
      <c r="F1090" s="122"/>
      <c r="G1090" s="122"/>
      <c r="H1090" s="122"/>
      <c r="I1090" s="122"/>
      <c r="J1090" s="122"/>
      <c r="K1090" s="122"/>
      <c r="L1090" s="122"/>
      <c r="M1090" s="122"/>
      <c r="N1090" s="122"/>
      <c r="O1090" s="122"/>
      <c r="P1090" s="122"/>
      <c r="Q1090" s="122"/>
      <c r="R1090" s="122"/>
      <c r="S1090" s="122"/>
      <c r="T1090" s="122"/>
      <c r="U1090" s="122"/>
      <c r="V1090" s="122"/>
      <c r="W1090" s="122"/>
      <c r="X1090" s="122"/>
      <c r="Y1090" s="122"/>
      <c r="Z1090" s="122"/>
      <c r="AA1090" s="122"/>
      <c r="AB1090" s="122"/>
      <c r="AC1090" s="122"/>
      <c r="AD1090" s="122"/>
      <c r="AE1090" s="122"/>
      <c r="AF1090" s="122"/>
      <c r="AG1090" s="122"/>
      <c r="AH1090" s="122"/>
      <c r="AI1090" s="122"/>
      <c r="AJ1090" s="122"/>
      <c r="AK1090" s="122"/>
      <c r="AL1090" s="122"/>
      <c r="AM1090" s="122"/>
      <c r="AN1090" s="122"/>
    </row>
    <row r="1091">
      <c r="A1091" s="123"/>
    </row>
    <row r="1092">
      <c r="A1092" s="120"/>
      <c r="B1092" s="120"/>
      <c r="C1092" s="121"/>
      <c r="D1092" s="121"/>
      <c r="E1092" s="121"/>
      <c r="F1092" s="122"/>
      <c r="G1092" s="122"/>
      <c r="H1092" s="122"/>
      <c r="I1092" s="122"/>
      <c r="J1092" s="122"/>
      <c r="K1092" s="122"/>
      <c r="L1092" s="122"/>
      <c r="M1092" s="122"/>
      <c r="N1092" s="122"/>
      <c r="O1092" s="122"/>
      <c r="P1092" s="122"/>
      <c r="Q1092" s="121"/>
      <c r="R1092" s="122"/>
      <c r="S1092" s="121"/>
      <c r="T1092" s="121"/>
      <c r="U1092" s="121"/>
      <c r="V1092" s="121"/>
      <c r="W1092" s="121"/>
      <c r="X1092" s="121"/>
      <c r="Y1092" s="121"/>
      <c r="Z1092" s="121"/>
      <c r="AA1092" s="121"/>
      <c r="AB1092" s="121"/>
      <c r="AC1092" s="121"/>
      <c r="AD1092" s="121"/>
      <c r="AE1092" s="121"/>
      <c r="AF1092" s="121"/>
      <c r="AG1092" s="121"/>
      <c r="AH1092" s="121"/>
      <c r="AI1092" s="121"/>
      <c r="AJ1092" s="121"/>
      <c r="AK1092" s="121"/>
      <c r="AL1092" s="121"/>
      <c r="AM1092" s="121"/>
      <c r="AN1092" s="121"/>
    </row>
    <row r="1093">
      <c r="B1093" s="120"/>
      <c r="C1093" s="121"/>
      <c r="D1093" s="121"/>
      <c r="E1093" s="121"/>
      <c r="F1093" s="122"/>
      <c r="G1093" s="122"/>
      <c r="H1093" s="122"/>
      <c r="I1093" s="122"/>
      <c r="J1093" s="122"/>
      <c r="K1093" s="122"/>
      <c r="L1093" s="122"/>
      <c r="M1093" s="122"/>
      <c r="N1093" s="122"/>
      <c r="O1093" s="122"/>
      <c r="P1093" s="122"/>
      <c r="Q1093" s="122"/>
      <c r="R1093" s="122"/>
      <c r="S1093" s="122"/>
      <c r="T1093" s="122"/>
      <c r="U1093" s="122"/>
      <c r="V1093" s="122"/>
      <c r="W1093" s="121"/>
      <c r="X1093" s="121"/>
      <c r="Y1093" s="121"/>
      <c r="Z1093" s="121"/>
      <c r="AA1093" s="121"/>
      <c r="AB1093" s="121"/>
      <c r="AC1093" s="121"/>
      <c r="AD1093" s="121"/>
      <c r="AE1093" s="121"/>
      <c r="AF1093" s="121"/>
      <c r="AG1093" s="121"/>
      <c r="AH1093" s="121"/>
      <c r="AI1093" s="121"/>
      <c r="AJ1093" s="121"/>
      <c r="AK1093" s="121"/>
      <c r="AL1093" s="121"/>
      <c r="AM1093" s="121"/>
      <c r="AN1093" s="121"/>
    </row>
    <row r="1094">
      <c r="B1094" s="120"/>
      <c r="C1094" s="121"/>
      <c r="D1094" s="121"/>
      <c r="E1094" s="121"/>
      <c r="F1094" s="122"/>
      <c r="G1094" s="122"/>
      <c r="H1094" s="122"/>
      <c r="I1094" s="122"/>
      <c r="J1094" s="122"/>
      <c r="K1094" s="122"/>
      <c r="L1094" s="122"/>
      <c r="M1094" s="122"/>
      <c r="N1094" s="122"/>
      <c r="O1094" s="122"/>
      <c r="P1094" s="122"/>
      <c r="Q1094" s="122"/>
      <c r="R1094" s="122"/>
      <c r="S1094" s="122"/>
      <c r="T1094" s="122"/>
      <c r="U1094" s="121"/>
      <c r="V1094" s="122"/>
      <c r="W1094" s="121"/>
      <c r="X1094" s="122"/>
      <c r="Y1094" s="121"/>
      <c r="Z1094" s="121"/>
      <c r="AA1094" s="121"/>
      <c r="AB1094" s="121"/>
      <c r="AC1094" s="121"/>
      <c r="AD1094" s="121"/>
      <c r="AE1094" s="121"/>
      <c r="AF1094" s="121"/>
      <c r="AG1094" s="121"/>
      <c r="AH1094" s="121"/>
      <c r="AI1094" s="121"/>
      <c r="AJ1094" s="121"/>
      <c r="AK1094" s="121"/>
      <c r="AL1094" s="121"/>
      <c r="AM1094" s="121"/>
      <c r="AN1094" s="121"/>
    </row>
    <row r="1095">
      <c r="B1095" s="120"/>
      <c r="C1095" s="121"/>
      <c r="D1095" s="121"/>
      <c r="E1095" s="121"/>
      <c r="F1095" s="122"/>
      <c r="G1095" s="122"/>
      <c r="H1095" s="122"/>
      <c r="I1095" s="122"/>
      <c r="J1095" s="122"/>
      <c r="K1095" s="122"/>
      <c r="L1095" s="122"/>
      <c r="M1095" s="122"/>
      <c r="N1095" s="122"/>
      <c r="O1095" s="122"/>
      <c r="P1095" s="122"/>
      <c r="Q1095" s="122"/>
      <c r="R1095" s="122"/>
      <c r="S1095" s="122"/>
      <c r="T1095" s="122"/>
      <c r="U1095" s="122"/>
      <c r="V1095" s="122"/>
      <c r="W1095" s="122"/>
      <c r="X1095" s="122"/>
      <c r="Y1095" s="121"/>
      <c r="Z1095" s="121"/>
      <c r="AA1095" s="121"/>
      <c r="AB1095" s="121"/>
      <c r="AC1095" s="121"/>
      <c r="AD1095" s="121"/>
      <c r="AE1095" s="121"/>
      <c r="AF1095" s="121"/>
      <c r="AG1095" s="121"/>
      <c r="AH1095" s="121"/>
      <c r="AI1095" s="121"/>
      <c r="AJ1095" s="121"/>
      <c r="AK1095" s="121"/>
      <c r="AL1095" s="121"/>
      <c r="AM1095" s="121"/>
      <c r="AN1095" s="121"/>
    </row>
    <row r="1096">
      <c r="A1096" s="120"/>
      <c r="B1096" s="120"/>
      <c r="C1096" s="122"/>
      <c r="D1096" s="122"/>
      <c r="E1096" s="122"/>
      <c r="F1096" s="122"/>
      <c r="G1096" s="122"/>
      <c r="H1096" s="122"/>
      <c r="I1096" s="122"/>
      <c r="J1096" s="122"/>
      <c r="K1096" s="122"/>
      <c r="L1096" s="122"/>
      <c r="M1096" s="122"/>
      <c r="N1096" s="122"/>
      <c r="O1096" s="122"/>
      <c r="P1096" s="122"/>
      <c r="Q1096" s="122"/>
      <c r="R1096" s="122"/>
      <c r="S1096" s="122"/>
      <c r="T1096" s="122"/>
      <c r="U1096" s="122"/>
      <c r="V1096" s="122"/>
      <c r="W1096" s="122"/>
      <c r="X1096" s="122"/>
      <c r="Y1096" s="122"/>
      <c r="Z1096" s="122"/>
      <c r="AA1096" s="122"/>
      <c r="AB1096" s="122"/>
      <c r="AC1096" s="122"/>
      <c r="AD1096" s="122"/>
      <c r="AE1096" s="122"/>
      <c r="AF1096" s="122"/>
      <c r="AG1096" s="122"/>
      <c r="AH1096" s="122"/>
      <c r="AI1096" s="122"/>
      <c r="AJ1096" s="122"/>
      <c r="AK1096" s="122"/>
      <c r="AL1096" s="122"/>
      <c r="AM1096" s="122"/>
      <c r="AN1096" s="122"/>
    </row>
    <row r="1097">
      <c r="B1097" s="120"/>
      <c r="C1097" s="122"/>
      <c r="D1097" s="122"/>
      <c r="E1097" s="122"/>
      <c r="F1097" s="122"/>
      <c r="G1097" s="122"/>
      <c r="H1097" s="122"/>
      <c r="I1097" s="122"/>
      <c r="J1097" s="122"/>
      <c r="K1097" s="122"/>
      <c r="L1097" s="122"/>
      <c r="M1097" s="122"/>
      <c r="N1097" s="122"/>
      <c r="O1097" s="122"/>
      <c r="P1097" s="122"/>
      <c r="Q1097" s="122"/>
      <c r="R1097" s="122"/>
      <c r="S1097" s="122"/>
      <c r="T1097" s="122"/>
      <c r="U1097" s="122"/>
      <c r="V1097" s="122"/>
      <c r="W1097" s="122"/>
      <c r="X1097" s="122"/>
      <c r="Y1097" s="122"/>
      <c r="Z1097" s="122"/>
      <c r="AA1097" s="122"/>
      <c r="AB1097" s="122"/>
      <c r="AC1097" s="122"/>
      <c r="AD1097" s="122"/>
      <c r="AE1097" s="122"/>
      <c r="AF1097" s="122"/>
      <c r="AG1097" s="122"/>
      <c r="AH1097" s="122"/>
      <c r="AI1097" s="122"/>
      <c r="AJ1097" s="122"/>
      <c r="AK1097" s="122"/>
      <c r="AL1097" s="122"/>
      <c r="AM1097" s="122"/>
      <c r="AN1097" s="122"/>
    </row>
    <row r="1098">
      <c r="A1098" s="120"/>
      <c r="B1098" s="120"/>
      <c r="C1098" s="122"/>
      <c r="D1098" s="122"/>
      <c r="E1098" s="122"/>
      <c r="F1098" s="122"/>
      <c r="G1098" s="122"/>
      <c r="H1098" s="122"/>
      <c r="I1098" s="122"/>
      <c r="J1098" s="122"/>
      <c r="K1098" s="122"/>
      <c r="L1098" s="122"/>
      <c r="M1098" s="122"/>
      <c r="N1098" s="122"/>
      <c r="O1098" s="122"/>
      <c r="P1098" s="122"/>
      <c r="Q1098" s="122"/>
      <c r="R1098" s="122"/>
      <c r="S1098" s="122"/>
      <c r="T1098" s="122"/>
      <c r="U1098" s="122"/>
      <c r="V1098" s="122"/>
      <c r="W1098" s="122"/>
      <c r="X1098" s="122"/>
      <c r="Y1098" s="122"/>
      <c r="Z1098" s="122"/>
      <c r="AA1098" s="122"/>
      <c r="AB1098" s="122"/>
      <c r="AC1098" s="122"/>
      <c r="AD1098" s="122"/>
      <c r="AE1098" s="122"/>
      <c r="AF1098" s="122"/>
      <c r="AG1098" s="122"/>
      <c r="AH1098" s="122"/>
      <c r="AI1098" s="122"/>
      <c r="AJ1098" s="122"/>
      <c r="AK1098" s="122"/>
      <c r="AL1098" s="122"/>
      <c r="AM1098" s="122"/>
      <c r="AN1098" s="122"/>
    </row>
    <row r="1099">
      <c r="B1099" s="120"/>
      <c r="C1099" s="122"/>
      <c r="D1099" s="122"/>
      <c r="E1099" s="122"/>
      <c r="F1099" s="122"/>
      <c r="G1099" s="122"/>
      <c r="H1099" s="122"/>
      <c r="I1099" s="122"/>
      <c r="J1099" s="122"/>
      <c r="K1099" s="122"/>
      <c r="L1099" s="122"/>
      <c r="M1099" s="122"/>
      <c r="N1099" s="122"/>
      <c r="O1099" s="122"/>
      <c r="P1099" s="122"/>
      <c r="Q1099" s="122"/>
      <c r="R1099" s="122"/>
      <c r="S1099" s="122"/>
      <c r="T1099" s="122"/>
      <c r="U1099" s="122"/>
      <c r="V1099" s="122"/>
      <c r="W1099" s="122"/>
      <c r="X1099" s="122"/>
      <c r="Y1099" s="122"/>
      <c r="Z1099" s="122"/>
      <c r="AA1099" s="122"/>
      <c r="AB1099" s="122"/>
      <c r="AC1099" s="122"/>
      <c r="AD1099" s="122"/>
      <c r="AE1099" s="122"/>
      <c r="AF1099" s="122"/>
      <c r="AG1099" s="122"/>
      <c r="AH1099" s="122"/>
      <c r="AI1099" s="122"/>
      <c r="AJ1099" s="122"/>
      <c r="AK1099" s="122"/>
      <c r="AL1099" s="122"/>
      <c r="AM1099" s="122"/>
      <c r="AN1099" s="122"/>
    </row>
    <row r="1100">
      <c r="A1100" s="120"/>
      <c r="B1100" s="120"/>
      <c r="C1100" s="122"/>
      <c r="D1100" s="122"/>
      <c r="E1100" s="122"/>
      <c r="F1100" s="122"/>
      <c r="G1100" s="122"/>
      <c r="H1100" s="122"/>
      <c r="I1100" s="122"/>
      <c r="J1100" s="122"/>
      <c r="K1100" s="122"/>
      <c r="L1100" s="122"/>
      <c r="M1100" s="122"/>
      <c r="N1100" s="122"/>
      <c r="O1100" s="122"/>
      <c r="P1100" s="122"/>
      <c r="Q1100" s="122"/>
      <c r="R1100" s="122"/>
      <c r="S1100" s="122"/>
      <c r="T1100" s="122"/>
      <c r="U1100" s="122"/>
      <c r="V1100" s="122"/>
      <c r="W1100" s="122"/>
      <c r="X1100" s="122"/>
      <c r="Y1100" s="122"/>
      <c r="Z1100" s="122"/>
      <c r="AA1100" s="122"/>
      <c r="AB1100" s="122"/>
      <c r="AC1100" s="122"/>
      <c r="AD1100" s="122"/>
      <c r="AE1100" s="122"/>
      <c r="AF1100" s="122"/>
      <c r="AG1100" s="122"/>
      <c r="AH1100" s="122"/>
      <c r="AI1100" s="122"/>
      <c r="AJ1100" s="122"/>
      <c r="AK1100" s="122"/>
      <c r="AL1100" s="122"/>
      <c r="AM1100" s="122"/>
      <c r="AN1100" s="122"/>
    </row>
    <row r="1101">
      <c r="B1101" s="120"/>
      <c r="C1101" s="122"/>
      <c r="D1101" s="122"/>
      <c r="E1101" s="122"/>
      <c r="F1101" s="122"/>
      <c r="G1101" s="122"/>
      <c r="H1101" s="122"/>
      <c r="I1101" s="122"/>
      <c r="J1101" s="122"/>
      <c r="K1101" s="122"/>
      <c r="L1101" s="122"/>
      <c r="M1101" s="122"/>
      <c r="N1101" s="122"/>
      <c r="O1101" s="122"/>
      <c r="P1101" s="122"/>
      <c r="Q1101" s="122"/>
      <c r="R1101" s="122"/>
      <c r="S1101" s="122"/>
      <c r="T1101" s="122"/>
      <c r="U1101" s="122"/>
      <c r="V1101" s="122"/>
      <c r="W1101" s="122"/>
      <c r="X1101" s="122"/>
      <c r="Y1101" s="122"/>
      <c r="Z1101" s="122"/>
      <c r="AA1101" s="122"/>
      <c r="AB1101" s="122"/>
      <c r="AC1101" s="122"/>
      <c r="AD1101" s="122"/>
      <c r="AE1101" s="122"/>
      <c r="AF1101" s="122"/>
      <c r="AG1101" s="122"/>
      <c r="AH1101" s="122"/>
      <c r="AI1101" s="122"/>
      <c r="AJ1101" s="122"/>
      <c r="AK1101" s="122"/>
      <c r="AL1101" s="122"/>
      <c r="AM1101" s="122"/>
      <c r="AN1101" s="122"/>
    </row>
    <row r="1102">
      <c r="A1102" s="120"/>
      <c r="B1102" s="120"/>
      <c r="C1102" s="122"/>
      <c r="D1102" s="122"/>
      <c r="E1102" s="122"/>
      <c r="F1102" s="122"/>
      <c r="G1102" s="122"/>
      <c r="H1102" s="122"/>
      <c r="I1102" s="122"/>
      <c r="J1102" s="122"/>
      <c r="K1102" s="122"/>
      <c r="L1102" s="122"/>
      <c r="M1102" s="122"/>
      <c r="N1102" s="122"/>
      <c r="O1102" s="122"/>
      <c r="P1102" s="122"/>
      <c r="Q1102" s="122"/>
      <c r="R1102" s="122"/>
      <c r="S1102" s="122"/>
      <c r="T1102" s="122"/>
      <c r="U1102" s="122"/>
      <c r="V1102" s="122"/>
      <c r="W1102" s="122"/>
      <c r="X1102" s="122"/>
      <c r="Y1102" s="122"/>
      <c r="Z1102" s="122"/>
      <c r="AA1102" s="122"/>
      <c r="AB1102" s="122"/>
      <c r="AC1102" s="122"/>
      <c r="AD1102" s="122"/>
      <c r="AE1102" s="122"/>
      <c r="AF1102" s="122"/>
      <c r="AG1102" s="122"/>
      <c r="AH1102" s="122"/>
      <c r="AI1102" s="122"/>
      <c r="AJ1102" s="122"/>
      <c r="AK1102" s="122"/>
      <c r="AL1102" s="122"/>
      <c r="AM1102" s="122"/>
      <c r="AN1102" s="122"/>
    </row>
    <row r="1103">
      <c r="B1103" s="120"/>
      <c r="C1103" s="122"/>
      <c r="D1103" s="122"/>
      <c r="E1103" s="122"/>
      <c r="F1103" s="122"/>
      <c r="G1103" s="122"/>
      <c r="H1103" s="122"/>
      <c r="I1103" s="122"/>
      <c r="J1103" s="122"/>
      <c r="K1103" s="122"/>
      <c r="L1103" s="122"/>
      <c r="M1103" s="122"/>
      <c r="N1103" s="122"/>
      <c r="O1103" s="122"/>
      <c r="P1103" s="122"/>
      <c r="Q1103" s="122"/>
      <c r="R1103" s="122"/>
      <c r="S1103" s="122"/>
      <c r="T1103" s="122"/>
      <c r="U1103" s="122"/>
      <c r="V1103" s="122"/>
      <c r="W1103" s="122"/>
      <c r="X1103" s="122"/>
      <c r="Y1103" s="122"/>
      <c r="Z1103" s="122"/>
      <c r="AA1103" s="122"/>
      <c r="AB1103" s="122"/>
      <c r="AC1103" s="122"/>
      <c r="AD1103" s="122"/>
      <c r="AE1103" s="122"/>
      <c r="AF1103" s="122"/>
      <c r="AG1103" s="122"/>
      <c r="AH1103" s="122"/>
      <c r="AI1103" s="122"/>
      <c r="AJ1103" s="122"/>
      <c r="AK1103" s="122"/>
      <c r="AL1103" s="122"/>
      <c r="AM1103" s="122"/>
      <c r="AN1103" s="122"/>
    </row>
    <row r="1104">
      <c r="B1104" s="120"/>
      <c r="C1104" s="122"/>
      <c r="D1104" s="122"/>
      <c r="E1104" s="122"/>
      <c r="F1104" s="122"/>
      <c r="G1104" s="122"/>
      <c r="H1104" s="122"/>
      <c r="I1104" s="122"/>
      <c r="J1104" s="122"/>
      <c r="K1104" s="122"/>
      <c r="L1104" s="122"/>
      <c r="M1104" s="122"/>
      <c r="N1104" s="122"/>
      <c r="O1104" s="122"/>
      <c r="P1104" s="122"/>
      <c r="Q1104" s="122"/>
      <c r="R1104" s="122"/>
      <c r="S1104" s="122"/>
      <c r="T1104" s="122"/>
      <c r="U1104" s="122"/>
      <c r="V1104" s="122"/>
      <c r="W1104" s="122"/>
      <c r="X1104" s="122"/>
      <c r="Y1104" s="122"/>
      <c r="Z1104" s="122"/>
      <c r="AA1104" s="122"/>
      <c r="AB1104" s="122"/>
      <c r="AC1104" s="122"/>
      <c r="AD1104" s="122"/>
      <c r="AE1104" s="122"/>
      <c r="AF1104" s="122"/>
      <c r="AG1104" s="122"/>
      <c r="AH1104" s="122"/>
      <c r="AI1104" s="122"/>
      <c r="AJ1104" s="122"/>
      <c r="AK1104" s="122"/>
      <c r="AL1104" s="122"/>
      <c r="AM1104" s="122"/>
      <c r="AN1104" s="122"/>
    </row>
    <row r="1105">
      <c r="A1105" s="120"/>
      <c r="B1105" s="120"/>
      <c r="C1105" s="121"/>
      <c r="D1105" s="121"/>
      <c r="E1105" s="121"/>
      <c r="F1105" s="122"/>
      <c r="G1105" s="122"/>
      <c r="H1105" s="122"/>
      <c r="I1105" s="122"/>
      <c r="J1105" s="122"/>
      <c r="K1105" s="122"/>
      <c r="L1105" s="122"/>
      <c r="M1105" s="122"/>
      <c r="N1105" s="122"/>
      <c r="O1105" s="122"/>
      <c r="P1105" s="122"/>
      <c r="Q1105" s="122"/>
      <c r="R1105" s="122"/>
      <c r="S1105" s="121"/>
      <c r="T1105" s="122"/>
      <c r="U1105" s="121"/>
      <c r="V1105" s="122"/>
      <c r="W1105" s="121"/>
      <c r="X1105" s="122"/>
      <c r="Y1105" s="121"/>
      <c r="Z1105" s="122"/>
      <c r="AA1105" s="121"/>
      <c r="AB1105" s="122"/>
      <c r="AC1105" s="121"/>
      <c r="AD1105" s="121"/>
      <c r="AE1105" s="121"/>
      <c r="AF1105" s="121"/>
      <c r="AG1105" s="121"/>
      <c r="AH1105" s="122"/>
      <c r="AI1105" s="121"/>
      <c r="AJ1105" s="122"/>
      <c r="AK1105" s="121"/>
      <c r="AL1105" s="122"/>
      <c r="AM1105" s="121"/>
      <c r="AN1105" s="121"/>
    </row>
    <row r="1106">
      <c r="B1106" s="120"/>
      <c r="C1106" s="121"/>
      <c r="D1106" s="121"/>
      <c r="E1106" s="121"/>
      <c r="F1106" s="122"/>
      <c r="G1106" s="122"/>
      <c r="H1106" s="122"/>
      <c r="I1106" s="122"/>
      <c r="J1106" s="122"/>
      <c r="K1106" s="122"/>
      <c r="L1106" s="122"/>
      <c r="M1106" s="122"/>
      <c r="N1106" s="122"/>
      <c r="O1106" s="122"/>
      <c r="P1106" s="122"/>
      <c r="Q1106" s="122"/>
      <c r="R1106" s="122"/>
      <c r="S1106" s="122"/>
      <c r="T1106" s="122"/>
      <c r="U1106" s="122"/>
      <c r="V1106" s="122"/>
      <c r="W1106" s="122"/>
      <c r="X1106" s="122"/>
      <c r="Y1106" s="122"/>
      <c r="Z1106" s="122"/>
      <c r="AA1106" s="122"/>
      <c r="AB1106" s="122"/>
      <c r="AC1106" s="122"/>
      <c r="AD1106" s="122"/>
      <c r="AE1106" s="122"/>
      <c r="AF1106" s="122"/>
      <c r="AG1106" s="122"/>
      <c r="AH1106" s="122"/>
      <c r="AI1106" s="122"/>
      <c r="AJ1106" s="122"/>
      <c r="AK1106" s="122"/>
      <c r="AL1106" s="122"/>
      <c r="AM1106" s="122"/>
      <c r="AN1106" s="121"/>
    </row>
    <row r="1107">
      <c r="B1107" s="120"/>
      <c r="C1107" s="122"/>
      <c r="D1107" s="122"/>
      <c r="E1107" s="122"/>
      <c r="F1107" s="122"/>
      <c r="G1107" s="122"/>
      <c r="H1107" s="122"/>
      <c r="I1107" s="122"/>
      <c r="J1107" s="122"/>
      <c r="K1107" s="122"/>
      <c r="L1107" s="122"/>
      <c r="M1107" s="122"/>
      <c r="N1107" s="122"/>
      <c r="O1107" s="122"/>
      <c r="P1107" s="122"/>
      <c r="Q1107" s="122"/>
      <c r="R1107" s="122"/>
      <c r="S1107" s="122"/>
      <c r="T1107" s="122"/>
      <c r="U1107" s="122"/>
      <c r="V1107" s="122"/>
      <c r="W1107" s="122"/>
      <c r="X1107" s="122"/>
      <c r="Y1107" s="122"/>
      <c r="Z1107" s="122"/>
      <c r="AA1107" s="122"/>
      <c r="AB1107" s="122"/>
      <c r="AC1107" s="122"/>
      <c r="AD1107" s="122"/>
      <c r="AE1107" s="122"/>
      <c r="AF1107" s="122"/>
      <c r="AG1107" s="122"/>
      <c r="AH1107" s="122"/>
      <c r="AI1107" s="122"/>
      <c r="AJ1107" s="122"/>
      <c r="AK1107" s="122"/>
      <c r="AL1107" s="122"/>
      <c r="AM1107" s="122"/>
      <c r="AN1107" s="122"/>
    </row>
    <row r="1108">
      <c r="B1108" s="120"/>
      <c r="C1108" s="121"/>
      <c r="D1108" s="121"/>
      <c r="E1108" s="121"/>
      <c r="F1108" s="121"/>
      <c r="G1108" s="121"/>
      <c r="H1108" s="122"/>
      <c r="I1108" s="122"/>
      <c r="J1108" s="122"/>
      <c r="K1108" s="122"/>
      <c r="L1108" s="122"/>
      <c r="M1108" s="122"/>
      <c r="N1108" s="122"/>
      <c r="O1108" s="122"/>
      <c r="P1108" s="122"/>
      <c r="Q1108" s="122"/>
      <c r="R1108" s="122"/>
      <c r="S1108" s="122"/>
      <c r="T1108" s="122"/>
      <c r="U1108" s="122"/>
      <c r="V1108" s="122"/>
      <c r="W1108" s="122"/>
      <c r="X1108" s="122"/>
      <c r="Y1108" s="122"/>
      <c r="Z1108" s="122"/>
      <c r="AA1108" s="122"/>
      <c r="AB1108" s="122"/>
      <c r="AC1108" s="122"/>
      <c r="AD1108" s="122"/>
      <c r="AE1108" s="122"/>
      <c r="AF1108" s="122"/>
      <c r="AG1108" s="122"/>
      <c r="AH1108" s="122"/>
      <c r="AI1108" s="122"/>
      <c r="AJ1108" s="122"/>
      <c r="AK1108" s="122"/>
      <c r="AL1108" s="122"/>
      <c r="AM1108" s="122"/>
      <c r="AN1108" s="121"/>
    </row>
    <row r="1109">
      <c r="B1109" s="120"/>
      <c r="C1109" s="121"/>
      <c r="D1109" s="122"/>
      <c r="E1109" s="121"/>
      <c r="F1109" s="122"/>
      <c r="G1109" s="122"/>
      <c r="H1109" s="122"/>
      <c r="I1109" s="122"/>
      <c r="J1109" s="122"/>
      <c r="K1109" s="122"/>
      <c r="L1109" s="122"/>
      <c r="M1109" s="122"/>
      <c r="N1109" s="122"/>
      <c r="O1109" s="122"/>
      <c r="P1109" s="122"/>
      <c r="Q1109" s="122"/>
      <c r="R1109" s="122"/>
      <c r="S1109" s="122"/>
      <c r="T1109" s="122"/>
      <c r="U1109" s="122"/>
      <c r="V1109" s="122"/>
      <c r="W1109" s="122"/>
      <c r="X1109" s="122"/>
      <c r="Y1109" s="122"/>
      <c r="Z1109" s="122"/>
      <c r="AA1109" s="122"/>
      <c r="AB1109" s="122"/>
      <c r="AC1109" s="122"/>
      <c r="AD1109" s="122"/>
      <c r="AE1109" s="122"/>
      <c r="AF1109" s="122"/>
      <c r="AG1109" s="122"/>
      <c r="AH1109" s="122"/>
      <c r="AI1109" s="122"/>
      <c r="AJ1109" s="122"/>
      <c r="AK1109" s="122"/>
      <c r="AL1109" s="122"/>
      <c r="AM1109" s="122"/>
      <c r="AN1109" s="121"/>
    </row>
    <row r="1110">
      <c r="A1110" s="120"/>
      <c r="B1110" s="120"/>
      <c r="C1110" s="122"/>
      <c r="D1110" s="122"/>
      <c r="E1110" s="122"/>
      <c r="F1110" s="122"/>
      <c r="G1110" s="122"/>
      <c r="H1110" s="122"/>
      <c r="I1110" s="122"/>
      <c r="J1110" s="122"/>
      <c r="K1110" s="122"/>
      <c r="L1110" s="122"/>
      <c r="M1110" s="122"/>
      <c r="N1110" s="122"/>
      <c r="O1110" s="122"/>
      <c r="P1110" s="122"/>
      <c r="Q1110" s="122"/>
      <c r="R1110" s="122"/>
      <c r="S1110" s="122"/>
      <c r="T1110" s="122"/>
      <c r="U1110" s="122"/>
      <c r="V1110" s="122"/>
      <c r="W1110" s="122"/>
      <c r="X1110" s="122"/>
      <c r="Y1110" s="122"/>
      <c r="Z1110" s="122"/>
      <c r="AA1110" s="122"/>
      <c r="AB1110" s="122"/>
      <c r="AC1110" s="122"/>
      <c r="AD1110" s="122"/>
      <c r="AE1110" s="122"/>
      <c r="AF1110" s="122"/>
      <c r="AG1110" s="122"/>
      <c r="AH1110" s="122"/>
      <c r="AI1110" s="122"/>
      <c r="AJ1110" s="122"/>
      <c r="AK1110" s="122"/>
      <c r="AL1110" s="122"/>
      <c r="AM1110" s="122"/>
      <c r="AN1110" s="122"/>
    </row>
    <row r="1111">
      <c r="B1111" s="120"/>
      <c r="C1111" s="122"/>
      <c r="D1111" s="122"/>
      <c r="E1111" s="122"/>
      <c r="F1111" s="122"/>
      <c r="G1111" s="122"/>
      <c r="H1111" s="122"/>
      <c r="I1111" s="122"/>
      <c r="J1111" s="122"/>
      <c r="K1111" s="122"/>
      <c r="L1111" s="122"/>
      <c r="M1111" s="122"/>
      <c r="N1111" s="122"/>
      <c r="O1111" s="122"/>
      <c r="P1111" s="122"/>
      <c r="Q1111" s="122"/>
      <c r="R1111" s="122"/>
      <c r="S1111" s="122"/>
      <c r="T1111" s="122"/>
      <c r="U1111" s="122"/>
      <c r="V1111" s="122"/>
      <c r="W1111" s="122"/>
      <c r="X1111" s="122"/>
      <c r="Y1111" s="122"/>
      <c r="Z1111" s="122"/>
      <c r="AA1111" s="122"/>
      <c r="AB1111" s="122"/>
      <c r="AC1111" s="122"/>
      <c r="AD1111" s="122"/>
      <c r="AE1111" s="122"/>
      <c r="AF1111" s="122"/>
      <c r="AG1111" s="122"/>
      <c r="AH1111" s="122"/>
      <c r="AI1111" s="122"/>
      <c r="AJ1111" s="122"/>
      <c r="AK1111" s="122"/>
      <c r="AL1111" s="122"/>
      <c r="AM1111" s="122"/>
      <c r="AN1111" s="122"/>
    </row>
    <row r="1112">
      <c r="B1112" s="120"/>
      <c r="C1112" s="122"/>
      <c r="D1112" s="122"/>
      <c r="E1112" s="122"/>
      <c r="F1112" s="122"/>
      <c r="G1112" s="122"/>
      <c r="H1112" s="122"/>
      <c r="I1112" s="122"/>
      <c r="J1112" s="122"/>
      <c r="K1112" s="122"/>
      <c r="L1112" s="122"/>
      <c r="M1112" s="122"/>
      <c r="N1112" s="122"/>
      <c r="O1112" s="122"/>
      <c r="P1112" s="122"/>
      <c r="Q1112" s="122"/>
      <c r="R1112" s="122"/>
      <c r="S1112" s="122"/>
      <c r="T1112" s="122"/>
      <c r="U1112" s="122"/>
      <c r="V1112" s="122"/>
      <c r="W1112" s="122"/>
      <c r="X1112" s="122"/>
      <c r="Y1112" s="122"/>
      <c r="Z1112" s="122"/>
      <c r="AA1112" s="122"/>
      <c r="AB1112" s="122"/>
      <c r="AC1112" s="122"/>
      <c r="AD1112" s="122"/>
      <c r="AE1112" s="122"/>
      <c r="AF1112" s="122"/>
      <c r="AG1112" s="122"/>
      <c r="AH1112" s="122"/>
      <c r="AI1112" s="122"/>
      <c r="AJ1112" s="122"/>
      <c r="AK1112" s="122"/>
      <c r="AL1112" s="122"/>
      <c r="AM1112" s="122"/>
      <c r="AN1112" s="122"/>
    </row>
    <row r="1113">
      <c r="B1113" s="120"/>
      <c r="C1113" s="122"/>
      <c r="D1113" s="122"/>
      <c r="E1113" s="122"/>
      <c r="F1113" s="122"/>
      <c r="G1113" s="122"/>
      <c r="H1113" s="122"/>
      <c r="I1113" s="122"/>
      <c r="J1113" s="122"/>
      <c r="K1113" s="122"/>
      <c r="L1113" s="122"/>
      <c r="M1113" s="122"/>
      <c r="N1113" s="122"/>
      <c r="O1113" s="122"/>
      <c r="P1113" s="122"/>
      <c r="Q1113" s="122"/>
      <c r="R1113" s="122"/>
      <c r="S1113" s="122"/>
      <c r="T1113" s="122"/>
      <c r="U1113" s="122"/>
      <c r="V1113" s="122"/>
      <c r="W1113" s="122"/>
      <c r="X1113" s="122"/>
      <c r="Y1113" s="122"/>
      <c r="Z1113" s="122"/>
      <c r="AA1113" s="122"/>
      <c r="AB1113" s="122"/>
      <c r="AC1113" s="122"/>
      <c r="AD1113" s="122"/>
      <c r="AE1113" s="122"/>
      <c r="AF1113" s="122"/>
      <c r="AG1113" s="122"/>
      <c r="AH1113" s="122"/>
      <c r="AI1113" s="122"/>
      <c r="AJ1113" s="122"/>
      <c r="AK1113" s="122"/>
      <c r="AL1113" s="122"/>
      <c r="AM1113" s="122"/>
      <c r="AN1113" s="122"/>
    </row>
    <row r="1114">
      <c r="B1114" s="120"/>
      <c r="C1114" s="122"/>
      <c r="D1114" s="122"/>
      <c r="E1114" s="122"/>
      <c r="F1114" s="122"/>
      <c r="G1114" s="122"/>
      <c r="H1114" s="122"/>
      <c r="I1114" s="122"/>
      <c r="J1114" s="122"/>
      <c r="K1114" s="122"/>
      <c r="L1114" s="122"/>
      <c r="M1114" s="122"/>
      <c r="N1114" s="122"/>
      <c r="O1114" s="122"/>
      <c r="P1114" s="122"/>
      <c r="Q1114" s="122"/>
      <c r="R1114" s="122"/>
      <c r="S1114" s="122"/>
      <c r="T1114" s="122"/>
      <c r="U1114" s="122"/>
      <c r="V1114" s="122"/>
      <c r="W1114" s="122"/>
      <c r="X1114" s="122"/>
      <c r="Y1114" s="122"/>
      <c r="Z1114" s="122"/>
      <c r="AA1114" s="122"/>
      <c r="AB1114" s="122"/>
      <c r="AC1114" s="122"/>
      <c r="AD1114" s="122"/>
      <c r="AE1114" s="122"/>
      <c r="AF1114" s="122"/>
      <c r="AG1114" s="122"/>
      <c r="AH1114" s="122"/>
      <c r="AI1114" s="122"/>
      <c r="AJ1114" s="122"/>
      <c r="AK1114" s="122"/>
      <c r="AL1114" s="122"/>
      <c r="AM1114" s="122"/>
      <c r="AN1114" s="122"/>
    </row>
    <row r="1115">
      <c r="A1115" s="123"/>
    </row>
    <row r="1116">
      <c r="A1116" s="120"/>
      <c r="B1116" s="120"/>
      <c r="C1116" s="121"/>
      <c r="D1116" s="121"/>
      <c r="E1116" s="121"/>
      <c r="F1116" s="122"/>
      <c r="G1116" s="122"/>
      <c r="H1116" s="122"/>
      <c r="I1116" s="122"/>
      <c r="J1116" s="122"/>
      <c r="K1116" s="122"/>
      <c r="L1116" s="122"/>
      <c r="M1116" s="122"/>
      <c r="N1116" s="122"/>
      <c r="O1116" s="122"/>
      <c r="P1116" s="122"/>
      <c r="Q1116" s="122"/>
      <c r="R1116" s="122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</row>
    <row r="1117">
      <c r="B1117" s="120"/>
      <c r="C1117" s="121"/>
      <c r="D1117" s="121"/>
      <c r="E1117" s="121"/>
      <c r="F1117" s="122"/>
      <c r="G1117" s="122"/>
      <c r="H1117" s="122"/>
      <c r="I1117" s="122"/>
      <c r="J1117" s="122"/>
      <c r="K1117" s="122"/>
      <c r="L1117" s="122"/>
      <c r="M1117" s="122"/>
      <c r="N1117" s="122"/>
      <c r="O1117" s="122"/>
      <c r="P1117" s="122"/>
      <c r="Q1117" s="122"/>
      <c r="R1117" s="122"/>
      <c r="S1117" s="122"/>
      <c r="T1117" s="122"/>
      <c r="U1117" s="121"/>
      <c r="V1117" s="122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</row>
    <row r="1118">
      <c r="B1118" s="120"/>
      <c r="C1118" s="121"/>
      <c r="D1118" s="121"/>
      <c r="E1118" s="121"/>
      <c r="F1118" s="122"/>
      <c r="G1118" s="122"/>
      <c r="H1118" s="122"/>
      <c r="I1118" s="122"/>
      <c r="J1118" s="122"/>
      <c r="K1118" s="122"/>
      <c r="L1118" s="122"/>
      <c r="M1118" s="122"/>
      <c r="N1118" s="122"/>
      <c r="O1118" s="122"/>
      <c r="P1118" s="122"/>
      <c r="Q1118" s="122"/>
      <c r="R1118" s="122"/>
      <c r="S1118" s="122"/>
      <c r="T1118" s="122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</row>
    <row r="1119">
      <c r="B1119" s="120"/>
      <c r="C1119" s="121"/>
      <c r="D1119" s="122"/>
      <c r="E1119" s="121"/>
      <c r="F1119" s="122"/>
      <c r="G1119" s="122"/>
      <c r="H1119" s="122"/>
      <c r="I1119" s="122"/>
      <c r="J1119" s="122"/>
      <c r="K1119" s="122"/>
      <c r="L1119" s="122"/>
      <c r="M1119" s="122"/>
      <c r="N1119" s="122"/>
      <c r="O1119" s="122"/>
      <c r="P1119" s="122"/>
      <c r="Q1119" s="122"/>
      <c r="R1119" s="122"/>
      <c r="S1119" s="122"/>
      <c r="T1119" s="122"/>
      <c r="U1119" s="122"/>
      <c r="V1119" s="122"/>
      <c r="W1119" s="122"/>
      <c r="X1119" s="122"/>
      <c r="Y1119" s="122"/>
      <c r="Z1119" s="122"/>
      <c r="AA1119" s="122"/>
      <c r="AB1119" s="122"/>
      <c r="AC1119" s="122"/>
      <c r="AD1119" s="122"/>
      <c r="AE1119" s="122"/>
      <c r="AF1119" s="122"/>
      <c r="AG1119" s="122"/>
      <c r="AH1119" s="122"/>
      <c r="AI1119" s="122"/>
      <c r="AJ1119" s="122"/>
      <c r="AK1119" s="122"/>
      <c r="AL1119" s="122"/>
      <c r="AM1119" s="122"/>
      <c r="AN1119" s="121"/>
    </row>
    <row r="1120">
      <c r="A1120" s="120"/>
      <c r="B1120" s="120"/>
      <c r="C1120" s="122"/>
      <c r="D1120" s="122"/>
      <c r="E1120" s="122"/>
      <c r="F1120" s="122"/>
      <c r="G1120" s="122"/>
      <c r="H1120" s="122"/>
      <c r="I1120" s="122"/>
      <c r="J1120" s="122"/>
      <c r="K1120" s="122"/>
      <c r="L1120" s="122"/>
      <c r="M1120" s="122"/>
      <c r="N1120" s="122"/>
      <c r="O1120" s="122"/>
      <c r="P1120" s="122"/>
      <c r="Q1120" s="122"/>
      <c r="R1120" s="122"/>
      <c r="S1120" s="122"/>
      <c r="T1120" s="122"/>
      <c r="U1120" s="122"/>
      <c r="V1120" s="122"/>
      <c r="W1120" s="122"/>
      <c r="X1120" s="122"/>
      <c r="Y1120" s="122"/>
      <c r="Z1120" s="122"/>
      <c r="AA1120" s="122"/>
      <c r="AB1120" s="122"/>
      <c r="AC1120" s="122"/>
      <c r="AD1120" s="122"/>
      <c r="AE1120" s="122"/>
      <c r="AF1120" s="122"/>
      <c r="AG1120" s="122"/>
      <c r="AH1120" s="122"/>
      <c r="AI1120" s="122"/>
      <c r="AJ1120" s="122"/>
      <c r="AK1120" s="122"/>
      <c r="AL1120" s="122"/>
      <c r="AM1120" s="122"/>
      <c r="AN1120" s="122"/>
    </row>
    <row r="1121">
      <c r="B1121" s="120"/>
      <c r="C1121" s="122"/>
      <c r="D1121" s="122"/>
      <c r="E1121" s="122"/>
      <c r="F1121" s="122"/>
      <c r="G1121" s="122"/>
      <c r="H1121" s="122"/>
      <c r="I1121" s="122"/>
      <c r="J1121" s="122"/>
      <c r="K1121" s="122"/>
      <c r="L1121" s="122"/>
      <c r="M1121" s="122"/>
      <c r="N1121" s="122"/>
      <c r="O1121" s="122"/>
      <c r="P1121" s="122"/>
      <c r="Q1121" s="122"/>
      <c r="R1121" s="122"/>
      <c r="S1121" s="122"/>
      <c r="T1121" s="122"/>
      <c r="U1121" s="122"/>
      <c r="V1121" s="122"/>
      <c r="W1121" s="122"/>
      <c r="X1121" s="122"/>
      <c r="Y1121" s="122"/>
      <c r="Z1121" s="122"/>
      <c r="AA1121" s="122"/>
      <c r="AB1121" s="122"/>
      <c r="AC1121" s="122"/>
      <c r="AD1121" s="122"/>
      <c r="AE1121" s="122"/>
      <c r="AF1121" s="122"/>
      <c r="AG1121" s="122"/>
      <c r="AH1121" s="122"/>
      <c r="AI1121" s="122"/>
      <c r="AJ1121" s="122"/>
      <c r="AK1121" s="122"/>
      <c r="AL1121" s="122"/>
      <c r="AM1121" s="122"/>
      <c r="AN1121" s="122"/>
    </row>
    <row r="1122">
      <c r="A1122" s="120"/>
      <c r="B1122" s="120"/>
      <c r="C1122" s="122"/>
      <c r="D1122" s="122"/>
      <c r="E1122" s="122"/>
      <c r="F1122" s="122"/>
      <c r="G1122" s="122"/>
      <c r="H1122" s="122"/>
      <c r="I1122" s="122"/>
      <c r="J1122" s="122"/>
      <c r="K1122" s="122"/>
      <c r="L1122" s="122"/>
      <c r="M1122" s="122"/>
      <c r="N1122" s="122"/>
      <c r="O1122" s="122"/>
      <c r="P1122" s="122"/>
      <c r="Q1122" s="122"/>
      <c r="R1122" s="122"/>
      <c r="S1122" s="122"/>
      <c r="T1122" s="122"/>
      <c r="U1122" s="122"/>
      <c r="V1122" s="122"/>
      <c r="W1122" s="122"/>
      <c r="X1122" s="122"/>
      <c r="Y1122" s="122"/>
      <c r="Z1122" s="122"/>
      <c r="AA1122" s="122"/>
      <c r="AB1122" s="122"/>
      <c r="AC1122" s="122"/>
      <c r="AD1122" s="122"/>
      <c r="AE1122" s="122"/>
      <c r="AF1122" s="122"/>
      <c r="AG1122" s="122"/>
      <c r="AH1122" s="122"/>
      <c r="AI1122" s="122"/>
      <c r="AJ1122" s="122"/>
      <c r="AK1122" s="122"/>
      <c r="AL1122" s="122"/>
      <c r="AM1122" s="122"/>
      <c r="AN1122" s="122"/>
    </row>
    <row r="1123">
      <c r="B1123" s="120"/>
      <c r="C1123" s="121"/>
      <c r="D1123" s="122"/>
      <c r="E1123" s="122"/>
      <c r="F1123" s="122"/>
      <c r="G1123" s="122"/>
      <c r="H1123" s="122"/>
      <c r="I1123" s="122"/>
      <c r="J1123" s="122"/>
      <c r="K1123" s="122"/>
      <c r="L1123" s="122"/>
      <c r="M1123" s="122"/>
      <c r="N1123" s="122"/>
      <c r="O1123" s="122"/>
      <c r="P1123" s="122"/>
      <c r="Q1123" s="122"/>
      <c r="R1123" s="122"/>
      <c r="S1123" s="122"/>
      <c r="T1123" s="122"/>
      <c r="U1123" s="122"/>
      <c r="V1123" s="122"/>
      <c r="W1123" s="122"/>
      <c r="X1123" s="122"/>
      <c r="Y1123" s="122"/>
      <c r="Z1123" s="122"/>
      <c r="AA1123" s="122"/>
      <c r="AB1123" s="122"/>
      <c r="AC1123" s="122"/>
      <c r="AD1123" s="122"/>
      <c r="AE1123" s="122"/>
      <c r="AF1123" s="122"/>
      <c r="AG1123" s="122"/>
      <c r="AH1123" s="122"/>
      <c r="AI1123" s="122"/>
      <c r="AJ1123" s="122"/>
      <c r="AK1123" s="122"/>
      <c r="AL1123" s="122"/>
      <c r="AM1123" s="122"/>
      <c r="AN1123" s="121"/>
    </row>
    <row r="1124">
      <c r="A1124" s="120"/>
      <c r="B1124" s="120"/>
      <c r="C1124" s="122"/>
      <c r="D1124" s="122"/>
      <c r="E1124" s="122"/>
      <c r="F1124" s="122"/>
      <c r="G1124" s="122"/>
      <c r="H1124" s="122"/>
      <c r="I1124" s="122"/>
      <c r="J1124" s="122"/>
      <c r="K1124" s="122"/>
      <c r="L1124" s="122"/>
      <c r="M1124" s="122"/>
      <c r="N1124" s="122"/>
      <c r="O1124" s="122"/>
      <c r="P1124" s="122"/>
      <c r="Q1124" s="122"/>
      <c r="R1124" s="122"/>
      <c r="S1124" s="122"/>
      <c r="T1124" s="122"/>
      <c r="U1124" s="122"/>
      <c r="V1124" s="122"/>
      <c r="W1124" s="122"/>
      <c r="X1124" s="122"/>
      <c r="Y1124" s="122"/>
      <c r="Z1124" s="122"/>
      <c r="AA1124" s="122"/>
      <c r="AB1124" s="122"/>
      <c r="AC1124" s="122"/>
      <c r="AD1124" s="122"/>
      <c r="AE1124" s="122"/>
      <c r="AF1124" s="122"/>
      <c r="AG1124" s="122"/>
      <c r="AH1124" s="122"/>
      <c r="AI1124" s="122"/>
      <c r="AJ1124" s="122"/>
      <c r="AK1124" s="122"/>
      <c r="AL1124" s="122"/>
      <c r="AM1124" s="122"/>
      <c r="AN1124" s="122"/>
    </row>
    <row r="1125">
      <c r="B1125" s="120"/>
      <c r="C1125" s="122"/>
      <c r="D1125" s="122"/>
      <c r="E1125" s="122"/>
      <c r="F1125" s="122"/>
      <c r="G1125" s="122"/>
      <c r="H1125" s="122"/>
      <c r="I1125" s="122"/>
      <c r="J1125" s="122"/>
      <c r="K1125" s="122"/>
      <c r="L1125" s="122"/>
      <c r="M1125" s="122"/>
      <c r="N1125" s="122"/>
      <c r="O1125" s="122"/>
      <c r="P1125" s="122"/>
      <c r="Q1125" s="122"/>
      <c r="R1125" s="122"/>
      <c r="S1125" s="122"/>
      <c r="T1125" s="122"/>
      <c r="U1125" s="122"/>
      <c r="V1125" s="122"/>
      <c r="W1125" s="122"/>
      <c r="X1125" s="122"/>
      <c r="Y1125" s="122"/>
      <c r="Z1125" s="122"/>
      <c r="AA1125" s="122"/>
      <c r="AB1125" s="122"/>
      <c r="AC1125" s="122"/>
      <c r="AD1125" s="122"/>
      <c r="AE1125" s="122"/>
      <c r="AF1125" s="122"/>
      <c r="AG1125" s="122"/>
      <c r="AH1125" s="122"/>
      <c r="AI1125" s="122"/>
      <c r="AJ1125" s="122"/>
      <c r="AK1125" s="122"/>
      <c r="AL1125" s="122"/>
      <c r="AM1125" s="122"/>
      <c r="AN1125" s="122"/>
    </row>
    <row r="1126">
      <c r="A1126" s="120"/>
      <c r="B1126" s="120"/>
      <c r="C1126" s="122"/>
      <c r="D1126" s="122"/>
      <c r="E1126" s="122"/>
      <c r="F1126" s="122"/>
      <c r="G1126" s="122"/>
      <c r="H1126" s="122"/>
      <c r="I1126" s="122"/>
      <c r="J1126" s="122"/>
      <c r="K1126" s="122"/>
      <c r="L1126" s="122"/>
      <c r="M1126" s="122"/>
      <c r="N1126" s="122"/>
      <c r="O1126" s="122"/>
      <c r="P1126" s="122"/>
      <c r="Q1126" s="122"/>
      <c r="R1126" s="122"/>
      <c r="S1126" s="122"/>
      <c r="T1126" s="122"/>
      <c r="U1126" s="122"/>
      <c r="V1126" s="122"/>
      <c r="W1126" s="122"/>
      <c r="X1126" s="122"/>
      <c r="Y1126" s="122"/>
      <c r="Z1126" s="122"/>
      <c r="AA1126" s="122"/>
      <c r="AB1126" s="122"/>
      <c r="AC1126" s="122"/>
      <c r="AD1126" s="122"/>
      <c r="AE1126" s="122"/>
      <c r="AF1126" s="122"/>
      <c r="AG1126" s="122"/>
      <c r="AH1126" s="122"/>
      <c r="AI1126" s="122"/>
      <c r="AJ1126" s="122"/>
      <c r="AK1126" s="122"/>
      <c r="AL1126" s="122"/>
      <c r="AM1126" s="122"/>
      <c r="AN1126" s="122"/>
    </row>
    <row r="1127">
      <c r="B1127" s="120"/>
      <c r="C1127" s="122"/>
      <c r="D1127" s="122"/>
      <c r="E1127" s="122"/>
      <c r="F1127" s="122"/>
      <c r="G1127" s="122"/>
      <c r="H1127" s="122"/>
      <c r="I1127" s="122"/>
      <c r="J1127" s="122"/>
      <c r="K1127" s="122"/>
      <c r="L1127" s="122"/>
      <c r="M1127" s="122"/>
      <c r="N1127" s="122"/>
      <c r="O1127" s="122"/>
      <c r="P1127" s="122"/>
      <c r="Q1127" s="122"/>
      <c r="R1127" s="122"/>
      <c r="S1127" s="122"/>
      <c r="T1127" s="122"/>
      <c r="U1127" s="122"/>
      <c r="V1127" s="122"/>
      <c r="W1127" s="122"/>
      <c r="X1127" s="122"/>
      <c r="Y1127" s="122"/>
      <c r="Z1127" s="122"/>
      <c r="AA1127" s="122"/>
      <c r="AB1127" s="122"/>
      <c r="AC1127" s="122"/>
      <c r="AD1127" s="122"/>
      <c r="AE1127" s="122"/>
      <c r="AF1127" s="122"/>
      <c r="AG1127" s="122"/>
      <c r="AH1127" s="122"/>
      <c r="AI1127" s="122"/>
      <c r="AJ1127" s="122"/>
      <c r="AK1127" s="122"/>
      <c r="AL1127" s="122"/>
      <c r="AM1127" s="122"/>
      <c r="AN1127" s="122"/>
    </row>
    <row r="1128">
      <c r="B1128" s="120"/>
      <c r="C1128" s="122"/>
      <c r="D1128" s="122"/>
      <c r="E1128" s="122"/>
      <c r="F1128" s="122"/>
      <c r="G1128" s="122"/>
      <c r="H1128" s="122"/>
      <c r="I1128" s="122"/>
      <c r="J1128" s="122"/>
      <c r="K1128" s="122"/>
      <c r="L1128" s="122"/>
      <c r="M1128" s="122"/>
      <c r="N1128" s="122"/>
      <c r="O1128" s="122"/>
      <c r="P1128" s="122"/>
      <c r="Q1128" s="122"/>
      <c r="R1128" s="122"/>
      <c r="S1128" s="122"/>
      <c r="T1128" s="122"/>
      <c r="U1128" s="122"/>
      <c r="V1128" s="122"/>
      <c r="W1128" s="122"/>
      <c r="X1128" s="122"/>
      <c r="Y1128" s="122"/>
      <c r="Z1128" s="122"/>
      <c r="AA1128" s="122"/>
      <c r="AB1128" s="122"/>
      <c r="AC1128" s="122"/>
      <c r="AD1128" s="122"/>
      <c r="AE1128" s="122"/>
      <c r="AF1128" s="122"/>
      <c r="AG1128" s="122"/>
      <c r="AH1128" s="122"/>
      <c r="AI1128" s="122"/>
      <c r="AJ1128" s="122"/>
      <c r="AK1128" s="122"/>
      <c r="AL1128" s="122"/>
      <c r="AM1128" s="122"/>
      <c r="AN1128" s="122"/>
    </row>
    <row r="1129">
      <c r="A1129" s="120"/>
      <c r="B1129" s="120"/>
      <c r="C1129" s="121"/>
      <c r="D1129" s="121"/>
      <c r="E1129" s="121"/>
      <c r="F1129" s="122"/>
      <c r="G1129" s="122"/>
      <c r="H1129" s="122"/>
      <c r="I1129" s="122"/>
      <c r="J1129" s="122"/>
      <c r="K1129" s="122"/>
      <c r="L1129" s="122"/>
      <c r="M1129" s="122"/>
      <c r="N1129" s="122"/>
      <c r="O1129" s="121"/>
      <c r="P1129" s="122"/>
      <c r="Q1129" s="121"/>
      <c r="R1129" s="122"/>
      <c r="S1129" s="121"/>
      <c r="T1129" s="122"/>
      <c r="U1129" s="121"/>
      <c r="V1129" s="122"/>
      <c r="W1129" s="121"/>
      <c r="X1129" s="121"/>
      <c r="Y1129" s="121"/>
      <c r="Z1129" s="121"/>
      <c r="AA1129" s="121"/>
      <c r="AB1129" s="121"/>
      <c r="AC1129" s="121"/>
      <c r="AD1129" s="121"/>
      <c r="AE1129" s="121"/>
      <c r="AF1129" s="121"/>
      <c r="AG1129" s="121"/>
      <c r="AH1129" s="121"/>
      <c r="AI1129" s="121"/>
      <c r="AJ1129" s="121"/>
      <c r="AK1129" s="121"/>
      <c r="AL1129" s="121"/>
      <c r="AM1129" s="121"/>
      <c r="AN1129" s="121"/>
    </row>
    <row r="1130">
      <c r="B1130" s="120"/>
      <c r="C1130" s="121"/>
      <c r="D1130" s="121"/>
      <c r="E1130" s="121"/>
      <c r="F1130" s="122"/>
      <c r="G1130" s="122"/>
      <c r="H1130" s="122"/>
      <c r="I1130" s="122"/>
      <c r="J1130" s="122"/>
      <c r="K1130" s="122"/>
      <c r="L1130" s="122"/>
      <c r="M1130" s="122"/>
      <c r="N1130" s="122"/>
      <c r="O1130" s="122"/>
      <c r="P1130" s="122"/>
      <c r="Q1130" s="122"/>
      <c r="R1130" s="122"/>
      <c r="S1130" s="122"/>
      <c r="T1130" s="122"/>
      <c r="U1130" s="122"/>
      <c r="V1130" s="122"/>
      <c r="W1130" s="122"/>
      <c r="X1130" s="122"/>
      <c r="Y1130" s="122"/>
      <c r="Z1130" s="122"/>
      <c r="AA1130" s="122"/>
      <c r="AB1130" s="122"/>
      <c r="AC1130" s="122"/>
      <c r="AD1130" s="122"/>
      <c r="AE1130" s="122"/>
      <c r="AF1130" s="122"/>
      <c r="AG1130" s="122"/>
      <c r="AH1130" s="122"/>
      <c r="AI1130" s="122"/>
      <c r="AJ1130" s="122"/>
      <c r="AK1130" s="122"/>
      <c r="AL1130" s="122"/>
      <c r="AM1130" s="122"/>
      <c r="AN1130" s="121"/>
    </row>
    <row r="1131">
      <c r="B1131" s="120"/>
      <c r="C1131" s="122"/>
      <c r="D1131" s="122"/>
      <c r="E1131" s="122"/>
      <c r="F1131" s="122"/>
      <c r="G1131" s="122"/>
      <c r="H1131" s="122"/>
      <c r="I1131" s="122"/>
      <c r="J1131" s="122"/>
      <c r="K1131" s="122"/>
      <c r="L1131" s="122"/>
      <c r="M1131" s="122"/>
      <c r="N1131" s="122"/>
      <c r="O1131" s="122"/>
      <c r="P1131" s="122"/>
      <c r="Q1131" s="122"/>
      <c r="R1131" s="122"/>
      <c r="S1131" s="122"/>
      <c r="T1131" s="122"/>
      <c r="U1131" s="122"/>
      <c r="V1131" s="122"/>
      <c r="W1131" s="122"/>
      <c r="X1131" s="122"/>
      <c r="Y1131" s="122"/>
      <c r="Z1131" s="122"/>
      <c r="AA1131" s="122"/>
      <c r="AB1131" s="122"/>
      <c r="AC1131" s="122"/>
      <c r="AD1131" s="122"/>
      <c r="AE1131" s="122"/>
      <c r="AF1131" s="122"/>
      <c r="AG1131" s="122"/>
      <c r="AH1131" s="122"/>
      <c r="AI1131" s="122"/>
      <c r="AJ1131" s="122"/>
      <c r="AK1131" s="122"/>
      <c r="AL1131" s="122"/>
      <c r="AM1131" s="122"/>
      <c r="AN1131" s="122"/>
    </row>
    <row r="1132">
      <c r="B1132" s="120"/>
      <c r="C1132" s="121"/>
      <c r="D1132" s="121"/>
      <c r="E1132" s="121"/>
      <c r="F1132" s="122"/>
      <c r="G1132" s="122"/>
      <c r="H1132" s="122"/>
      <c r="I1132" s="122"/>
      <c r="J1132" s="122"/>
      <c r="K1132" s="122"/>
      <c r="L1132" s="122"/>
      <c r="M1132" s="122"/>
      <c r="N1132" s="122"/>
      <c r="O1132" s="122"/>
      <c r="P1132" s="122"/>
      <c r="Q1132" s="122"/>
      <c r="R1132" s="122"/>
      <c r="S1132" s="122"/>
      <c r="T1132" s="122"/>
      <c r="U1132" s="122"/>
      <c r="V1132" s="122"/>
      <c r="W1132" s="122"/>
      <c r="X1132" s="122"/>
      <c r="Y1132" s="122"/>
      <c r="Z1132" s="122"/>
      <c r="AA1132" s="122"/>
      <c r="AB1132" s="122"/>
      <c r="AC1132" s="122"/>
      <c r="AD1132" s="122"/>
      <c r="AE1132" s="122"/>
      <c r="AF1132" s="122"/>
      <c r="AG1132" s="122"/>
      <c r="AH1132" s="122"/>
      <c r="AI1132" s="122"/>
      <c r="AJ1132" s="122"/>
      <c r="AK1132" s="122"/>
      <c r="AL1132" s="122"/>
      <c r="AM1132" s="122"/>
      <c r="AN1132" s="121"/>
    </row>
    <row r="1133">
      <c r="B1133" s="120"/>
      <c r="C1133" s="121"/>
      <c r="D1133" s="121"/>
      <c r="E1133" s="121"/>
      <c r="F1133" s="122"/>
      <c r="G1133" s="122"/>
      <c r="H1133" s="122"/>
      <c r="I1133" s="122"/>
      <c r="J1133" s="122"/>
      <c r="K1133" s="122"/>
      <c r="L1133" s="122"/>
      <c r="M1133" s="122"/>
      <c r="N1133" s="122"/>
      <c r="O1133" s="122"/>
      <c r="P1133" s="122"/>
      <c r="Q1133" s="122"/>
      <c r="R1133" s="122"/>
      <c r="S1133" s="122"/>
      <c r="T1133" s="122"/>
      <c r="U1133" s="122"/>
      <c r="V1133" s="122"/>
      <c r="W1133" s="122"/>
      <c r="X1133" s="122"/>
      <c r="Y1133" s="122"/>
      <c r="Z1133" s="122"/>
      <c r="AA1133" s="122"/>
      <c r="AB1133" s="122"/>
      <c r="AC1133" s="122"/>
      <c r="AD1133" s="122"/>
      <c r="AE1133" s="122"/>
      <c r="AF1133" s="122"/>
      <c r="AG1133" s="122"/>
      <c r="AH1133" s="122"/>
      <c r="AI1133" s="122"/>
      <c r="AJ1133" s="122"/>
      <c r="AK1133" s="122"/>
      <c r="AL1133" s="122"/>
      <c r="AM1133" s="122"/>
      <c r="AN1133" s="121"/>
    </row>
    <row r="1134">
      <c r="A1134" s="120"/>
      <c r="B1134" s="120"/>
      <c r="C1134" s="122"/>
      <c r="D1134" s="122"/>
      <c r="E1134" s="122"/>
      <c r="F1134" s="122"/>
      <c r="G1134" s="122"/>
      <c r="H1134" s="122"/>
      <c r="I1134" s="122"/>
      <c r="J1134" s="122"/>
      <c r="K1134" s="122"/>
      <c r="L1134" s="122"/>
      <c r="M1134" s="122"/>
      <c r="N1134" s="122"/>
      <c r="O1134" s="122"/>
      <c r="P1134" s="122"/>
      <c r="Q1134" s="122"/>
      <c r="R1134" s="122"/>
      <c r="S1134" s="122"/>
      <c r="T1134" s="122"/>
      <c r="U1134" s="122"/>
      <c r="V1134" s="122"/>
      <c r="W1134" s="122"/>
      <c r="X1134" s="122"/>
      <c r="Y1134" s="122"/>
      <c r="Z1134" s="122"/>
      <c r="AA1134" s="122"/>
      <c r="AB1134" s="122"/>
      <c r="AC1134" s="122"/>
      <c r="AD1134" s="122"/>
      <c r="AE1134" s="122"/>
      <c r="AF1134" s="122"/>
      <c r="AG1134" s="122"/>
      <c r="AH1134" s="122"/>
      <c r="AI1134" s="122"/>
      <c r="AJ1134" s="122"/>
      <c r="AK1134" s="122"/>
      <c r="AL1134" s="122"/>
      <c r="AM1134" s="122"/>
      <c r="AN1134" s="122"/>
    </row>
    <row r="1135">
      <c r="B1135" s="120"/>
      <c r="C1135" s="122"/>
      <c r="D1135" s="122"/>
      <c r="E1135" s="122"/>
      <c r="F1135" s="122"/>
      <c r="G1135" s="122"/>
      <c r="H1135" s="122"/>
      <c r="I1135" s="122"/>
      <c r="J1135" s="122"/>
      <c r="K1135" s="122"/>
      <c r="L1135" s="122"/>
      <c r="M1135" s="122"/>
      <c r="N1135" s="122"/>
      <c r="O1135" s="122"/>
      <c r="P1135" s="122"/>
      <c r="Q1135" s="122"/>
      <c r="R1135" s="122"/>
      <c r="S1135" s="122"/>
      <c r="T1135" s="122"/>
      <c r="U1135" s="122"/>
      <c r="V1135" s="122"/>
      <c r="W1135" s="122"/>
      <c r="X1135" s="122"/>
      <c r="Y1135" s="122"/>
      <c r="Z1135" s="122"/>
      <c r="AA1135" s="122"/>
      <c r="AB1135" s="122"/>
      <c r="AC1135" s="122"/>
      <c r="AD1135" s="122"/>
      <c r="AE1135" s="122"/>
      <c r="AF1135" s="122"/>
      <c r="AG1135" s="122"/>
      <c r="AH1135" s="122"/>
      <c r="AI1135" s="122"/>
      <c r="AJ1135" s="122"/>
      <c r="AK1135" s="122"/>
      <c r="AL1135" s="122"/>
      <c r="AM1135" s="122"/>
      <c r="AN1135" s="122"/>
    </row>
    <row r="1136">
      <c r="B1136" s="120"/>
      <c r="C1136" s="122"/>
      <c r="D1136" s="122"/>
      <c r="E1136" s="122"/>
      <c r="F1136" s="122"/>
      <c r="G1136" s="122"/>
      <c r="H1136" s="122"/>
      <c r="I1136" s="122"/>
      <c r="J1136" s="122"/>
      <c r="K1136" s="122"/>
      <c r="L1136" s="122"/>
      <c r="M1136" s="122"/>
      <c r="N1136" s="122"/>
      <c r="O1136" s="122"/>
      <c r="P1136" s="122"/>
      <c r="Q1136" s="122"/>
      <c r="R1136" s="122"/>
      <c r="S1136" s="122"/>
      <c r="T1136" s="122"/>
      <c r="U1136" s="122"/>
      <c r="V1136" s="122"/>
      <c r="W1136" s="122"/>
      <c r="X1136" s="122"/>
      <c r="Y1136" s="122"/>
      <c r="Z1136" s="122"/>
      <c r="AA1136" s="122"/>
      <c r="AB1136" s="122"/>
      <c r="AC1136" s="122"/>
      <c r="AD1136" s="122"/>
      <c r="AE1136" s="122"/>
      <c r="AF1136" s="122"/>
      <c r="AG1136" s="122"/>
      <c r="AH1136" s="122"/>
      <c r="AI1136" s="122"/>
      <c r="AJ1136" s="122"/>
      <c r="AK1136" s="122"/>
      <c r="AL1136" s="122"/>
      <c r="AM1136" s="122"/>
      <c r="AN1136" s="122"/>
    </row>
    <row r="1137">
      <c r="B1137" s="120"/>
      <c r="C1137" s="122"/>
      <c r="D1137" s="122"/>
      <c r="E1137" s="122"/>
      <c r="F1137" s="122"/>
      <c r="G1137" s="122"/>
      <c r="H1137" s="122"/>
      <c r="I1137" s="122"/>
      <c r="J1137" s="122"/>
      <c r="K1137" s="122"/>
      <c r="L1137" s="122"/>
      <c r="M1137" s="122"/>
      <c r="N1137" s="122"/>
      <c r="O1137" s="122"/>
      <c r="P1137" s="122"/>
      <c r="Q1137" s="122"/>
      <c r="R1137" s="122"/>
      <c r="S1137" s="122"/>
      <c r="T1137" s="122"/>
      <c r="U1137" s="122"/>
      <c r="V1137" s="122"/>
      <c r="W1137" s="122"/>
      <c r="X1137" s="122"/>
      <c r="Y1137" s="122"/>
      <c r="Z1137" s="122"/>
      <c r="AA1137" s="122"/>
      <c r="AB1137" s="122"/>
      <c r="AC1137" s="122"/>
      <c r="AD1137" s="122"/>
      <c r="AE1137" s="122"/>
      <c r="AF1137" s="122"/>
      <c r="AG1137" s="122"/>
      <c r="AH1137" s="122"/>
      <c r="AI1137" s="122"/>
      <c r="AJ1137" s="122"/>
      <c r="AK1137" s="122"/>
      <c r="AL1137" s="122"/>
      <c r="AM1137" s="122"/>
      <c r="AN1137" s="122"/>
    </row>
    <row r="1138">
      <c r="B1138" s="120"/>
      <c r="C1138" s="122"/>
      <c r="D1138" s="122"/>
      <c r="E1138" s="122"/>
      <c r="F1138" s="122"/>
      <c r="G1138" s="122"/>
      <c r="H1138" s="122"/>
      <c r="I1138" s="122"/>
      <c r="J1138" s="122"/>
      <c r="K1138" s="122"/>
      <c r="L1138" s="122"/>
      <c r="M1138" s="122"/>
      <c r="N1138" s="122"/>
      <c r="O1138" s="122"/>
      <c r="P1138" s="122"/>
      <c r="Q1138" s="122"/>
      <c r="R1138" s="122"/>
      <c r="S1138" s="122"/>
      <c r="T1138" s="122"/>
      <c r="U1138" s="122"/>
      <c r="V1138" s="122"/>
      <c r="W1138" s="122"/>
      <c r="X1138" s="122"/>
      <c r="Y1138" s="122"/>
      <c r="Z1138" s="122"/>
      <c r="AA1138" s="122"/>
      <c r="AB1138" s="122"/>
      <c r="AC1138" s="122"/>
      <c r="AD1138" s="122"/>
      <c r="AE1138" s="122"/>
      <c r="AF1138" s="122"/>
      <c r="AG1138" s="122"/>
      <c r="AH1138" s="122"/>
      <c r="AI1138" s="122"/>
      <c r="AJ1138" s="122"/>
      <c r="AK1138" s="122"/>
      <c r="AL1138" s="122"/>
      <c r="AM1138" s="122"/>
      <c r="AN1138" s="122"/>
    </row>
    <row r="1139">
      <c r="A1139" s="123"/>
    </row>
    <row r="1140">
      <c r="A1140" s="120"/>
      <c r="B1140" s="120"/>
      <c r="C1140" s="121"/>
      <c r="D1140" s="121"/>
      <c r="E1140" s="121"/>
      <c r="F1140" s="122"/>
      <c r="G1140" s="122"/>
      <c r="H1140" s="122"/>
      <c r="I1140" s="122"/>
      <c r="J1140" s="122"/>
      <c r="K1140" s="122"/>
      <c r="L1140" s="122"/>
      <c r="M1140" s="122"/>
      <c r="N1140" s="122"/>
      <c r="O1140" s="122"/>
      <c r="P1140" s="122"/>
      <c r="Q1140" s="122"/>
      <c r="R1140" s="122"/>
      <c r="S1140" s="122"/>
      <c r="T1140" s="122"/>
      <c r="U1140" s="121"/>
      <c r="V1140" s="121"/>
      <c r="W1140" s="121"/>
      <c r="X1140" s="121"/>
      <c r="Y1140" s="121"/>
      <c r="Z1140" s="121"/>
      <c r="AA1140" s="121"/>
      <c r="AB1140" s="121"/>
      <c r="AC1140" s="121"/>
      <c r="AD1140" s="121"/>
      <c r="AE1140" s="121"/>
      <c r="AF1140" s="121"/>
      <c r="AG1140" s="121"/>
      <c r="AH1140" s="121"/>
      <c r="AI1140" s="121"/>
      <c r="AJ1140" s="121"/>
      <c r="AK1140" s="121"/>
      <c r="AL1140" s="121"/>
      <c r="AM1140" s="121"/>
      <c r="AN1140" s="121"/>
    </row>
    <row r="1141">
      <c r="B1141" s="120"/>
      <c r="C1141" s="121"/>
      <c r="D1141" s="121"/>
      <c r="E1141" s="121"/>
      <c r="F1141" s="122"/>
      <c r="G1141" s="122"/>
      <c r="H1141" s="122"/>
      <c r="I1141" s="122"/>
      <c r="J1141" s="122"/>
      <c r="K1141" s="122"/>
      <c r="L1141" s="122"/>
      <c r="M1141" s="122"/>
      <c r="N1141" s="122"/>
      <c r="O1141" s="122"/>
      <c r="P1141" s="122"/>
      <c r="Q1141" s="122"/>
      <c r="R1141" s="122"/>
      <c r="S1141" s="122"/>
      <c r="T1141" s="122"/>
      <c r="U1141" s="122"/>
      <c r="V1141" s="122"/>
      <c r="W1141" s="121"/>
      <c r="X1141" s="121"/>
      <c r="Y1141" s="121"/>
      <c r="Z1141" s="121"/>
      <c r="AA1141" s="121"/>
      <c r="AB1141" s="121"/>
      <c r="AC1141" s="121"/>
      <c r="AD1141" s="121"/>
      <c r="AE1141" s="121"/>
      <c r="AF1141" s="121"/>
      <c r="AG1141" s="121"/>
      <c r="AH1141" s="121"/>
      <c r="AI1141" s="121"/>
      <c r="AJ1141" s="121"/>
      <c r="AK1141" s="121"/>
      <c r="AL1141" s="121"/>
      <c r="AM1141" s="121"/>
      <c r="AN1141" s="121"/>
    </row>
    <row r="1142">
      <c r="B1142" s="120"/>
      <c r="C1142" s="121"/>
      <c r="D1142" s="121"/>
      <c r="E1142" s="121"/>
      <c r="F1142" s="122"/>
      <c r="G1142" s="122"/>
      <c r="H1142" s="122"/>
      <c r="I1142" s="122"/>
      <c r="J1142" s="122"/>
      <c r="K1142" s="122"/>
      <c r="L1142" s="122"/>
      <c r="M1142" s="122"/>
      <c r="N1142" s="122"/>
      <c r="O1142" s="122"/>
      <c r="P1142" s="122"/>
      <c r="Q1142" s="122"/>
      <c r="R1142" s="122"/>
      <c r="S1142" s="122"/>
      <c r="T1142" s="122"/>
      <c r="U1142" s="121"/>
      <c r="V1142" s="122"/>
      <c r="W1142" s="121"/>
      <c r="X1142" s="121"/>
      <c r="Y1142" s="121"/>
      <c r="Z1142" s="121"/>
      <c r="AA1142" s="121"/>
      <c r="AB1142" s="121"/>
      <c r="AC1142" s="121"/>
      <c r="AD1142" s="121"/>
      <c r="AE1142" s="121"/>
      <c r="AF1142" s="121"/>
      <c r="AG1142" s="121"/>
      <c r="AH1142" s="121"/>
      <c r="AI1142" s="121"/>
      <c r="AJ1142" s="121"/>
      <c r="AK1142" s="121"/>
      <c r="AL1142" s="121"/>
      <c r="AM1142" s="121"/>
      <c r="AN1142" s="121"/>
    </row>
    <row r="1143">
      <c r="B1143" s="120"/>
      <c r="C1143" s="122"/>
      <c r="D1143" s="122"/>
      <c r="E1143" s="122"/>
      <c r="F1143" s="122"/>
      <c r="G1143" s="122"/>
      <c r="H1143" s="122"/>
      <c r="I1143" s="122"/>
      <c r="J1143" s="122"/>
      <c r="K1143" s="122"/>
      <c r="L1143" s="122"/>
      <c r="M1143" s="122"/>
      <c r="N1143" s="122"/>
      <c r="O1143" s="122"/>
      <c r="P1143" s="122"/>
      <c r="Q1143" s="122"/>
      <c r="R1143" s="122"/>
      <c r="S1143" s="122"/>
      <c r="T1143" s="122"/>
      <c r="U1143" s="122"/>
      <c r="V1143" s="122"/>
      <c r="W1143" s="122"/>
      <c r="X1143" s="122"/>
      <c r="Y1143" s="122"/>
      <c r="Z1143" s="122"/>
      <c r="AA1143" s="122"/>
      <c r="AB1143" s="122"/>
      <c r="AC1143" s="122"/>
      <c r="AD1143" s="122"/>
      <c r="AE1143" s="122"/>
      <c r="AF1143" s="122"/>
      <c r="AG1143" s="122"/>
      <c r="AH1143" s="122"/>
      <c r="AI1143" s="122"/>
      <c r="AJ1143" s="122"/>
      <c r="AK1143" s="122"/>
      <c r="AL1143" s="122"/>
      <c r="AM1143" s="122"/>
      <c r="AN1143" s="122"/>
    </row>
    <row r="1144">
      <c r="A1144" s="120"/>
      <c r="B1144" s="120"/>
      <c r="C1144" s="122"/>
      <c r="D1144" s="122"/>
      <c r="E1144" s="122"/>
      <c r="F1144" s="122"/>
      <c r="G1144" s="122"/>
      <c r="H1144" s="122"/>
      <c r="I1144" s="122"/>
      <c r="J1144" s="122"/>
      <c r="K1144" s="122"/>
      <c r="L1144" s="122"/>
      <c r="M1144" s="122"/>
      <c r="N1144" s="122"/>
      <c r="O1144" s="122"/>
      <c r="P1144" s="122"/>
      <c r="Q1144" s="122"/>
      <c r="R1144" s="122"/>
      <c r="S1144" s="122"/>
      <c r="T1144" s="122"/>
      <c r="U1144" s="122"/>
      <c r="V1144" s="122"/>
      <c r="W1144" s="122"/>
      <c r="X1144" s="122"/>
      <c r="Y1144" s="122"/>
      <c r="Z1144" s="122"/>
      <c r="AA1144" s="122"/>
      <c r="AB1144" s="122"/>
      <c r="AC1144" s="122"/>
      <c r="AD1144" s="122"/>
      <c r="AE1144" s="122"/>
      <c r="AF1144" s="122"/>
      <c r="AG1144" s="122"/>
      <c r="AH1144" s="122"/>
      <c r="AI1144" s="122"/>
      <c r="AJ1144" s="122"/>
      <c r="AK1144" s="122"/>
      <c r="AL1144" s="122"/>
      <c r="AM1144" s="122"/>
      <c r="AN1144" s="122"/>
    </row>
    <row r="1145">
      <c r="B1145" s="120"/>
      <c r="C1145" s="122"/>
      <c r="D1145" s="122"/>
      <c r="E1145" s="122"/>
      <c r="F1145" s="122"/>
      <c r="G1145" s="122"/>
      <c r="H1145" s="122"/>
      <c r="I1145" s="122"/>
      <c r="J1145" s="122"/>
      <c r="K1145" s="122"/>
      <c r="L1145" s="122"/>
      <c r="M1145" s="122"/>
      <c r="N1145" s="122"/>
      <c r="O1145" s="122"/>
      <c r="P1145" s="122"/>
      <c r="Q1145" s="122"/>
      <c r="R1145" s="122"/>
      <c r="S1145" s="122"/>
      <c r="T1145" s="122"/>
      <c r="U1145" s="122"/>
      <c r="V1145" s="122"/>
      <c r="W1145" s="122"/>
      <c r="X1145" s="122"/>
      <c r="Y1145" s="122"/>
      <c r="Z1145" s="122"/>
      <c r="AA1145" s="122"/>
      <c r="AB1145" s="122"/>
      <c r="AC1145" s="122"/>
      <c r="AD1145" s="122"/>
      <c r="AE1145" s="122"/>
      <c r="AF1145" s="122"/>
      <c r="AG1145" s="122"/>
      <c r="AH1145" s="122"/>
      <c r="AI1145" s="122"/>
      <c r="AJ1145" s="122"/>
      <c r="AK1145" s="122"/>
      <c r="AL1145" s="122"/>
      <c r="AM1145" s="122"/>
      <c r="AN1145" s="122"/>
    </row>
    <row r="1146">
      <c r="A1146" s="120"/>
      <c r="B1146" s="120"/>
      <c r="C1146" s="122"/>
      <c r="D1146" s="122"/>
      <c r="E1146" s="122"/>
      <c r="F1146" s="122"/>
      <c r="G1146" s="122"/>
      <c r="H1146" s="122"/>
      <c r="I1146" s="122"/>
      <c r="J1146" s="122"/>
      <c r="K1146" s="122"/>
      <c r="L1146" s="122"/>
      <c r="M1146" s="122"/>
      <c r="N1146" s="122"/>
      <c r="O1146" s="122"/>
      <c r="P1146" s="122"/>
      <c r="Q1146" s="122"/>
      <c r="R1146" s="122"/>
      <c r="S1146" s="122"/>
      <c r="T1146" s="122"/>
      <c r="U1146" s="122"/>
      <c r="V1146" s="122"/>
      <c r="W1146" s="122"/>
      <c r="X1146" s="122"/>
      <c r="Y1146" s="122"/>
      <c r="Z1146" s="122"/>
      <c r="AA1146" s="122"/>
      <c r="AB1146" s="122"/>
      <c r="AC1146" s="122"/>
      <c r="AD1146" s="122"/>
      <c r="AE1146" s="122"/>
      <c r="AF1146" s="122"/>
      <c r="AG1146" s="122"/>
      <c r="AH1146" s="122"/>
      <c r="AI1146" s="122"/>
      <c r="AJ1146" s="122"/>
      <c r="AK1146" s="122"/>
      <c r="AL1146" s="122"/>
      <c r="AM1146" s="122"/>
      <c r="AN1146" s="122"/>
    </row>
    <row r="1147">
      <c r="B1147" s="120"/>
      <c r="C1147" s="122"/>
      <c r="D1147" s="122"/>
      <c r="E1147" s="122"/>
      <c r="F1147" s="122"/>
      <c r="G1147" s="122"/>
      <c r="H1147" s="122"/>
      <c r="I1147" s="122"/>
      <c r="J1147" s="122"/>
      <c r="K1147" s="122"/>
      <c r="L1147" s="122"/>
      <c r="M1147" s="122"/>
      <c r="N1147" s="122"/>
      <c r="O1147" s="122"/>
      <c r="P1147" s="122"/>
      <c r="Q1147" s="122"/>
      <c r="R1147" s="122"/>
      <c r="S1147" s="122"/>
      <c r="T1147" s="122"/>
      <c r="U1147" s="122"/>
      <c r="V1147" s="122"/>
      <c r="W1147" s="122"/>
      <c r="X1147" s="122"/>
      <c r="Y1147" s="122"/>
      <c r="Z1147" s="122"/>
      <c r="AA1147" s="122"/>
      <c r="AB1147" s="122"/>
      <c r="AC1147" s="122"/>
      <c r="AD1147" s="122"/>
      <c r="AE1147" s="122"/>
      <c r="AF1147" s="122"/>
      <c r="AG1147" s="122"/>
      <c r="AH1147" s="122"/>
      <c r="AI1147" s="122"/>
      <c r="AJ1147" s="122"/>
      <c r="AK1147" s="122"/>
      <c r="AL1147" s="122"/>
      <c r="AM1147" s="122"/>
      <c r="AN1147" s="122"/>
    </row>
    <row r="1148">
      <c r="A1148" s="120"/>
      <c r="B1148" s="120"/>
      <c r="C1148" s="122"/>
      <c r="D1148" s="122"/>
      <c r="E1148" s="122"/>
      <c r="F1148" s="122"/>
      <c r="G1148" s="122"/>
      <c r="H1148" s="122"/>
      <c r="I1148" s="122"/>
      <c r="J1148" s="122"/>
      <c r="K1148" s="122"/>
      <c r="L1148" s="122"/>
      <c r="M1148" s="122"/>
      <c r="N1148" s="122"/>
      <c r="O1148" s="122"/>
      <c r="P1148" s="122"/>
      <c r="Q1148" s="122"/>
      <c r="R1148" s="122"/>
      <c r="S1148" s="122"/>
      <c r="T1148" s="122"/>
      <c r="U1148" s="122"/>
      <c r="V1148" s="122"/>
      <c r="W1148" s="122"/>
      <c r="X1148" s="122"/>
      <c r="Y1148" s="122"/>
      <c r="Z1148" s="122"/>
      <c r="AA1148" s="122"/>
      <c r="AB1148" s="122"/>
      <c r="AC1148" s="122"/>
      <c r="AD1148" s="122"/>
      <c r="AE1148" s="122"/>
      <c r="AF1148" s="122"/>
      <c r="AG1148" s="122"/>
      <c r="AH1148" s="122"/>
      <c r="AI1148" s="122"/>
      <c r="AJ1148" s="122"/>
      <c r="AK1148" s="122"/>
      <c r="AL1148" s="122"/>
      <c r="AM1148" s="122"/>
      <c r="AN1148" s="122"/>
    </row>
    <row r="1149">
      <c r="B1149" s="120"/>
      <c r="C1149" s="122"/>
      <c r="D1149" s="122"/>
      <c r="E1149" s="122"/>
      <c r="F1149" s="122"/>
      <c r="G1149" s="122"/>
      <c r="H1149" s="122"/>
      <c r="I1149" s="122"/>
      <c r="J1149" s="122"/>
      <c r="K1149" s="122"/>
      <c r="L1149" s="122"/>
      <c r="M1149" s="122"/>
      <c r="N1149" s="122"/>
      <c r="O1149" s="122"/>
      <c r="P1149" s="122"/>
      <c r="Q1149" s="122"/>
      <c r="R1149" s="122"/>
      <c r="S1149" s="122"/>
      <c r="T1149" s="122"/>
      <c r="U1149" s="122"/>
      <c r="V1149" s="122"/>
      <c r="W1149" s="122"/>
      <c r="X1149" s="122"/>
      <c r="Y1149" s="122"/>
      <c r="Z1149" s="122"/>
      <c r="AA1149" s="122"/>
      <c r="AB1149" s="122"/>
      <c r="AC1149" s="122"/>
      <c r="AD1149" s="122"/>
      <c r="AE1149" s="122"/>
      <c r="AF1149" s="122"/>
      <c r="AG1149" s="122"/>
      <c r="AH1149" s="122"/>
      <c r="AI1149" s="122"/>
      <c r="AJ1149" s="122"/>
      <c r="AK1149" s="122"/>
      <c r="AL1149" s="122"/>
      <c r="AM1149" s="122"/>
      <c r="AN1149" s="122"/>
    </row>
    <row r="1150">
      <c r="A1150" s="120"/>
      <c r="B1150" s="120"/>
      <c r="C1150" s="122"/>
      <c r="D1150" s="122"/>
      <c r="E1150" s="122"/>
      <c r="F1150" s="122"/>
      <c r="G1150" s="122"/>
      <c r="H1150" s="122"/>
      <c r="I1150" s="122"/>
      <c r="J1150" s="122"/>
      <c r="K1150" s="122"/>
      <c r="L1150" s="122"/>
      <c r="M1150" s="122"/>
      <c r="N1150" s="122"/>
      <c r="O1150" s="122"/>
      <c r="P1150" s="122"/>
      <c r="Q1150" s="122"/>
      <c r="R1150" s="122"/>
      <c r="S1150" s="122"/>
      <c r="T1150" s="122"/>
      <c r="U1150" s="122"/>
      <c r="V1150" s="122"/>
      <c r="W1150" s="122"/>
      <c r="X1150" s="122"/>
      <c r="Y1150" s="122"/>
      <c r="Z1150" s="122"/>
      <c r="AA1150" s="122"/>
      <c r="AB1150" s="122"/>
      <c r="AC1150" s="122"/>
      <c r="AD1150" s="122"/>
      <c r="AE1150" s="122"/>
      <c r="AF1150" s="122"/>
      <c r="AG1150" s="122"/>
      <c r="AH1150" s="122"/>
      <c r="AI1150" s="122"/>
      <c r="AJ1150" s="122"/>
      <c r="AK1150" s="122"/>
      <c r="AL1150" s="122"/>
      <c r="AM1150" s="122"/>
      <c r="AN1150" s="122"/>
    </row>
    <row r="1151">
      <c r="B1151" s="120"/>
      <c r="C1151" s="122"/>
      <c r="D1151" s="122"/>
      <c r="E1151" s="122"/>
      <c r="F1151" s="122"/>
      <c r="G1151" s="122"/>
      <c r="H1151" s="122"/>
      <c r="I1151" s="122"/>
      <c r="J1151" s="122"/>
      <c r="K1151" s="122"/>
      <c r="L1151" s="122"/>
      <c r="M1151" s="122"/>
      <c r="N1151" s="122"/>
      <c r="O1151" s="122"/>
      <c r="P1151" s="122"/>
      <c r="Q1151" s="122"/>
      <c r="R1151" s="122"/>
      <c r="S1151" s="122"/>
      <c r="T1151" s="122"/>
      <c r="U1151" s="122"/>
      <c r="V1151" s="122"/>
      <c r="W1151" s="122"/>
      <c r="X1151" s="122"/>
      <c r="Y1151" s="122"/>
      <c r="Z1151" s="122"/>
      <c r="AA1151" s="122"/>
      <c r="AB1151" s="122"/>
      <c r="AC1151" s="122"/>
      <c r="AD1151" s="122"/>
      <c r="AE1151" s="122"/>
      <c r="AF1151" s="122"/>
      <c r="AG1151" s="122"/>
      <c r="AH1151" s="122"/>
      <c r="AI1151" s="122"/>
      <c r="AJ1151" s="122"/>
      <c r="AK1151" s="122"/>
      <c r="AL1151" s="122"/>
      <c r="AM1151" s="122"/>
      <c r="AN1151" s="122"/>
    </row>
    <row r="1152">
      <c r="B1152" s="120"/>
      <c r="C1152" s="122"/>
      <c r="D1152" s="122"/>
      <c r="E1152" s="122"/>
      <c r="F1152" s="122"/>
      <c r="G1152" s="122"/>
      <c r="H1152" s="122"/>
      <c r="I1152" s="122"/>
      <c r="J1152" s="122"/>
      <c r="K1152" s="122"/>
      <c r="L1152" s="122"/>
      <c r="M1152" s="122"/>
      <c r="N1152" s="122"/>
      <c r="O1152" s="122"/>
      <c r="P1152" s="122"/>
      <c r="Q1152" s="122"/>
      <c r="R1152" s="122"/>
      <c r="S1152" s="122"/>
      <c r="T1152" s="122"/>
      <c r="U1152" s="122"/>
      <c r="V1152" s="122"/>
      <c r="W1152" s="122"/>
      <c r="X1152" s="122"/>
      <c r="Y1152" s="122"/>
      <c r="Z1152" s="122"/>
      <c r="AA1152" s="122"/>
      <c r="AB1152" s="122"/>
      <c r="AC1152" s="122"/>
      <c r="AD1152" s="122"/>
      <c r="AE1152" s="122"/>
      <c r="AF1152" s="122"/>
      <c r="AG1152" s="122"/>
      <c r="AH1152" s="122"/>
      <c r="AI1152" s="122"/>
      <c r="AJ1152" s="122"/>
      <c r="AK1152" s="122"/>
      <c r="AL1152" s="122"/>
      <c r="AM1152" s="122"/>
      <c r="AN1152" s="122"/>
    </row>
    <row r="1153">
      <c r="A1153" s="120"/>
      <c r="B1153" s="120"/>
      <c r="C1153" s="121"/>
      <c r="D1153" s="121"/>
      <c r="E1153" s="121"/>
      <c r="F1153" s="122"/>
      <c r="G1153" s="122"/>
      <c r="H1153" s="122"/>
      <c r="I1153" s="122"/>
      <c r="J1153" s="122"/>
      <c r="K1153" s="122"/>
      <c r="L1153" s="122"/>
      <c r="M1153" s="122"/>
      <c r="N1153" s="122"/>
      <c r="O1153" s="122"/>
      <c r="P1153" s="122"/>
      <c r="Q1153" s="122"/>
      <c r="R1153" s="122"/>
      <c r="S1153" s="122"/>
      <c r="T1153" s="122"/>
      <c r="U1153" s="122"/>
      <c r="V1153" s="122"/>
      <c r="W1153" s="121"/>
      <c r="X1153" s="122"/>
      <c r="Y1153" s="121"/>
      <c r="Z1153" s="122"/>
      <c r="AA1153" s="121"/>
      <c r="AB1153" s="122"/>
      <c r="AC1153" s="121"/>
      <c r="AD1153" s="122"/>
      <c r="AE1153" s="121"/>
      <c r="AF1153" s="121"/>
      <c r="AG1153" s="121"/>
      <c r="AH1153" s="121"/>
      <c r="AI1153" s="121"/>
      <c r="AJ1153" s="122"/>
      <c r="AK1153" s="121"/>
      <c r="AL1153" s="121"/>
      <c r="AM1153" s="121"/>
      <c r="AN1153" s="121"/>
    </row>
    <row r="1154">
      <c r="B1154" s="120"/>
      <c r="C1154" s="121"/>
      <c r="D1154" s="121"/>
      <c r="E1154" s="121"/>
      <c r="F1154" s="122"/>
      <c r="G1154" s="122"/>
      <c r="H1154" s="122"/>
      <c r="I1154" s="122"/>
      <c r="J1154" s="122"/>
      <c r="K1154" s="122"/>
      <c r="L1154" s="122"/>
      <c r="M1154" s="122"/>
      <c r="N1154" s="122"/>
      <c r="O1154" s="122"/>
      <c r="P1154" s="122"/>
      <c r="Q1154" s="122"/>
      <c r="R1154" s="122"/>
      <c r="S1154" s="122"/>
      <c r="T1154" s="122"/>
      <c r="U1154" s="122"/>
      <c r="V1154" s="122"/>
      <c r="W1154" s="122"/>
      <c r="X1154" s="122"/>
      <c r="Y1154" s="122"/>
      <c r="Z1154" s="122"/>
      <c r="AA1154" s="122"/>
      <c r="AB1154" s="122"/>
      <c r="AC1154" s="122"/>
      <c r="AD1154" s="122"/>
      <c r="AE1154" s="122"/>
      <c r="AF1154" s="122"/>
      <c r="AG1154" s="122"/>
      <c r="AH1154" s="122"/>
      <c r="AI1154" s="122"/>
      <c r="AJ1154" s="122"/>
      <c r="AK1154" s="122"/>
      <c r="AL1154" s="122"/>
      <c r="AM1154" s="122"/>
      <c r="AN1154" s="121"/>
    </row>
    <row r="1155">
      <c r="B1155" s="120"/>
      <c r="C1155" s="122"/>
      <c r="D1155" s="122"/>
      <c r="E1155" s="122"/>
      <c r="F1155" s="122"/>
      <c r="G1155" s="122"/>
      <c r="H1155" s="122"/>
      <c r="I1155" s="122"/>
      <c r="J1155" s="122"/>
      <c r="K1155" s="122"/>
      <c r="L1155" s="122"/>
      <c r="M1155" s="122"/>
      <c r="N1155" s="122"/>
      <c r="O1155" s="122"/>
      <c r="P1155" s="122"/>
      <c r="Q1155" s="122"/>
      <c r="R1155" s="122"/>
      <c r="S1155" s="122"/>
      <c r="T1155" s="122"/>
      <c r="U1155" s="122"/>
      <c r="V1155" s="122"/>
      <c r="W1155" s="122"/>
      <c r="X1155" s="122"/>
      <c r="Y1155" s="122"/>
      <c r="Z1155" s="122"/>
      <c r="AA1155" s="122"/>
      <c r="AB1155" s="122"/>
      <c r="AC1155" s="122"/>
      <c r="AD1155" s="122"/>
      <c r="AE1155" s="122"/>
      <c r="AF1155" s="122"/>
      <c r="AG1155" s="122"/>
      <c r="AH1155" s="122"/>
      <c r="AI1155" s="122"/>
      <c r="AJ1155" s="122"/>
      <c r="AK1155" s="122"/>
      <c r="AL1155" s="122"/>
      <c r="AM1155" s="122"/>
      <c r="AN1155" s="122"/>
    </row>
    <row r="1156">
      <c r="B1156" s="120"/>
      <c r="C1156" s="121"/>
      <c r="D1156" s="121"/>
      <c r="E1156" s="121"/>
      <c r="F1156" s="122"/>
      <c r="G1156" s="122"/>
      <c r="H1156" s="122"/>
      <c r="I1156" s="122"/>
      <c r="J1156" s="122"/>
      <c r="K1156" s="122"/>
      <c r="L1156" s="122"/>
      <c r="M1156" s="122"/>
      <c r="N1156" s="122"/>
      <c r="O1156" s="122"/>
      <c r="P1156" s="122"/>
      <c r="Q1156" s="122"/>
      <c r="R1156" s="122"/>
      <c r="S1156" s="122"/>
      <c r="T1156" s="122"/>
      <c r="U1156" s="122"/>
      <c r="V1156" s="122"/>
      <c r="W1156" s="122"/>
      <c r="X1156" s="122"/>
      <c r="Y1156" s="122"/>
      <c r="Z1156" s="122"/>
      <c r="AA1156" s="122"/>
      <c r="AB1156" s="122"/>
      <c r="AC1156" s="122"/>
      <c r="AD1156" s="122"/>
      <c r="AE1156" s="122"/>
      <c r="AF1156" s="122"/>
      <c r="AG1156" s="122"/>
      <c r="AH1156" s="122"/>
      <c r="AI1156" s="122"/>
      <c r="AJ1156" s="122"/>
      <c r="AK1156" s="122"/>
      <c r="AL1156" s="122"/>
      <c r="AM1156" s="122"/>
      <c r="AN1156" s="121"/>
    </row>
    <row r="1157">
      <c r="B1157" s="120"/>
      <c r="C1157" s="121"/>
      <c r="D1157" s="121"/>
      <c r="E1157" s="121"/>
      <c r="F1157" s="122"/>
      <c r="G1157" s="122"/>
      <c r="H1157" s="122"/>
      <c r="I1157" s="122"/>
      <c r="J1157" s="122"/>
      <c r="K1157" s="122"/>
      <c r="L1157" s="122"/>
      <c r="M1157" s="122"/>
      <c r="N1157" s="122"/>
      <c r="O1157" s="122"/>
      <c r="P1157" s="122"/>
      <c r="Q1157" s="122"/>
      <c r="R1157" s="122"/>
      <c r="S1157" s="122"/>
      <c r="T1157" s="122"/>
      <c r="U1157" s="122"/>
      <c r="V1157" s="122"/>
      <c r="W1157" s="122"/>
      <c r="X1157" s="122"/>
      <c r="Y1157" s="122"/>
      <c r="Z1157" s="122"/>
      <c r="AA1157" s="122"/>
      <c r="AB1157" s="122"/>
      <c r="AC1157" s="122"/>
      <c r="AD1157" s="122"/>
      <c r="AE1157" s="122"/>
      <c r="AF1157" s="122"/>
      <c r="AG1157" s="122"/>
      <c r="AH1157" s="122"/>
      <c r="AI1157" s="122"/>
      <c r="AJ1157" s="122"/>
      <c r="AK1157" s="122"/>
      <c r="AL1157" s="122"/>
      <c r="AM1157" s="122"/>
      <c r="AN1157" s="121"/>
    </row>
    <row r="1158">
      <c r="A1158" s="120"/>
      <c r="B1158" s="120"/>
      <c r="C1158" s="122"/>
      <c r="D1158" s="122"/>
      <c r="E1158" s="122"/>
      <c r="F1158" s="122"/>
      <c r="G1158" s="122"/>
      <c r="H1158" s="122"/>
      <c r="I1158" s="122"/>
      <c r="J1158" s="122"/>
      <c r="K1158" s="122"/>
      <c r="L1158" s="122"/>
      <c r="M1158" s="122"/>
      <c r="N1158" s="122"/>
      <c r="O1158" s="122"/>
      <c r="P1158" s="122"/>
      <c r="Q1158" s="122"/>
      <c r="R1158" s="122"/>
      <c r="S1158" s="122"/>
      <c r="T1158" s="122"/>
      <c r="U1158" s="122"/>
      <c r="V1158" s="122"/>
      <c r="W1158" s="122"/>
      <c r="X1158" s="122"/>
      <c r="Y1158" s="122"/>
      <c r="Z1158" s="122"/>
      <c r="AA1158" s="122"/>
      <c r="AB1158" s="122"/>
      <c r="AC1158" s="122"/>
      <c r="AD1158" s="122"/>
      <c r="AE1158" s="122"/>
      <c r="AF1158" s="122"/>
      <c r="AG1158" s="122"/>
      <c r="AH1158" s="122"/>
      <c r="AI1158" s="122"/>
      <c r="AJ1158" s="122"/>
      <c r="AK1158" s="122"/>
      <c r="AL1158" s="122"/>
      <c r="AM1158" s="122"/>
      <c r="AN1158" s="122"/>
    </row>
    <row r="1159">
      <c r="B1159" s="120"/>
      <c r="C1159" s="122"/>
      <c r="D1159" s="122"/>
      <c r="E1159" s="122"/>
      <c r="F1159" s="122"/>
      <c r="G1159" s="122"/>
      <c r="H1159" s="122"/>
      <c r="I1159" s="122"/>
      <c r="J1159" s="122"/>
      <c r="K1159" s="122"/>
      <c r="L1159" s="122"/>
      <c r="M1159" s="122"/>
      <c r="N1159" s="122"/>
      <c r="O1159" s="122"/>
      <c r="P1159" s="122"/>
      <c r="Q1159" s="122"/>
      <c r="R1159" s="122"/>
      <c r="S1159" s="122"/>
      <c r="T1159" s="122"/>
      <c r="U1159" s="122"/>
      <c r="V1159" s="122"/>
      <c r="W1159" s="122"/>
      <c r="X1159" s="122"/>
      <c r="Y1159" s="122"/>
      <c r="Z1159" s="122"/>
      <c r="AA1159" s="122"/>
      <c r="AB1159" s="122"/>
      <c r="AC1159" s="122"/>
      <c r="AD1159" s="122"/>
      <c r="AE1159" s="122"/>
      <c r="AF1159" s="122"/>
      <c r="AG1159" s="122"/>
      <c r="AH1159" s="122"/>
      <c r="AI1159" s="122"/>
      <c r="AJ1159" s="122"/>
      <c r="AK1159" s="122"/>
      <c r="AL1159" s="122"/>
      <c r="AM1159" s="122"/>
      <c r="AN1159" s="122"/>
    </row>
    <row r="1160">
      <c r="B1160" s="120"/>
      <c r="C1160" s="122"/>
      <c r="D1160" s="122"/>
      <c r="E1160" s="122"/>
      <c r="F1160" s="122"/>
      <c r="G1160" s="122"/>
      <c r="H1160" s="122"/>
      <c r="I1160" s="122"/>
      <c r="J1160" s="122"/>
      <c r="K1160" s="122"/>
      <c r="L1160" s="122"/>
      <c r="M1160" s="122"/>
      <c r="N1160" s="122"/>
      <c r="O1160" s="122"/>
      <c r="P1160" s="122"/>
      <c r="Q1160" s="122"/>
      <c r="R1160" s="122"/>
      <c r="S1160" s="122"/>
      <c r="T1160" s="122"/>
      <c r="U1160" s="122"/>
      <c r="V1160" s="122"/>
      <c r="W1160" s="122"/>
      <c r="X1160" s="122"/>
      <c r="Y1160" s="122"/>
      <c r="Z1160" s="122"/>
      <c r="AA1160" s="122"/>
      <c r="AB1160" s="122"/>
      <c r="AC1160" s="122"/>
      <c r="AD1160" s="122"/>
      <c r="AE1160" s="122"/>
      <c r="AF1160" s="122"/>
      <c r="AG1160" s="122"/>
      <c r="AH1160" s="122"/>
      <c r="AI1160" s="122"/>
      <c r="AJ1160" s="122"/>
      <c r="AK1160" s="122"/>
      <c r="AL1160" s="122"/>
      <c r="AM1160" s="122"/>
      <c r="AN1160" s="122"/>
    </row>
    <row r="1161">
      <c r="B1161" s="120"/>
      <c r="C1161" s="122"/>
      <c r="D1161" s="122"/>
      <c r="E1161" s="122"/>
      <c r="F1161" s="122"/>
      <c r="G1161" s="122"/>
      <c r="H1161" s="122"/>
      <c r="I1161" s="122"/>
      <c r="J1161" s="122"/>
      <c r="K1161" s="122"/>
      <c r="L1161" s="122"/>
      <c r="M1161" s="122"/>
      <c r="N1161" s="122"/>
      <c r="O1161" s="122"/>
      <c r="P1161" s="122"/>
      <c r="Q1161" s="122"/>
      <c r="R1161" s="122"/>
      <c r="S1161" s="122"/>
      <c r="T1161" s="122"/>
      <c r="U1161" s="122"/>
      <c r="V1161" s="122"/>
      <c r="W1161" s="122"/>
      <c r="X1161" s="122"/>
      <c r="Y1161" s="122"/>
      <c r="Z1161" s="122"/>
      <c r="AA1161" s="122"/>
      <c r="AB1161" s="122"/>
      <c r="AC1161" s="122"/>
      <c r="AD1161" s="122"/>
      <c r="AE1161" s="122"/>
      <c r="AF1161" s="122"/>
      <c r="AG1161" s="122"/>
      <c r="AH1161" s="122"/>
      <c r="AI1161" s="122"/>
      <c r="AJ1161" s="122"/>
      <c r="AK1161" s="122"/>
      <c r="AL1161" s="122"/>
      <c r="AM1161" s="122"/>
      <c r="AN1161" s="122"/>
    </row>
    <row r="1162">
      <c r="B1162" s="120"/>
      <c r="C1162" s="122"/>
      <c r="D1162" s="122"/>
      <c r="E1162" s="122"/>
      <c r="F1162" s="122"/>
      <c r="G1162" s="122"/>
      <c r="H1162" s="122"/>
      <c r="I1162" s="122"/>
      <c r="J1162" s="122"/>
      <c r="K1162" s="122"/>
      <c r="L1162" s="122"/>
      <c r="M1162" s="122"/>
      <c r="N1162" s="122"/>
      <c r="O1162" s="122"/>
      <c r="P1162" s="122"/>
      <c r="Q1162" s="122"/>
      <c r="R1162" s="122"/>
      <c r="S1162" s="122"/>
      <c r="T1162" s="122"/>
      <c r="U1162" s="122"/>
      <c r="V1162" s="122"/>
      <c r="W1162" s="122"/>
      <c r="X1162" s="122"/>
      <c r="Y1162" s="122"/>
      <c r="Z1162" s="122"/>
      <c r="AA1162" s="122"/>
      <c r="AB1162" s="122"/>
      <c r="AC1162" s="122"/>
      <c r="AD1162" s="122"/>
      <c r="AE1162" s="122"/>
      <c r="AF1162" s="122"/>
      <c r="AG1162" s="122"/>
      <c r="AH1162" s="122"/>
      <c r="AI1162" s="122"/>
      <c r="AJ1162" s="122"/>
      <c r="AK1162" s="122"/>
      <c r="AL1162" s="122"/>
      <c r="AM1162" s="122"/>
      <c r="AN1162" s="122"/>
    </row>
    <row r="1163">
      <c r="A1163" s="123"/>
    </row>
    <row r="1164">
      <c r="A1164" s="120"/>
      <c r="B1164" s="120"/>
      <c r="C1164" s="121"/>
      <c r="D1164" s="121"/>
      <c r="E1164" s="121"/>
      <c r="F1164" s="122"/>
      <c r="G1164" s="122"/>
      <c r="H1164" s="122"/>
      <c r="I1164" s="122"/>
      <c r="J1164" s="122"/>
      <c r="K1164" s="122"/>
      <c r="L1164" s="122"/>
      <c r="M1164" s="122"/>
      <c r="N1164" s="122"/>
      <c r="O1164" s="122"/>
      <c r="P1164" s="122"/>
      <c r="Q1164" s="122"/>
      <c r="R1164" s="122"/>
      <c r="S1164" s="122"/>
      <c r="T1164" s="122"/>
      <c r="U1164" s="121"/>
      <c r="V1164" s="122"/>
      <c r="W1164" s="121"/>
      <c r="X1164" s="121"/>
      <c r="Y1164" s="121"/>
      <c r="Z1164" s="121"/>
      <c r="AA1164" s="121"/>
      <c r="AB1164" s="121"/>
      <c r="AC1164" s="121"/>
      <c r="AD1164" s="121"/>
      <c r="AE1164" s="121"/>
      <c r="AF1164" s="121"/>
      <c r="AG1164" s="121"/>
      <c r="AH1164" s="121"/>
      <c r="AI1164" s="121"/>
      <c r="AJ1164" s="121"/>
      <c r="AK1164" s="121"/>
      <c r="AL1164" s="121"/>
      <c r="AM1164" s="121"/>
      <c r="AN1164" s="121"/>
    </row>
    <row r="1165">
      <c r="B1165" s="120"/>
      <c r="C1165" s="121"/>
      <c r="D1165" s="121"/>
      <c r="E1165" s="121"/>
      <c r="F1165" s="122"/>
      <c r="G1165" s="122"/>
      <c r="H1165" s="122"/>
      <c r="I1165" s="122"/>
      <c r="J1165" s="122"/>
      <c r="K1165" s="122"/>
      <c r="L1165" s="122"/>
      <c r="M1165" s="122"/>
      <c r="N1165" s="122"/>
      <c r="O1165" s="122"/>
      <c r="P1165" s="122"/>
      <c r="Q1165" s="122"/>
      <c r="R1165" s="122"/>
      <c r="S1165" s="122"/>
      <c r="T1165" s="122"/>
      <c r="U1165" s="122"/>
      <c r="V1165" s="122"/>
      <c r="W1165" s="121"/>
      <c r="X1165" s="121"/>
      <c r="Y1165" s="121"/>
      <c r="Z1165" s="121"/>
      <c r="AA1165" s="121"/>
      <c r="AB1165" s="121"/>
      <c r="AC1165" s="121"/>
      <c r="AD1165" s="121"/>
      <c r="AE1165" s="121"/>
      <c r="AF1165" s="121"/>
      <c r="AG1165" s="121"/>
      <c r="AH1165" s="121"/>
      <c r="AI1165" s="121"/>
      <c r="AJ1165" s="121"/>
      <c r="AK1165" s="121"/>
      <c r="AL1165" s="121"/>
      <c r="AM1165" s="121"/>
      <c r="AN1165" s="121"/>
    </row>
    <row r="1166">
      <c r="B1166" s="120"/>
      <c r="C1166" s="121"/>
      <c r="D1166" s="121"/>
      <c r="E1166" s="121"/>
      <c r="F1166" s="122"/>
      <c r="G1166" s="122"/>
      <c r="H1166" s="122"/>
      <c r="I1166" s="122"/>
      <c r="J1166" s="122"/>
      <c r="K1166" s="122"/>
      <c r="L1166" s="122"/>
      <c r="M1166" s="122"/>
      <c r="N1166" s="122"/>
      <c r="O1166" s="122"/>
      <c r="P1166" s="122"/>
      <c r="Q1166" s="122"/>
      <c r="R1166" s="122"/>
      <c r="S1166" s="122"/>
      <c r="T1166" s="122"/>
      <c r="U1166" s="122"/>
      <c r="V1166" s="122"/>
      <c r="W1166" s="121"/>
      <c r="X1166" s="122"/>
      <c r="Y1166" s="121"/>
      <c r="Z1166" s="121"/>
      <c r="AA1166" s="121"/>
      <c r="AB1166" s="121"/>
      <c r="AC1166" s="121"/>
      <c r="AD1166" s="121"/>
      <c r="AE1166" s="121"/>
      <c r="AF1166" s="121"/>
      <c r="AG1166" s="121"/>
      <c r="AH1166" s="121"/>
      <c r="AI1166" s="121"/>
      <c r="AJ1166" s="121"/>
      <c r="AK1166" s="121"/>
      <c r="AL1166" s="121"/>
      <c r="AM1166" s="121"/>
      <c r="AN1166" s="121"/>
    </row>
    <row r="1167">
      <c r="B1167" s="120"/>
      <c r="C1167" s="121"/>
      <c r="D1167" s="122"/>
      <c r="E1167" s="121"/>
      <c r="F1167" s="122"/>
      <c r="G1167" s="122"/>
      <c r="H1167" s="122"/>
      <c r="I1167" s="122"/>
      <c r="J1167" s="122"/>
      <c r="K1167" s="122"/>
      <c r="L1167" s="122"/>
      <c r="M1167" s="122"/>
      <c r="N1167" s="122"/>
      <c r="O1167" s="122"/>
      <c r="P1167" s="122"/>
      <c r="Q1167" s="122"/>
      <c r="R1167" s="122"/>
      <c r="S1167" s="122"/>
      <c r="T1167" s="122"/>
      <c r="U1167" s="122"/>
      <c r="V1167" s="122"/>
      <c r="W1167" s="122"/>
      <c r="X1167" s="122"/>
      <c r="Y1167" s="122"/>
      <c r="Z1167" s="122"/>
      <c r="AA1167" s="122"/>
      <c r="AB1167" s="122"/>
      <c r="AC1167" s="122"/>
      <c r="AD1167" s="122"/>
      <c r="AE1167" s="122"/>
      <c r="AF1167" s="122"/>
      <c r="AG1167" s="122"/>
      <c r="AH1167" s="122"/>
      <c r="AI1167" s="122"/>
      <c r="AJ1167" s="122"/>
      <c r="AK1167" s="122"/>
      <c r="AL1167" s="122"/>
      <c r="AM1167" s="122"/>
      <c r="AN1167" s="121"/>
    </row>
    <row r="1168">
      <c r="A1168" s="120"/>
      <c r="B1168" s="120"/>
      <c r="C1168" s="122"/>
      <c r="D1168" s="122"/>
      <c r="E1168" s="122"/>
      <c r="F1168" s="122"/>
      <c r="G1168" s="122"/>
      <c r="H1168" s="122"/>
      <c r="I1168" s="122"/>
      <c r="J1168" s="122"/>
      <c r="K1168" s="122"/>
      <c r="L1168" s="122"/>
      <c r="M1168" s="122"/>
      <c r="N1168" s="122"/>
      <c r="O1168" s="122"/>
      <c r="P1168" s="122"/>
      <c r="Q1168" s="122"/>
      <c r="R1168" s="122"/>
      <c r="S1168" s="122"/>
      <c r="T1168" s="122"/>
      <c r="U1168" s="122"/>
      <c r="V1168" s="122"/>
      <c r="W1168" s="122"/>
      <c r="X1168" s="122"/>
      <c r="Y1168" s="122"/>
      <c r="Z1168" s="122"/>
      <c r="AA1168" s="122"/>
      <c r="AB1168" s="122"/>
      <c r="AC1168" s="122"/>
      <c r="AD1168" s="122"/>
      <c r="AE1168" s="122"/>
      <c r="AF1168" s="122"/>
      <c r="AG1168" s="122"/>
      <c r="AH1168" s="122"/>
      <c r="AI1168" s="122"/>
      <c r="AJ1168" s="122"/>
      <c r="AK1168" s="122"/>
      <c r="AL1168" s="122"/>
      <c r="AM1168" s="122"/>
      <c r="AN1168" s="122"/>
    </row>
    <row r="1169">
      <c r="B1169" s="120"/>
      <c r="C1169" s="122"/>
      <c r="D1169" s="122"/>
      <c r="E1169" s="122"/>
      <c r="F1169" s="122"/>
      <c r="G1169" s="122"/>
      <c r="H1169" s="122"/>
      <c r="I1169" s="122"/>
      <c r="J1169" s="122"/>
      <c r="K1169" s="122"/>
      <c r="L1169" s="122"/>
      <c r="M1169" s="122"/>
      <c r="N1169" s="122"/>
      <c r="O1169" s="122"/>
      <c r="P1169" s="122"/>
      <c r="Q1169" s="122"/>
      <c r="R1169" s="122"/>
      <c r="S1169" s="122"/>
      <c r="T1169" s="122"/>
      <c r="U1169" s="122"/>
      <c r="V1169" s="122"/>
      <c r="W1169" s="122"/>
      <c r="X1169" s="122"/>
      <c r="Y1169" s="122"/>
      <c r="Z1169" s="122"/>
      <c r="AA1169" s="122"/>
      <c r="AB1169" s="122"/>
      <c r="AC1169" s="122"/>
      <c r="AD1169" s="122"/>
      <c r="AE1169" s="122"/>
      <c r="AF1169" s="122"/>
      <c r="AG1169" s="122"/>
      <c r="AH1169" s="122"/>
      <c r="AI1169" s="122"/>
      <c r="AJ1169" s="122"/>
      <c r="AK1169" s="122"/>
      <c r="AL1169" s="122"/>
      <c r="AM1169" s="122"/>
      <c r="AN1169" s="122"/>
    </row>
    <row r="1170">
      <c r="A1170" s="120"/>
      <c r="B1170" s="120"/>
      <c r="C1170" s="122"/>
      <c r="D1170" s="122"/>
      <c r="E1170" s="122"/>
      <c r="F1170" s="122"/>
      <c r="G1170" s="122"/>
      <c r="H1170" s="122"/>
      <c r="I1170" s="122"/>
      <c r="J1170" s="122"/>
      <c r="K1170" s="122"/>
      <c r="L1170" s="122"/>
      <c r="M1170" s="122"/>
      <c r="N1170" s="122"/>
      <c r="O1170" s="122"/>
      <c r="P1170" s="122"/>
      <c r="Q1170" s="122"/>
      <c r="R1170" s="122"/>
      <c r="S1170" s="122"/>
      <c r="T1170" s="122"/>
      <c r="U1170" s="122"/>
      <c r="V1170" s="122"/>
      <c r="W1170" s="122"/>
      <c r="X1170" s="122"/>
      <c r="Y1170" s="122"/>
      <c r="Z1170" s="122"/>
      <c r="AA1170" s="122"/>
      <c r="AB1170" s="122"/>
      <c r="AC1170" s="122"/>
      <c r="AD1170" s="122"/>
      <c r="AE1170" s="122"/>
      <c r="AF1170" s="122"/>
      <c r="AG1170" s="122"/>
      <c r="AH1170" s="122"/>
      <c r="AI1170" s="122"/>
      <c r="AJ1170" s="122"/>
      <c r="AK1170" s="122"/>
      <c r="AL1170" s="122"/>
      <c r="AM1170" s="122"/>
      <c r="AN1170" s="122"/>
    </row>
    <row r="1171">
      <c r="B1171" s="120"/>
      <c r="C1171" s="121"/>
      <c r="D1171" s="122"/>
      <c r="E1171" s="122"/>
      <c r="F1171" s="122"/>
      <c r="G1171" s="122"/>
      <c r="H1171" s="122"/>
      <c r="I1171" s="122"/>
      <c r="J1171" s="122"/>
      <c r="K1171" s="122"/>
      <c r="L1171" s="122"/>
      <c r="M1171" s="122"/>
      <c r="N1171" s="122"/>
      <c r="O1171" s="122"/>
      <c r="P1171" s="122"/>
      <c r="Q1171" s="122"/>
      <c r="R1171" s="122"/>
      <c r="S1171" s="122"/>
      <c r="T1171" s="122"/>
      <c r="U1171" s="122"/>
      <c r="V1171" s="122"/>
      <c r="W1171" s="122"/>
      <c r="X1171" s="122"/>
      <c r="Y1171" s="122"/>
      <c r="Z1171" s="122"/>
      <c r="AA1171" s="122"/>
      <c r="AB1171" s="122"/>
      <c r="AC1171" s="122"/>
      <c r="AD1171" s="122"/>
      <c r="AE1171" s="122"/>
      <c r="AF1171" s="122"/>
      <c r="AG1171" s="122"/>
      <c r="AH1171" s="122"/>
      <c r="AI1171" s="122"/>
      <c r="AJ1171" s="122"/>
      <c r="AK1171" s="122"/>
      <c r="AL1171" s="122"/>
      <c r="AM1171" s="122"/>
      <c r="AN1171" s="121"/>
    </row>
    <row r="1172">
      <c r="A1172" s="120"/>
      <c r="B1172" s="120"/>
      <c r="C1172" s="122"/>
      <c r="D1172" s="122"/>
      <c r="E1172" s="122"/>
      <c r="F1172" s="122"/>
      <c r="G1172" s="122"/>
      <c r="H1172" s="122"/>
      <c r="I1172" s="122"/>
      <c r="J1172" s="122"/>
      <c r="K1172" s="122"/>
      <c r="L1172" s="122"/>
      <c r="M1172" s="122"/>
      <c r="N1172" s="122"/>
      <c r="O1172" s="122"/>
      <c r="P1172" s="122"/>
      <c r="Q1172" s="122"/>
      <c r="R1172" s="122"/>
      <c r="S1172" s="122"/>
      <c r="T1172" s="122"/>
      <c r="U1172" s="122"/>
      <c r="V1172" s="122"/>
      <c r="W1172" s="122"/>
      <c r="X1172" s="122"/>
      <c r="Y1172" s="122"/>
      <c r="Z1172" s="122"/>
      <c r="AA1172" s="122"/>
      <c r="AB1172" s="122"/>
      <c r="AC1172" s="122"/>
      <c r="AD1172" s="122"/>
      <c r="AE1172" s="122"/>
      <c r="AF1172" s="122"/>
      <c r="AG1172" s="122"/>
      <c r="AH1172" s="122"/>
      <c r="AI1172" s="122"/>
      <c r="AJ1172" s="122"/>
      <c r="AK1172" s="122"/>
      <c r="AL1172" s="122"/>
      <c r="AM1172" s="122"/>
      <c r="AN1172" s="122"/>
    </row>
    <row r="1173">
      <c r="B1173" s="120"/>
      <c r="C1173" s="122"/>
      <c r="D1173" s="122"/>
      <c r="E1173" s="122"/>
      <c r="F1173" s="122"/>
      <c r="G1173" s="122"/>
      <c r="H1173" s="122"/>
      <c r="I1173" s="122"/>
      <c r="J1173" s="122"/>
      <c r="K1173" s="122"/>
      <c r="L1173" s="122"/>
      <c r="M1173" s="122"/>
      <c r="N1173" s="122"/>
      <c r="O1173" s="122"/>
      <c r="P1173" s="122"/>
      <c r="Q1173" s="122"/>
      <c r="R1173" s="122"/>
      <c r="S1173" s="122"/>
      <c r="T1173" s="122"/>
      <c r="U1173" s="122"/>
      <c r="V1173" s="122"/>
      <c r="W1173" s="122"/>
      <c r="X1173" s="122"/>
      <c r="Y1173" s="122"/>
      <c r="Z1173" s="122"/>
      <c r="AA1173" s="122"/>
      <c r="AB1173" s="122"/>
      <c r="AC1173" s="122"/>
      <c r="AD1173" s="122"/>
      <c r="AE1173" s="122"/>
      <c r="AF1173" s="122"/>
      <c r="AG1173" s="122"/>
      <c r="AH1173" s="122"/>
      <c r="AI1173" s="122"/>
      <c r="AJ1173" s="122"/>
      <c r="AK1173" s="122"/>
      <c r="AL1173" s="122"/>
      <c r="AM1173" s="122"/>
      <c r="AN1173" s="122"/>
    </row>
    <row r="1174">
      <c r="A1174" s="120"/>
      <c r="B1174" s="120"/>
      <c r="C1174" s="122"/>
      <c r="D1174" s="122"/>
      <c r="E1174" s="122"/>
      <c r="F1174" s="122"/>
      <c r="G1174" s="122"/>
      <c r="H1174" s="122"/>
      <c r="I1174" s="122"/>
      <c r="J1174" s="122"/>
      <c r="K1174" s="122"/>
      <c r="L1174" s="122"/>
      <c r="M1174" s="122"/>
      <c r="N1174" s="122"/>
      <c r="O1174" s="122"/>
      <c r="P1174" s="122"/>
      <c r="Q1174" s="122"/>
      <c r="R1174" s="122"/>
      <c r="S1174" s="122"/>
      <c r="T1174" s="122"/>
      <c r="U1174" s="122"/>
      <c r="V1174" s="122"/>
      <c r="W1174" s="122"/>
      <c r="X1174" s="122"/>
      <c r="Y1174" s="122"/>
      <c r="Z1174" s="122"/>
      <c r="AA1174" s="122"/>
      <c r="AB1174" s="122"/>
      <c r="AC1174" s="122"/>
      <c r="AD1174" s="122"/>
      <c r="AE1174" s="122"/>
      <c r="AF1174" s="122"/>
      <c r="AG1174" s="122"/>
      <c r="AH1174" s="122"/>
      <c r="AI1174" s="122"/>
      <c r="AJ1174" s="122"/>
      <c r="AK1174" s="122"/>
      <c r="AL1174" s="122"/>
      <c r="AM1174" s="122"/>
      <c r="AN1174" s="122"/>
    </row>
    <row r="1175">
      <c r="B1175" s="120"/>
      <c r="C1175" s="122"/>
      <c r="D1175" s="122"/>
      <c r="E1175" s="122"/>
      <c r="F1175" s="122"/>
      <c r="G1175" s="122"/>
      <c r="H1175" s="122"/>
      <c r="I1175" s="122"/>
      <c r="J1175" s="122"/>
      <c r="K1175" s="122"/>
      <c r="L1175" s="122"/>
      <c r="M1175" s="122"/>
      <c r="N1175" s="122"/>
      <c r="O1175" s="122"/>
      <c r="P1175" s="122"/>
      <c r="Q1175" s="122"/>
      <c r="R1175" s="122"/>
      <c r="S1175" s="122"/>
      <c r="T1175" s="122"/>
      <c r="U1175" s="122"/>
      <c r="V1175" s="122"/>
      <c r="W1175" s="122"/>
      <c r="X1175" s="122"/>
      <c r="Y1175" s="122"/>
      <c r="Z1175" s="122"/>
      <c r="AA1175" s="122"/>
      <c r="AB1175" s="122"/>
      <c r="AC1175" s="122"/>
      <c r="AD1175" s="122"/>
      <c r="AE1175" s="122"/>
      <c r="AF1175" s="122"/>
      <c r="AG1175" s="122"/>
      <c r="AH1175" s="122"/>
      <c r="AI1175" s="122"/>
      <c r="AJ1175" s="122"/>
      <c r="AK1175" s="122"/>
      <c r="AL1175" s="122"/>
      <c r="AM1175" s="122"/>
      <c r="AN1175" s="122"/>
    </row>
    <row r="1176">
      <c r="B1176" s="120"/>
      <c r="C1176" s="122"/>
      <c r="D1176" s="122"/>
      <c r="E1176" s="122"/>
      <c r="F1176" s="122"/>
      <c r="G1176" s="122"/>
      <c r="H1176" s="122"/>
      <c r="I1176" s="122"/>
      <c r="J1176" s="122"/>
      <c r="K1176" s="122"/>
      <c r="L1176" s="122"/>
      <c r="M1176" s="122"/>
      <c r="N1176" s="122"/>
      <c r="O1176" s="122"/>
      <c r="P1176" s="122"/>
      <c r="Q1176" s="122"/>
      <c r="R1176" s="122"/>
      <c r="S1176" s="122"/>
      <c r="T1176" s="122"/>
      <c r="U1176" s="122"/>
      <c r="V1176" s="122"/>
      <c r="W1176" s="122"/>
      <c r="X1176" s="122"/>
      <c r="Y1176" s="122"/>
      <c r="Z1176" s="122"/>
      <c r="AA1176" s="122"/>
      <c r="AB1176" s="122"/>
      <c r="AC1176" s="122"/>
      <c r="AD1176" s="122"/>
      <c r="AE1176" s="122"/>
      <c r="AF1176" s="122"/>
      <c r="AG1176" s="122"/>
      <c r="AH1176" s="122"/>
      <c r="AI1176" s="122"/>
      <c r="AJ1176" s="122"/>
      <c r="AK1176" s="122"/>
      <c r="AL1176" s="122"/>
      <c r="AM1176" s="122"/>
      <c r="AN1176" s="122"/>
    </row>
    <row r="1177">
      <c r="A1177" s="120"/>
      <c r="B1177" s="120"/>
      <c r="C1177" s="121"/>
      <c r="D1177" s="121"/>
      <c r="E1177" s="121"/>
      <c r="F1177" s="122"/>
      <c r="G1177" s="122"/>
      <c r="H1177" s="122"/>
      <c r="I1177" s="122"/>
      <c r="J1177" s="122"/>
      <c r="K1177" s="122"/>
      <c r="L1177" s="122"/>
      <c r="M1177" s="122"/>
      <c r="N1177" s="122"/>
      <c r="O1177" s="122"/>
      <c r="P1177" s="122"/>
      <c r="Q1177" s="122"/>
      <c r="R1177" s="122"/>
      <c r="S1177" s="122"/>
      <c r="T1177" s="122"/>
      <c r="U1177" s="122"/>
      <c r="V1177" s="122"/>
      <c r="W1177" s="122"/>
      <c r="X1177" s="122"/>
      <c r="Y1177" s="122"/>
      <c r="Z1177" s="122"/>
      <c r="AA1177" s="121"/>
      <c r="AB1177" s="122"/>
      <c r="AC1177" s="121"/>
      <c r="AD1177" s="122"/>
      <c r="AE1177" s="121"/>
      <c r="AF1177" s="122"/>
      <c r="AG1177" s="121"/>
      <c r="AH1177" s="122"/>
      <c r="AI1177" s="122"/>
      <c r="AJ1177" s="122"/>
      <c r="AK1177" s="122"/>
      <c r="AL1177" s="122"/>
      <c r="AM1177" s="122"/>
      <c r="AN1177" s="121"/>
    </row>
    <row r="1178">
      <c r="B1178" s="120"/>
      <c r="C1178" s="121"/>
      <c r="D1178" s="121"/>
      <c r="E1178" s="121"/>
      <c r="F1178" s="122"/>
      <c r="G1178" s="122"/>
      <c r="H1178" s="122"/>
      <c r="I1178" s="122"/>
      <c r="J1178" s="122"/>
      <c r="K1178" s="122"/>
      <c r="L1178" s="122"/>
      <c r="M1178" s="122"/>
      <c r="N1178" s="122"/>
      <c r="O1178" s="122"/>
      <c r="P1178" s="122"/>
      <c r="Q1178" s="122"/>
      <c r="R1178" s="122"/>
      <c r="S1178" s="122"/>
      <c r="T1178" s="122"/>
      <c r="U1178" s="122"/>
      <c r="V1178" s="122"/>
      <c r="W1178" s="122"/>
      <c r="X1178" s="122"/>
      <c r="Y1178" s="122"/>
      <c r="Z1178" s="122"/>
      <c r="AA1178" s="122"/>
      <c r="AB1178" s="122"/>
      <c r="AC1178" s="122"/>
      <c r="AD1178" s="122"/>
      <c r="AE1178" s="122"/>
      <c r="AF1178" s="122"/>
      <c r="AG1178" s="122"/>
      <c r="AH1178" s="122"/>
      <c r="AI1178" s="122"/>
      <c r="AJ1178" s="122"/>
      <c r="AK1178" s="122"/>
      <c r="AL1178" s="122"/>
      <c r="AM1178" s="122"/>
      <c r="AN1178" s="121"/>
    </row>
    <row r="1179">
      <c r="B1179" s="120"/>
      <c r="C1179" s="122"/>
      <c r="D1179" s="122"/>
      <c r="E1179" s="122"/>
      <c r="F1179" s="122"/>
      <c r="G1179" s="122"/>
      <c r="H1179" s="122"/>
      <c r="I1179" s="122"/>
      <c r="J1179" s="122"/>
      <c r="K1179" s="122"/>
      <c r="L1179" s="122"/>
      <c r="M1179" s="122"/>
      <c r="N1179" s="122"/>
      <c r="O1179" s="122"/>
      <c r="P1179" s="122"/>
      <c r="Q1179" s="122"/>
      <c r="R1179" s="122"/>
      <c r="S1179" s="122"/>
      <c r="T1179" s="122"/>
      <c r="U1179" s="122"/>
      <c r="V1179" s="122"/>
      <c r="W1179" s="122"/>
      <c r="X1179" s="122"/>
      <c r="Y1179" s="122"/>
      <c r="Z1179" s="122"/>
      <c r="AA1179" s="122"/>
      <c r="AB1179" s="122"/>
      <c r="AC1179" s="122"/>
      <c r="AD1179" s="122"/>
      <c r="AE1179" s="122"/>
      <c r="AF1179" s="122"/>
      <c r="AG1179" s="122"/>
      <c r="AH1179" s="122"/>
      <c r="AI1179" s="122"/>
      <c r="AJ1179" s="122"/>
      <c r="AK1179" s="122"/>
      <c r="AL1179" s="122"/>
      <c r="AM1179" s="122"/>
      <c r="AN1179" s="122"/>
    </row>
    <row r="1180">
      <c r="B1180" s="120"/>
      <c r="C1180" s="122"/>
      <c r="D1180" s="122"/>
      <c r="E1180" s="122"/>
      <c r="F1180" s="122"/>
      <c r="G1180" s="122"/>
      <c r="H1180" s="122"/>
      <c r="I1180" s="122"/>
      <c r="J1180" s="122"/>
      <c r="K1180" s="122"/>
      <c r="L1180" s="122"/>
      <c r="M1180" s="122"/>
      <c r="N1180" s="122"/>
      <c r="O1180" s="122"/>
      <c r="P1180" s="122"/>
      <c r="Q1180" s="122"/>
      <c r="R1180" s="122"/>
      <c r="S1180" s="122"/>
      <c r="T1180" s="122"/>
      <c r="U1180" s="122"/>
      <c r="V1180" s="122"/>
      <c r="W1180" s="122"/>
      <c r="X1180" s="122"/>
      <c r="Y1180" s="122"/>
      <c r="Z1180" s="122"/>
      <c r="AA1180" s="122"/>
      <c r="AB1180" s="122"/>
      <c r="AC1180" s="122"/>
      <c r="AD1180" s="122"/>
      <c r="AE1180" s="122"/>
      <c r="AF1180" s="122"/>
      <c r="AG1180" s="122"/>
      <c r="AH1180" s="122"/>
      <c r="AI1180" s="122"/>
      <c r="AJ1180" s="122"/>
      <c r="AK1180" s="122"/>
      <c r="AL1180" s="122"/>
      <c r="AM1180" s="122"/>
      <c r="AN1180" s="122"/>
    </row>
    <row r="1181">
      <c r="B1181" s="120"/>
      <c r="C1181" s="122"/>
      <c r="D1181" s="122"/>
      <c r="E1181" s="122"/>
      <c r="F1181" s="122"/>
      <c r="G1181" s="122"/>
      <c r="H1181" s="122"/>
      <c r="I1181" s="122"/>
      <c r="J1181" s="122"/>
      <c r="K1181" s="122"/>
      <c r="L1181" s="122"/>
      <c r="M1181" s="122"/>
      <c r="N1181" s="122"/>
      <c r="O1181" s="122"/>
      <c r="P1181" s="122"/>
      <c r="Q1181" s="122"/>
      <c r="R1181" s="122"/>
      <c r="S1181" s="122"/>
      <c r="T1181" s="122"/>
      <c r="U1181" s="122"/>
      <c r="V1181" s="122"/>
      <c r="W1181" s="122"/>
      <c r="X1181" s="122"/>
      <c r="Y1181" s="122"/>
      <c r="Z1181" s="122"/>
      <c r="AA1181" s="122"/>
      <c r="AB1181" s="122"/>
      <c r="AC1181" s="122"/>
      <c r="AD1181" s="122"/>
      <c r="AE1181" s="122"/>
      <c r="AF1181" s="122"/>
      <c r="AG1181" s="122"/>
      <c r="AH1181" s="122"/>
      <c r="AI1181" s="122"/>
      <c r="AJ1181" s="122"/>
      <c r="AK1181" s="122"/>
      <c r="AL1181" s="122"/>
      <c r="AM1181" s="122"/>
      <c r="AN1181" s="122"/>
    </row>
    <row r="1182">
      <c r="A1182" s="120"/>
      <c r="B1182" s="120"/>
      <c r="C1182" s="122"/>
      <c r="D1182" s="122"/>
      <c r="E1182" s="122"/>
      <c r="F1182" s="122"/>
      <c r="G1182" s="122"/>
      <c r="H1182" s="122"/>
      <c r="I1182" s="122"/>
      <c r="J1182" s="122"/>
      <c r="K1182" s="122"/>
      <c r="L1182" s="122"/>
      <c r="M1182" s="122"/>
      <c r="N1182" s="122"/>
      <c r="O1182" s="122"/>
      <c r="P1182" s="122"/>
      <c r="Q1182" s="122"/>
      <c r="R1182" s="122"/>
      <c r="S1182" s="122"/>
      <c r="T1182" s="122"/>
      <c r="U1182" s="122"/>
      <c r="V1182" s="122"/>
      <c r="W1182" s="122"/>
      <c r="X1182" s="122"/>
      <c r="Y1182" s="122"/>
      <c r="Z1182" s="122"/>
      <c r="AA1182" s="122"/>
      <c r="AB1182" s="122"/>
      <c r="AC1182" s="122"/>
      <c r="AD1182" s="122"/>
      <c r="AE1182" s="122"/>
      <c r="AF1182" s="122"/>
      <c r="AG1182" s="122"/>
      <c r="AH1182" s="122"/>
      <c r="AI1182" s="122"/>
      <c r="AJ1182" s="122"/>
      <c r="AK1182" s="122"/>
      <c r="AL1182" s="122"/>
      <c r="AM1182" s="122"/>
      <c r="AN1182" s="122"/>
    </row>
    <row r="1183">
      <c r="B1183" s="120"/>
      <c r="C1183" s="122"/>
      <c r="D1183" s="122"/>
      <c r="E1183" s="122"/>
      <c r="F1183" s="122"/>
      <c r="G1183" s="122"/>
      <c r="H1183" s="122"/>
      <c r="I1183" s="122"/>
      <c r="J1183" s="122"/>
      <c r="K1183" s="122"/>
      <c r="L1183" s="122"/>
      <c r="M1183" s="122"/>
      <c r="N1183" s="122"/>
      <c r="O1183" s="122"/>
      <c r="P1183" s="122"/>
      <c r="Q1183" s="122"/>
      <c r="R1183" s="122"/>
      <c r="S1183" s="122"/>
      <c r="T1183" s="122"/>
      <c r="U1183" s="122"/>
      <c r="V1183" s="122"/>
      <c r="W1183" s="122"/>
      <c r="X1183" s="122"/>
      <c r="Y1183" s="122"/>
      <c r="Z1183" s="122"/>
      <c r="AA1183" s="122"/>
      <c r="AB1183" s="122"/>
      <c r="AC1183" s="122"/>
      <c r="AD1183" s="122"/>
      <c r="AE1183" s="122"/>
      <c r="AF1183" s="122"/>
      <c r="AG1183" s="122"/>
      <c r="AH1183" s="122"/>
      <c r="AI1183" s="122"/>
      <c r="AJ1183" s="122"/>
      <c r="AK1183" s="122"/>
      <c r="AL1183" s="122"/>
      <c r="AM1183" s="122"/>
      <c r="AN1183" s="122"/>
    </row>
    <row r="1184">
      <c r="B1184" s="120"/>
      <c r="C1184" s="122"/>
      <c r="D1184" s="122"/>
      <c r="E1184" s="122"/>
      <c r="F1184" s="122"/>
      <c r="G1184" s="122"/>
      <c r="H1184" s="122"/>
      <c r="I1184" s="122"/>
      <c r="J1184" s="122"/>
      <c r="K1184" s="122"/>
      <c r="L1184" s="122"/>
      <c r="M1184" s="122"/>
      <c r="N1184" s="122"/>
      <c r="O1184" s="122"/>
      <c r="P1184" s="122"/>
      <c r="Q1184" s="122"/>
      <c r="R1184" s="122"/>
      <c r="S1184" s="122"/>
      <c r="T1184" s="122"/>
      <c r="U1184" s="122"/>
      <c r="V1184" s="122"/>
      <c r="W1184" s="122"/>
      <c r="X1184" s="122"/>
      <c r="Y1184" s="122"/>
      <c r="Z1184" s="122"/>
      <c r="AA1184" s="122"/>
      <c r="AB1184" s="122"/>
      <c r="AC1184" s="122"/>
      <c r="AD1184" s="122"/>
      <c r="AE1184" s="122"/>
      <c r="AF1184" s="122"/>
      <c r="AG1184" s="122"/>
      <c r="AH1184" s="122"/>
      <c r="AI1184" s="122"/>
      <c r="AJ1184" s="122"/>
      <c r="AK1184" s="122"/>
      <c r="AL1184" s="122"/>
      <c r="AM1184" s="122"/>
      <c r="AN1184" s="122"/>
    </row>
    <row r="1185">
      <c r="B1185" s="120"/>
      <c r="C1185" s="122"/>
      <c r="D1185" s="122"/>
      <c r="E1185" s="122"/>
      <c r="F1185" s="122"/>
      <c r="G1185" s="122"/>
      <c r="H1185" s="122"/>
      <c r="I1185" s="122"/>
      <c r="J1185" s="122"/>
      <c r="K1185" s="122"/>
      <c r="L1185" s="122"/>
      <c r="M1185" s="122"/>
      <c r="N1185" s="122"/>
      <c r="O1185" s="122"/>
      <c r="P1185" s="122"/>
      <c r="Q1185" s="122"/>
      <c r="R1185" s="122"/>
      <c r="S1185" s="122"/>
      <c r="T1185" s="122"/>
      <c r="U1185" s="122"/>
      <c r="V1185" s="122"/>
      <c r="W1185" s="122"/>
      <c r="X1185" s="122"/>
      <c r="Y1185" s="122"/>
      <c r="Z1185" s="122"/>
      <c r="AA1185" s="122"/>
      <c r="AB1185" s="122"/>
      <c r="AC1185" s="122"/>
      <c r="AD1185" s="122"/>
      <c r="AE1185" s="122"/>
      <c r="AF1185" s="122"/>
      <c r="AG1185" s="122"/>
      <c r="AH1185" s="122"/>
      <c r="AI1185" s="122"/>
      <c r="AJ1185" s="122"/>
      <c r="AK1185" s="122"/>
      <c r="AL1185" s="122"/>
      <c r="AM1185" s="122"/>
      <c r="AN1185" s="122"/>
    </row>
    <row r="1186">
      <c r="B1186" s="120"/>
      <c r="C1186" s="122"/>
      <c r="D1186" s="122"/>
      <c r="E1186" s="122"/>
      <c r="F1186" s="122"/>
      <c r="G1186" s="122"/>
      <c r="H1186" s="122"/>
      <c r="I1186" s="122"/>
      <c r="J1186" s="122"/>
      <c r="K1186" s="122"/>
      <c r="L1186" s="122"/>
      <c r="M1186" s="122"/>
      <c r="N1186" s="122"/>
      <c r="O1186" s="122"/>
      <c r="P1186" s="122"/>
      <c r="Q1186" s="122"/>
      <c r="R1186" s="122"/>
      <c r="S1186" s="122"/>
      <c r="T1186" s="122"/>
      <c r="U1186" s="122"/>
      <c r="V1186" s="122"/>
      <c r="W1186" s="122"/>
      <c r="X1186" s="122"/>
      <c r="Y1186" s="122"/>
      <c r="Z1186" s="122"/>
      <c r="AA1186" s="122"/>
      <c r="AB1186" s="122"/>
      <c r="AC1186" s="122"/>
      <c r="AD1186" s="122"/>
      <c r="AE1186" s="122"/>
      <c r="AF1186" s="122"/>
      <c r="AG1186" s="122"/>
      <c r="AH1186" s="122"/>
      <c r="AI1186" s="122"/>
      <c r="AJ1186" s="122"/>
      <c r="AK1186" s="122"/>
      <c r="AL1186" s="122"/>
      <c r="AM1186" s="122"/>
      <c r="AN1186" s="122"/>
    </row>
    <row r="1187">
      <c r="A1187" s="123"/>
    </row>
    <row r="1188">
      <c r="A1188" s="120"/>
      <c r="B1188" s="120"/>
      <c r="C1188" s="121"/>
      <c r="D1188" s="121"/>
      <c r="E1188" s="121"/>
      <c r="F1188" s="122"/>
      <c r="G1188" s="122"/>
      <c r="H1188" s="122"/>
      <c r="I1188" s="122"/>
      <c r="J1188" s="122"/>
      <c r="K1188" s="122"/>
      <c r="L1188" s="122"/>
      <c r="M1188" s="122"/>
      <c r="N1188" s="122"/>
      <c r="O1188" s="122"/>
      <c r="P1188" s="122"/>
      <c r="Q1188" s="122"/>
      <c r="R1188" s="122"/>
      <c r="S1188" s="122"/>
      <c r="T1188" s="122"/>
      <c r="U1188" s="122"/>
      <c r="V1188" s="122"/>
      <c r="W1188" s="121"/>
      <c r="X1188" s="122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</row>
    <row r="1189">
      <c r="B1189" s="120"/>
      <c r="C1189" s="121"/>
      <c r="D1189" s="121"/>
      <c r="E1189" s="121"/>
      <c r="F1189" s="122"/>
      <c r="G1189" s="122"/>
      <c r="H1189" s="122"/>
      <c r="I1189" s="122"/>
      <c r="J1189" s="122"/>
      <c r="K1189" s="122"/>
      <c r="L1189" s="122"/>
      <c r="M1189" s="122"/>
      <c r="N1189" s="122"/>
      <c r="O1189" s="122"/>
      <c r="P1189" s="122"/>
      <c r="Q1189" s="122"/>
      <c r="R1189" s="122"/>
      <c r="S1189" s="122"/>
      <c r="T1189" s="122"/>
      <c r="U1189" s="122"/>
      <c r="V1189" s="122"/>
      <c r="W1189" s="122"/>
      <c r="X1189" s="122"/>
      <c r="Y1189" s="121"/>
      <c r="Z1189" s="122"/>
      <c r="AA1189" s="121"/>
      <c r="AB1189" s="122"/>
      <c r="AC1189" s="121"/>
      <c r="AD1189" s="121"/>
      <c r="AE1189" s="121"/>
      <c r="AF1189" s="121"/>
      <c r="AG1189" s="121"/>
      <c r="AH1189" s="121"/>
      <c r="AI1189" s="121"/>
      <c r="AJ1189" s="122"/>
      <c r="AK1189" s="121"/>
      <c r="AL1189" s="122"/>
      <c r="AM1189" s="121"/>
      <c r="AN1189" s="121"/>
    </row>
    <row r="1190">
      <c r="B1190" s="120"/>
      <c r="C1190" s="121"/>
      <c r="D1190" s="121"/>
      <c r="E1190" s="121"/>
      <c r="F1190" s="122"/>
      <c r="G1190" s="122"/>
      <c r="H1190" s="122"/>
      <c r="I1190" s="122"/>
      <c r="J1190" s="122"/>
      <c r="K1190" s="122"/>
      <c r="L1190" s="122"/>
      <c r="M1190" s="122"/>
      <c r="N1190" s="122"/>
      <c r="O1190" s="122"/>
      <c r="P1190" s="122"/>
      <c r="Q1190" s="122"/>
      <c r="R1190" s="122"/>
      <c r="S1190" s="122"/>
      <c r="T1190" s="122"/>
      <c r="U1190" s="122"/>
      <c r="V1190" s="122"/>
      <c r="W1190" s="122"/>
      <c r="X1190" s="122"/>
      <c r="Y1190" s="121"/>
      <c r="Z1190" s="122"/>
      <c r="AA1190" s="121"/>
      <c r="AB1190" s="122"/>
      <c r="AC1190" s="121"/>
      <c r="AD1190" s="122"/>
      <c r="AE1190" s="121"/>
      <c r="AF1190" s="121"/>
      <c r="AG1190" s="121"/>
      <c r="AH1190" s="122"/>
      <c r="AI1190" s="121"/>
      <c r="AJ1190" s="122"/>
      <c r="AK1190" s="122"/>
      <c r="AL1190" s="122"/>
      <c r="AM1190" s="122"/>
      <c r="AN1190" s="121"/>
    </row>
    <row r="1191">
      <c r="B1191" s="120"/>
      <c r="C1191" s="122"/>
      <c r="D1191" s="122"/>
      <c r="E1191" s="122"/>
      <c r="F1191" s="122"/>
      <c r="G1191" s="122"/>
      <c r="H1191" s="122"/>
      <c r="I1191" s="122"/>
      <c r="J1191" s="122"/>
      <c r="K1191" s="122"/>
      <c r="L1191" s="122"/>
      <c r="M1191" s="122"/>
      <c r="N1191" s="122"/>
      <c r="O1191" s="122"/>
      <c r="P1191" s="122"/>
      <c r="Q1191" s="122"/>
      <c r="R1191" s="122"/>
      <c r="S1191" s="122"/>
      <c r="T1191" s="122"/>
      <c r="U1191" s="122"/>
      <c r="V1191" s="122"/>
      <c r="W1191" s="122"/>
      <c r="X1191" s="122"/>
      <c r="Y1191" s="122"/>
      <c r="Z1191" s="122"/>
      <c r="AA1191" s="122"/>
      <c r="AB1191" s="122"/>
      <c r="AC1191" s="122"/>
      <c r="AD1191" s="122"/>
      <c r="AE1191" s="122"/>
      <c r="AF1191" s="122"/>
      <c r="AG1191" s="122"/>
      <c r="AH1191" s="122"/>
      <c r="AI1191" s="122"/>
      <c r="AJ1191" s="122"/>
      <c r="AK1191" s="122"/>
      <c r="AL1191" s="122"/>
      <c r="AM1191" s="122"/>
      <c r="AN1191" s="122"/>
    </row>
    <row r="1192">
      <c r="A1192" s="120"/>
      <c r="B1192" s="120"/>
      <c r="C1192" s="122"/>
      <c r="D1192" s="122"/>
      <c r="E1192" s="122"/>
      <c r="F1192" s="122"/>
      <c r="G1192" s="122"/>
      <c r="H1192" s="122"/>
      <c r="I1192" s="122"/>
      <c r="J1192" s="122"/>
      <c r="K1192" s="122"/>
      <c r="L1192" s="122"/>
      <c r="M1192" s="122"/>
      <c r="N1192" s="122"/>
      <c r="O1192" s="122"/>
      <c r="P1192" s="122"/>
      <c r="Q1192" s="122"/>
      <c r="R1192" s="122"/>
      <c r="S1192" s="122"/>
      <c r="T1192" s="122"/>
      <c r="U1192" s="122"/>
      <c r="V1192" s="122"/>
      <c r="W1192" s="122"/>
      <c r="X1192" s="122"/>
      <c r="Y1192" s="122"/>
      <c r="Z1192" s="122"/>
      <c r="AA1192" s="122"/>
      <c r="AB1192" s="122"/>
      <c r="AC1192" s="122"/>
      <c r="AD1192" s="122"/>
      <c r="AE1192" s="122"/>
      <c r="AF1192" s="122"/>
      <c r="AG1192" s="122"/>
      <c r="AH1192" s="122"/>
      <c r="AI1192" s="122"/>
      <c r="AJ1192" s="122"/>
      <c r="AK1192" s="122"/>
      <c r="AL1192" s="122"/>
      <c r="AM1192" s="122"/>
      <c r="AN1192" s="122"/>
    </row>
    <row r="1193">
      <c r="B1193" s="120"/>
      <c r="C1193" s="122"/>
      <c r="D1193" s="122"/>
      <c r="E1193" s="122"/>
      <c r="F1193" s="122"/>
      <c r="G1193" s="122"/>
      <c r="H1193" s="122"/>
      <c r="I1193" s="122"/>
      <c r="J1193" s="122"/>
      <c r="K1193" s="122"/>
      <c r="L1193" s="122"/>
      <c r="M1193" s="122"/>
      <c r="N1193" s="122"/>
      <c r="O1193" s="122"/>
      <c r="P1193" s="122"/>
      <c r="Q1193" s="122"/>
      <c r="R1193" s="122"/>
      <c r="S1193" s="122"/>
      <c r="T1193" s="122"/>
      <c r="U1193" s="122"/>
      <c r="V1193" s="122"/>
      <c r="W1193" s="122"/>
      <c r="X1193" s="122"/>
      <c r="Y1193" s="122"/>
      <c r="Z1193" s="122"/>
      <c r="AA1193" s="122"/>
      <c r="AB1193" s="122"/>
      <c r="AC1193" s="122"/>
      <c r="AD1193" s="122"/>
      <c r="AE1193" s="122"/>
      <c r="AF1193" s="122"/>
      <c r="AG1193" s="122"/>
      <c r="AH1193" s="122"/>
      <c r="AI1193" s="122"/>
      <c r="AJ1193" s="122"/>
      <c r="AK1193" s="122"/>
      <c r="AL1193" s="122"/>
      <c r="AM1193" s="122"/>
      <c r="AN1193" s="122"/>
    </row>
    <row r="1194">
      <c r="A1194" s="120"/>
      <c r="B1194" s="120"/>
      <c r="C1194" s="122"/>
      <c r="D1194" s="122"/>
      <c r="E1194" s="122"/>
      <c r="F1194" s="122"/>
      <c r="G1194" s="122"/>
      <c r="H1194" s="122"/>
      <c r="I1194" s="122"/>
      <c r="J1194" s="122"/>
      <c r="K1194" s="122"/>
      <c r="L1194" s="122"/>
      <c r="M1194" s="122"/>
      <c r="N1194" s="122"/>
      <c r="O1194" s="122"/>
      <c r="P1194" s="122"/>
      <c r="Q1194" s="122"/>
      <c r="R1194" s="122"/>
      <c r="S1194" s="122"/>
      <c r="T1194" s="122"/>
      <c r="U1194" s="122"/>
      <c r="V1194" s="122"/>
      <c r="W1194" s="122"/>
      <c r="X1194" s="122"/>
      <c r="Y1194" s="122"/>
      <c r="Z1194" s="122"/>
      <c r="AA1194" s="122"/>
      <c r="AB1194" s="122"/>
      <c r="AC1194" s="122"/>
      <c r="AD1194" s="122"/>
      <c r="AE1194" s="122"/>
      <c r="AF1194" s="122"/>
      <c r="AG1194" s="122"/>
      <c r="AH1194" s="122"/>
      <c r="AI1194" s="122"/>
      <c r="AJ1194" s="122"/>
      <c r="AK1194" s="122"/>
      <c r="AL1194" s="122"/>
      <c r="AM1194" s="122"/>
      <c r="AN1194" s="122"/>
    </row>
    <row r="1195">
      <c r="B1195" s="120"/>
      <c r="C1195" s="122"/>
      <c r="D1195" s="122"/>
      <c r="E1195" s="122"/>
      <c r="F1195" s="122"/>
      <c r="G1195" s="122"/>
      <c r="H1195" s="122"/>
      <c r="I1195" s="122"/>
      <c r="J1195" s="122"/>
      <c r="K1195" s="122"/>
      <c r="L1195" s="122"/>
      <c r="M1195" s="122"/>
      <c r="N1195" s="122"/>
      <c r="O1195" s="122"/>
      <c r="P1195" s="122"/>
      <c r="Q1195" s="122"/>
      <c r="R1195" s="122"/>
      <c r="S1195" s="122"/>
      <c r="T1195" s="122"/>
      <c r="U1195" s="122"/>
      <c r="V1195" s="122"/>
      <c r="W1195" s="122"/>
      <c r="X1195" s="122"/>
      <c r="Y1195" s="122"/>
      <c r="Z1195" s="122"/>
      <c r="AA1195" s="122"/>
      <c r="AB1195" s="122"/>
      <c r="AC1195" s="122"/>
      <c r="AD1195" s="122"/>
      <c r="AE1195" s="122"/>
      <c r="AF1195" s="122"/>
      <c r="AG1195" s="122"/>
      <c r="AH1195" s="122"/>
      <c r="AI1195" s="122"/>
      <c r="AJ1195" s="122"/>
      <c r="AK1195" s="122"/>
      <c r="AL1195" s="122"/>
      <c r="AM1195" s="122"/>
      <c r="AN1195" s="122"/>
    </row>
    <row r="1196">
      <c r="A1196" s="120"/>
      <c r="B1196" s="120"/>
      <c r="C1196" s="122"/>
      <c r="D1196" s="122"/>
      <c r="E1196" s="122"/>
      <c r="F1196" s="122"/>
      <c r="G1196" s="122"/>
      <c r="H1196" s="122"/>
      <c r="I1196" s="122"/>
      <c r="J1196" s="122"/>
      <c r="K1196" s="122"/>
      <c r="L1196" s="122"/>
      <c r="M1196" s="122"/>
      <c r="N1196" s="122"/>
      <c r="O1196" s="122"/>
      <c r="P1196" s="122"/>
      <c r="Q1196" s="122"/>
      <c r="R1196" s="122"/>
      <c r="S1196" s="122"/>
      <c r="T1196" s="122"/>
      <c r="U1196" s="122"/>
      <c r="V1196" s="122"/>
      <c r="W1196" s="122"/>
      <c r="X1196" s="122"/>
      <c r="Y1196" s="122"/>
      <c r="Z1196" s="122"/>
      <c r="AA1196" s="122"/>
      <c r="AB1196" s="122"/>
      <c r="AC1196" s="122"/>
      <c r="AD1196" s="122"/>
      <c r="AE1196" s="122"/>
      <c r="AF1196" s="122"/>
      <c r="AG1196" s="122"/>
      <c r="AH1196" s="122"/>
      <c r="AI1196" s="122"/>
      <c r="AJ1196" s="122"/>
      <c r="AK1196" s="122"/>
      <c r="AL1196" s="122"/>
      <c r="AM1196" s="122"/>
      <c r="AN1196" s="122"/>
    </row>
    <row r="1197">
      <c r="B1197" s="120"/>
      <c r="C1197" s="122"/>
      <c r="D1197" s="122"/>
      <c r="E1197" s="122"/>
      <c r="F1197" s="122"/>
      <c r="G1197" s="122"/>
      <c r="H1197" s="122"/>
      <c r="I1197" s="122"/>
      <c r="J1197" s="122"/>
      <c r="K1197" s="122"/>
      <c r="L1197" s="122"/>
      <c r="M1197" s="122"/>
      <c r="N1197" s="122"/>
      <c r="O1197" s="122"/>
      <c r="P1197" s="122"/>
      <c r="Q1197" s="122"/>
      <c r="R1197" s="122"/>
      <c r="S1197" s="122"/>
      <c r="T1197" s="122"/>
      <c r="U1197" s="122"/>
      <c r="V1197" s="122"/>
      <c r="W1197" s="122"/>
      <c r="X1197" s="122"/>
      <c r="Y1197" s="122"/>
      <c r="Z1197" s="122"/>
      <c r="AA1197" s="122"/>
      <c r="AB1197" s="122"/>
      <c r="AC1197" s="122"/>
      <c r="AD1197" s="122"/>
      <c r="AE1197" s="122"/>
      <c r="AF1197" s="122"/>
      <c r="AG1197" s="122"/>
      <c r="AH1197" s="122"/>
      <c r="AI1197" s="122"/>
      <c r="AJ1197" s="122"/>
      <c r="AK1197" s="122"/>
      <c r="AL1197" s="122"/>
      <c r="AM1197" s="122"/>
      <c r="AN1197" s="122"/>
    </row>
    <row r="1198">
      <c r="A1198" s="120"/>
      <c r="B1198" s="120"/>
      <c r="C1198" s="122"/>
      <c r="D1198" s="122"/>
      <c r="E1198" s="122"/>
      <c r="F1198" s="122"/>
      <c r="G1198" s="122"/>
      <c r="H1198" s="122"/>
      <c r="I1198" s="122"/>
      <c r="J1198" s="122"/>
      <c r="K1198" s="122"/>
      <c r="L1198" s="122"/>
      <c r="M1198" s="122"/>
      <c r="N1198" s="122"/>
      <c r="O1198" s="122"/>
      <c r="P1198" s="122"/>
      <c r="Q1198" s="122"/>
      <c r="R1198" s="122"/>
      <c r="S1198" s="122"/>
      <c r="T1198" s="122"/>
      <c r="U1198" s="122"/>
      <c r="V1198" s="122"/>
      <c r="W1198" s="122"/>
      <c r="X1198" s="122"/>
      <c r="Y1198" s="122"/>
      <c r="Z1198" s="122"/>
      <c r="AA1198" s="122"/>
      <c r="AB1198" s="122"/>
      <c r="AC1198" s="122"/>
      <c r="AD1198" s="122"/>
      <c r="AE1198" s="122"/>
      <c r="AF1198" s="122"/>
      <c r="AG1198" s="122"/>
      <c r="AH1198" s="122"/>
      <c r="AI1198" s="122"/>
      <c r="AJ1198" s="122"/>
      <c r="AK1198" s="122"/>
      <c r="AL1198" s="122"/>
      <c r="AM1198" s="122"/>
      <c r="AN1198" s="122"/>
    </row>
    <row r="1199">
      <c r="B1199" s="120"/>
      <c r="C1199" s="122"/>
      <c r="D1199" s="122"/>
      <c r="E1199" s="122"/>
      <c r="F1199" s="122"/>
      <c r="G1199" s="122"/>
      <c r="H1199" s="122"/>
      <c r="I1199" s="122"/>
      <c r="J1199" s="122"/>
      <c r="K1199" s="122"/>
      <c r="L1199" s="122"/>
      <c r="M1199" s="122"/>
      <c r="N1199" s="122"/>
      <c r="O1199" s="122"/>
      <c r="P1199" s="122"/>
      <c r="Q1199" s="122"/>
      <c r="R1199" s="122"/>
      <c r="S1199" s="122"/>
      <c r="T1199" s="122"/>
      <c r="U1199" s="122"/>
      <c r="V1199" s="122"/>
      <c r="W1199" s="122"/>
      <c r="X1199" s="122"/>
      <c r="Y1199" s="122"/>
      <c r="Z1199" s="122"/>
      <c r="AA1199" s="122"/>
      <c r="AB1199" s="122"/>
      <c r="AC1199" s="122"/>
      <c r="AD1199" s="122"/>
      <c r="AE1199" s="122"/>
      <c r="AF1199" s="122"/>
      <c r="AG1199" s="122"/>
      <c r="AH1199" s="122"/>
      <c r="AI1199" s="122"/>
      <c r="AJ1199" s="122"/>
      <c r="AK1199" s="122"/>
      <c r="AL1199" s="122"/>
      <c r="AM1199" s="122"/>
      <c r="AN1199" s="122"/>
    </row>
    <row r="1200">
      <c r="B1200" s="120"/>
      <c r="C1200" s="122"/>
      <c r="D1200" s="122"/>
      <c r="E1200" s="122"/>
      <c r="F1200" s="122"/>
      <c r="G1200" s="122"/>
      <c r="H1200" s="122"/>
      <c r="I1200" s="122"/>
      <c r="J1200" s="122"/>
      <c r="K1200" s="122"/>
      <c r="L1200" s="122"/>
      <c r="M1200" s="122"/>
      <c r="N1200" s="122"/>
      <c r="O1200" s="122"/>
      <c r="P1200" s="122"/>
      <c r="Q1200" s="122"/>
      <c r="R1200" s="122"/>
      <c r="S1200" s="122"/>
      <c r="T1200" s="122"/>
      <c r="U1200" s="122"/>
      <c r="V1200" s="122"/>
      <c r="W1200" s="122"/>
      <c r="X1200" s="122"/>
      <c r="Y1200" s="122"/>
      <c r="Z1200" s="122"/>
      <c r="AA1200" s="122"/>
      <c r="AB1200" s="122"/>
      <c r="AC1200" s="122"/>
      <c r="AD1200" s="122"/>
      <c r="AE1200" s="122"/>
      <c r="AF1200" s="122"/>
      <c r="AG1200" s="122"/>
      <c r="AH1200" s="122"/>
      <c r="AI1200" s="122"/>
      <c r="AJ1200" s="122"/>
      <c r="AK1200" s="122"/>
      <c r="AL1200" s="122"/>
      <c r="AM1200" s="122"/>
      <c r="AN1200" s="122"/>
    </row>
    <row r="1201">
      <c r="A1201" s="120"/>
      <c r="B1201" s="120"/>
      <c r="C1201" s="121"/>
      <c r="D1201" s="121"/>
      <c r="E1201" s="121"/>
      <c r="F1201" s="122"/>
      <c r="G1201" s="122"/>
      <c r="H1201" s="122"/>
      <c r="I1201" s="122"/>
      <c r="J1201" s="122"/>
      <c r="K1201" s="122"/>
      <c r="L1201" s="122"/>
      <c r="M1201" s="122"/>
      <c r="N1201" s="122"/>
      <c r="O1201" s="122"/>
      <c r="P1201" s="122"/>
      <c r="Q1201" s="122"/>
      <c r="R1201" s="122"/>
      <c r="S1201" s="122"/>
      <c r="T1201" s="122"/>
      <c r="U1201" s="122"/>
      <c r="V1201" s="122"/>
      <c r="W1201" s="122"/>
      <c r="X1201" s="122"/>
      <c r="Y1201" s="122"/>
      <c r="Z1201" s="122"/>
      <c r="AA1201" s="122"/>
      <c r="AB1201" s="122"/>
      <c r="AC1201" s="122"/>
      <c r="AD1201" s="122"/>
      <c r="AE1201" s="122"/>
      <c r="AF1201" s="122"/>
      <c r="AG1201" s="122"/>
      <c r="AH1201" s="122"/>
      <c r="AI1201" s="122"/>
      <c r="AJ1201" s="122"/>
      <c r="AK1201" s="122"/>
      <c r="AL1201" s="122"/>
      <c r="AM1201" s="122"/>
      <c r="AN1201" s="121"/>
    </row>
    <row r="1202">
      <c r="B1202" s="120"/>
      <c r="C1202" s="121"/>
      <c r="D1202" s="122"/>
      <c r="E1202" s="121"/>
      <c r="F1202" s="122"/>
      <c r="G1202" s="122"/>
      <c r="H1202" s="122"/>
      <c r="I1202" s="122"/>
      <c r="J1202" s="122"/>
      <c r="K1202" s="122"/>
      <c r="L1202" s="122"/>
      <c r="M1202" s="122"/>
      <c r="N1202" s="122"/>
      <c r="O1202" s="122"/>
      <c r="P1202" s="122"/>
      <c r="Q1202" s="122"/>
      <c r="R1202" s="122"/>
      <c r="S1202" s="122"/>
      <c r="T1202" s="122"/>
      <c r="U1202" s="122"/>
      <c r="V1202" s="122"/>
      <c r="W1202" s="122"/>
      <c r="X1202" s="122"/>
      <c r="Y1202" s="122"/>
      <c r="Z1202" s="122"/>
      <c r="AA1202" s="122"/>
      <c r="AB1202" s="122"/>
      <c r="AC1202" s="122"/>
      <c r="AD1202" s="122"/>
      <c r="AE1202" s="122"/>
      <c r="AF1202" s="122"/>
      <c r="AG1202" s="122"/>
      <c r="AH1202" s="122"/>
      <c r="AI1202" s="122"/>
      <c r="AJ1202" s="122"/>
      <c r="AK1202" s="122"/>
      <c r="AL1202" s="122"/>
      <c r="AM1202" s="122"/>
      <c r="AN1202" s="121"/>
    </row>
    <row r="1203">
      <c r="B1203" s="120"/>
      <c r="C1203" s="122"/>
      <c r="D1203" s="122"/>
      <c r="E1203" s="122"/>
      <c r="F1203" s="122"/>
      <c r="G1203" s="122"/>
      <c r="H1203" s="122"/>
      <c r="I1203" s="122"/>
      <c r="J1203" s="122"/>
      <c r="K1203" s="122"/>
      <c r="L1203" s="122"/>
      <c r="M1203" s="122"/>
      <c r="N1203" s="122"/>
      <c r="O1203" s="122"/>
      <c r="P1203" s="122"/>
      <c r="Q1203" s="122"/>
      <c r="R1203" s="122"/>
      <c r="S1203" s="122"/>
      <c r="T1203" s="122"/>
      <c r="U1203" s="122"/>
      <c r="V1203" s="122"/>
      <c r="W1203" s="122"/>
      <c r="X1203" s="122"/>
      <c r="Y1203" s="122"/>
      <c r="Z1203" s="122"/>
      <c r="AA1203" s="122"/>
      <c r="AB1203" s="122"/>
      <c r="AC1203" s="122"/>
      <c r="AD1203" s="122"/>
      <c r="AE1203" s="122"/>
      <c r="AF1203" s="122"/>
      <c r="AG1203" s="122"/>
      <c r="AH1203" s="122"/>
      <c r="AI1203" s="122"/>
      <c r="AJ1203" s="122"/>
      <c r="AK1203" s="122"/>
      <c r="AL1203" s="122"/>
      <c r="AM1203" s="122"/>
      <c r="AN1203" s="122"/>
    </row>
    <row r="1204">
      <c r="B1204" s="120"/>
      <c r="C1204" s="122"/>
      <c r="D1204" s="122"/>
      <c r="E1204" s="122"/>
      <c r="F1204" s="122"/>
      <c r="G1204" s="122"/>
      <c r="H1204" s="122"/>
      <c r="I1204" s="122"/>
      <c r="J1204" s="122"/>
      <c r="K1204" s="122"/>
      <c r="L1204" s="122"/>
      <c r="M1204" s="122"/>
      <c r="N1204" s="122"/>
      <c r="O1204" s="122"/>
      <c r="P1204" s="122"/>
      <c r="Q1204" s="122"/>
      <c r="R1204" s="122"/>
      <c r="S1204" s="122"/>
      <c r="T1204" s="122"/>
      <c r="U1204" s="122"/>
      <c r="V1204" s="122"/>
      <c r="W1204" s="122"/>
      <c r="X1204" s="122"/>
      <c r="Y1204" s="122"/>
      <c r="Z1204" s="122"/>
      <c r="AA1204" s="122"/>
      <c r="AB1204" s="122"/>
      <c r="AC1204" s="122"/>
      <c r="AD1204" s="122"/>
      <c r="AE1204" s="122"/>
      <c r="AF1204" s="122"/>
      <c r="AG1204" s="122"/>
      <c r="AH1204" s="122"/>
      <c r="AI1204" s="122"/>
      <c r="AJ1204" s="122"/>
      <c r="AK1204" s="122"/>
      <c r="AL1204" s="122"/>
      <c r="AM1204" s="122"/>
      <c r="AN1204" s="122"/>
    </row>
    <row r="1205">
      <c r="B1205" s="120"/>
      <c r="C1205" s="122"/>
      <c r="D1205" s="122"/>
      <c r="E1205" s="122"/>
      <c r="F1205" s="122"/>
      <c r="G1205" s="122"/>
      <c r="H1205" s="122"/>
      <c r="I1205" s="122"/>
      <c r="J1205" s="122"/>
      <c r="K1205" s="122"/>
      <c r="L1205" s="122"/>
      <c r="M1205" s="122"/>
      <c r="N1205" s="122"/>
      <c r="O1205" s="122"/>
      <c r="P1205" s="122"/>
      <c r="Q1205" s="122"/>
      <c r="R1205" s="122"/>
      <c r="S1205" s="122"/>
      <c r="T1205" s="122"/>
      <c r="U1205" s="122"/>
      <c r="V1205" s="122"/>
      <c r="W1205" s="122"/>
      <c r="X1205" s="122"/>
      <c r="Y1205" s="122"/>
      <c r="Z1205" s="122"/>
      <c r="AA1205" s="122"/>
      <c r="AB1205" s="122"/>
      <c r="AC1205" s="122"/>
      <c r="AD1205" s="122"/>
      <c r="AE1205" s="122"/>
      <c r="AF1205" s="122"/>
      <c r="AG1205" s="122"/>
      <c r="AH1205" s="122"/>
      <c r="AI1205" s="122"/>
      <c r="AJ1205" s="122"/>
      <c r="AK1205" s="122"/>
      <c r="AL1205" s="122"/>
      <c r="AM1205" s="122"/>
      <c r="AN1205" s="122"/>
    </row>
    <row r="1206">
      <c r="A1206" s="120"/>
      <c r="B1206" s="120"/>
      <c r="C1206" s="122"/>
      <c r="D1206" s="122"/>
      <c r="E1206" s="122"/>
      <c r="F1206" s="122"/>
      <c r="G1206" s="122"/>
      <c r="H1206" s="122"/>
      <c r="I1206" s="122"/>
      <c r="J1206" s="122"/>
      <c r="K1206" s="122"/>
      <c r="L1206" s="122"/>
      <c r="M1206" s="122"/>
      <c r="N1206" s="122"/>
      <c r="O1206" s="122"/>
      <c r="P1206" s="122"/>
      <c r="Q1206" s="122"/>
      <c r="R1206" s="122"/>
      <c r="S1206" s="122"/>
      <c r="T1206" s="122"/>
      <c r="U1206" s="122"/>
      <c r="V1206" s="122"/>
      <c r="W1206" s="122"/>
      <c r="X1206" s="122"/>
      <c r="Y1206" s="122"/>
      <c r="Z1206" s="122"/>
      <c r="AA1206" s="122"/>
      <c r="AB1206" s="122"/>
      <c r="AC1206" s="122"/>
      <c r="AD1206" s="122"/>
      <c r="AE1206" s="122"/>
      <c r="AF1206" s="122"/>
      <c r="AG1206" s="122"/>
      <c r="AH1206" s="122"/>
      <c r="AI1206" s="122"/>
      <c r="AJ1206" s="122"/>
      <c r="AK1206" s="122"/>
      <c r="AL1206" s="122"/>
      <c r="AM1206" s="122"/>
      <c r="AN1206" s="122"/>
    </row>
    <row r="1207">
      <c r="B1207" s="120"/>
      <c r="C1207" s="122"/>
      <c r="D1207" s="122"/>
      <c r="E1207" s="122"/>
      <c r="F1207" s="122"/>
      <c r="G1207" s="122"/>
      <c r="H1207" s="122"/>
      <c r="I1207" s="122"/>
      <c r="J1207" s="122"/>
      <c r="K1207" s="122"/>
      <c r="L1207" s="122"/>
      <c r="M1207" s="122"/>
      <c r="N1207" s="122"/>
      <c r="O1207" s="122"/>
      <c r="P1207" s="122"/>
      <c r="Q1207" s="122"/>
      <c r="R1207" s="122"/>
      <c r="S1207" s="122"/>
      <c r="T1207" s="122"/>
      <c r="U1207" s="122"/>
      <c r="V1207" s="122"/>
      <c r="W1207" s="122"/>
      <c r="X1207" s="122"/>
      <c r="Y1207" s="122"/>
      <c r="Z1207" s="122"/>
      <c r="AA1207" s="122"/>
      <c r="AB1207" s="122"/>
      <c r="AC1207" s="122"/>
      <c r="AD1207" s="122"/>
      <c r="AE1207" s="122"/>
      <c r="AF1207" s="122"/>
      <c r="AG1207" s="122"/>
      <c r="AH1207" s="122"/>
      <c r="AI1207" s="122"/>
      <c r="AJ1207" s="122"/>
      <c r="AK1207" s="122"/>
      <c r="AL1207" s="122"/>
      <c r="AM1207" s="122"/>
      <c r="AN1207" s="122"/>
    </row>
    <row r="1208">
      <c r="B1208" s="120"/>
      <c r="C1208" s="122"/>
      <c r="D1208" s="122"/>
      <c r="E1208" s="122"/>
      <c r="F1208" s="122"/>
      <c r="G1208" s="122"/>
      <c r="H1208" s="122"/>
      <c r="I1208" s="122"/>
      <c r="J1208" s="122"/>
      <c r="K1208" s="122"/>
      <c r="L1208" s="122"/>
      <c r="M1208" s="122"/>
      <c r="N1208" s="122"/>
      <c r="O1208" s="122"/>
      <c r="P1208" s="122"/>
      <c r="Q1208" s="122"/>
      <c r="R1208" s="122"/>
      <c r="S1208" s="122"/>
      <c r="T1208" s="122"/>
      <c r="U1208" s="122"/>
      <c r="V1208" s="122"/>
      <c r="W1208" s="122"/>
      <c r="X1208" s="122"/>
      <c r="Y1208" s="122"/>
      <c r="Z1208" s="122"/>
      <c r="AA1208" s="122"/>
      <c r="AB1208" s="122"/>
      <c r="AC1208" s="122"/>
      <c r="AD1208" s="122"/>
      <c r="AE1208" s="122"/>
      <c r="AF1208" s="122"/>
      <c r="AG1208" s="122"/>
      <c r="AH1208" s="122"/>
      <c r="AI1208" s="122"/>
      <c r="AJ1208" s="122"/>
      <c r="AK1208" s="122"/>
      <c r="AL1208" s="122"/>
      <c r="AM1208" s="122"/>
      <c r="AN1208" s="122"/>
    </row>
    <row r="1209">
      <c r="B1209" s="120"/>
      <c r="C1209" s="122"/>
      <c r="D1209" s="122"/>
      <c r="E1209" s="122"/>
      <c r="F1209" s="122"/>
      <c r="G1209" s="122"/>
      <c r="H1209" s="122"/>
      <c r="I1209" s="122"/>
      <c r="J1209" s="122"/>
      <c r="K1209" s="122"/>
      <c r="L1209" s="122"/>
      <c r="M1209" s="122"/>
      <c r="N1209" s="122"/>
      <c r="O1209" s="122"/>
      <c r="P1209" s="122"/>
      <c r="Q1209" s="122"/>
      <c r="R1209" s="122"/>
      <c r="S1209" s="122"/>
      <c r="T1209" s="122"/>
      <c r="U1209" s="122"/>
      <c r="V1209" s="122"/>
      <c r="W1209" s="122"/>
      <c r="X1209" s="122"/>
      <c r="Y1209" s="122"/>
      <c r="Z1209" s="122"/>
      <c r="AA1209" s="122"/>
      <c r="AB1209" s="122"/>
      <c r="AC1209" s="122"/>
      <c r="AD1209" s="122"/>
      <c r="AE1209" s="122"/>
      <c r="AF1209" s="122"/>
      <c r="AG1209" s="122"/>
      <c r="AH1209" s="122"/>
      <c r="AI1209" s="122"/>
      <c r="AJ1209" s="122"/>
      <c r="AK1209" s="122"/>
      <c r="AL1209" s="122"/>
      <c r="AM1209" s="122"/>
      <c r="AN1209" s="122"/>
    </row>
    <row r="1210">
      <c r="B1210" s="120"/>
      <c r="C1210" s="122"/>
      <c r="D1210" s="122"/>
      <c r="E1210" s="122"/>
      <c r="F1210" s="122"/>
      <c r="G1210" s="122"/>
      <c r="H1210" s="122"/>
      <c r="I1210" s="122"/>
      <c r="J1210" s="122"/>
      <c r="K1210" s="122"/>
      <c r="L1210" s="122"/>
      <c r="M1210" s="122"/>
      <c r="N1210" s="122"/>
      <c r="O1210" s="122"/>
      <c r="P1210" s="122"/>
      <c r="Q1210" s="122"/>
      <c r="R1210" s="122"/>
      <c r="S1210" s="122"/>
      <c r="T1210" s="122"/>
      <c r="U1210" s="122"/>
      <c r="V1210" s="122"/>
      <c r="W1210" s="122"/>
      <c r="X1210" s="122"/>
      <c r="Y1210" s="122"/>
      <c r="Z1210" s="122"/>
      <c r="AA1210" s="122"/>
      <c r="AB1210" s="122"/>
      <c r="AC1210" s="122"/>
      <c r="AD1210" s="122"/>
      <c r="AE1210" s="122"/>
      <c r="AF1210" s="122"/>
      <c r="AG1210" s="122"/>
      <c r="AH1210" s="122"/>
      <c r="AI1210" s="122"/>
      <c r="AJ1210" s="122"/>
      <c r="AK1210" s="122"/>
      <c r="AL1210" s="122"/>
      <c r="AM1210" s="122"/>
      <c r="AN1210" s="122"/>
    </row>
    <row r="1211">
      <c r="A1211" s="123"/>
    </row>
    <row r="1212">
      <c r="A1212" s="120"/>
      <c r="B1212" s="120"/>
      <c r="C1212" s="121"/>
      <c r="D1212" s="121"/>
      <c r="E1212" s="121"/>
      <c r="F1212" s="122"/>
      <c r="G1212" s="122"/>
      <c r="H1212" s="122"/>
      <c r="I1212" s="122"/>
      <c r="J1212" s="122"/>
      <c r="K1212" s="122"/>
      <c r="L1212" s="122"/>
      <c r="M1212" s="122"/>
      <c r="N1212" s="122"/>
      <c r="O1212" s="122"/>
      <c r="P1212" s="122"/>
      <c r="Q1212" s="122"/>
      <c r="R1212" s="122"/>
      <c r="S1212" s="122"/>
      <c r="T1212" s="122"/>
      <c r="U1212" s="122"/>
      <c r="V1212" s="122"/>
      <c r="W1212" s="121"/>
      <c r="X1212" s="121"/>
      <c r="Y1212" s="121"/>
      <c r="Z1212" s="121"/>
      <c r="AA1212" s="121"/>
      <c r="AB1212" s="121"/>
      <c r="AC1212" s="121"/>
      <c r="AD1212" s="121"/>
      <c r="AE1212" s="121"/>
      <c r="AF1212" s="121"/>
      <c r="AG1212" s="121"/>
      <c r="AH1212" s="121"/>
      <c r="AI1212" s="121"/>
      <c r="AJ1212" s="121"/>
      <c r="AK1212" s="121"/>
      <c r="AL1212" s="121"/>
      <c r="AM1212" s="121"/>
      <c r="AN1212" s="121"/>
    </row>
    <row r="1213">
      <c r="B1213" s="120"/>
      <c r="C1213" s="121"/>
      <c r="D1213" s="121"/>
      <c r="E1213" s="121"/>
      <c r="F1213" s="122"/>
      <c r="G1213" s="122"/>
      <c r="H1213" s="122"/>
      <c r="I1213" s="122"/>
      <c r="J1213" s="122"/>
      <c r="K1213" s="122"/>
      <c r="L1213" s="122"/>
      <c r="M1213" s="122"/>
      <c r="N1213" s="122"/>
      <c r="O1213" s="122"/>
      <c r="P1213" s="122"/>
      <c r="Q1213" s="122"/>
      <c r="R1213" s="122"/>
      <c r="S1213" s="122"/>
      <c r="T1213" s="122"/>
      <c r="U1213" s="122"/>
      <c r="V1213" s="122"/>
      <c r="W1213" s="122"/>
      <c r="X1213" s="122"/>
      <c r="Y1213" s="121"/>
      <c r="Z1213" s="121"/>
      <c r="AA1213" s="121"/>
      <c r="AB1213" s="121"/>
      <c r="AC1213" s="121"/>
      <c r="AD1213" s="121"/>
      <c r="AE1213" s="121"/>
      <c r="AF1213" s="121"/>
      <c r="AG1213" s="121"/>
      <c r="AH1213" s="121"/>
      <c r="AI1213" s="121"/>
      <c r="AJ1213" s="121"/>
      <c r="AK1213" s="121"/>
      <c r="AL1213" s="121"/>
      <c r="AM1213" s="121"/>
      <c r="AN1213" s="121"/>
    </row>
    <row r="1214">
      <c r="B1214" s="120"/>
      <c r="C1214" s="121"/>
      <c r="D1214" s="121"/>
      <c r="E1214" s="121"/>
      <c r="F1214" s="122"/>
      <c r="G1214" s="122"/>
      <c r="H1214" s="122"/>
      <c r="I1214" s="122"/>
      <c r="J1214" s="122"/>
      <c r="K1214" s="122"/>
      <c r="L1214" s="122"/>
      <c r="M1214" s="122"/>
      <c r="N1214" s="122"/>
      <c r="O1214" s="122"/>
      <c r="P1214" s="122"/>
      <c r="Q1214" s="122"/>
      <c r="R1214" s="122"/>
      <c r="S1214" s="122"/>
      <c r="T1214" s="122"/>
      <c r="U1214" s="122"/>
      <c r="V1214" s="122"/>
      <c r="W1214" s="122"/>
      <c r="X1214" s="122"/>
      <c r="Y1214" s="121"/>
      <c r="Z1214" s="122"/>
      <c r="AA1214" s="121"/>
      <c r="AB1214" s="121"/>
      <c r="AC1214" s="121"/>
      <c r="AD1214" s="121"/>
      <c r="AE1214" s="121"/>
      <c r="AF1214" s="121"/>
      <c r="AG1214" s="121"/>
      <c r="AH1214" s="121"/>
      <c r="AI1214" s="121"/>
      <c r="AJ1214" s="121"/>
      <c r="AK1214" s="121"/>
      <c r="AL1214" s="121"/>
      <c r="AM1214" s="121"/>
      <c r="AN1214" s="121"/>
    </row>
    <row r="1215">
      <c r="B1215" s="120"/>
      <c r="C1215" s="122"/>
      <c r="D1215" s="122"/>
      <c r="E1215" s="122"/>
      <c r="F1215" s="122"/>
      <c r="G1215" s="122"/>
      <c r="H1215" s="122"/>
      <c r="I1215" s="122"/>
      <c r="J1215" s="122"/>
      <c r="K1215" s="122"/>
      <c r="L1215" s="122"/>
      <c r="M1215" s="122"/>
      <c r="N1215" s="122"/>
      <c r="O1215" s="122"/>
      <c r="P1215" s="122"/>
      <c r="Q1215" s="122"/>
      <c r="R1215" s="122"/>
      <c r="S1215" s="122"/>
      <c r="T1215" s="122"/>
      <c r="U1215" s="122"/>
      <c r="V1215" s="122"/>
      <c r="W1215" s="122"/>
      <c r="X1215" s="122"/>
      <c r="Y1215" s="122"/>
      <c r="Z1215" s="122"/>
      <c r="AA1215" s="122"/>
      <c r="AB1215" s="122"/>
      <c r="AC1215" s="122"/>
      <c r="AD1215" s="122"/>
      <c r="AE1215" s="122"/>
      <c r="AF1215" s="122"/>
      <c r="AG1215" s="122"/>
      <c r="AH1215" s="122"/>
      <c r="AI1215" s="122"/>
      <c r="AJ1215" s="122"/>
      <c r="AK1215" s="122"/>
      <c r="AL1215" s="122"/>
      <c r="AM1215" s="122"/>
      <c r="AN1215" s="122"/>
    </row>
    <row r="1216">
      <c r="A1216" s="120"/>
      <c r="B1216" s="120"/>
      <c r="C1216" s="122"/>
      <c r="D1216" s="122"/>
      <c r="E1216" s="122"/>
      <c r="F1216" s="122"/>
      <c r="G1216" s="122"/>
      <c r="H1216" s="122"/>
      <c r="I1216" s="122"/>
      <c r="J1216" s="122"/>
      <c r="K1216" s="122"/>
      <c r="L1216" s="122"/>
      <c r="M1216" s="122"/>
      <c r="N1216" s="122"/>
      <c r="O1216" s="122"/>
      <c r="P1216" s="122"/>
      <c r="Q1216" s="122"/>
      <c r="R1216" s="122"/>
      <c r="S1216" s="122"/>
      <c r="T1216" s="122"/>
      <c r="U1216" s="122"/>
      <c r="V1216" s="122"/>
      <c r="W1216" s="122"/>
      <c r="X1216" s="122"/>
      <c r="Y1216" s="122"/>
      <c r="Z1216" s="122"/>
      <c r="AA1216" s="122"/>
      <c r="AB1216" s="122"/>
      <c r="AC1216" s="122"/>
      <c r="AD1216" s="122"/>
      <c r="AE1216" s="122"/>
      <c r="AF1216" s="122"/>
      <c r="AG1216" s="122"/>
      <c r="AH1216" s="122"/>
      <c r="AI1216" s="122"/>
      <c r="AJ1216" s="122"/>
      <c r="AK1216" s="122"/>
      <c r="AL1216" s="122"/>
      <c r="AM1216" s="122"/>
      <c r="AN1216" s="122"/>
    </row>
    <row r="1217">
      <c r="B1217" s="120"/>
      <c r="C1217" s="122"/>
      <c r="D1217" s="122"/>
      <c r="E1217" s="122"/>
      <c r="F1217" s="122"/>
      <c r="G1217" s="122"/>
      <c r="H1217" s="122"/>
      <c r="I1217" s="122"/>
      <c r="J1217" s="122"/>
      <c r="K1217" s="122"/>
      <c r="L1217" s="122"/>
      <c r="M1217" s="122"/>
      <c r="N1217" s="122"/>
      <c r="O1217" s="122"/>
      <c r="P1217" s="122"/>
      <c r="Q1217" s="122"/>
      <c r="R1217" s="122"/>
      <c r="S1217" s="122"/>
      <c r="T1217" s="122"/>
      <c r="U1217" s="122"/>
      <c r="V1217" s="122"/>
      <c r="W1217" s="122"/>
      <c r="X1217" s="122"/>
      <c r="Y1217" s="122"/>
      <c r="Z1217" s="122"/>
      <c r="AA1217" s="122"/>
      <c r="AB1217" s="122"/>
      <c r="AC1217" s="122"/>
      <c r="AD1217" s="122"/>
      <c r="AE1217" s="122"/>
      <c r="AF1217" s="122"/>
      <c r="AG1217" s="122"/>
      <c r="AH1217" s="122"/>
      <c r="AI1217" s="122"/>
      <c r="AJ1217" s="122"/>
      <c r="AK1217" s="122"/>
      <c r="AL1217" s="122"/>
      <c r="AM1217" s="122"/>
      <c r="AN1217" s="122"/>
    </row>
    <row r="1218">
      <c r="A1218" s="120"/>
      <c r="B1218" s="120"/>
      <c r="C1218" s="122"/>
      <c r="D1218" s="122"/>
      <c r="E1218" s="122"/>
      <c r="F1218" s="122"/>
      <c r="G1218" s="122"/>
      <c r="H1218" s="122"/>
      <c r="I1218" s="122"/>
      <c r="J1218" s="122"/>
      <c r="K1218" s="122"/>
      <c r="L1218" s="122"/>
      <c r="M1218" s="122"/>
      <c r="N1218" s="122"/>
      <c r="O1218" s="122"/>
      <c r="P1218" s="122"/>
      <c r="Q1218" s="122"/>
      <c r="R1218" s="122"/>
      <c r="S1218" s="122"/>
      <c r="T1218" s="122"/>
      <c r="U1218" s="122"/>
      <c r="V1218" s="122"/>
      <c r="W1218" s="122"/>
      <c r="X1218" s="122"/>
      <c r="Y1218" s="122"/>
      <c r="Z1218" s="122"/>
      <c r="AA1218" s="122"/>
      <c r="AB1218" s="122"/>
      <c r="AC1218" s="122"/>
      <c r="AD1218" s="122"/>
      <c r="AE1218" s="122"/>
      <c r="AF1218" s="122"/>
      <c r="AG1218" s="122"/>
      <c r="AH1218" s="122"/>
      <c r="AI1218" s="122"/>
      <c r="AJ1218" s="122"/>
      <c r="AK1218" s="122"/>
      <c r="AL1218" s="122"/>
      <c r="AM1218" s="122"/>
      <c r="AN1218" s="122"/>
    </row>
    <row r="1219">
      <c r="B1219" s="120"/>
      <c r="C1219" s="121"/>
      <c r="D1219" s="122"/>
      <c r="E1219" s="121"/>
      <c r="F1219" s="122"/>
      <c r="G1219" s="122"/>
      <c r="H1219" s="122"/>
      <c r="I1219" s="122"/>
      <c r="J1219" s="122"/>
      <c r="K1219" s="122"/>
      <c r="L1219" s="122"/>
      <c r="M1219" s="122"/>
      <c r="N1219" s="122"/>
      <c r="O1219" s="122"/>
      <c r="P1219" s="122"/>
      <c r="Q1219" s="122"/>
      <c r="R1219" s="122"/>
      <c r="S1219" s="122"/>
      <c r="T1219" s="122"/>
      <c r="U1219" s="122"/>
      <c r="V1219" s="122"/>
      <c r="W1219" s="122"/>
      <c r="X1219" s="122"/>
      <c r="Y1219" s="122"/>
      <c r="Z1219" s="122"/>
      <c r="AA1219" s="122"/>
      <c r="AB1219" s="122"/>
      <c r="AC1219" s="122"/>
      <c r="AD1219" s="122"/>
      <c r="AE1219" s="122"/>
      <c r="AF1219" s="122"/>
      <c r="AG1219" s="122"/>
      <c r="AH1219" s="122"/>
      <c r="AI1219" s="122"/>
      <c r="AJ1219" s="122"/>
      <c r="AK1219" s="122"/>
      <c r="AL1219" s="122"/>
      <c r="AM1219" s="122"/>
      <c r="AN1219" s="121"/>
    </row>
    <row r="1220">
      <c r="A1220" s="120"/>
      <c r="B1220" s="120"/>
      <c r="C1220" s="122"/>
      <c r="D1220" s="122"/>
      <c r="E1220" s="122"/>
      <c r="F1220" s="122"/>
      <c r="G1220" s="122"/>
      <c r="H1220" s="122"/>
      <c r="I1220" s="122"/>
      <c r="J1220" s="122"/>
      <c r="K1220" s="122"/>
      <c r="L1220" s="122"/>
      <c r="M1220" s="122"/>
      <c r="N1220" s="122"/>
      <c r="O1220" s="122"/>
      <c r="P1220" s="122"/>
      <c r="Q1220" s="122"/>
      <c r="R1220" s="122"/>
      <c r="S1220" s="122"/>
      <c r="T1220" s="122"/>
      <c r="U1220" s="122"/>
      <c r="V1220" s="122"/>
      <c r="W1220" s="122"/>
      <c r="X1220" s="122"/>
      <c r="Y1220" s="122"/>
      <c r="Z1220" s="122"/>
      <c r="AA1220" s="122"/>
      <c r="AB1220" s="122"/>
      <c r="AC1220" s="122"/>
      <c r="AD1220" s="122"/>
      <c r="AE1220" s="122"/>
      <c r="AF1220" s="122"/>
      <c r="AG1220" s="122"/>
      <c r="AH1220" s="122"/>
      <c r="AI1220" s="122"/>
      <c r="AJ1220" s="122"/>
      <c r="AK1220" s="122"/>
      <c r="AL1220" s="122"/>
      <c r="AM1220" s="122"/>
      <c r="AN1220" s="122"/>
    </row>
    <row r="1221">
      <c r="B1221" s="120"/>
      <c r="C1221" s="122"/>
      <c r="D1221" s="122"/>
      <c r="E1221" s="122"/>
      <c r="F1221" s="122"/>
      <c r="G1221" s="122"/>
      <c r="H1221" s="122"/>
      <c r="I1221" s="122"/>
      <c r="J1221" s="122"/>
      <c r="K1221" s="122"/>
      <c r="L1221" s="122"/>
      <c r="M1221" s="122"/>
      <c r="N1221" s="122"/>
      <c r="O1221" s="122"/>
      <c r="P1221" s="122"/>
      <c r="Q1221" s="122"/>
      <c r="R1221" s="122"/>
      <c r="S1221" s="122"/>
      <c r="T1221" s="122"/>
      <c r="U1221" s="122"/>
      <c r="V1221" s="122"/>
      <c r="W1221" s="122"/>
      <c r="X1221" s="122"/>
      <c r="Y1221" s="122"/>
      <c r="Z1221" s="122"/>
      <c r="AA1221" s="122"/>
      <c r="AB1221" s="122"/>
      <c r="AC1221" s="122"/>
      <c r="AD1221" s="122"/>
      <c r="AE1221" s="122"/>
      <c r="AF1221" s="122"/>
      <c r="AG1221" s="122"/>
      <c r="AH1221" s="122"/>
      <c r="AI1221" s="122"/>
      <c r="AJ1221" s="122"/>
      <c r="AK1221" s="122"/>
      <c r="AL1221" s="122"/>
      <c r="AM1221" s="122"/>
      <c r="AN1221" s="122"/>
    </row>
    <row r="1222">
      <c r="A1222" s="120"/>
      <c r="B1222" s="120"/>
      <c r="C1222" s="122"/>
      <c r="D1222" s="122"/>
      <c r="E1222" s="122"/>
      <c r="F1222" s="122"/>
      <c r="G1222" s="122"/>
      <c r="H1222" s="122"/>
      <c r="I1222" s="122"/>
      <c r="J1222" s="122"/>
      <c r="K1222" s="122"/>
      <c r="L1222" s="122"/>
      <c r="M1222" s="122"/>
      <c r="N1222" s="122"/>
      <c r="O1222" s="122"/>
      <c r="P1222" s="122"/>
      <c r="Q1222" s="122"/>
      <c r="R1222" s="122"/>
      <c r="S1222" s="122"/>
      <c r="T1222" s="122"/>
      <c r="U1222" s="122"/>
      <c r="V1222" s="122"/>
      <c r="W1222" s="122"/>
      <c r="X1222" s="122"/>
      <c r="Y1222" s="122"/>
      <c r="Z1222" s="122"/>
      <c r="AA1222" s="122"/>
      <c r="AB1222" s="122"/>
      <c r="AC1222" s="122"/>
      <c r="AD1222" s="122"/>
      <c r="AE1222" s="122"/>
      <c r="AF1222" s="122"/>
      <c r="AG1222" s="122"/>
      <c r="AH1222" s="122"/>
      <c r="AI1222" s="122"/>
      <c r="AJ1222" s="122"/>
      <c r="AK1222" s="122"/>
      <c r="AL1222" s="122"/>
      <c r="AM1222" s="122"/>
      <c r="AN1222" s="122"/>
    </row>
    <row r="1223">
      <c r="B1223" s="120"/>
      <c r="C1223" s="122"/>
      <c r="D1223" s="122"/>
      <c r="E1223" s="122"/>
      <c r="F1223" s="122"/>
      <c r="G1223" s="122"/>
      <c r="H1223" s="122"/>
      <c r="I1223" s="122"/>
      <c r="J1223" s="122"/>
      <c r="K1223" s="122"/>
      <c r="L1223" s="122"/>
      <c r="M1223" s="122"/>
      <c r="N1223" s="122"/>
      <c r="O1223" s="122"/>
      <c r="P1223" s="122"/>
      <c r="Q1223" s="122"/>
      <c r="R1223" s="122"/>
      <c r="S1223" s="122"/>
      <c r="T1223" s="122"/>
      <c r="U1223" s="122"/>
      <c r="V1223" s="122"/>
      <c r="W1223" s="122"/>
      <c r="X1223" s="122"/>
      <c r="Y1223" s="122"/>
      <c r="Z1223" s="122"/>
      <c r="AA1223" s="122"/>
      <c r="AB1223" s="122"/>
      <c r="AC1223" s="122"/>
      <c r="AD1223" s="122"/>
      <c r="AE1223" s="122"/>
      <c r="AF1223" s="122"/>
      <c r="AG1223" s="122"/>
      <c r="AH1223" s="122"/>
      <c r="AI1223" s="122"/>
      <c r="AJ1223" s="122"/>
      <c r="AK1223" s="122"/>
      <c r="AL1223" s="122"/>
      <c r="AM1223" s="122"/>
      <c r="AN1223" s="122"/>
    </row>
    <row r="1224">
      <c r="B1224" s="120"/>
      <c r="C1224" s="122"/>
      <c r="D1224" s="122"/>
      <c r="E1224" s="122"/>
      <c r="F1224" s="122"/>
      <c r="G1224" s="122"/>
      <c r="H1224" s="122"/>
      <c r="I1224" s="122"/>
      <c r="J1224" s="122"/>
      <c r="K1224" s="122"/>
      <c r="L1224" s="122"/>
      <c r="M1224" s="122"/>
      <c r="N1224" s="122"/>
      <c r="O1224" s="122"/>
      <c r="P1224" s="122"/>
      <c r="Q1224" s="122"/>
      <c r="R1224" s="122"/>
      <c r="S1224" s="122"/>
      <c r="T1224" s="122"/>
      <c r="U1224" s="122"/>
      <c r="V1224" s="122"/>
      <c r="W1224" s="122"/>
      <c r="X1224" s="122"/>
      <c r="Y1224" s="122"/>
      <c r="Z1224" s="122"/>
      <c r="AA1224" s="122"/>
      <c r="AB1224" s="122"/>
      <c r="AC1224" s="122"/>
      <c r="AD1224" s="122"/>
      <c r="AE1224" s="122"/>
      <c r="AF1224" s="122"/>
      <c r="AG1224" s="122"/>
      <c r="AH1224" s="122"/>
      <c r="AI1224" s="122"/>
      <c r="AJ1224" s="122"/>
      <c r="AK1224" s="122"/>
      <c r="AL1224" s="122"/>
      <c r="AM1224" s="122"/>
      <c r="AN1224" s="122"/>
    </row>
    <row r="1225">
      <c r="A1225" s="120"/>
      <c r="B1225" s="120"/>
      <c r="C1225" s="121"/>
      <c r="D1225" s="121"/>
      <c r="E1225" s="121"/>
      <c r="F1225" s="122"/>
      <c r="G1225" s="122"/>
      <c r="H1225" s="122"/>
      <c r="I1225" s="122"/>
      <c r="J1225" s="122"/>
      <c r="K1225" s="122"/>
      <c r="L1225" s="122"/>
      <c r="M1225" s="122"/>
      <c r="N1225" s="122"/>
      <c r="O1225" s="122"/>
      <c r="P1225" s="122"/>
      <c r="Q1225" s="122"/>
      <c r="R1225" s="122"/>
      <c r="S1225" s="122"/>
      <c r="T1225" s="122"/>
      <c r="U1225" s="122"/>
      <c r="V1225" s="122"/>
      <c r="W1225" s="122"/>
      <c r="X1225" s="122"/>
      <c r="Y1225" s="122"/>
      <c r="Z1225" s="122"/>
      <c r="AA1225" s="122"/>
      <c r="AB1225" s="122"/>
      <c r="AC1225" s="122"/>
      <c r="AD1225" s="122"/>
      <c r="AE1225" s="122"/>
      <c r="AF1225" s="122"/>
      <c r="AG1225" s="122"/>
      <c r="AH1225" s="122"/>
      <c r="AI1225" s="122"/>
      <c r="AJ1225" s="122"/>
      <c r="AK1225" s="122"/>
      <c r="AL1225" s="122"/>
      <c r="AM1225" s="122"/>
      <c r="AN1225" s="121"/>
    </row>
    <row r="1226">
      <c r="B1226" s="120"/>
      <c r="C1226" s="121"/>
      <c r="D1226" s="122"/>
      <c r="E1226" s="121"/>
      <c r="F1226" s="122"/>
      <c r="G1226" s="122"/>
      <c r="H1226" s="122"/>
      <c r="I1226" s="122"/>
      <c r="J1226" s="122"/>
      <c r="K1226" s="122"/>
      <c r="L1226" s="122"/>
      <c r="M1226" s="122"/>
      <c r="N1226" s="122"/>
      <c r="O1226" s="122"/>
      <c r="P1226" s="122"/>
      <c r="Q1226" s="122"/>
      <c r="R1226" s="122"/>
      <c r="S1226" s="122"/>
      <c r="T1226" s="122"/>
      <c r="U1226" s="122"/>
      <c r="V1226" s="122"/>
      <c r="W1226" s="122"/>
      <c r="X1226" s="122"/>
      <c r="Y1226" s="122"/>
      <c r="Z1226" s="122"/>
      <c r="AA1226" s="122"/>
      <c r="AB1226" s="122"/>
      <c r="AC1226" s="122"/>
      <c r="AD1226" s="122"/>
      <c r="AE1226" s="122"/>
      <c r="AF1226" s="122"/>
      <c r="AG1226" s="122"/>
      <c r="AH1226" s="122"/>
      <c r="AI1226" s="122"/>
      <c r="AJ1226" s="122"/>
      <c r="AK1226" s="122"/>
      <c r="AL1226" s="122"/>
      <c r="AM1226" s="122"/>
      <c r="AN1226" s="121"/>
    </row>
    <row r="1227">
      <c r="B1227" s="120"/>
      <c r="C1227" s="122"/>
      <c r="D1227" s="122"/>
      <c r="E1227" s="122"/>
      <c r="F1227" s="122"/>
      <c r="G1227" s="122"/>
      <c r="H1227" s="122"/>
      <c r="I1227" s="122"/>
      <c r="J1227" s="122"/>
      <c r="K1227" s="122"/>
      <c r="L1227" s="122"/>
      <c r="M1227" s="122"/>
      <c r="N1227" s="122"/>
      <c r="O1227" s="122"/>
      <c r="P1227" s="122"/>
      <c r="Q1227" s="122"/>
      <c r="R1227" s="122"/>
      <c r="S1227" s="122"/>
      <c r="T1227" s="122"/>
      <c r="U1227" s="122"/>
      <c r="V1227" s="122"/>
      <c r="W1227" s="122"/>
      <c r="X1227" s="122"/>
      <c r="Y1227" s="122"/>
      <c r="Z1227" s="122"/>
      <c r="AA1227" s="122"/>
      <c r="AB1227" s="122"/>
      <c r="AC1227" s="122"/>
      <c r="AD1227" s="122"/>
      <c r="AE1227" s="122"/>
      <c r="AF1227" s="122"/>
      <c r="AG1227" s="122"/>
      <c r="AH1227" s="122"/>
      <c r="AI1227" s="122"/>
      <c r="AJ1227" s="122"/>
      <c r="AK1227" s="122"/>
      <c r="AL1227" s="122"/>
      <c r="AM1227" s="122"/>
      <c r="AN1227" s="122"/>
    </row>
    <row r="1228">
      <c r="B1228" s="120"/>
      <c r="C1228" s="121"/>
      <c r="D1228" s="122"/>
      <c r="E1228" s="121"/>
      <c r="F1228" s="122"/>
      <c r="G1228" s="122"/>
      <c r="H1228" s="122"/>
      <c r="I1228" s="122"/>
      <c r="J1228" s="122"/>
      <c r="K1228" s="122"/>
      <c r="L1228" s="122"/>
      <c r="M1228" s="122"/>
      <c r="N1228" s="122"/>
      <c r="O1228" s="122"/>
      <c r="P1228" s="122"/>
      <c r="Q1228" s="122"/>
      <c r="R1228" s="122"/>
      <c r="S1228" s="122"/>
      <c r="T1228" s="122"/>
      <c r="U1228" s="122"/>
      <c r="V1228" s="122"/>
      <c r="W1228" s="122"/>
      <c r="X1228" s="122"/>
      <c r="Y1228" s="122"/>
      <c r="Z1228" s="122"/>
      <c r="AA1228" s="122"/>
      <c r="AB1228" s="122"/>
      <c r="AC1228" s="122"/>
      <c r="AD1228" s="122"/>
      <c r="AE1228" s="122"/>
      <c r="AF1228" s="122"/>
      <c r="AG1228" s="122"/>
      <c r="AH1228" s="122"/>
      <c r="AI1228" s="122"/>
      <c r="AJ1228" s="122"/>
      <c r="AK1228" s="122"/>
      <c r="AL1228" s="122"/>
      <c r="AM1228" s="122"/>
      <c r="AN1228" s="121"/>
    </row>
    <row r="1229">
      <c r="B1229" s="120"/>
      <c r="C1229" s="122"/>
      <c r="D1229" s="122"/>
      <c r="E1229" s="122"/>
      <c r="F1229" s="122"/>
      <c r="G1229" s="122"/>
      <c r="H1229" s="122"/>
      <c r="I1229" s="122"/>
      <c r="J1229" s="122"/>
      <c r="K1229" s="122"/>
      <c r="L1229" s="122"/>
      <c r="M1229" s="122"/>
      <c r="N1229" s="122"/>
      <c r="O1229" s="122"/>
      <c r="P1229" s="122"/>
      <c r="Q1229" s="122"/>
      <c r="R1229" s="122"/>
      <c r="S1229" s="122"/>
      <c r="T1229" s="122"/>
      <c r="U1229" s="122"/>
      <c r="V1229" s="122"/>
      <c r="W1229" s="122"/>
      <c r="X1229" s="122"/>
      <c r="Y1229" s="122"/>
      <c r="Z1229" s="122"/>
      <c r="AA1229" s="122"/>
      <c r="AB1229" s="122"/>
      <c r="AC1229" s="122"/>
      <c r="AD1229" s="122"/>
      <c r="AE1229" s="122"/>
      <c r="AF1229" s="122"/>
      <c r="AG1229" s="122"/>
      <c r="AH1229" s="122"/>
      <c r="AI1229" s="122"/>
      <c r="AJ1229" s="122"/>
      <c r="AK1229" s="122"/>
      <c r="AL1229" s="122"/>
      <c r="AM1229" s="122"/>
      <c r="AN1229" s="122"/>
    </row>
    <row r="1230">
      <c r="A1230" s="120"/>
      <c r="B1230" s="120"/>
      <c r="C1230" s="122"/>
      <c r="D1230" s="122"/>
      <c r="E1230" s="122"/>
      <c r="F1230" s="122"/>
      <c r="G1230" s="122"/>
      <c r="H1230" s="122"/>
      <c r="I1230" s="122"/>
      <c r="J1230" s="122"/>
      <c r="K1230" s="122"/>
      <c r="L1230" s="122"/>
      <c r="M1230" s="122"/>
      <c r="N1230" s="122"/>
      <c r="O1230" s="122"/>
      <c r="P1230" s="122"/>
      <c r="Q1230" s="122"/>
      <c r="R1230" s="122"/>
      <c r="S1230" s="122"/>
      <c r="T1230" s="122"/>
      <c r="U1230" s="122"/>
      <c r="V1230" s="122"/>
      <c r="W1230" s="122"/>
      <c r="X1230" s="122"/>
      <c r="Y1230" s="122"/>
      <c r="Z1230" s="122"/>
      <c r="AA1230" s="122"/>
      <c r="AB1230" s="122"/>
      <c r="AC1230" s="122"/>
      <c r="AD1230" s="122"/>
      <c r="AE1230" s="122"/>
      <c r="AF1230" s="122"/>
      <c r="AG1230" s="122"/>
      <c r="AH1230" s="122"/>
      <c r="AI1230" s="122"/>
      <c r="AJ1230" s="122"/>
      <c r="AK1230" s="122"/>
      <c r="AL1230" s="122"/>
      <c r="AM1230" s="122"/>
      <c r="AN1230" s="122"/>
    </row>
    <row r="1231">
      <c r="B1231" s="120"/>
      <c r="C1231" s="122"/>
      <c r="D1231" s="122"/>
      <c r="E1231" s="122"/>
      <c r="F1231" s="122"/>
      <c r="G1231" s="122"/>
      <c r="H1231" s="122"/>
      <c r="I1231" s="122"/>
      <c r="J1231" s="122"/>
      <c r="K1231" s="122"/>
      <c r="L1231" s="122"/>
      <c r="M1231" s="122"/>
      <c r="N1231" s="122"/>
      <c r="O1231" s="122"/>
      <c r="P1231" s="122"/>
      <c r="Q1231" s="122"/>
      <c r="R1231" s="122"/>
      <c r="S1231" s="122"/>
      <c r="T1231" s="122"/>
      <c r="U1231" s="122"/>
      <c r="V1231" s="122"/>
      <c r="W1231" s="122"/>
      <c r="X1231" s="122"/>
      <c r="Y1231" s="122"/>
      <c r="Z1231" s="122"/>
      <c r="AA1231" s="122"/>
      <c r="AB1231" s="122"/>
      <c r="AC1231" s="122"/>
      <c r="AD1231" s="122"/>
      <c r="AE1231" s="122"/>
      <c r="AF1231" s="122"/>
      <c r="AG1231" s="122"/>
      <c r="AH1231" s="122"/>
      <c r="AI1231" s="122"/>
      <c r="AJ1231" s="122"/>
      <c r="AK1231" s="122"/>
      <c r="AL1231" s="122"/>
      <c r="AM1231" s="122"/>
      <c r="AN1231" s="122"/>
    </row>
    <row r="1232">
      <c r="B1232" s="120"/>
      <c r="C1232" s="122"/>
      <c r="D1232" s="122"/>
      <c r="E1232" s="122"/>
      <c r="F1232" s="122"/>
      <c r="G1232" s="122"/>
      <c r="H1232" s="122"/>
      <c r="I1232" s="122"/>
      <c r="J1232" s="122"/>
      <c r="K1232" s="122"/>
      <c r="L1232" s="122"/>
      <c r="M1232" s="122"/>
      <c r="N1232" s="122"/>
      <c r="O1232" s="122"/>
      <c r="P1232" s="122"/>
      <c r="Q1232" s="122"/>
      <c r="R1232" s="122"/>
      <c r="S1232" s="122"/>
      <c r="T1232" s="122"/>
      <c r="U1232" s="122"/>
      <c r="V1232" s="122"/>
      <c r="W1232" s="122"/>
      <c r="X1232" s="122"/>
      <c r="Y1232" s="122"/>
      <c r="Z1232" s="122"/>
      <c r="AA1232" s="122"/>
      <c r="AB1232" s="122"/>
      <c r="AC1232" s="122"/>
      <c r="AD1232" s="122"/>
      <c r="AE1232" s="122"/>
      <c r="AF1232" s="122"/>
      <c r="AG1232" s="122"/>
      <c r="AH1232" s="122"/>
      <c r="AI1232" s="122"/>
      <c r="AJ1232" s="122"/>
      <c r="AK1232" s="122"/>
      <c r="AL1232" s="122"/>
      <c r="AM1232" s="122"/>
      <c r="AN1232" s="122"/>
    </row>
    <row r="1233">
      <c r="B1233" s="120"/>
      <c r="C1233" s="122"/>
      <c r="D1233" s="122"/>
      <c r="E1233" s="122"/>
      <c r="F1233" s="122"/>
      <c r="G1233" s="122"/>
      <c r="H1233" s="122"/>
      <c r="I1233" s="122"/>
      <c r="J1233" s="122"/>
      <c r="K1233" s="122"/>
      <c r="L1233" s="122"/>
      <c r="M1233" s="122"/>
      <c r="N1233" s="122"/>
      <c r="O1233" s="122"/>
      <c r="P1233" s="122"/>
      <c r="Q1233" s="122"/>
      <c r="R1233" s="122"/>
      <c r="S1233" s="122"/>
      <c r="T1233" s="122"/>
      <c r="U1233" s="122"/>
      <c r="V1233" s="122"/>
      <c r="W1233" s="122"/>
      <c r="X1233" s="122"/>
      <c r="Y1233" s="122"/>
      <c r="Z1233" s="122"/>
      <c r="AA1233" s="122"/>
      <c r="AB1233" s="122"/>
      <c r="AC1233" s="122"/>
      <c r="AD1233" s="122"/>
      <c r="AE1233" s="122"/>
      <c r="AF1233" s="122"/>
      <c r="AG1233" s="122"/>
      <c r="AH1233" s="122"/>
      <c r="AI1233" s="122"/>
      <c r="AJ1233" s="122"/>
      <c r="AK1233" s="122"/>
      <c r="AL1233" s="122"/>
      <c r="AM1233" s="122"/>
      <c r="AN1233" s="122"/>
    </row>
    <row r="1234">
      <c r="B1234" s="120"/>
      <c r="C1234" s="122"/>
      <c r="D1234" s="122"/>
      <c r="E1234" s="122"/>
      <c r="F1234" s="122"/>
      <c r="G1234" s="122"/>
      <c r="H1234" s="122"/>
      <c r="I1234" s="122"/>
      <c r="J1234" s="122"/>
      <c r="K1234" s="122"/>
      <c r="L1234" s="122"/>
      <c r="M1234" s="122"/>
      <c r="N1234" s="122"/>
      <c r="O1234" s="122"/>
      <c r="P1234" s="122"/>
      <c r="Q1234" s="122"/>
      <c r="R1234" s="122"/>
      <c r="S1234" s="122"/>
      <c r="T1234" s="122"/>
      <c r="U1234" s="122"/>
      <c r="V1234" s="122"/>
      <c r="W1234" s="122"/>
      <c r="X1234" s="122"/>
      <c r="Y1234" s="122"/>
      <c r="Z1234" s="122"/>
      <c r="AA1234" s="122"/>
      <c r="AB1234" s="122"/>
      <c r="AC1234" s="122"/>
      <c r="AD1234" s="122"/>
      <c r="AE1234" s="122"/>
      <c r="AF1234" s="122"/>
      <c r="AG1234" s="122"/>
      <c r="AH1234" s="122"/>
      <c r="AI1234" s="122"/>
      <c r="AJ1234" s="122"/>
      <c r="AK1234" s="122"/>
      <c r="AL1234" s="122"/>
      <c r="AM1234" s="122"/>
      <c r="AN1234" s="122"/>
    </row>
    <row r="1235">
      <c r="A1235" s="123"/>
    </row>
    <row r="1236">
      <c r="A1236" s="120"/>
      <c r="B1236" s="120"/>
      <c r="C1236" s="121"/>
      <c r="D1236" s="121"/>
      <c r="E1236" s="121"/>
      <c r="F1236" s="122"/>
      <c r="G1236" s="122"/>
      <c r="H1236" s="122"/>
      <c r="I1236" s="122"/>
      <c r="J1236" s="122"/>
      <c r="K1236" s="122"/>
      <c r="L1236" s="122"/>
      <c r="M1236" s="122"/>
      <c r="N1236" s="122"/>
      <c r="O1236" s="122"/>
      <c r="P1236" s="122"/>
      <c r="Q1236" s="122"/>
      <c r="R1236" s="122"/>
      <c r="S1236" s="122"/>
      <c r="T1236" s="122"/>
      <c r="U1236" s="121"/>
      <c r="V1236" s="121"/>
      <c r="W1236" s="121"/>
      <c r="X1236" s="121"/>
      <c r="Y1236" s="121"/>
      <c r="Z1236" s="121"/>
      <c r="AA1236" s="121"/>
      <c r="AB1236" s="121"/>
      <c r="AC1236" s="121"/>
      <c r="AD1236" s="121"/>
      <c r="AE1236" s="121"/>
      <c r="AF1236" s="121"/>
      <c r="AG1236" s="121"/>
      <c r="AH1236" s="121"/>
      <c r="AI1236" s="121"/>
      <c r="AJ1236" s="121"/>
      <c r="AK1236" s="121"/>
      <c r="AL1236" s="121"/>
      <c r="AM1236" s="121"/>
      <c r="AN1236" s="121"/>
    </row>
    <row r="1237">
      <c r="B1237" s="120"/>
      <c r="C1237" s="121"/>
      <c r="D1237" s="121"/>
      <c r="E1237" s="121"/>
      <c r="F1237" s="122"/>
      <c r="G1237" s="122"/>
      <c r="H1237" s="122"/>
      <c r="I1237" s="122"/>
      <c r="J1237" s="122"/>
      <c r="K1237" s="122"/>
      <c r="L1237" s="122"/>
      <c r="M1237" s="122"/>
      <c r="N1237" s="122"/>
      <c r="O1237" s="122"/>
      <c r="P1237" s="122"/>
      <c r="Q1237" s="122"/>
      <c r="R1237" s="122"/>
      <c r="S1237" s="122"/>
      <c r="T1237" s="122"/>
      <c r="U1237" s="122"/>
      <c r="V1237" s="122"/>
      <c r="W1237" s="122"/>
      <c r="X1237" s="122"/>
      <c r="Y1237" s="121"/>
      <c r="Z1237" s="121"/>
      <c r="AA1237" s="121"/>
      <c r="AB1237" s="121"/>
      <c r="AC1237" s="121"/>
      <c r="AD1237" s="121"/>
      <c r="AE1237" s="121"/>
      <c r="AF1237" s="121"/>
      <c r="AG1237" s="121"/>
      <c r="AH1237" s="121"/>
      <c r="AI1237" s="121"/>
      <c r="AJ1237" s="121"/>
      <c r="AK1237" s="121"/>
      <c r="AL1237" s="121"/>
      <c r="AM1237" s="121"/>
      <c r="AN1237" s="121"/>
    </row>
    <row r="1238">
      <c r="B1238" s="120"/>
      <c r="C1238" s="121"/>
      <c r="D1238" s="121"/>
      <c r="E1238" s="121"/>
      <c r="F1238" s="122"/>
      <c r="G1238" s="122"/>
      <c r="H1238" s="122"/>
      <c r="I1238" s="122"/>
      <c r="J1238" s="122"/>
      <c r="K1238" s="122"/>
      <c r="L1238" s="122"/>
      <c r="M1238" s="122"/>
      <c r="N1238" s="122"/>
      <c r="O1238" s="122"/>
      <c r="P1238" s="122"/>
      <c r="Q1238" s="122"/>
      <c r="R1238" s="122"/>
      <c r="S1238" s="122"/>
      <c r="T1238" s="122"/>
      <c r="U1238" s="122"/>
      <c r="V1238" s="122"/>
      <c r="W1238" s="121"/>
      <c r="X1238" s="122"/>
      <c r="Y1238" s="121"/>
      <c r="Z1238" s="121"/>
      <c r="AA1238" s="121"/>
      <c r="AB1238" s="121"/>
      <c r="AC1238" s="121"/>
      <c r="AD1238" s="121"/>
      <c r="AE1238" s="121"/>
      <c r="AF1238" s="121"/>
      <c r="AG1238" s="121"/>
      <c r="AH1238" s="121"/>
      <c r="AI1238" s="121"/>
      <c r="AJ1238" s="121"/>
      <c r="AK1238" s="121"/>
      <c r="AL1238" s="121"/>
      <c r="AM1238" s="121"/>
      <c r="AN1238" s="121"/>
    </row>
    <row r="1239">
      <c r="B1239" s="120"/>
      <c r="C1239" s="122"/>
      <c r="D1239" s="122"/>
      <c r="E1239" s="122"/>
      <c r="F1239" s="122"/>
      <c r="G1239" s="122"/>
      <c r="H1239" s="122"/>
      <c r="I1239" s="122"/>
      <c r="J1239" s="122"/>
      <c r="K1239" s="122"/>
      <c r="L1239" s="122"/>
      <c r="M1239" s="122"/>
      <c r="N1239" s="122"/>
      <c r="O1239" s="122"/>
      <c r="P1239" s="122"/>
      <c r="Q1239" s="122"/>
      <c r="R1239" s="122"/>
      <c r="S1239" s="122"/>
      <c r="T1239" s="122"/>
      <c r="U1239" s="122"/>
      <c r="V1239" s="122"/>
      <c r="W1239" s="122"/>
      <c r="X1239" s="122"/>
      <c r="Y1239" s="122"/>
      <c r="Z1239" s="122"/>
      <c r="AA1239" s="122"/>
      <c r="AB1239" s="122"/>
      <c r="AC1239" s="122"/>
      <c r="AD1239" s="122"/>
      <c r="AE1239" s="122"/>
      <c r="AF1239" s="122"/>
      <c r="AG1239" s="122"/>
      <c r="AH1239" s="122"/>
      <c r="AI1239" s="122"/>
      <c r="AJ1239" s="122"/>
      <c r="AK1239" s="122"/>
      <c r="AL1239" s="122"/>
      <c r="AM1239" s="122"/>
      <c r="AN1239" s="122"/>
    </row>
    <row r="1240">
      <c r="A1240" s="120"/>
      <c r="B1240" s="120"/>
      <c r="C1240" s="122"/>
      <c r="D1240" s="122"/>
      <c r="E1240" s="122"/>
      <c r="F1240" s="122"/>
      <c r="G1240" s="122"/>
      <c r="H1240" s="122"/>
      <c r="I1240" s="122"/>
      <c r="J1240" s="122"/>
      <c r="K1240" s="122"/>
      <c r="L1240" s="122"/>
      <c r="M1240" s="122"/>
      <c r="N1240" s="122"/>
      <c r="O1240" s="122"/>
      <c r="P1240" s="122"/>
      <c r="Q1240" s="122"/>
      <c r="R1240" s="122"/>
      <c r="S1240" s="122"/>
      <c r="T1240" s="122"/>
      <c r="U1240" s="122"/>
      <c r="V1240" s="122"/>
      <c r="W1240" s="122"/>
      <c r="X1240" s="122"/>
      <c r="Y1240" s="122"/>
      <c r="Z1240" s="122"/>
      <c r="AA1240" s="122"/>
      <c r="AB1240" s="122"/>
      <c r="AC1240" s="122"/>
      <c r="AD1240" s="122"/>
      <c r="AE1240" s="122"/>
      <c r="AF1240" s="122"/>
      <c r="AG1240" s="122"/>
      <c r="AH1240" s="122"/>
      <c r="AI1240" s="122"/>
      <c r="AJ1240" s="122"/>
      <c r="AK1240" s="122"/>
      <c r="AL1240" s="122"/>
      <c r="AM1240" s="122"/>
      <c r="AN1240" s="122"/>
    </row>
    <row r="1241">
      <c r="B1241" s="120"/>
      <c r="C1241" s="122"/>
      <c r="D1241" s="122"/>
      <c r="E1241" s="122"/>
      <c r="F1241" s="122"/>
      <c r="G1241" s="122"/>
      <c r="H1241" s="122"/>
      <c r="I1241" s="122"/>
      <c r="J1241" s="122"/>
      <c r="K1241" s="122"/>
      <c r="L1241" s="122"/>
      <c r="M1241" s="122"/>
      <c r="N1241" s="122"/>
      <c r="O1241" s="122"/>
      <c r="P1241" s="122"/>
      <c r="Q1241" s="122"/>
      <c r="R1241" s="122"/>
      <c r="S1241" s="122"/>
      <c r="T1241" s="122"/>
      <c r="U1241" s="122"/>
      <c r="V1241" s="122"/>
      <c r="W1241" s="122"/>
      <c r="X1241" s="122"/>
      <c r="Y1241" s="122"/>
      <c r="Z1241" s="122"/>
      <c r="AA1241" s="122"/>
      <c r="AB1241" s="122"/>
      <c r="AC1241" s="122"/>
      <c r="AD1241" s="122"/>
      <c r="AE1241" s="122"/>
      <c r="AF1241" s="122"/>
      <c r="AG1241" s="122"/>
      <c r="AH1241" s="122"/>
      <c r="AI1241" s="122"/>
      <c r="AJ1241" s="122"/>
      <c r="AK1241" s="122"/>
      <c r="AL1241" s="122"/>
      <c r="AM1241" s="122"/>
      <c r="AN1241" s="122"/>
    </row>
    <row r="1242">
      <c r="A1242" s="120"/>
      <c r="B1242" s="120"/>
      <c r="C1242" s="122"/>
      <c r="D1242" s="122"/>
      <c r="E1242" s="122"/>
      <c r="F1242" s="122"/>
      <c r="G1242" s="122"/>
      <c r="H1242" s="122"/>
      <c r="I1242" s="122"/>
      <c r="J1242" s="122"/>
      <c r="K1242" s="122"/>
      <c r="L1242" s="122"/>
      <c r="M1242" s="122"/>
      <c r="N1242" s="122"/>
      <c r="O1242" s="122"/>
      <c r="P1242" s="122"/>
      <c r="Q1242" s="122"/>
      <c r="R1242" s="122"/>
      <c r="S1242" s="122"/>
      <c r="T1242" s="122"/>
      <c r="U1242" s="122"/>
      <c r="V1242" s="122"/>
      <c r="W1242" s="122"/>
      <c r="X1242" s="122"/>
      <c r="Y1242" s="122"/>
      <c r="Z1242" s="122"/>
      <c r="AA1242" s="122"/>
      <c r="AB1242" s="122"/>
      <c r="AC1242" s="122"/>
      <c r="AD1242" s="122"/>
      <c r="AE1242" s="122"/>
      <c r="AF1242" s="122"/>
      <c r="AG1242" s="122"/>
      <c r="AH1242" s="122"/>
      <c r="AI1242" s="122"/>
      <c r="AJ1242" s="122"/>
      <c r="AK1242" s="122"/>
      <c r="AL1242" s="122"/>
      <c r="AM1242" s="122"/>
      <c r="AN1242" s="122"/>
    </row>
    <row r="1243">
      <c r="B1243" s="120"/>
      <c r="C1243" s="122"/>
      <c r="D1243" s="122"/>
      <c r="E1243" s="122"/>
      <c r="F1243" s="122"/>
      <c r="G1243" s="122"/>
      <c r="H1243" s="122"/>
      <c r="I1243" s="122"/>
      <c r="J1243" s="122"/>
      <c r="K1243" s="122"/>
      <c r="L1243" s="122"/>
      <c r="M1243" s="122"/>
      <c r="N1243" s="122"/>
      <c r="O1243" s="122"/>
      <c r="P1243" s="122"/>
      <c r="Q1243" s="122"/>
      <c r="R1243" s="122"/>
      <c r="S1243" s="122"/>
      <c r="T1243" s="122"/>
      <c r="U1243" s="122"/>
      <c r="V1243" s="122"/>
      <c r="W1243" s="122"/>
      <c r="X1243" s="122"/>
      <c r="Y1243" s="122"/>
      <c r="Z1243" s="122"/>
      <c r="AA1243" s="122"/>
      <c r="AB1243" s="122"/>
      <c r="AC1243" s="122"/>
      <c r="AD1243" s="122"/>
      <c r="AE1243" s="122"/>
      <c r="AF1243" s="122"/>
      <c r="AG1243" s="122"/>
      <c r="AH1243" s="122"/>
      <c r="AI1243" s="122"/>
      <c r="AJ1243" s="122"/>
      <c r="AK1243" s="122"/>
      <c r="AL1243" s="122"/>
      <c r="AM1243" s="122"/>
      <c r="AN1243" s="122"/>
    </row>
    <row r="1244">
      <c r="A1244" s="120"/>
      <c r="B1244" s="120"/>
      <c r="C1244" s="122"/>
      <c r="D1244" s="122"/>
      <c r="E1244" s="122"/>
      <c r="F1244" s="122"/>
      <c r="G1244" s="122"/>
      <c r="H1244" s="122"/>
      <c r="I1244" s="122"/>
      <c r="J1244" s="122"/>
      <c r="K1244" s="122"/>
      <c r="L1244" s="122"/>
      <c r="M1244" s="122"/>
      <c r="N1244" s="122"/>
      <c r="O1244" s="122"/>
      <c r="P1244" s="122"/>
      <c r="Q1244" s="122"/>
      <c r="R1244" s="122"/>
      <c r="S1244" s="122"/>
      <c r="T1244" s="122"/>
      <c r="U1244" s="122"/>
      <c r="V1244" s="122"/>
      <c r="W1244" s="122"/>
      <c r="X1244" s="122"/>
      <c r="Y1244" s="122"/>
      <c r="Z1244" s="122"/>
      <c r="AA1244" s="122"/>
      <c r="AB1244" s="122"/>
      <c r="AC1244" s="122"/>
      <c r="AD1244" s="122"/>
      <c r="AE1244" s="122"/>
      <c r="AF1244" s="122"/>
      <c r="AG1244" s="122"/>
      <c r="AH1244" s="122"/>
      <c r="AI1244" s="122"/>
      <c r="AJ1244" s="122"/>
      <c r="AK1244" s="122"/>
      <c r="AL1244" s="122"/>
      <c r="AM1244" s="122"/>
      <c r="AN1244" s="122"/>
    </row>
    <row r="1245">
      <c r="B1245" s="120"/>
      <c r="C1245" s="122"/>
      <c r="D1245" s="122"/>
      <c r="E1245" s="122"/>
      <c r="F1245" s="122"/>
      <c r="G1245" s="122"/>
      <c r="H1245" s="122"/>
      <c r="I1245" s="122"/>
      <c r="J1245" s="122"/>
      <c r="K1245" s="122"/>
      <c r="L1245" s="122"/>
      <c r="M1245" s="122"/>
      <c r="N1245" s="122"/>
      <c r="O1245" s="122"/>
      <c r="P1245" s="122"/>
      <c r="Q1245" s="122"/>
      <c r="R1245" s="122"/>
      <c r="S1245" s="122"/>
      <c r="T1245" s="122"/>
      <c r="U1245" s="122"/>
      <c r="V1245" s="122"/>
      <c r="W1245" s="122"/>
      <c r="X1245" s="122"/>
      <c r="Y1245" s="122"/>
      <c r="Z1245" s="122"/>
      <c r="AA1245" s="122"/>
      <c r="AB1245" s="122"/>
      <c r="AC1245" s="122"/>
      <c r="AD1245" s="122"/>
      <c r="AE1245" s="122"/>
      <c r="AF1245" s="122"/>
      <c r="AG1245" s="122"/>
      <c r="AH1245" s="122"/>
      <c r="AI1245" s="122"/>
      <c r="AJ1245" s="122"/>
      <c r="AK1245" s="122"/>
      <c r="AL1245" s="122"/>
      <c r="AM1245" s="122"/>
      <c r="AN1245" s="122"/>
    </row>
    <row r="1246">
      <c r="A1246" s="120"/>
      <c r="B1246" s="120"/>
      <c r="C1246" s="122"/>
      <c r="D1246" s="122"/>
      <c r="E1246" s="122"/>
      <c r="F1246" s="122"/>
      <c r="G1246" s="122"/>
      <c r="H1246" s="122"/>
      <c r="I1246" s="122"/>
      <c r="J1246" s="122"/>
      <c r="K1246" s="122"/>
      <c r="L1246" s="122"/>
      <c r="M1246" s="122"/>
      <c r="N1246" s="122"/>
      <c r="O1246" s="122"/>
      <c r="P1246" s="122"/>
      <c r="Q1246" s="122"/>
      <c r="R1246" s="122"/>
      <c r="S1246" s="122"/>
      <c r="T1246" s="122"/>
      <c r="U1246" s="122"/>
      <c r="V1246" s="122"/>
      <c r="W1246" s="122"/>
      <c r="X1246" s="122"/>
      <c r="Y1246" s="122"/>
      <c r="Z1246" s="122"/>
      <c r="AA1246" s="122"/>
      <c r="AB1246" s="122"/>
      <c r="AC1246" s="122"/>
      <c r="AD1246" s="122"/>
      <c r="AE1246" s="122"/>
      <c r="AF1246" s="122"/>
      <c r="AG1246" s="122"/>
      <c r="AH1246" s="122"/>
      <c r="AI1246" s="122"/>
      <c r="AJ1246" s="122"/>
      <c r="AK1246" s="122"/>
      <c r="AL1246" s="122"/>
      <c r="AM1246" s="122"/>
      <c r="AN1246" s="122"/>
    </row>
    <row r="1247">
      <c r="B1247" s="120"/>
      <c r="C1247" s="122"/>
      <c r="D1247" s="122"/>
      <c r="E1247" s="122"/>
      <c r="F1247" s="122"/>
      <c r="G1247" s="122"/>
      <c r="H1247" s="122"/>
      <c r="I1247" s="122"/>
      <c r="J1247" s="122"/>
      <c r="K1247" s="122"/>
      <c r="L1247" s="122"/>
      <c r="M1247" s="122"/>
      <c r="N1247" s="122"/>
      <c r="O1247" s="122"/>
      <c r="P1247" s="122"/>
      <c r="Q1247" s="122"/>
      <c r="R1247" s="122"/>
      <c r="S1247" s="122"/>
      <c r="T1247" s="122"/>
      <c r="U1247" s="122"/>
      <c r="V1247" s="122"/>
      <c r="W1247" s="122"/>
      <c r="X1247" s="122"/>
      <c r="Y1247" s="122"/>
      <c r="Z1247" s="122"/>
      <c r="AA1247" s="122"/>
      <c r="AB1247" s="122"/>
      <c r="AC1247" s="122"/>
      <c r="AD1247" s="122"/>
      <c r="AE1247" s="122"/>
      <c r="AF1247" s="122"/>
      <c r="AG1247" s="122"/>
      <c r="AH1247" s="122"/>
      <c r="AI1247" s="122"/>
      <c r="AJ1247" s="122"/>
      <c r="AK1247" s="122"/>
      <c r="AL1247" s="122"/>
      <c r="AM1247" s="122"/>
      <c r="AN1247" s="122"/>
    </row>
    <row r="1248">
      <c r="B1248" s="120"/>
      <c r="C1248" s="122"/>
      <c r="D1248" s="122"/>
      <c r="E1248" s="122"/>
      <c r="F1248" s="122"/>
      <c r="G1248" s="122"/>
      <c r="H1248" s="122"/>
      <c r="I1248" s="122"/>
      <c r="J1248" s="122"/>
      <c r="K1248" s="122"/>
      <c r="L1248" s="122"/>
      <c r="M1248" s="122"/>
      <c r="N1248" s="122"/>
      <c r="O1248" s="122"/>
      <c r="P1248" s="122"/>
      <c r="Q1248" s="122"/>
      <c r="R1248" s="122"/>
      <c r="S1248" s="122"/>
      <c r="T1248" s="122"/>
      <c r="U1248" s="122"/>
      <c r="V1248" s="122"/>
      <c r="W1248" s="122"/>
      <c r="X1248" s="122"/>
      <c r="Y1248" s="122"/>
      <c r="Z1248" s="122"/>
      <c r="AA1248" s="122"/>
      <c r="AB1248" s="122"/>
      <c r="AC1248" s="122"/>
      <c r="AD1248" s="122"/>
      <c r="AE1248" s="122"/>
      <c r="AF1248" s="122"/>
      <c r="AG1248" s="122"/>
      <c r="AH1248" s="122"/>
      <c r="AI1248" s="122"/>
      <c r="AJ1248" s="122"/>
      <c r="AK1248" s="122"/>
      <c r="AL1248" s="122"/>
      <c r="AM1248" s="122"/>
      <c r="AN1248" s="122"/>
    </row>
    <row r="1249">
      <c r="A1249" s="120"/>
      <c r="B1249" s="120"/>
      <c r="C1249" s="121"/>
      <c r="D1249" s="121"/>
      <c r="E1249" s="121"/>
      <c r="F1249" s="122"/>
      <c r="G1249" s="122"/>
      <c r="H1249" s="122"/>
      <c r="I1249" s="122"/>
      <c r="J1249" s="122"/>
      <c r="K1249" s="122"/>
      <c r="L1249" s="122"/>
      <c r="M1249" s="122"/>
      <c r="N1249" s="122"/>
      <c r="O1249" s="122"/>
      <c r="P1249" s="122"/>
      <c r="Q1249" s="122"/>
      <c r="R1249" s="122"/>
      <c r="S1249" s="122"/>
      <c r="T1249" s="122"/>
      <c r="U1249" s="122"/>
      <c r="V1249" s="122"/>
      <c r="W1249" s="122"/>
      <c r="X1249" s="122"/>
      <c r="Y1249" s="122"/>
      <c r="Z1249" s="122"/>
      <c r="AA1249" s="122"/>
      <c r="AB1249" s="122"/>
      <c r="AC1249" s="122"/>
      <c r="AD1249" s="122"/>
      <c r="AE1249" s="122"/>
      <c r="AF1249" s="122"/>
      <c r="AG1249" s="122"/>
      <c r="AH1249" s="122"/>
      <c r="AI1249" s="122"/>
      <c r="AJ1249" s="122"/>
      <c r="AK1249" s="122"/>
      <c r="AL1249" s="122"/>
      <c r="AM1249" s="122"/>
      <c r="AN1249" s="121"/>
    </row>
    <row r="1250">
      <c r="B1250" s="120"/>
      <c r="C1250" s="121"/>
      <c r="D1250" s="122"/>
      <c r="E1250" s="122"/>
      <c r="F1250" s="122"/>
      <c r="G1250" s="122"/>
      <c r="H1250" s="122"/>
      <c r="I1250" s="122"/>
      <c r="J1250" s="122"/>
      <c r="K1250" s="122"/>
      <c r="L1250" s="122"/>
      <c r="M1250" s="122"/>
      <c r="N1250" s="122"/>
      <c r="O1250" s="122"/>
      <c r="P1250" s="122"/>
      <c r="Q1250" s="122"/>
      <c r="R1250" s="122"/>
      <c r="S1250" s="122"/>
      <c r="T1250" s="122"/>
      <c r="U1250" s="122"/>
      <c r="V1250" s="122"/>
      <c r="W1250" s="122"/>
      <c r="X1250" s="122"/>
      <c r="Y1250" s="122"/>
      <c r="Z1250" s="122"/>
      <c r="AA1250" s="122"/>
      <c r="AB1250" s="122"/>
      <c r="AC1250" s="122"/>
      <c r="AD1250" s="122"/>
      <c r="AE1250" s="122"/>
      <c r="AF1250" s="122"/>
      <c r="AG1250" s="122"/>
      <c r="AH1250" s="122"/>
      <c r="AI1250" s="122"/>
      <c r="AJ1250" s="122"/>
      <c r="AK1250" s="122"/>
      <c r="AL1250" s="122"/>
      <c r="AM1250" s="122"/>
      <c r="AN1250" s="121"/>
    </row>
    <row r="1251">
      <c r="B1251" s="120"/>
      <c r="C1251" s="122"/>
      <c r="D1251" s="122"/>
      <c r="E1251" s="122"/>
      <c r="F1251" s="122"/>
      <c r="G1251" s="122"/>
      <c r="H1251" s="122"/>
      <c r="I1251" s="122"/>
      <c r="J1251" s="122"/>
      <c r="K1251" s="122"/>
      <c r="L1251" s="122"/>
      <c r="M1251" s="122"/>
      <c r="N1251" s="122"/>
      <c r="O1251" s="122"/>
      <c r="P1251" s="122"/>
      <c r="Q1251" s="122"/>
      <c r="R1251" s="122"/>
      <c r="S1251" s="122"/>
      <c r="T1251" s="122"/>
      <c r="U1251" s="122"/>
      <c r="V1251" s="122"/>
      <c r="W1251" s="122"/>
      <c r="X1251" s="122"/>
      <c r="Y1251" s="122"/>
      <c r="Z1251" s="122"/>
      <c r="AA1251" s="122"/>
      <c r="AB1251" s="122"/>
      <c r="AC1251" s="122"/>
      <c r="AD1251" s="122"/>
      <c r="AE1251" s="122"/>
      <c r="AF1251" s="122"/>
      <c r="AG1251" s="122"/>
      <c r="AH1251" s="122"/>
      <c r="AI1251" s="122"/>
      <c r="AJ1251" s="122"/>
      <c r="AK1251" s="122"/>
      <c r="AL1251" s="122"/>
      <c r="AM1251" s="122"/>
      <c r="AN1251" s="122"/>
    </row>
    <row r="1252">
      <c r="B1252" s="120"/>
      <c r="C1252" s="121"/>
      <c r="D1252" s="122"/>
      <c r="E1252" s="122"/>
      <c r="F1252" s="122"/>
      <c r="G1252" s="122"/>
      <c r="H1252" s="122"/>
      <c r="I1252" s="122"/>
      <c r="J1252" s="122"/>
      <c r="K1252" s="122"/>
      <c r="L1252" s="122"/>
      <c r="M1252" s="122"/>
      <c r="N1252" s="122"/>
      <c r="O1252" s="122"/>
      <c r="P1252" s="122"/>
      <c r="Q1252" s="122"/>
      <c r="R1252" s="122"/>
      <c r="S1252" s="122"/>
      <c r="T1252" s="122"/>
      <c r="U1252" s="122"/>
      <c r="V1252" s="122"/>
      <c r="W1252" s="122"/>
      <c r="X1252" s="122"/>
      <c r="Y1252" s="122"/>
      <c r="Z1252" s="122"/>
      <c r="AA1252" s="122"/>
      <c r="AB1252" s="122"/>
      <c r="AC1252" s="122"/>
      <c r="AD1252" s="122"/>
      <c r="AE1252" s="122"/>
      <c r="AF1252" s="122"/>
      <c r="AG1252" s="122"/>
      <c r="AH1252" s="122"/>
      <c r="AI1252" s="122"/>
      <c r="AJ1252" s="122"/>
      <c r="AK1252" s="122"/>
      <c r="AL1252" s="122"/>
      <c r="AM1252" s="122"/>
      <c r="AN1252" s="121"/>
    </row>
    <row r="1253">
      <c r="B1253" s="120"/>
      <c r="C1253" s="122"/>
      <c r="D1253" s="122"/>
      <c r="E1253" s="122"/>
      <c r="F1253" s="122"/>
      <c r="G1253" s="122"/>
      <c r="H1253" s="122"/>
      <c r="I1253" s="122"/>
      <c r="J1253" s="122"/>
      <c r="K1253" s="122"/>
      <c r="L1253" s="122"/>
      <c r="M1253" s="122"/>
      <c r="N1253" s="122"/>
      <c r="O1253" s="122"/>
      <c r="P1253" s="122"/>
      <c r="Q1253" s="122"/>
      <c r="R1253" s="122"/>
      <c r="S1253" s="122"/>
      <c r="T1253" s="122"/>
      <c r="U1253" s="122"/>
      <c r="V1253" s="122"/>
      <c r="W1253" s="122"/>
      <c r="X1253" s="122"/>
      <c r="Y1253" s="122"/>
      <c r="Z1253" s="122"/>
      <c r="AA1253" s="122"/>
      <c r="AB1253" s="122"/>
      <c r="AC1253" s="122"/>
      <c r="AD1253" s="122"/>
      <c r="AE1253" s="122"/>
      <c r="AF1253" s="122"/>
      <c r="AG1253" s="122"/>
      <c r="AH1253" s="122"/>
      <c r="AI1253" s="122"/>
      <c r="AJ1253" s="122"/>
      <c r="AK1253" s="122"/>
      <c r="AL1253" s="122"/>
      <c r="AM1253" s="122"/>
      <c r="AN1253" s="122"/>
    </row>
    <row r="1254">
      <c r="A1254" s="120"/>
      <c r="B1254" s="120"/>
      <c r="C1254" s="122"/>
      <c r="D1254" s="122"/>
      <c r="E1254" s="122"/>
      <c r="F1254" s="122"/>
      <c r="G1254" s="122"/>
      <c r="H1254" s="122"/>
      <c r="I1254" s="122"/>
      <c r="J1254" s="122"/>
      <c r="K1254" s="122"/>
      <c r="L1254" s="122"/>
      <c r="M1254" s="122"/>
      <c r="N1254" s="122"/>
      <c r="O1254" s="122"/>
      <c r="P1254" s="122"/>
      <c r="Q1254" s="122"/>
      <c r="R1254" s="122"/>
      <c r="S1254" s="122"/>
      <c r="T1254" s="122"/>
      <c r="U1254" s="122"/>
      <c r="V1254" s="122"/>
      <c r="W1254" s="122"/>
      <c r="X1254" s="122"/>
      <c r="Y1254" s="122"/>
      <c r="Z1254" s="122"/>
      <c r="AA1254" s="122"/>
      <c r="AB1254" s="122"/>
      <c r="AC1254" s="122"/>
      <c r="AD1254" s="122"/>
      <c r="AE1254" s="122"/>
      <c r="AF1254" s="122"/>
      <c r="AG1254" s="122"/>
      <c r="AH1254" s="122"/>
      <c r="AI1254" s="122"/>
      <c r="AJ1254" s="122"/>
      <c r="AK1254" s="122"/>
      <c r="AL1254" s="122"/>
      <c r="AM1254" s="122"/>
      <c r="AN1254" s="122"/>
    </row>
    <row r="1255">
      <c r="B1255" s="120"/>
      <c r="C1255" s="122"/>
      <c r="D1255" s="122"/>
      <c r="E1255" s="122"/>
      <c r="F1255" s="122"/>
      <c r="G1255" s="122"/>
      <c r="H1255" s="122"/>
      <c r="I1255" s="122"/>
      <c r="J1255" s="122"/>
      <c r="K1255" s="122"/>
      <c r="L1255" s="122"/>
      <c r="M1255" s="122"/>
      <c r="N1255" s="122"/>
      <c r="O1255" s="122"/>
      <c r="P1255" s="122"/>
      <c r="Q1255" s="122"/>
      <c r="R1255" s="122"/>
      <c r="S1255" s="122"/>
      <c r="T1255" s="122"/>
      <c r="U1255" s="122"/>
      <c r="V1255" s="122"/>
      <c r="W1255" s="122"/>
      <c r="X1255" s="122"/>
      <c r="Y1255" s="122"/>
      <c r="Z1255" s="122"/>
      <c r="AA1255" s="122"/>
      <c r="AB1255" s="122"/>
      <c r="AC1255" s="122"/>
      <c r="AD1255" s="122"/>
      <c r="AE1255" s="122"/>
      <c r="AF1255" s="122"/>
      <c r="AG1255" s="122"/>
      <c r="AH1255" s="122"/>
      <c r="AI1255" s="122"/>
      <c r="AJ1255" s="122"/>
      <c r="AK1255" s="122"/>
      <c r="AL1255" s="122"/>
      <c r="AM1255" s="122"/>
      <c r="AN1255" s="122"/>
    </row>
    <row r="1256">
      <c r="B1256" s="120"/>
      <c r="C1256" s="122"/>
      <c r="D1256" s="122"/>
      <c r="E1256" s="122"/>
      <c r="F1256" s="122"/>
      <c r="G1256" s="122"/>
      <c r="H1256" s="122"/>
      <c r="I1256" s="122"/>
      <c r="J1256" s="122"/>
      <c r="K1256" s="122"/>
      <c r="L1256" s="122"/>
      <c r="M1256" s="122"/>
      <c r="N1256" s="122"/>
      <c r="O1256" s="122"/>
      <c r="P1256" s="122"/>
      <c r="Q1256" s="122"/>
      <c r="R1256" s="122"/>
      <c r="S1256" s="122"/>
      <c r="T1256" s="122"/>
      <c r="U1256" s="122"/>
      <c r="V1256" s="122"/>
      <c r="W1256" s="122"/>
      <c r="X1256" s="122"/>
      <c r="Y1256" s="122"/>
      <c r="Z1256" s="122"/>
      <c r="AA1256" s="122"/>
      <c r="AB1256" s="122"/>
      <c r="AC1256" s="122"/>
      <c r="AD1256" s="122"/>
      <c r="AE1256" s="122"/>
      <c r="AF1256" s="122"/>
      <c r="AG1256" s="122"/>
      <c r="AH1256" s="122"/>
      <c r="AI1256" s="122"/>
      <c r="AJ1256" s="122"/>
      <c r="AK1256" s="122"/>
      <c r="AL1256" s="122"/>
      <c r="AM1256" s="122"/>
      <c r="AN1256" s="122"/>
    </row>
    <row r="1257">
      <c r="B1257" s="120"/>
      <c r="C1257" s="122"/>
      <c r="D1257" s="122"/>
      <c r="E1257" s="122"/>
      <c r="F1257" s="122"/>
      <c r="G1257" s="122"/>
      <c r="H1257" s="122"/>
      <c r="I1257" s="122"/>
      <c r="J1257" s="122"/>
      <c r="K1257" s="122"/>
      <c r="L1257" s="122"/>
      <c r="M1257" s="122"/>
      <c r="N1257" s="122"/>
      <c r="O1257" s="122"/>
      <c r="P1257" s="122"/>
      <c r="Q1257" s="122"/>
      <c r="R1257" s="122"/>
      <c r="S1257" s="122"/>
      <c r="T1257" s="122"/>
      <c r="U1257" s="122"/>
      <c r="V1257" s="122"/>
      <c r="W1257" s="122"/>
      <c r="X1257" s="122"/>
      <c r="Y1257" s="122"/>
      <c r="Z1257" s="122"/>
      <c r="AA1257" s="122"/>
      <c r="AB1257" s="122"/>
      <c r="AC1257" s="122"/>
      <c r="AD1257" s="122"/>
      <c r="AE1257" s="122"/>
      <c r="AF1257" s="122"/>
      <c r="AG1257" s="122"/>
      <c r="AH1257" s="122"/>
      <c r="AI1257" s="122"/>
      <c r="AJ1257" s="122"/>
      <c r="AK1257" s="122"/>
      <c r="AL1257" s="122"/>
      <c r="AM1257" s="122"/>
      <c r="AN1257" s="122"/>
    </row>
    <row r="1258">
      <c r="B1258" s="120"/>
      <c r="C1258" s="122"/>
      <c r="D1258" s="122"/>
      <c r="E1258" s="122"/>
      <c r="F1258" s="122"/>
      <c r="G1258" s="122"/>
      <c r="H1258" s="122"/>
      <c r="I1258" s="122"/>
      <c r="J1258" s="122"/>
      <c r="K1258" s="122"/>
      <c r="L1258" s="122"/>
      <c r="M1258" s="122"/>
      <c r="N1258" s="122"/>
      <c r="O1258" s="122"/>
      <c r="P1258" s="122"/>
      <c r="Q1258" s="122"/>
      <c r="R1258" s="122"/>
      <c r="S1258" s="122"/>
      <c r="T1258" s="122"/>
      <c r="U1258" s="122"/>
      <c r="V1258" s="122"/>
      <c r="W1258" s="122"/>
      <c r="X1258" s="122"/>
      <c r="Y1258" s="122"/>
      <c r="Z1258" s="122"/>
      <c r="AA1258" s="122"/>
      <c r="AB1258" s="122"/>
      <c r="AC1258" s="122"/>
      <c r="AD1258" s="122"/>
      <c r="AE1258" s="122"/>
      <c r="AF1258" s="122"/>
      <c r="AG1258" s="122"/>
      <c r="AH1258" s="122"/>
      <c r="AI1258" s="122"/>
      <c r="AJ1258" s="122"/>
      <c r="AK1258" s="122"/>
      <c r="AL1258" s="122"/>
      <c r="AM1258" s="122"/>
      <c r="AN1258" s="122"/>
    </row>
    <row r="1259">
      <c r="A1259" s="123"/>
    </row>
    <row r="1260">
      <c r="A1260" s="120"/>
      <c r="B1260" s="120"/>
      <c r="C1260" s="121"/>
      <c r="D1260" s="121"/>
      <c r="E1260" s="121"/>
      <c r="F1260" s="122"/>
      <c r="G1260" s="122"/>
      <c r="H1260" s="122"/>
      <c r="I1260" s="122"/>
      <c r="J1260" s="122"/>
      <c r="K1260" s="122"/>
      <c r="L1260" s="122"/>
      <c r="M1260" s="122"/>
      <c r="N1260" s="122"/>
      <c r="O1260" s="122"/>
      <c r="P1260" s="122"/>
      <c r="Q1260" s="122"/>
      <c r="R1260" s="122"/>
      <c r="S1260" s="122"/>
      <c r="T1260" s="122"/>
      <c r="U1260" s="122"/>
      <c r="V1260" s="122"/>
      <c r="W1260" s="121"/>
      <c r="X1260" s="122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</row>
    <row r="1261">
      <c r="B1261" s="120"/>
      <c r="C1261" s="121"/>
      <c r="D1261" s="121"/>
      <c r="E1261" s="121"/>
      <c r="F1261" s="122"/>
      <c r="G1261" s="122"/>
      <c r="H1261" s="122"/>
      <c r="I1261" s="122"/>
      <c r="J1261" s="122"/>
      <c r="K1261" s="122"/>
      <c r="L1261" s="122"/>
      <c r="M1261" s="122"/>
      <c r="N1261" s="122"/>
      <c r="O1261" s="122"/>
      <c r="P1261" s="122"/>
      <c r="Q1261" s="122"/>
      <c r="R1261" s="122"/>
      <c r="S1261" s="122"/>
      <c r="T1261" s="122"/>
      <c r="U1261" s="122"/>
      <c r="V1261" s="122"/>
      <c r="W1261" s="122"/>
      <c r="X1261" s="122"/>
      <c r="Y1261" s="121"/>
      <c r="Z1261" s="122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</row>
    <row r="1262">
      <c r="B1262" s="120"/>
      <c r="C1262" s="121"/>
      <c r="D1262" s="121"/>
      <c r="E1262" s="121"/>
      <c r="F1262" s="122"/>
      <c r="G1262" s="122"/>
      <c r="H1262" s="122"/>
      <c r="I1262" s="122"/>
      <c r="J1262" s="122"/>
      <c r="K1262" s="122"/>
      <c r="L1262" s="122"/>
      <c r="M1262" s="122"/>
      <c r="N1262" s="122"/>
      <c r="O1262" s="122"/>
      <c r="P1262" s="122"/>
      <c r="Q1262" s="122"/>
      <c r="R1262" s="122"/>
      <c r="S1262" s="122"/>
      <c r="T1262" s="122"/>
      <c r="U1262" s="122"/>
      <c r="V1262" s="122"/>
      <c r="W1262" s="122"/>
      <c r="X1262" s="122"/>
      <c r="Y1262" s="122"/>
      <c r="Z1262" s="122"/>
      <c r="AA1262" s="121"/>
      <c r="AB1262" s="122"/>
      <c r="AC1262" s="121"/>
      <c r="AD1262" s="122"/>
      <c r="AE1262" s="121"/>
      <c r="AF1262" s="122"/>
      <c r="AG1262" s="121"/>
      <c r="AH1262" s="122"/>
      <c r="AI1262" s="122"/>
      <c r="AJ1262" s="122"/>
      <c r="AK1262" s="122"/>
      <c r="AL1262" s="122"/>
      <c r="AM1262" s="122"/>
      <c r="AN1262" s="121"/>
    </row>
    <row r="1263">
      <c r="B1263" s="120"/>
      <c r="C1263" s="121"/>
      <c r="D1263" s="122"/>
      <c r="E1263" s="122"/>
      <c r="F1263" s="122"/>
      <c r="G1263" s="122"/>
      <c r="H1263" s="122"/>
      <c r="I1263" s="122"/>
      <c r="J1263" s="122"/>
      <c r="K1263" s="122"/>
      <c r="L1263" s="122"/>
      <c r="M1263" s="122"/>
      <c r="N1263" s="122"/>
      <c r="O1263" s="122"/>
      <c r="P1263" s="122"/>
      <c r="Q1263" s="122"/>
      <c r="R1263" s="122"/>
      <c r="S1263" s="122"/>
      <c r="T1263" s="122"/>
      <c r="U1263" s="122"/>
      <c r="V1263" s="122"/>
      <c r="W1263" s="122"/>
      <c r="X1263" s="122"/>
      <c r="Y1263" s="122"/>
      <c r="Z1263" s="122"/>
      <c r="AA1263" s="122"/>
      <c r="AB1263" s="122"/>
      <c r="AC1263" s="122"/>
      <c r="AD1263" s="122"/>
      <c r="AE1263" s="122"/>
      <c r="AF1263" s="122"/>
      <c r="AG1263" s="122"/>
      <c r="AH1263" s="122"/>
      <c r="AI1263" s="122"/>
      <c r="AJ1263" s="122"/>
      <c r="AK1263" s="122"/>
      <c r="AL1263" s="122"/>
      <c r="AM1263" s="122"/>
      <c r="AN1263" s="121"/>
    </row>
    <row r="1264">
      <c r="A1264" s="120"/>
      <c r="B1264" s="120"/>
      <c r="C1264" s="122"/>
      <c r="D1264" s="122"/>
      <c r="E1264" s="122"/>
      <c r="F1264" s="122"/>
      <c r="G1264" s="122"/>
      <c r="H1264" s="122"/>
      <c r="I1264" s="122"/>
      <c r="J1264" s="122"/>
      <c r="K1264" s="122"/>
      <c r="L1264" s="122"/>
      <c r="M1264" s="122"/>
      <c r="N1264" s="122"/>
      <c r="O1264" s="122"/>
      <c r="P1264" s="122"/>
      <c r="Q1264" s="122"/>
      <c r="R1264" s="122"/>
      <c r="S1264" s="122"/>
      <c r="T1264" s="122"/>
      <c r="U1264" s="122"/>
      <c r="V1264" s="122"/>
      <c r="W1264" s="122"/>
      <c r="X1264" s="122"/>
      <c r="Y1264" s="122"/>
      <c r="Z1264" s="122"/>
      <c r="AA1264" s="122"/>
      <c r="AB1264" s="122"/>
      <c r="AC1264" s="122"/>
      <c r="AD1264" s="122"/>
      <c r="AE1264" s="122"/>
      <c r="AF1264" s="122"/>
      <c r="AG1264" s="122"/>
      <c r="AH1264" s="122"/>
      <c r="AI1264" s="122"/>
      <c r="AJ1264" s="122"/>
      <c r="AK1264" s="122"/>
      <c r="AL1264" s="122"/>
      <c r="AM1264" s="122"/>
      <c r="AN1264" s="122"/>
    </row>
    <row r="1265">
      <c r="B1265" s="120"/>
      <c r="C1265" s="122"/>
      <c r="D1265" s="122"/>
      <c r="E1265" s="122"/>
      <c r="F1265" s="122"/>
      <c r="G1265" s="122"/>
      <c r="H1265" s="122"/>
      <c r="I1265" s="122"/>
      <c r="J1265" s="122"/>
      <c r="K1265" s="122"/>
      <c r="L1265" s="122"/>
      <c r="M1265" s="122"/>
      <c r="N1265" s="122"/>
      <c r="O1265" s="122"/>
      <c r="P1265" s="122"/>
      <c r="Q1265" s="122"/>
      <c r="R1265" s="122"/>
      <c r="S1265" s="122"/>
      <c r="T1265" s="122"/>
      <c r="U1265" s="122"/>
      <c r="V1265" s="122"/>
      <c r="W1265" s="122"/>
      <c r="X1265" s="122"/>
      <c r="Y1265" s="122"/>
      <c r="Z1265" s="122"/>
      <c r="AA1265" s="122"/>
      <c r="AB1265" s="122"/>
      <c r="AC1265" s="122"/>
      <c r="AD1265" s="122"/>
      <c r="AE1265" s="122"/>
      <c r="AF1265" s="122"/>
      <c r="AG1265" s="122"/>
      <c r="AH1265" s="122"/>
      <c r="AI1265" s="122"/>
      <c r="AJ1265" s="122"/>
      <c r="AK1265" s="122"/>
      <c r="AL1265" s="122"/>
      <c r="AM1265" s="122"/>
      <c r="AN1265" s="122"/>
    </row>
    <row r="1266">
      <c r="A1266" s="120"/>
      <c r="B1266" s="120"/>
      <c r="C1266" s="122"/>
      <c r="D1266" s="122"/>
      <c r="E1266" s="122"/>
      <c r="F1266" s="122"/>
      <c r="G1266" s="122"/>
      <c r="H1266" s="122"/>
      <c r="I1266" s="122"/>
      <c r="J1266" s="122"/>
      <c r="K1266" s="122"/>
      <c r="L1266" s="122"/>
      <c r="M1266" s="122"/>
      <c r="N1266" s="122"/>
      <c r="O1266" s="122"/>
      <c r="P1266" s="122"/>
      <c r="Q1266" s="122"/>
      <c r="R1266" s="122"/>
      <c r="S1266" s="122"/>
      <c r="T1266" s="122"/>
      <c r="U1266" s="122"/>
      <c r="V1266" s="122"/>
      <c r="W1266" s="122"/>
      <c r="X1266" s="122"/>
      <c r="Y1266" s="122"/>
      <c r="Z1266" s="122"/>
      <c r="AA1266" s="122"/>
      <c r="AB1266" s="122"/>
      <c r="AC1266" s="122"/>
      <c r="AD1266" s="122"/>
      <c r="AE1266" s="122"/>
      <c r="AF1266" s="122"/>
      <c r="AG1266" s="122"/>
      <c r="AH1266" s="122"/>
      <c r="AI1266" s="122"/>
      <c r="AJ1266" s="122"/>
      <c r="AK1266" s="122"/>
      <c r="AL1266" s="122"/>
      <c r="AM1266" s="122"/>
      <c r="AN1266" s="122"/>
    </row>
    <row r="1267">
      <c r="B1267" s="120"/>
      <c r="C1267" s="122"/>
      <c r="D1267" s="122"/>
      <c r="E1267" s="122"/>
      <c r="F1267" s="122"/>
      <c r="G1267" s="122"/>
      <c r="H1267" s="122"/>
      <c r="I1267" s="122"/>
      <c r="J1267" s="122"/>
      <c r="K1267" s="122"/>
      <c r="L1267" s="122"/>
      <c r="M1267" s="122"/>
      <c r="N1267" s="122"/>
      <c r="O1267" s="122"/>
      <c r="P1267" s="122"/>
      <c r="Q1267" s="122"/>
      <c r="R1267" s="122"/>
      <c r="S1267" s="122"/>
      <c r="T1267" s="122"/>
      <c r="U1267" s="122"/>
      <c r="V1267" s="122"/>
      <c r="W1267" s="122"/>
      <c r="X1267" s="122"/>
      <c r="Y1267" s="122"/>
      <c r="Z1267" s="122"/>
      <c r="AA1267" s="122"/>
      <c r="AB1267" s="122"/>
      <c r="AC1267" s="122"/>
      <c r="AD1267" s="122"/>
      <c r="AE1267" s="122"/>
      <c r="AF1267" s="122"/>
      <c r="AG1267" s="122"/>
      <c r="AH1267" s="122"/>
      <c r="AI1267" s="122"/>
      <c r="AJ1267" s="122"/>
      <c r="AK1267" s="122"/>
      <c r="AL1267" s="122"/>
      <c r="AM1267" s="122"/>
      <c r="AN1267" s="122"/>
    </row>
    <row r="1268">
      <c r="A1268" s="120"/>
      <c r="B1268" s="120"/>
      <c r="C1268" s="122"/>
      <c r="D1268" s="122"/>
      <c r="E1268" s="122"/>
      <c r="F1268" s="122"/>
      <c r="G1268" s="122"/>
      <c r="H1268" s="122"/>
      <c r="I1268" s="122"/>
      <c r="J1268" s="122"/>
      <c r="K1268" s="122"/>
      <c r="L1268" s="122"/>
      <c r="M1268" s="122"/>
      <c r="N1268" s="122"/>
      <c r="O1268" s="122"/>
      <c r="P1268" s="122"/>
      <c r="Q1268" s="122"/>
      <c r="R1268" s="122"/>
      <c r="S1268" s="122"/>
      <c r="T1268" s="122"/>
      <c r="U1268" s="122"/>
      <c r="V1268" s="122"/>
      <c r="W1268" s="122"/>
      <c r="X1268" s="122"/>
      <c r="Y1268" s="122"/>
      <c r="Z1268" s="122"/>
      <c r="AA1268" s="122"/>
      <c r="AB1268" s="122"/>
      <c r="AC1268" s="122"/>
      <c r="AD1268" s="122"/>
      <c r="AE1268" s="122"/>
      <c r="AF1268" s="122"/>
      <c r="AG1268" s="122"/>
      <c r="AH1268" s="122"/>
      <c r="AI1268" s="122"/>
      <c r="AJ1268" s="122"/>
      <c r="AK1268" s="122"/>
      <c r="AL1268" s="122"/>
      <c r="AM1268" s="122"/>
      <c r="AN1268" s="122"/>
    </row>
    <row r="1269">
      <c r="B1269" s="120"/>
      <c r="C1269" s="122"/>
      <c r="D1269" s="122"/>
      <c r="E1269" s="122"/>
      <c r="F1269" s="122"/>
      <c r="G1269" s="122"/>
      <c r="H1269" s="122"/>
      <c r="I1269" s="122"/>
      <c r="J1269" s="122"/>
      <c r="K1269" s="122"/>
      <c r="L1269" s="122"/>
      <c r="M1269" s="122"/>
      <c r="N1269" s="122"/>
      <c r="O1269" s="122"/>
      <c r="P1269" s="122"/>
      <c r="Q1269" s="122"/>
      <c r="R1269" s="122"/>
      <c r="S1269" s="122"/>
      <c r="T1269" s="122"/>
      <c r="U1269" s="122"/>
      <c r="V1269" s="122"/>
      <c r="W1269" s="122"/>
      <c r="X1269" s="122"/>
      <c r="Y1269" s="122"/>
      <c r="Z1269" s="122"/>
      <c r="AA1269" s="122"/>
      <c r="AB1269" s="122"/>
      <c r="AC1269" s="122"/>
      <c r="AD1269" s="122"/>
      <c r="AE1269" s="122"/>
      <c r="AF1269" s="122"/>
      <c r="AG1269" s="122"/>
      <c r="AH1269" s="122"/>
      <c r="AI1269" s="122"/>
      <c r="AJ1269" s="122"/>
      <c r="AK1269" s="122"/>
      <c r="AL1269" s="122"/>
      <c r="AM1269" s="122"/>
      <c r="AN1269" s="122"/>
    </row>
    <row r="1270">
      <c r="A1270" s="120"/>
      <c r="B1270" s="120"/>
      <c r="C1270" s="122"/>
      <c r="D1270" s="122"/>
      <c r="E1270" s="122"/>
      <c r="F1270" s="122"/>
      <c r="G1270" s="122"/>
      <c r="H1270" s="122"/>
      <c r="I1270" s="122"/>
      <c r="J1270" s="122"/>
      <c r="K1270" s="122"/>
      <c r="L1270" s="122"/>
      <c r="M1270" s="122"/>
      <c r="N1270" s="122"/>
      <c r="O1270" s="122"/>
      <c r="P1270" s="122"/>
      <c r="Q1270" s="122"/>
      <c r="R1270" s="122"/>
      <c r="S1270" s="122"/>
      <c r="T1270" s="122"/>
      <c r="U1270" s="122"/>
      <c r="V1270" s="122"/>
      <c r="W1270" s="122"/>
      <c r="X1270" s="122"/>
      <c r="Y1270" s="122"/>
      <c r="Z1270" s="122"/>
      <c r="AA1270" s="122"/>
      <c r="AB1270" s="122"/>
      <c r="AC1270" s="122"/>
      <c r="AD1270" s="122"/>
      <c r="AE1270" s="122"/>
      <c r="AF1270" s="122"/>
      <c r="AG1270" s="122"/>
      <c r="AH1270" s="122"/>
      <c r="AI1270" s="122"/>
      <c r="AJ1270" s="122"/>
      <c r="AK1270" s="122"/>
      <c r="AL1270" s="122"/>
      <c r="AM1270" s="122"/>
      <c r="AN1270" s="122"/>
    </row>
    <row r="1271">
      <c r="B1271" s="120"/>
      <c r="C1271" s="122"/>
      <c r="D1271" s="122"/>
      <c r="E1271" s="122"/>
      <c r="F1271" s="122"/>
      <c r="G1271" s="122"/>
      <c r="H1271" s="122"/>
      <c r="I1271" s="122"/>
      <c r="J1271" s="122"/>
      <c r="K1271" s="122"/>
      <c r="L1271" s="122"/>
      <c r="M1271" s="122"/>
      <c r="N1271" s="122"/>
      <c r="O1271" s="122"/>
      <c r="P1271" s="122"/>
      <c r="Q1271" s="122"/>
      <c r="R1271" s="122"/>
      <c r="S1271" s="122"/>
      <c r="T1271" s="122"/>
      <c r="U1271" s="122"/>
      <c r="V1271" s="122"/>
      <c r="W1271" s="122"/>
      <c r="X1271" s="122"/>
      <c r="Y1271" s="122"/>
      <c r="Z1271" s="122"/>
      <c r="AA1271" s="122"/>
      <c r="AB1271" s="122"/>
      <c r="AC1271" s="122"/>
      <c r="AD1271" s="122"/>
      <c r="AE1271" s="122"/>
      <c r="AF1271" s="122"/>
      <c r="AG1271" s="122"/>
      <c r="AH1271" s="122"/>
      <c r="AI1271" s="122"/>
      <c r="AJ1271" s="122"/>
      <c r="AK1271" s="122"/>
      <c r="AL1271" s="122"/>
      <c r="AM1271" s="122"/>
      <c r="AN1271" s="122"/>
    </row>
    <row r="1272">
      <c r="B1272" s="120"/>
      <c r="C1272" s="122"/>
      <c r="D1272" s="122"/>
      <c r="E1272" s="122"/>
      <c r="F1272" s="122"/>
      <c r="G1272" s="122"/>
      <c r="H1272" s="122"/>
      <c r="I1272" s="122"/>
      <c r="J1272" s="122"/>
      <c r="K1272" s="122"/>
      <c r="L1272" s="122"/>
      <c r="M1272" s="122"/>
      <c r="N1272" s="122"/>
      <c r="O1272" s="122"/>
      <c r="P1272" s="122"/>
      <c r="Q1272" s="122"/>
      <c r="R1272" s="122"/>
      <c r="S1272" s="122"/>
      <c r="T1272" s="122"/>
      <c r="U1272" s="122"/>
      <c r="V1272" s="122"/>
      <c r="W1272" s="122"/>
      <c r="X1272" s="122"/>
      <c r="Y1272" s="122"/>
      <c r="Z1272" s="122"/>
      <c r="AA1272" s="122"/>
      <c r="AB1272" s="122"/>
      <c r="AC1272" s="122"/>
      <c r="AD1272" s="122"/>
      <c r="AE1272" s="122"/>
      <c r="AF1272" s="122"/>
      <c r="AG1272" s="122"/>
      <c r="AH1272" s="122"/>
      <c r="AI1272" s="122"/>
      <c r="AJ1272" s="122"/>
      <c r="AK1272" s="122"/>
      <c r="AL1272" s="122"/>
      <c r="AM1272" s="122"/>
      <c r="AN1272" s="122"/>
    </row>
    <row r="1273">
      <c r="A1273" s="120"/>
      <c r="B1273" s="120"/>
      <c r="C1273" s="121"/>
      <c r="D1273" s="121"/>
      <c r="E1273" s="121"/>
      <c r="F1273" s="122"/>
      <c r="G1273" s="122"/>
      <c r="H1273" s="122"/>
      <c r="I1273" s="122"/>
      <c r="J1273" s="122"/>
      <c r="K1273" s="122"/>
      <c r="L1273" s="122"/>
      <c r="M1273" s="122"/>
      <c r="N1273" s="122"/>
      <c r="O1273" s="122"/>
      <c r="P1273" s="122"/>
      <c r="Q1273" s="122"/>
      <c r="R1273" s="122"/>
      <c r="S1273" s="122"/>
      <c r="T1273" s="122"/>
      <c r="U1273" s="122"/>
      <c r="V1273" s="122"/>
      <c r="W1273" s="122"/>
      <c r="X1273" s="122"/>
      <c r="Y1273" s="122"/>
      <c r="Z1273" s="122"/>
      <c r="AA1273" s="122"/>
      <c r="AB1273" s="122"/>
      <c r="AC1273" s="122"/>
      <c r="AD1273" s="122"/>
      <c r="AE1273" s="122"/>
      <c r="AF1273" s="122"/>
      <c r="AG1273" s="122"/>
      <c r="AH1273" s="122"/>
      <c r="AI1273" s="122"/>
      <c r="AJ1273" s="122"/>
      <c r="AK1273" s="122"/>
      <c r="AL1273" s="122"/>
      <c r="AM1273" s="122"/>
      <c r="AN1273" s="121"/>
    </row>
    <row r="1274">
      <c r="B1274" s="120"/>
      <c r="C1274" s="121"/>
      <c r="D1274" s="122"/>
      <c r="E1274" s="121"/>
      <c r="F1274" s="122"/>
      <c r="G1274" s="122"/>
      <c r="H1274" s="122"/>
      <c r="I1274" s="122"/>
      <c r="J1274" s="122"/>
      <c r="K1274" s="122"/>
      <c r="L1274" s="122"/>
      <c r="M1274" s="122"/>
      <c r="N1274" s="122"/>
      <c r="O1274" s="122"/>
      <c r="P1274" s="122"/>
      <c r="Q1274" s="122"/>
      <c r="R1274" s="122"/>
      <c r="S1274" s="122"/>
      <c r="T1274" s="122"/>
      <c r="U1274" s="122"/>
      <c r="V1274" s="122"/>
      <c r="W1274" s="122"/>
      <c r="X1274" s="122"/>
      <c r="Y1274" s="122"/>
      <c r="Z1274" s="122"/>
      <c r="AA1274" s="122"/>
      <c r="AB1274" s="122"/>
      <c r="AC1274" s="122"/>
      <c r="AD1274" s="122"/>
      <c r="AE1274" s="122"/>
      <c r="AF1274" s="122"/>
      <c r="AG1274" s="122"/>
      <c r="AH1274" s="122"/>
      <c r="AI1274" s="122"/>
      <c r="AJ1274" s="122"/>
      <c r="AK1274" s="122"/>
      <c r="AL1274" s="122"/>
      <c r="AM1274" s="122"/>
      <c r="AN1274" s="121"/>
    </row>
    <row r="1275">
      <c r="B1275" s="120"/>
      <c r="C1275" s="122"/>
      <c r="D1275" s="122"/>
      <c r="E1275" s="122"/>
      <c r="F1275" s="122"/>
      <c r="G1275" s="122"/>
      <c r="H1275" s="122"/>
      <c r="I1275" s="122"/>
      <c r="J1275" s="122"/>
      <c r="K1275" s="122"/>
      <c r="L1275" s="122"/>
      <c r="M1275" s="122"/>
      <c r="N1275" s="122"/>
      <c r="O1275" s="122"/>
      <c r="P1275" s="122"/>
      <c r="Q1275" s="122"/>
      <c r="R1275" s="122"/>
      <c r="S1275" s="122"/>
      <c r="T1275" s="122"/>
      <c r="U1275" s="122"/>
      <c r="V1275" s="122"/>
      <c r="W1275" s="122"/>
      <c r="X1275" s="122"/>
      <c r="Y1275" s="122"/>
      <c r="Z1275" s="122"/>
      <c r="AA1275" s="122"/>
      <c r="AB1275" s="122"/>
      <c r="AC1275" s="122"/>
      <c r="AD1275" s="122"/>
      <c r="AE1275" s="122"/>
      <c r="AF1275" s="122"/>
      <c r="AG1275" s="122"/>
      <c r="AH1275" s="122"/>
      <c r="AI1275" s="122"/>
      <c r="AJ1275" s="122"/>
      <c r="AK1275" s="122"/>
      <c r="AL1275" s="122"/>
      <c r="AM1275" s="122"/>
      <c r="AN1275" s="122"/>
    </row>
    <row r="1276">
      <c r="B1276" s="120"/>
      <c r="C1276" s="122"/>
      <c r="D1276" s="122"/>
      <c r="E1276" s="122"/>
      <c r="F1276" s="122"/>
      <c r="G1276" s="122"/>
      <c r="H1276" s="122"/>
      <c r="I1276" s="122"/>
      <c r="J1276" s="122"/>
      <c r="K1276" s="122"/>
      <c r="L1276" s="122"/>
      <c r="M1276" s="122"/>
      <c r="N1276" s="122"/>
      <c r="O1276" s="122"/>
      <c r="P1276" s="122"/>
      <c r="Q1276" s="122"/>
      <c r="R1276" s="122"/>
      <c r="S1276" s="122"/>
      <c r="T1276" s="122"/>
      <c r="U1276" s="122"/>
      <c r="V1276" s="122"/>
      <c r="W1276" s="122"/>
      <c r="X1276" s="122"/>
      <c r="Y1276" s="122"/>
      <c r="Z1276" s="122"/>
      <c r="AA1276" s="122"/>
      <c r="AB1276" s="122"/>
      <c r="AC1276" s="122"/>
      <c r="AD1276" s="122"/>
      <c r="AE1276" s="122"/>
      <c r="AF1276" s="122"/>
      <c r="AG1276" s="122"/>
      <c r="AH1276" s="122"/>
      <c r="AI1276" s="122"/>
      <c r="AJ1276" s="122"/>
      <c r="AK1276" s="122"/>
      <c r="AL1276" s="122"/>
      <c r="AM1276" s="122"/>
      <c r="AN1276" s="122"/>
    </row>
    <row r="1277">
      <c r="B1277" s="120"/>
      <c r="C1277" s="121"/>
      <c r="D1277" s="121"/>
      <c r="E1277" s="121"/>
      <c r="F1277" s="122"/>
      <c r="G1277" s="122"/>
      <c r="H1277" s="122"/>
      <c r="I1277" s="122"/>
      <c r="J1277" s="122"/>
      <c r="K1277" s="122"/>
      <c r="L1277" s="122"/>
      <c r="M1277" s="122"/>
      <c r="N1277" s="122"/>
      <c r="O1277" s="122"/>
      <c r="P1277" s="122"/>
      <c r="Q1277" s="122"/>
      <c r="R1277" s="122"/>
      <c r="S1277" s="122"/>
      <c r="T1277" s="122"/>
      <c r="U1277" s="122"/>
      <c r="V1277" s="122"/>
      <c r="W1277" s="122"/>
      <c r="X1277" s="122"/>
      <c r="Y1277" s="122"/>
      <c r="Z1277" s="122"/>
      <c r="AA1277" s="122"/>
      <c r="AB1277" s="122"/>
      <c r="AC1277" s="122"/>
      <c r="AD1277" s="122"/>
      <c r="AE1277" s="122"/>
      <c r="AF1277" s="122"/>
      <c r="AG1277" s="122"/>
      <c r="AH1277" s="122"/>
      <c r="AI1277" s="122"/>
      <c r="AJ1277" s="122"/>
      <c r="AK1277" s="122"/>
      <c r="AL1277" s="122"/>
      <c r="AM1277" s="122"/>
      <c r="AN1277" s="121"/>
    </row>
    <row r="1278">
      <c r="A1278" s="120"/>
      <c r="B1278" s="120"/>
      <c r="C1278" s="122"/>
      <c r="D1278" s="122"/>
      <c r="E1278" s="122"/>
      <c r="F1278" s="122"/>
      <c r="G1278" s="122"/>
      <c r="H1278" s="122"/>
      <c r="I1278" s="122"/>
      <c r="J1278" s="122"/>
      <c r="K1278" s="122"/>
      <c r="L1278" s="122"/>
      <c r="M1278" s="122"/>
      <c r="N1278" s="122"/>
      <c r="O1278" s="122"/>
      <c r="P1278" s="122"/>
      <c r="Q1278" s="122"/>
      <c r="R1278" s="122"/>
      <c r="S1278" s="122"/>
      <c r="T1278" s="122"/>
      <c r="U1278" s="122"/>
      <c r="V1278" s="122"/>
      <c r="W1278" s="122"/>
      <c r="X1278" s="122"/>
      <c r="Y1278" s="122"/>
      <c r="Z1278" s="122"/>
      <c r="AA1278" s="122"/>
      <c r="AB1278" s="122"/>
      <c r="AC1278" s="122"/>
      <c r="AD1278" s="122"/>
      <c r="AE1278" s="122"/>
      <c r="AF1278" s="122"/>
      <c r="AG1278" s="122"/>
      <c r="AH1278" s="122"/>
      <c r="AI1278" s="122"/>
      <c r="AJ1278" s="122"/>
      <c r="AK1278" s="122"/>
      <c r="AL1278" s="122"/>
      <c r="AM1278" s="122"/>
      <c r="AN1278" s="122"/>
    </row>
    <row r="1279">
      <c r="B1279" s="120"/>
      <c r="C1279" s="122"/>
      <c r="D1279" s="122"/>
      <c r="E1279" s="122"/>
      <c r="F1279" s="122"/>
      <c r="G1279" s="122"/>
      <c r="H1279" s="122"/>
      <c r="I1279" s="122"/>
      <c r="J1279" s="122"/>
      <c r="K1279" s="122"/>
      <c r="L1279" s="122"/>
      <c r="M1279" s="122"/>
      <c r="N1279" s="122"/>
      <c r="O1279" s="122"/>
      <c r="P1279" s="122"/>
      <c r="Q1279" s="122"/>
      <c r="R1279" s="122"/>
      <c r="S1279" s="122"/>
      <c r="T1279" s="122"/>
      <c r="U1279" s="122"/>
      <c r="V1279" s="122"/>
      <c r="W1279" s="122"/>
      <c r="X1279" s="122"/>
      <c r="Y1279" s="122"/>
      <c r="Z1279" s="122"/>
      <c r="AA1279" s="122"/>
      <c r="AB1279" s="122"/>
      <c r="AC1279" s="122"/>
      <c r="AD1279" s="122"/>
      <c r="AE1279" s="122"/>
      <c r="AF1279" s="122"/>
      <c r="AG1279" s="122"/>
      <c r="AH1279" s="122"/>
      <c r="AI1279" s="122"/>
      <c r="AJ1279" s="122"/>
      <c r="AK1279" s="122"/>
      <c r="AL1279" s="122"/>
      <c r="AM1279" s="122"/>
      <c r="AN1279" s="122"/>
    </row>
    <row r="1280">
      <c r="B1280" s="120"/>
      <c r="C1280" s="122"/>
      <c r="D1280" s="122"/>
      <c r="E1280" s="122"/>
      <c r="F1280" s="122"/>
      <c r="G1280" s="122"/>
      <c r="H1280" s="122"/>
      <c r="I1280" s="122"/>
      <c r="J1280" s="122"/>
      <c r="K1280" s="122"/>
      <c r="L1280" s="122"/>
      <c r="M1280" s="122"/>
      <c r="N1280" s="122"/>
      <c r="O1280" s="122"/>
      <c r="P1280" s="122"/>
      <c r="Q1280" s="122"/>
      <c r="R1280" s="122"/>
      <c r="S1280" s="122"/>
      <c r="T1280" s="122"/>
      <c r="U1280" s="122"/>
      <c r="V1280" s="122"/>
      <c r="W1280" s="122"/>
      <c r="X1280" s="122"/>
      <c r="Y1280" s="122"/>
      <c r="Z1280" s="122"/>
      <c r="AA1280" s="122"/>
      <c r="AB1280" s="122"/>
      <c r="AC1280" s="122"/>
      <c r="AD1280" s="122"/>
      <c r="AE1280" s="122"/>
      <c r="AF1280" s="122"/>
      <c r="AG1280" s="122"/>
      <c r="AH1280" s="122"/>
      <c r="AI1280" s="122"/>
      <c r="AJ1280" s="122"/>
      <c r="AK1280" s="122"/>
      <c r="AL1280" s="122"/>
      <c r="AM1280" s="122"/>
      <c r="AN1280" s="122"/>
    </row>
    <row r="1281">
      <c r="B1281" s="120"/>
      <c r="C1281" s="122"/>
      <c r="D1281" s="122"/>
      <c r="E1281" s="122"/>
      <c r="F1281" s="122"/>
      <c r="G1281" s="122"/>
      <c r="H1281" s="122"/>
      <c r="I1281" s="122"/>
      <c r="J1281" s="122"/>
      <c r="K1281" s="122"/>
      <c r="L1281" s="122"/>
      <c r="M1281" s="122"/>
      <c r="N1281" s="122"/>
      <c r="O1281" s="122"/>
      <c r="P1281" s="122"/>
      <c r="Q1281" s="122"/>
      <c r="R1281" s="122"/>
      <c r="S1281" s="122"/>
      <c r="T1281" s="122"/>
      <c r="U1281" s="122"/>
      <c r="V1281" s="122"/>
      <c r="W1281" s="122"/>
      <c r="X1281" s="122"/>
      <c r="Y1281" s="122"/>
      <c r="Z1281" s="122"/>
      <c r="AA1281" s="122"/>
      <c r="AB1281" s="122"/>
      <c r="AC1281" s="122"/>
      <c r="AD1281" s="122"/>
      <c r="AE1281" s="122"/>
      <c r="AF1281" s="122"/>
      <c r="AG1281" s="122"/>
      <c r="AH1281" s="122"/>
      <c r="AI1281" s="122"/>
      <c r="AJ1281" s="122"/>
      <c r="AK1281" s="122"/>
      <c r="AL1281" s="122"/>
      <c r="AM1281" s="122"/>
      <c r="AN1281" s="122"/>
    </row>
    <row r="1282">
      <c r="B1282" s="120"/>
      <c r="C1282" s="122"/>
      <c r="D1282" s="122"/>
      <c r="E1282" s="122"/>
      <c r="F1282" s="122"/>
      <c r="G1282" s="122"/>
      <c r="H1282" s="122"/>
      <c r="I1282" s="122"/>
      <c r="J1282" s="122"/>
      <c r="K1282" s="122"/>
      <c r="L1282" s="122"/>
      <c r="M1282" s="122"/>
      <c r="N1282" s="122"/>
      <c r="O1282" s="122"/>
      <c r="P1282" s="122"/>
      <c r="Q1282" s="122"/>
      <c r="R1282" s="122"/>
      <c r="S1282" s="122"/>
      <c r="T1282" s="122"/>
      <c r="U1282" s="122"/>
      <c r="V1282" s="122"/>
      <c r="W1282" s="122"/>
      <c r="X1282" s="122"/>
      <c r="Y1282" s="122"/>
      <c r="Z1282" s="122"/>
      <c r="AA1282" s="122"/>
      <c r="AB1282" s="122"/>
      <c r="AC1282" s="122"/>
      <c r="AD1282" s="122"/>
      <c r="AE1282" s="122"/>
      <c r="AF1282" s="122"/>
      <c r="AG1282" s="122"/>
      <c r="AH1282" s="122"/>
      <c r="AI1282" s="122"/>
      <c r="AJ1282" s="122"/>
      <c r="AK1282" s="122"/>
      <c r="AL1282" s="122"/>
      <c r="AM1282" s="122"/>
      <c r="AN1282" s="122"/>
    </row>
    <row r="1283">
      <c r="A1283" s="123"/>
    </row>
    <row r="1284">
      <c r="A1284" s="120"/>
      <c r="B1284" s="120"/>
      <c r="C1284" s="121"/>
      <c r="D1284" s="121"/>
      <c r="E1284" s="121"/>
      <c r="F1284" s="122"/>
      <c r="G1284" s="122"/>
      <c r="H1284" s="122"/>
      <c r="I1284" s="122"/>
      <c r="J1284" s="122"/>
      <c r="K1284" s="122"/>
      <c r="L1284" s="122"/>
      <c r="M1284" s="122"/>
      <c r="N1284" s="122"/>
      <c r="O1284" s="122"/>
      <c r="P1284" s="122"/>
      <c r="Q1284" s="122"/>
      <c r="R1284" s="122"/>
      <c r="S1284" s="121"/>
      <c r="T1284" s="122"/>
      <c r="U1284" s="121"/>
      <c r="V1284" s="121"/>
      <c r="W1284" s="121"/>
      <c r="X1284" s="121"/>
      <c r="Y1284" s="121"/>
      <c r="Z1284" s="121"/>
      <c r="AA1284" s="121"/>
      <c r="AB1284" s="121"/>
      <c r="AC1284" s="121"/>
      <c r="AD1284" s="121"/>
      <c r="AE1284" s="121"/>
      <c r="AF1284" s="121"/>
      <c r="AG1284" s="121"/>
      <c r="AH1284" s="121"/>
      <c r="AI1284" s="121"/>
      <c r="AJ1284" s="121"/>
      <c r="AK1284" s="121"/>
      <c r="AL1284" s="121"/>
      <c r="AM1284" s="121"/>
      <c r="AN1284" s="121"/>
    </row>
    <row r="1285">
      <c r="B1285" s="120"/>
      <c r="C1285" s="121"/>
      <c r="D1285" s="121"/>
      <c r="E1285" s="121"/>
      <c r="F1285" s="122"/>
      <c r="G1285" s="122"/>
      <c r="H1285" s="122"/>
      <c r="I1285" s="122"/>
      <c r="J1285" s="122"/>
      <c r="K1285" s="122"/>
      <c r="L1285" s="122"/>
      <c r="M1285" s="122"/>
      <c r="N1285" s="122"/>
      <c r="O1285" s="122"/>
      <c r="P1285" s="122"/>
      <c r="Q1285" s="122"/>
      <c r="R1285" s="122"/>
      <c r="S1285" s="122"/>
      <c r="T1285" s="122"/>
      <c r="U1285" s="122"/>
      <c r="V1285" s="122"/>
      <c r="W1285" s="121"/>
      <c r="X1285" s="121"/>
      <c r="Y1285" s="121"/>
      <c r="Z1285" s="121"/>
      <c r="AA1285" s="121"/>
      <c r="AB1285" s="121"/>
      <c r="AC1285" s="121"/>
      <c r="AD1285" s="121"/>
      <c r="AE1285" s="121"/>
      <c r="AF1285" s="121"/>
      <c r="AG1285" s="121"/>
      <c r="AH1285" s="121"/>
      <c r="AI1285" s="121"/>
      <c r="AJ1285" s="121"/>
      <c r="AK1285" s="121"/>
      <c r="AL1285" s="121"/>
      <c r="AM1285" s="121"/>
      <c r="AN1285" s="121"/>
    </row>
    <row r="1286">
      <c r="B1286" s="120"/>
      <c r="C1286" s="121"/>
      <c r="D1286" s="121"/>
      <c r="E1286" s="121"/>
      <c r="F1286" s="122"/>
      <c r="G1286" s="122"/>
      <c r="H1286" s="122"/>
      <c r="I1286" s="122"/>
      <c r="J1286" s="122"/>
      <c r="K1286" s="122"/>
      <c r="L1286" s="122"/>
      <c r="M1286" s="122"/>
      <c r="N1286" s="122"/>
      <c r="O1286" s="122"/>
      <c r="P1286" s="122"/>
      <c r="Q1286" s="122"/>
      <c r="R1286" s="122"/>
      <c r="S1286" s="122"/>
      <c r="T1286" s="122"/>
      <c r="U1286" s="122"/>
      <c r="V1286" s="122"/>
      <c r="W1286" s="121"/>
      <c r="X1286" s="121"/>
      <c r="Y1286" s="121"/>
      <c r="Z1286" s="121"/>
      <c r="AA1286" s="121"/>
      <c r="AB1286" s="121"/>
      <c r="AC1286" s="121"/>
      <c r="AD1286" s="121"/>
      <c r="AE1286" s="121"/>
      <c r="AF1286" s="121"/>
      <c r="AG1286" s="121"/>
      <c r="AH1286" s="121"/>
      <c r="AI1286" s="121"/>
      <c r="AJ1286" s="121"/>
      <c r="AK1286" s="121"/>
      <c r="AL1286" s="121"/>
      <c r="AM1286" s="121"/>
      <c r="AN1286" s="121"/>
    </row>
    <row r="1287">
      <c r="B1287" s="120"/>
      <c r="C1287" s="121"/>
      <c r="D1287" s="121"/>
      <c r="E1287" s="121"/>
      <c r="F1287" s="122"/>
      <c r="G1287" s="122"/>
      <c r="H1287" s="122"/>
      <c r="I1287" s="122"/>
      <c r="J1287" s="122"/>
      <c r="K1287" s="122"/>
      <c r="L1287" s="122"/>
      <c r="M1287" s="122"/>
      <c r="N1287" s="122"/>
      <c r="O1287" s="122"/>
      <c r="P1287" s="122"/>
      <c r="Q1287" s="122"/>
      <c r="R1287" s="122"/>
      <c r="S1287" s="122"/>
      <c r="T1287" s="122"/>
      <c r="U1287" s="122"/>
      <c r="V1287" s="122"/>
      <c r="W1287" s="122"/>
      <c r="X1287" s="122"/>
      <c r="Y1287" s="122"/>
      <c r="Z1287" s="122"/>
      <c r="AA1287" s="122"/>
      <c r="AB1287" s="122"/>
      <c r="AC1287" s="122"/>
      <c r="AD1287" s="122"/>
      <c r="AE1287" s="122"/>
      <c r="AF1287" s="122"/>
      <c r="AG1287" s="122"/>
      <c r="AH1287" s="122"/>
      <c r="AI1287" s="122"/>
      <c r="AJ1287" s="122"/>
      <c r="AK1287" s="122"/>
      <c r="AL1287" s="122"/>
      <c r="AM1287" s="122"/>
      <c r="AN1287" s="121"/>
    </row>
    <row r="1288">
      <c r="A1288" s="120"/>
      <c r="B1288" s="120"/>
      <c r="C1288" s="122"/>
      <c r="D1288" s="122"/>
      <c r="E1288" s="122"/>
      <c r="F1288" s="122"/>
      <c r="G1288" s="122"/>
      <c r="H1288" s="122"/>
      <c r="I1288" s="122"/>
      <c r="J1288" s="122"/>
      <c r="K1288" s="122"/>
      <c r="L1288" s="122"/>
      <c r="M1288" s="122"/>
      <c r="N1288" s="122"/>
      <c r="O1288" s="122"/>
      <c r="P1288" s="122"/>
      <c r="Q1288" s="122"/>
      <c r="R1288" s="122"/>
      <c r="S1288" s="122"/>
      <c r="T1288" s="122"/>
      <c r="U1288" s="122"/>
      <c r="V1288" s="122"/>
      <c r="W1288" s="122"/>
      <c r="X1288" s="122"/>
      <c r="Y1288" s="122"/>
      <c r="Z1288" s="122"/>
      <c r="AA1288" s="122"/>
      <c r="AB1288" s="122"/>
      <c r="AC1288" s="122"/>
      <c r="AD1288" s="122"/>
      <c r="AE1288" s="122"/>
      <c r="AF1288" s="122"/>
      <c r="AG1288" s="122"/>
      <c r="AH1288" s="122"/>
      <c r="AI1288" s="122"/>
      <c r="AJ1288" s="122"/>
      <c r="AK1288" s="122"/>
      <c r="AL1288" s="122"/>
      <c r="AM1288" s="122"/>
      <c r="AN1288" s="122"/>
    </row>
    <row r="1289">
      <c r="B1289" s="120"/>
      <c r="C1289" s="122"/>
      <c r="D1289" s="122"/>
      <c r="E1289" s="122"/>
      <c r="F1289" s="122"/>
      <c r="G1289" s="122"/>
      <c r="H1289" s="122"/>
      <c r="I1289" s="122"/>
      <c r="J1289" s="122"/>
      <c r="K1289" s="122"/>
      <c r="L1289" s="122"/>
      <c r="M1289" s="122"/>
      <c r="N1289" s="122"/>
      <c r="O1289" s="122"/>
      <c r="P1289" s="122"/>
      <c r="Q1289" s="122"/>
      <c r="R1289" s="122"/>
      <c r="S1289" s="122"/>
      <c r="T1289" s="122"/>
      <c r="U1289" s="122"/>
      <c r="V1289" s="122"/>
      <c r="W1289" s="122"/>
      <c r="X1289" s="122"/>
      <c r="Y1289" s="122"/>
      <c r="Z1289" s="122"/>
      <c r="AA1289" s="122"/>
      <c r="AB1289" s="122"/>
      <c r="AC1289" s="122"/>
      <c r="AD1289" s="122"/>
      <c r="AE1289" s="122"/>
      <c r="AF1289" s="122"/>
      <c r="AG1289" s="122"/>
      <c r="AH1289" s="122"/>
      <c r="AI1289" s="122"/>
      <c r="AJ1289" s="122"/>
      <c r="AK1289" s="122"/>
      <c r="AL1289" s="122"/>
      <c r="AM1289" s="122"/>
      <c r="AN1289" s="122"/>
    </row>
    <row r="1290">
      <c r="A1290" s="120"/>
      <c r="B1290" s="120"/>
      <c r="C1290" s="122"/>
      <c r="D1290" s="122"/>
      <c r="E1290" s="122"/>
      <c r="F1290" s="122"/>
      <c r="G1290" s="122"/>
      <c r="H1290" s="122"/>
      <c r="I1290" s="122"/>
      <c r="J1290" s="122"/>
      <c r="K1290" s="122"/>
      <c r="L1290" s="122"/>
      <c r="M1290" s="122"/>
      <c r="N1290" s="122"/>
      <c r="O1290" s="122"/>
      <c r="P1290" s="122"/>
      <c r="Q1290" s="122"/>
      <c r="R1290" s="122"/>
      <c r="S1290" s="122"/>
      <c r="T1290" s="122"/>
      <c r="U1290" s="122"/>
      <c r="V1290" s="122"/>
      <c r="W1290" s="122"/>
      <c r="X1290" s="122"/>
      <c r="Y1290" s="122"/>
      <c r="Z1290" s="122"/>
      <c r="AA1290" s="122"/>
      <c r="AB1290" s="122"/>
      <c r="AC1290" s="122"/>
      <c r="AD1290" s="122"/>
      <c r="AE1290" s="122"/>
      <c r="AF1290" s="122"/>
      <c r="AG1290" s="122"/>
      <c r="AH1290" s="122"/>
      <c r="AI1290" s="122"/>
      <c r="AJ1290" s="122"/>
      <c r="AK1290" s="122"/>
      <c r="AL1290" s="122"/>
      <c r="AM1290" s="122"/>
      <c r="AN1290" s="122"/>
    </row>
    <row r="1291">
      <c r="B1291" s="120"/>
      <c r="C1291" s="122"/>
      <c r="D1291" s="122"/>
      <c r="E1291" s="122"/>
      <c r="F1291" s="122"/>
      <c r="G1291" s="122"/>
      <c r="H1291" s="122"/>
      <c r="I1291" s="122"/>
      <c r="J1291" s="122"/>
      <c r="K1291" s="122"/>
      <c r="L1291" s="122"/>
      <c r="M1291" s="122"/>
      <c r="N1291" s="122"/>
      <c r="O1291" s="122"/>
      <c r="P1291" s="122"/>
      <c r="Q1291" s="122"/>
      <c r="R1291" s="122"/>
      <c r="S1291" s="122"/>
      <c r="T1291" s="122"/>
      <c r="U1291" s="122"/>
      <c r="V1291" s="122"/>
      <c r="W1291" s="122"/>
      <c r="X1291" s="122"/>
      <c r="Y1291" s="122"/>
      <c r="Z1291" s="122"/>
      <c r="AA1291" s="122"/>
      <c r="AB1291" s="122"/>
      <c r="AC1291" s="122"/>
      <c r="AD1291" s="122"/>
      <c r="AE1291" s="122"/>
      <c r="AF1291" s="122"/>
      <c r="AG1291" s="122"/>
      <c r="AH1291" s="122"/>
      <c r="AI1291" s="122"/>
      <c r="AJ1291" s="122"/>
      <c r="AK1291" s="122"/>
      <c r="AL1291" s="122"/>
      <c r="AM1291" s="122"/>
      <c r="AN1291" s="122"/>
    </row>
    <row r="1292">
      <c r="A1292" s="120"/>
      <c r="B1292" s="120"/>
      <c r="C1292" s="122"/>
      <c r="D1292" s="122"/>
      <c r="E1292" s="122"/>
      <c r="F1292" s="122"/>
      <c r="G1292" s="122"/>
      <c r="H1292" s="122"/>
      <c r="I1292" s="122"/>
      <c r="J1292" s="122"/>
      <c r="K1292" s="122"/>
      <c r="L1292" s="122"/>
      <c r="M1292" s="122"/>
      <c r="N1292" s="122"/>
      <c r="O1292" s="122"/>
      <c r="P1292" s="122"/>
      <c r="Q1292" s="122"/>
      <c r="R1292" s="122"/>
      <c r="S1292" s="122"/>
      <c r="T1292" s="122"/>
      <c r="U1292" s="122"/>
      <c r="V1292" s="122"/>
      <c r="W1292" s="122"/>
      <c r="X1292" s="122"/>
      <c r="Y1292" s="122"/>
      <c r="Z1292" s="122"/>
      <c r="AA1292" s="122"/>
      <c r="AB1292" s="122"/>
      <c r="AC1292" s="122"/>
      <c r="AD1292" s="122"/>
      <c r="AE1292" s="122"/>
      <c r="AF1292" s="122"/>
      <c r="AG1292" s="122"/>
      <c r="AH1292" s="122"/>
      <c r="AI1292" s="122"/>
      <c r="AJ1292" s="122"/>
      <c r="AK1292" s="122"/>
      <c r="AL1292" s="122"/>
      <c r="AM1292" s="122"/>
      <c r="AN1292" s="122"/>
    </row>
    <row r="1293">
      <c r="B1293" s="120"/>
      <c r="C1293" s="122"/>
      <c r="D1293" s="122"/>
      <c r="E1293" s="122"/>
      <c r="F1293" s="122"/>
      <c r="G1293" s="122"/>
      <c r="H1293" s="122"/>
      <c r="I1293" s="122"/>
      <c r="J1293" s="122"/>
      <c r="K1293" s="122"/>
      <c r="L1293" s="122"/>
      <c r="M1293" s="122"/>
      <c r="N1293" s="122"/>
      <c r="O1293" s="122"/>
      <c r="P1293" s="122"/>
      <c r="Q1293" s="122"/>
      <c r="R1293" s="122"/>
      <c r="S1293" s="122"/>
      <c r="T1293" s="122"/>
      <c r="U1293" s="122"/>
      <c r="V1293" s="122"/>
      <c r="W1293" s="122"/>
      <c r="X1293" s="122"/>
      <c r="Y1293" s="122"/>
      <c r="Z1293" s="122"/>
      <c r="AA1293" s="122"/>
      <c r="AB1293" s="122"/>
      <c r="AC1293" s="122"/>
      <c r="AD1293" s="122"/>
      <c r="AE1293" s="122"/>
      <c r="AF1293" s="122"/>
      <c r="AG1293" s="122"/>
      <c r="AH1293" s="122"/>
      <c r="AI1293" s="122"/>
      <c r="AJ1293" s="122"/>
      <c r="AK1293" s="122"/>
      <c r="AL1293" s="122"/>
      <c r="AM1293" s="122"/>
      <c r="AN1293" s="122"/>
    </row>
    <row r="1294">
      <c r="A1294" s="120"/>
      <c r="B1294" s="120"/>
      <c r="C1294" s="122"/>
      <c r="D1294" s="122"/>
      <c r="E1294" s="122"/>
      <c r="F1294" s="122"/>
      <c r="G1294" s="122"/>
      <c r="H1294" s="122"/>
      <c r="I1294" s="122"/>
      <c r="J1294" s="122"/>
      <c r="K1294" s="122"/>
      <c r="L1294" s="122"/>
      <c r="M1294" s="122"/>
      <c r="N1294" s="122"/>
      <c r="O1294" s="122"/>
      <c r="P1294" s="122"/>
      <c r="Q1294" s="122"/>
      <c r="R1294" s="122"/>
      <c r="S1294" s="122"/>
      <c r="T1294" s="122"/>
      <c r="U1294" s="122"/>
      <c r="V1294" s="122"/>
      <c r="W1294" s="122"/>
      <c r="X1294" s="122"/>
      <c r="Y1294" s="122"/>
      <c r="Z1294" s="122"/>
      <c r="AA1294" s="122"/>
      <c r="AB1294" s="122"/>
      <c r="AC1294" s="122"/>
      <c r="AD1294" s="122"/>
      <c r="AE1294" s="122"/>
      <c r="AF1294" s="122"/>
      <c r="AG1294" s="122"/>
      <c r="AH1294" s="122"/>
      <c r="AI1294" s="122"/>
      <c r="AJ1294" s="122"/>
      <c r="AK1294" s="122"/>
      <c r="AL1294" s="122"/>
      <c r="AM1294" s="122"/>
      <c r="AN1294" s="122"/>
    </row>
    <row r="1295">
      <c r="B1295" s="120"/>
      <c r="C1295" s="122"/>
      <c r="D1295" s="122"/>
      <c r="E1295" s="122"/>
      <c r="F1295" s="122"/>
      <c r="G1295" s="122"/>
      <c r="H1295" s="122"/>
      <c r="I1295" s="122"/>
      <c r="J1295" s="122"/>
      <c r="K1295" s="122"/>
      <c r="L1295" s="122"/>
      <c r="M1295" s="122"/>
      <c r="N1295" s="122"/>
      <c r="O1295" s="122"/>
      <c r="P1295" s="122"/>
      <c r="Q1295" s="122"/>
      <c r="R1295" s="122"/>
      <c r="S1295" s="122"/>
      <c r="T1295" s="122"/>
      <c r="U1295" s="122"/>
      <c r="V1295" s="122"/>
      <c r="W1295" s="122"/>
      <c r="X1295" s="122"/>
      <c r="Y1295" s="122"/>
      <c r="Z1295" s="122"/>
      <c r="AA1295" s="122"/>
      <c r="AB1295" s="122"/>
      <c r="AC1295" s="122"/>
      <c r="AD1295" s="122"/>
      <c r="AE1295" s="122"/>
      <c r="AF1295" s="122"/>
      <c r="AG1295" s="122"/>
      <c r="AH1295" s="122"/>
      <c r="AI1295" s="122"/>
      <c r="AJ1295" s="122"/>
      <c r="AK1295" s="122"/>
      <c r="AL1295" s="122"/>
      <c r="AM1295" s="122"/>
      <c r="AN1295" s="122"/>
    </row>
    <row r="1296">
      <c r="B1296" s="120"/>
      <c r="C1296" s="122"/>
      <c r="D1296" s="122"/>
      <c r="E1296" s="122"/>
      <c r="F1296" s="122"/>
      <c r="G1296" s="122"/>
      <c r="H1296" s="122"/>
      <c r="I1296" s="122"/>
      <c r="J1296" s="122"/>
      <c r="K1296" s="122"/>
      <c r="L1296" s="122"/>
      <c r="M1296" s="122"/>
      <c r="N1296" s="122"/>
      <c r="O1296" s="122"/>
      <c r="P1296" s="122"/>
      <c r="Q1296" s="122"/>
      <c r="R1296" s="122"/>
      <c r="S1296" s="122"/>
      <c r="T1296" s="122"/>
      <c r="U1296" s="122"/>
      <c r="V1296" s="122"/>
      <c r="W1296" s="122"/>
      <c r="X1296" s="122"/>
      <c r="Y1296" s="122"/>
      <c r="Z1296" s="122"/>
      <c r="AA1296" s="122"/>
      <c r="AB1296" s="122"/>
      <c r="AC1296" s="122"/>
      <c r="AD1296" s="122"/>
      <c r="AE1296" s="122"/>
      <c r="AF1296" s="122"/>
      <c r="AG1296" s="122"/>
      <c r="AH1296" s="122"/>
      <c r="AI1296" s="122"/>
      <c r="AJ1296" s="122"/>
      <c r="AK1296" s="122"/>
      <c r="AL1296" s="122"/>
      <c r="AM1296" s="122"/>
      <c r="AN1296" s="122"/>
    </row>
    <row r="1297">
      <c r="A1297" s="120"/>
      <c r="B1297" s="120"/>
      <c r="C1297" s="121"/>
      <c r="D1297" s="121"/>
      <c r="E1297" s="121"/>
      <c r="F1297" s="122"/>
      <c r="G1297" s="122"/>
      <c r="H1297" s="122"/>
      <c r="I1297" s="122"/>
      <c r="J1297" s="122"/>
      <c r="K1297" s="122"/>
      <c r="L1297" s="122"/>
      <c r="M1297" s="122"/>
      <c r="N1297" s="122"/>
      <c r="O1297" s="122"/>
      <c r="P1297" s="122"/>
      <c r="Q1297" s="121"/>
      <c r="R1297" s="122"/>
      <c r="S1297" s="121"/>
      <c r="T1297" s="122"/>
      <c r="U1297" s="121"/>
      <c r="V1297" s="122"/>
      <c r="W1297" s="121"/>
      <c r="X1297" s="121"/>
      <c r="Y1297" s="121"/>
      <c r="Z1297" s="121"/>
      <c r="AA1297" s="121"/>
      <c r="AB1297" s="121"/>
      <c r="AC1297" s="121"/>
      <c r="AD1297" s="121"/>
      <c r="AE1297" s="121"/>
      <c r="AF1297" s="121"/>
      <c r="AG1297" s="121"/>
      <c r="AH1297" s="121"/>
      <c r="AI1297" s="121"/>
      <c r="AJ1297" s="121"/>
      <c r="AK1297" s="121"/>
      <c r="AL1297" s="121"/>
      <c r="AM1297" s="121"/>
      <c r="AN1297" s="121"/>
    </row>
    <row r="1298">
      <c r="B1298" s="120"/>
      <c r="C1298" s="121"/>
      <c r="D1298" s="121"/>
      <c r="E1298" s="121"/>
      <c r="F1298" s="122"/>
      <c r="G1298" s="122"/>
      <c r="H1298" s="122"/>
      <c r="I1298" s="122"/>
      <c r="J1298" s="122"/>
      <c r="K1298" s="122"/>
      <c r="L1298" s="122"/>
      <c r="M1298" s="122"/>
      <c r="N1298" s="122"/>
      <c r="O1298" s="122"/>
      <c r="P1298" s="122"/>
      <c r="Q1298" s="122"/>
      <c r="R1298" s="122"/>
      <c r="S1298" s="122"/>
      <c r="T1298" s="122"/>
      <c r="U1298" s="122"/>
      <c r="V1298" s="122"/>
      <c r="W1298" s="122"/>
      <c r="X1298" s="122"/>
      <c r="Y1298" s="122"/>
      <c r="Z1298" s="122"/>
      <c r="AA1298" s="122"/>
      <c r="AB1298" s="122"/>
      <c r="AC1298" s="122"/>
      <c r="AD1298" s="122"/>
      <c r="AE1298" s="122"/>
      <c r="AF1298" s="122"/>
      <c r="AG1298" s="122"/>
      <c r="AH1298" s="122"/>
      <c r="AI1298" s="122"/>
      <c r="AJ1298" s="122"/>
      <c r="AK1298" s="122"/>
      <c r="AL1298" s="122"/>
      <c r="AM1298" s="122"/>
      <c r="AN1298" s="121"/>
    </row>
    <row r="1299">
      <c r="B1299" s="120"/>
      <c r="C1299" s="122"/>
      <c r="D1299" s="122"/>
      <c r="E1299" s="122"/>
      <c r="F1299" s="122"/>
      <c r="G1299" s="122"/>
      <c r="H1299" s="122"/>
      <c r="I1299" s="122"/>
      <c r="J1299" s="122"/>
      <c r="K1299" s="122"/>
      <c r="L1299" s="122"/>
      <c r="M1299" s="122"/>
      <c r="N1299" s="122"/>
      <c r="O1299" s="122"/>
      <c r="P1299" s="122"/>
      <c r="Q1299" s="122"/>
      <c r="R1299" s="122"/>
      <c r="S1299" s="122"/>
      <c r="T1299" s="122"/>
      <c r="U1299" s="122"/>
      <c r="V1299" s="122"/>
      <c r="W1299" s="122"/>
      <c r="X1299" s="122"/>
      <c r="Y1299" s="122"/>
      <c r="Z1299" s="122"/>
      <c r="AA1299" s="122"/>
      <c r="AB1299" s="122"/>
      <c r="AC1299" s="122"/>
      <c r="AD1299" s="122"/>
      <c r="AE1299" s="122"/>
      <c r="AF1299" s="122"/>
      <c r="AG1299" s="122"/>
      <c r="AH1299" s="122"/>
      <c r="AI1299" s="122"/>
      <c r="AJ1299" s="122"/>
      <c r="AK1299" s="122"/>
      <c r="AL1299" s="122"/>
      <c r="AM1299" s="122"/>
      <c r="AN1299" s="122"/>
    </row>
    <row r="1300">
      <c r="B1300" s="120"/>
      <c r="C1300" s="121"/>
      <c r="D1300" s="121"/>
      <c r="E1300" s="121"/>
      <c r="F1300" s="122"/>
      <c r="G1300" s="122"/>
      <c r="H1300" s="122"/>
      <c r="I1300" s="122"/>
      <c r="J1300" s="122"/>
      <c r="K1300" s="122"/>
      <c r="L1300" s="122"/>
      <c r="M1300" s="122"/>
      <c r="N1300" s="122"/>
      <c r="O1300" s="122"/>
      <c r="P1300" s="122"/>
      <c r="Q1300" s="122"/>
      <c r="R1300" s="122"/>
      <c r="S1300" s="122"/>
      <c r="T1300" s="122"/>
      <c r="U1300" s="122"/>
      <c r="V1300" s="122"/>
      <c r="W1300" s="122"/>
      <c r="X1300" s="122"/>
      <c r="Y1300" s="122"/>
      <c r="Z1300" s="122"/>
      <c r="AA1300" s="122"/>
      <c r="AB1300" s="122"/>
      <c r="AC1300" s="122"/>
      <c r="AD1300" s="122"/>
      <c r="AE1300" s="122"/>
      <c r="AF1300" s="122"/>
      <c r="AG1300" s="122"/>
      <c r="AH1300" s="122"/>
      <c r="AI1300" s="122"/>
      <c r="AJ1300" s="122"/>
      <c r="AK1300" s="122"/>
      <c r="AL1300" s="122"/>
      <c r="AM1300" s="122"/>
      <c r="AN1300" s="121"/>
    </row>
    <row r="1301">
      <c r="B1301" s="120"/>
      <c r="C1301" s="121"/>
      <c r="D1301" s="121"/>
      <c r="E1301" s="121"/>
      <c r="F1301" s="122"/>
      <c r="G1301" s="122"/>
      <c r="H1301" s="122"/>
      <c r="I1301" s="122"/>
      <c r="J1301" s="122"/>
      <c r="K1301" s="122"/>
      <c r="L1301" s="122"/>
      <c r="M1301" s="122"/>
      <c r="N1301" s="122"/>
      <c r="O1301" s="122"/>
      <c r="P1301" s="122"/>
      <c r="Q1301" s="122"/>
      <c r="R1301" s="122"/>
      <c r="S1301" s="122"/>
      <c r="T1301" s="122"/>
      <c r="U1301" s="122"/>
      <c r="V1301" s="122"/>
      <c r="W1301" s="122"/>
      <c r="X1301" s="122"/>
      <c r="Y1301" s="122"/>
      <c r="Z1301" s="122"/>
      <c r="AA1301" s="122"/>
      <c r="AB1301" s="122"/>
      <c r="AC1301" s="122"/>
      <c r="AD1301" s="122"/>
      <c r="AE1301" s="122"/>
      <c r="AF1301" s="122"/>
      <c r="AG1301" s="122"/>
      <c r="AH1301" s="122"/>
      <c r="AI1301" s="122"/>
      <c r="AJ1301" s="122"/>
      <c r="AK1301" s="122"/>
      <c r="AL1301" s="122"/>
      <c r="AM1301" s="122"/>
      <c r="AN1301" s="121"/>
    </row>
    <row r="1302">
      <c r="A1302" s="120"/>
      <c r="B1302" s="120"/>
      <c r="C1302" s="122"/>
      <c r="D1302" s="122"/>
      <c r="E1302" s="122"/>
      <c r="F1302" s="122"/>
      <c r="G1302" s="122"/>
      <c r="H1302" s="122"/>
      <c r="I1302" s="122"/>
      <c r="J1302" s="122"/>
      <c r="K1302" s="122"/>
      <c r="L1302" s="122"/>
      <c r="M1302" s="122"/>
      <c r="N1302" s="122"/>
      <c r="O1302" s="122"/>
      <c r="P1302" s="122"/>
      <c r="Q1302" s="122"/>
      <c r="R1302" s="122"/>
      <c r="S1302" s="122"/>
      <c r="T1302" s="122"/>
      <c r="U1302" s="122"/>
      <c r="V1302" s="122"/>
      <c r="W1302" s="122"/>
      <c r="X1302" s="122"/>
      <c r="Y1302" s="122"/>
      <c r="Z1302" s="122"/>
      <c r="AA1302" s="122"/>
      <c r="AB1302" s="122"/>
      <c r="AC1302" s="122"/>
      <c r="AD1302" s="122"/>
      <c r="AE1302" s="122"/>
      <c r="AF1302" s="122"/>
      <c r="AG1302" s="122"/>
      <c r="AH1302" s="122"/>
      <c r="AI1302" s="122"/>
      <c r="AJ1302" s="122"/>
      <c r="AK1302" s="122"/>
      <c r="AL1302" s="122"/>
      <c r="AM1302" s="122"/>
      <c r="AN1302" s="122"/>
    </row>
    <row r="1303">
      <c r="B1303" s="120"/>
      <c r="C1303" s="122"/>
      <c r="D1303" s="122"/>
      <c r="E1303" s="122"/>
      <c r="F1303" s="122"/>
      <c r="G1303" s="122"/>
      <c r="H1303" s="122"/>
      <c r="I1303" s="122"/>
      <c r="J1303" s="122"/>
      <c r="K1303" s="122"/>
      <c r="L1303" s="122"/>
      <c r="M1303" s="122"/>
      <c r="N1303" s="122"/>
      <c r="O1303" s="122"/>
      <c r="P1303" s="122"/>
      <c r="Q1303" s="122"/>
      <c r="R1303" s="122"/>
      <c r="S1303" s="122"/>
      <c r="T1303" s="122"/>
      <c r="U1303" s="122"/>
      <c r="V1303" s="122"/>
      <c r="W1303" s="122"/>
      <c r="X1303" s="122"/>
      <c r="Y1303" s="122"/>
      <c r="Z1303" s="122"/>
      <c r="AA1303" s="122"/>
      <c r="AB1303" s="122"/>
      <c r="AC1303" s="122"/>
      <c r="AD1303" s="122"/>
      <c r="AE1303" s="122"/>
      <c r="AF1303" s="122"/>
      <c r="AG1303" s="122"/>
      <c r="AH1303" s="122"/>
      <c r="AI1303" s="122"/>
      <c r="AJ1303" s="122"/>
      <c r="AK1303" s="122"/>
      <c r="AL1303" s="122"/>
      <c r="AM1303" s="122"/>
      <c r="AN1303" s="122"/>
    </row>
    <row r="1304">
      <c r="B1304" s="120"/>
      <c r="C1304" s="122"/>
      <c r="D1304" s="122"/>
      <c r="E1304" s="122"/>
      <c r="F1304" s="122"/>
      <c r="G1304" s="122"/>
      <c r="H1304" s="122"/>
      <c r="I1304" s="122"/>
      <c r="J1304" s="122"/>
      <c r="K1304" s="122"/>
      <c r="L1304" s="122"/>
      <c r="M1304" s="122"/>
      <c r="N1304" s="122"/>
      <c r="O1304" s="122"/>
      <c r="P1304" s="122"/>
      <c r="Q1304" s="122"/>
      <c r="R1304" s="122"/>
      <c r="S1304" s="122"/>
      <c r="T1304" s="122"/>
      <c r="U1304" s="122"/>
      <c r="V1304" s="122"/>
      <c r="W1304" s="122"/>
      <c r="X1304" s="122"/>
      <c r="Y1304" s="122"/>
      <c r="Z1304" s="122"/>
      <c r="AA1304" s="122"/>
      <c r="AB1304" s="122"/>
      <c r="AC1304" s="122"/>
      <c r="AD1304" s="122"/>
      <c r="AE1304" s="122"/>
      <c r="AF1304" s="122"/>
      <c r="AG1304" s="122"/>
      <c r="AH1304" s="122"/>
      <c r="AI1304" s="122"/>
      <c r="AJ1304" s="122"/>
      <c r="AK1304" s="122"/>
      <c r="AL1304" s="122"/>
      <c r="AM1304" s="122"/>
      <c r="AN1304" s="122"/>
    </row>
    <row r="1305">
      <c r="B1305" s="120"/>
      <c r="C1305" s="122"/>
      <c r="D1305" s="122"/>
      <c r="E1305" s="122"/>
      <c r="F1305" s="122"/>
      <c r="G1305" s="122"/>
      <c r="H1305" s="122"/>
      <c r="I1305" s="122"/>
      <c r="J1305" s="122"/>
      <c r="K1305" s="122"/>
      <c r="L1305" s="122"/>
      <c r="M1305" s="122"/>
      <c r="N1305" s="122"/>
      <c r="O1305" s="122"/>
      <c r="P1305" s="122"/>
      <c r="Q1305" s="122"/>
      <c r="R1305" s="122"/>
      <c r="S1305" s="122"/>
      <c r="T1305" s="122"/>
      <c r="U1305" s="122"/>
      <c r="V1305" s="122"/>
      <c r="W1305" s="122"/>
      <c r="X1305" s="122"/>
      <c r="Y1305" s="122"/>
      <c r="Z1305" s="122"/>
      <c r="AA1305" s="122"/>
      <c r="AB1305" s="122"/>
      <c r="AC1305" s="122"/>
      <c r="AD1305" s="122"/>
      <c r="AE1305" s="122"/>
      <c r="AF1305" s="122"/>
      <c r="AG1305" s="122"/>
      <c r="AH1305" s="122"/>
      <c r="AI1305" s="122"/>
      <c r="AJ1305" s="122"/>
      <c r="AK1305" s="122"/>
      <c r="AL1305" s="122"/>
      <c r="AM1305" s="122"/>
      <c r="AN1305" s="122"/>
    </row>
    <row r="1306">
      <c r="B1306" s="120"/>
      <c r="C1306" s="122"/>
      <c r="D1306" s="122"/>
      <c r="E1306" s="122"/>
      <c r="F1306" s="122"/>
      <c r="G1306" s="122"/>
      <c r="H1306" s="122"/>
      <c r="I1306" s="122"/>
      <c r="J1306" s="122"/>
      <c r="K1306" s="122"/>
      <c r="L1306" s="122"/>
      <c r="M1306" s="122"/>
      <c r="N1306" s="122"/>
      <c r="O1306" s="122"/>
      <c r="P1306" s="122"/>
      <c r="Q1306" s="122"/>
      <c r="R1306" s="122"/>
      <c r="S1306" s="122"/>
      <c r="T1306" s="122"/>
      <c r="U1306" s="122"/>
      <c r="V1306" s="122"/>
      <c r="W1306" s="122"/>
      <c r="X1306" s="122"/>
      <c r="Y1306" s="122"/>
      <c r="Z1306" s="122"/>
      <c r="AA1306" s="122"/>
      <c r="AB1306" s="122"/>
      <c r="AC1306" s="122"/>
      <c r="AD1306" s="122"/>
      <c r="AE1306" s="122"/>
      <c r="AF1306" s="122"/>
      <c r="AG1306" s="122"/>
      <c r="AH1306" s="122"/>
      <c r="AI1306" s="122"/>
      <c r="AJ1306" s="122"/>
      <c r="AK1306" s="122"/>
      <c r="AL1306" s="122"/>
      <c r="AM1306" s="122"/>
      <c r="AN1306" s="122"/>
    </row>
    <row r="1307">
      <c r="A1307" s="123"/>
    </row>
    <row r="1308">
      <c r="A1308" s="120"/>
      <c r="B1308" s="120"/>
      <c r="C1308" s="121"/>
      <c r="D1308" s="121"/>
      <c r="E1308" s="121"/>
      <c r="F1308" s="122"/>
      <c r="G1308" s="122"/>
      <c r="H1308" s="122"/>
      <c r="I1308" s="122"/>
      <c r="J1308" s="122"/>
      <c r="K1308" s="122"/>
      <c r="L1308" s="122"/>
      <c r="M1308" s="122"/>
      <c r="N1308" s="122"/>
      <c r="O1308" s="122"/>
      <c r="P1308" s="122"/>
      <c r="Q1308" s="122"/>
      <c r="R1308" s="122"/>
      <c r="S1308" s="122"/>
      <c r="T1308" s="122"/>
      <c r="U1308" s="122"/>
      <c r="V1308" s="122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</row>
    <row r="1309">
      <c r="B1309" s="120"/>
      <c r="C1309" s="121"/>
      <c r="D1309" s="121"/>
      <c r="E1309" s="121"/>
      <c r="F1309" s="122"/>
      <c r="G1309" s="122"/>
      <c r="H1309" s="122"/>
      <c r="I1309" s="122"/>
      <c r="J1309" s="122"/>
      <c r="K1309" s="122"/>
      <c r="L1309" s="122"/>
      <c r="M1309" s="122"/>
      <c r="N1309" s="122"/>
      <c r="O1309" s="122"/>
      <c r="P1309" s="122"/>
      <c r="Q1309" s="122"/>
      <c r="R1309" s="122"/>
      <c r="S1309" s="122"/>
      <c r="T1309" s="122"/>
      <c r="U1309" s="122"/>
      <c r="V1309" s="122"/>
      <c r="W1309" s="122"/>
      <c r="X1309" s="122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</row>
    <row r="1310">
      <c r="B1310" s="120"/>
      <c r="C1310" s="121"/>
      <c r="D1310" s="121"/>
      <c r="E1310" s="121"/>
      <c r="F1310" s="122"/>
      <c r="G1310" s="122"/>
      <c r="H1310" s="122"/>
      <c r="I1310" s="122"/>
      <c r="J1310" s="122"/>
      <c r="K1310" s="122"/>
      <c r="L1310" s="122"/>
      <c r="M1310" s="122"/>
      <c r="N1310" s="122"/>
      <c r="O1310" s="122"/>
      <c r="P1310" s="122"/>
      <c r="Q1310" s="122"/>
      <c r="R1310" s="122"/>
      <c r="S1310" s="122"/>
      <c r="T1310" s="122"/>
      <c r="U1310" s="122"/>
      <c r="V1310" s="122"/>
      <c r="W1310" s="122"/>
      <c r="X1310" s="122"/>
      <c r="Y1310" s="122"/>
      <c r="Z1310" s="122"/>
      <c r="AA1310" s="121"/>
      <c r="AB1310" s="122"/>
      <c r="AC1310" s="121"/>
      <c r="AD1310" s="122"/>
      <c r="AE1310" s="121"/>
      <c r="AF1310" s="122"/>
      <c r="AG1310" s="121"/>
      <c r="AH1310" s="122"/>
      <c r="AI1310" s="122"/>
      <c r="AJ1310" s="122"/>
      <c r="AK1310" s="122"/>
      <c r="AL1310" s="122"/>
      <c r="AM1310" s="122"/>
      <c r="AN1310" s="121"/>
    </row>
    <row r="1311">
      <c r="B1311" s="120"/>
      <c r="C1311" s="122"/>
      <c r="D1311" s="122"/>
      <c r="E1311" s="122"/>
      <c r="F1311" s="122"/>
      <c r="G1311" s="122"/>
      <c r="H1311" s="122"/>
      <c r="I1311" s="122"/>
      <c r="J1311" s="122"/>
      <c r="K1311" s="122"/>
      <c r="L1311" s="122"/>
      <c r="M1311" s="122"/>
      <c r="N1311" s="122"/>
      <c r="O1311" s="122"/>
      <c r="P1311" s="122"/>
      <c r="Q1311" s="122"/>
      <c r="R1311" s="122"/>
      <c r="S1311" s="122"/>
      <c r="T1311" s="122"/>
      <c r="U1311" s="122"/>
      <c r="V1311" s="122"/>
      <c r="W1311" s="122"/>
      <c r="X1311" s="122"/>
      <c r="Y1311" s="122"/>
      <c r="Z1311" s="122"/>
      <c r="AA1311" s="122"/>
      <c r="AB1311" s="122"/>
      <c r="AC1311" s="122"/>
      <c r="AD1311" s="122"/>
      <c r="AE1311" s="122"/>
      <c r="AF1311" s="122"/>
      <c r="AG1311" s="122"/>
      <c r="AH1311" s="122"/>
      <c r="AI1311" s="122"/>
      <c r="AJ1311" s="122"/>
      <c r="AK1311" s="122"/>
      <c r="AL1311" s="122"/>
      <c r="AM1311" s="122"/>
      <c r="AN1311" s="122"/>
    </row>
    <row r="1312">
      <c r="A1312" s="120"/>
      <c r="B1312" s="120"/>
      <c r="C1312" s="122"/>
      <c r="D1312" s="122"/>
      <c r="E1312" s="122"/>
      <c r="F1312" s="122"/>
      <c r="G1312" s="122"/>
      <c r="H1312" s="122"/>
      <c r="I1312" s="122"/>
      <c r="J1312" s="122"/>
      <c r="K1312" s="122"/>
      <c r="L1312" s="122"/>
      <c r="M1312" s="122"/>
      <c r="N1312" s="122"/>
      <c r="O1312" s="122"/>
      <c r="P1312" s="122"/>
      <c r="Q1312" s="122"/>
      <c r="R1312" s="122"/>
      <c r="S1312" s="122"/>
      <c r="T1312" s="122"/>
      <c r="U1312" s="122"/>
      <c r="V1312" s="122"/>
      <c r="W1312" s="122"/>
      <c r="X1312" s="122"/>
      <c r="Y1312" s="122"/>
      <c r="Z1312" s="122"/>
      <c r="AA1312" s="122"/>
      <c r="AB1312" s="122"/>
      <c r="AC1312" s="122"/>
      <c r="AD1312" s="122"/>
      <c r="AE1312" s="122"/>
      <c r="AF1312" s="122"/>
      <c r="AG1312" s="122"/>
      <c r="AH1312" s="122"/>
      <c r="AI1312" s="122"/>
      <c r="AJ1312" s="122"/>
      <c r="AK1312" s="122"/>
      <c r="AL1312" s="122"/>
      <c r="AM1312" s="122"/>
      <c r="AN1312" s="122"/>
    </row>
    <row r="1313">
      <c r="B1313" s="120"/>
      <c r="C1313" s="122"/>
      <c r="D1313" s="122"/>
      <c r="E1313" s="122"/>
      <c r="F1313" s="122"/>
      <c r="G1313" s="122"/>
      <c r="H1313" s="122"/>
      <c r="I1313" s="122"/>
      <c r="J1313" s="122"/>
      <c r="K1313" s="122"/>
      <c r="L1313" s="122"/>
      <c r="M1313" s="122"/>
      <c r="N1313" s="122"/>
      <c r="O1313" s="122"/>
      <c r="P1313" s="122"/>
      <c r="Q1313" s="122"/>
      <c r="R1313" s="122"/>
      <c r="S1313" s="122"/>
      <c r="T1313" s="122"/>
      <c r="U1313" s="122"/>
      <c r="V1313" s="122"/>
      <c r="W1313" s="122"/>
      <c r="X1313" s="122"/>
      <c r="Y1313" s="122"/>
      <c r="Z1313" s="122"/>
      <c r="AA1313" s="122"/>
      <c r="AB1313" s="122"/>
      <c r="AC1313" s="122"/>
      <c r="AD1313" s="122"/>
      <c r="AE1313" s="122"/>
      <c r="AF1313" s="122"/>
      <c r="AG1313" s="122"/>
      <c r="AH1313" s="122"/>
      <c r="AI1313" s="122"/>
      <c r="AJ1313" s="122"/>
      <c r="AK1313" s="122"/>
      <c r="AL1313" s="122"/>
      <c r="AM1313" s="122"/>
      <c r="AN1313" s="122"/>
    </row>
    <row r="1314">
      <c r="A1314" s="120"/>
      <c r="B1314" s="120"/>
      <c r="C1314" s="122"/>
      <c r="D1314" s="122"/>
      <c r="E1314" s="122"/>
      <c r="F1314" s="122"/>
      <c r="G1314" s="122"/>
      <c r="H1314" s="122"/>
      <c r="I1314" s="122"/>
      <c r="J1314" s="122"/>
      <c r="K1314" s="122"/>
      <c r="L1314" s="122"/>
      <c r="M1314" s="122"/>
      <c r="N1314" s="122"/>
      <c r="O1314" s="122"/>
      <c r="P1314" s="122"/>
      <c r="Q1314" s="122"/>
      <c r="R1314" s="122"/>
      <c r="S1314" s="122"/>
      <c r="T1314" s="122"/>
      <c r="U1314" s="122"/>
      <c r="V1314" s="122"/>
      <c r="W1314" s="122"/>
      <c r="X1314" s="122"/>
      <c r="Y1314" s="122"/>
      <c r="Z1314" s="122"/>
      <c r="AA1314" s="122"/>
      <c r="AB1314" s="122"/>
      <c r="AC1314" s="122"/>
      <c r="AD1314" s="122"/>
      <c r="AE1314" s="122"/>
      <c r="AF1314" s="122"/>
      <c r="AG1314" s="122"/>
      <c r="AH1314" s="122"/>
      <c r="AI1314" s="122"/>
      <c r="AJ1314" s="122"/>
      <c r="AK1314" s="122"/>
      <c r="AL1314" s="122"/>
      <c r="AM1314" s="122"/>
      <c r="AN1314" s="122"/>
    </row>
    <row r="1315">
      <c r="B1315" s="120"/>
      <c r="C1315" s="122"/>
      <c r="D1315" s="122"/>
      <c r="E1315" s="122"/>
      <c r="F1315" s="122"/>
      <c r="G1315" s="122"/>
      <c r="H1315" s="122"/>
      <c r="I1315" s="122"/>
      <c r="J1315" s="122"/>
      <c r="K1315" s="122"/>
      <c r="L1315" s="122"/>
      <c r="M1315" s="122"/>
      <c r="N1315" s="122"/>
      <c r="O1315" s="122"/>
      <c r="P1315" s="122"/>
      <c r="Q1315" s="122"/>
      <c r="R1315" s="122"/>
      <c r="S1315" s="122"/>
      <c r="T1315" s="122"/>
      <c r="U1315" s="122"/>
      <c r="V1315" s="122"/>
      <c r="W1315" s="122"/>
      <c r="X1315" s="122"/>
      <c r="Y1315" s="122"/>
      <c r="Z1315" s="122"/>
      <c r="AA1315" s="122"/>
      <c r="AB1315" s="122"/>
      <c r="AC1315" s="122"/>
      <c r="AD1315" s="122"/>
      <c r="AE1315" s="122"/>
      <c r="AF1315" s="122"/>
      <c r="AG1315" s="122"/>
      <c r="AH1315" s="122"/>
      <c r="AI1315" s="122"/>
      <c r="AJ1315" s="122"/>
      <c r="AK1315" s="122"/>
      <c r="AL1315" s="122"/>
      <c r="AM1315" s="122"/>
      <c r="AN1315" s="122"/>
    </row>
    <row r="1316">
      <c r="A1316" s="120"/>
      <c r="B1316" s="120"/>
      <c r="C1316" s="122"/>
      <c r="D1316" s="122"/>
      <c r="E1316" s="122"/>
      <c r="F1316" s="122"/>
      <c r="G1316" s="122"/>
      <c r="H1316" s="122"/>
      <c r="I1316" s="122"/>
      <c r="J1316" s="122"/>
      <c r="K1316" s="122"/>
      <c r="L1316" s="122"/>
      <c r="M1316" s="122"/>
      <c r="N1316" s="122"/>
      <c r="O1316" s="122"/>
      <c r="P1316" s="122"/>
      <c r="Q1316" s="122"/>
      <c r="R1316" s="122"/>
      <c r="S1316" s="122"/>
      <c r="T1316" s="122"/>
      <c r="U1316" s="122"/>
      <c r="V1316" s="122"/>
      <c r="W1316" s="122"/>
      <c r="X1316" s="122"/>
      <c r="Y1316" s="122"/>
      <c r="Z1316" s="122"/>
      <c r="AA1316" s="122"/>
      <c r="AB1316" s="122"/>
      <c r="AC1316" s="122"/>
      <c r="AD1316" s="122"/>
      <c r="AE1316" s="122"/>
      <c r="AF1316" s="122"/>
      <c r="AG1316" s="122"/>
      <c r="AH1316" s="122"/>
      <c r="AI1316" s="122"/>
      <c r="AJ1316" s="122"/>
      <c r="AK1316" s="122"/>
      <c r="AL1316" s="122"/>
      <c r="AM1316" s="122"/>
      <c r="AN1316" s="122"/>
    </row>
    <row r="1317">
      <c r="B1317" s="120"/>
      <c r="C1317" s="122"/>
      <c r="D1317" s="122"/>
      <c r="E1317" s="122"/>
      <c r="F1317" s="122"/>
      <c r="G1317" s="122"/>
      <c r="H1317" s="122"/>
      <c r="I1317" s="122"/>
      <c r="J1317" s="122"/>
      <c r="K1317" s="122"/>
      <c r="L1317" s="122"/>
      <c r="M1317" s="122"/>
      <c r="N1317" s="122"/>
      <c r="O1317" s="122"/>
      <c r="P1317" s="122"/>
      <c r="Q1317" s="122"/>
      <c r="R1317" s="122"/>
      <c r="S1317" s="122"/>
      <c r="T1317" s="122"/>
      <c r="U1317" s="122"/>
      <c r="V1317" s="122"/>
      <c r="W1317" s="122"/>
      <c r="X1317" s="122"/>
      <c r="Y1317" s="122"/>
      <c r="Z1317" s="122"/>
      <c r="AA1317" s="122"/>
      <c r="AB1317" s="122"/>
      <c r="AC1317" s="122"/>
      <c r="AD1317" s="122"/>
      <c r="AE1317" s="122"/>
      <c r="AF1317" s="122"/>
      <c r="AG1317" s="122"/>
      <c r="AH1317" s="122"/>
      <c r="AI1317" s="122"/>
      <c r="AJ1317" s="122"/>
      <c r="AK1317" s="122"/>
      <c r="AL1317" s="122"/>
      <c r="AM1317" s="122"/>
      <c r="AN1317" s="122"/>
    </row>
    <row r="1318">
      <c r="A1318" s="120"/>
      <c r="B1318" s="120"/>
      <c r="C1318" s="122"/>
      <c r="D1318" s="122"/>
      <c r="E1318" s="122"/>
      <c r="F1318" s="122"/>
      <c r="G1318" s="122"/>
      <c r="H1318" s="122"/>
      <c r="I1318" s="122"/>
      <c r="J1318" s="122"/>
      <c r="K1318" s="122"/>
      <c r="L1318" s="122"/>
      <c r="M1318" s="122"/>
      <c r="N1318" s="122"/>
      <c r="O1318" s="122"/>
      <c r="P1318" s="122"/>
      <c r="Q1318" s="122"/>
      <c r="R1318" s="122"/>
      <c r="S1318" s="122"/>
      <c r="T1318" s="122"/>
      <c r="U1318" s="122"/>
      <c r="V1318" s="122"/>
      <c r="W1318" s="122"/>
      <c r="X1318" s="122"/>
      <c r="Y1318" s="122"/>
      <c r="Z1318" s="122"/>
      <c r="AA1318" s="122"/>
      <c r="AB1318" s="122"/>
      <c r="AC1318" s="122"/>
      <c r="AD1318" s="122"/>
      <c r="AE1318" s="122"/>
      <c r="AF1318" s="122"/>
      <c r="AG1318" s="122"/>
      <c r="AH1318" s="122"/>
      <c r="AI1318" s="122"/>
      <c r="AJ1318" s="122"/>
      <c r="AK1318" s="122"/>
      <c r="AL1318" s="122"/>
      <c r="AM1318" s="122"/>
      <c r="AN1318" s="122"/>
    </row>
    <row r="1319">
      <c r="B1319" s="120"/>
      <c r="C1319" s="122"/>
      <c r="D1319" s="122"/>
      <c r="E1319" s="122"/>
      <c r="F1319" s="122"/>
      <c r="G1319" s="122"/>
      <c r="H1319" s="122"/>
      <c r="I1319" s="122"/>
      <c r="J1319" s="122"/>
      <c r="K1319" s="122"/>
      <c r="L1319" s="122"/>
      <c r="M1319" s="122"/>
      <c r="N1319" s="122"/>
      <c r="O1319" s="122"/>
      <c r="P1319" s="122"/>
      <c r="Q1319" s="122"/>
      <c r="R1319" s="122"/>
      <c r="S1319" s="122"/>
      <c r="T1319" s="122"/>
      <c r="U1319" s="122"/>
      <c r="V1319" s="122"/>
      <c r="W1319" s="122"/>
      <c r="X1319" s="122"/>
      <c r="Y1319" s="122"/>
      <c r="Z1319" s="122"/>
      <c r="AA1319" s="122"/>
      <c r="AB1319" s="122"/>
      <c r="AC1319" s="122"/>
      <c r="AD1319" s="122"/>
      <c r="AE1319" s="122"/>
      <c r="AF1319" s="122"/>
      <c r="AG1319" s="122"/>
      <c r="AH1319" s="122"/>
      <c r="AI1319" s="122"/>
      <c r="AJ1319" s="122"/>
      <c r="AK1319" s="122"/>
      <c r="AL1319" s="122"/>
      <c r="AM1319" s="122"/>
      <c r="AN1319" s="122"/>
    </row>
    <row r="1320">
      <c r="B1320" s="120"/>
      <c r="C1320" s="122"/>
      <c r="D1320" s="122"/>
      <c r="E1320" s="122"/>
      <c r="F1320" s="122"/>
      <c r="G1320" s="122"/>
      <c r="H1320" s="122"/>
      <c r="I1320" s="122"/>
      <c r="J1320" s="122"/>
      <c r="K1320" s="122"/>
      <c r="L1320" s="122"/>
      <c r="M1320" s="122"/>
      <c r="N1320" s="122"/>
      <c r="O1320" s="122"/>
      <c r="P1320" s="122"/>
      <c r="Q1320" s="122"/>
      <c r="R1320" s="122"/>
      <c r="S1320" s="122"/>
      <c r="T1320" s="122"/>
      <c r="U1320" s="122"/>
      <c r="V1320" s="122"/>
      <c r="W1320" s="122"/>
      <c r="X1320" s="122"/>
      <c r="Y1320" s="122"/>
      <c r="Z1320" s="122"/>
      <c r="AA1320" s="122"/>
      <c r="AB1320" s="122"/>
      <c r="AC1320" s="122"/>
      <c r="AD1320" s="122"/>
      <c r="AE1320" s="122"/>
      <c r="AF1320" s="122"/>
      <c r="AG1320" s="122"/>
      <c r="AH1320" s="122"/>
      <c r="AI1320" s="122"/>
      <c r="AJ1320" s="122"/>
      <c r="AK1320" s="122"/>
      <c r="AL1320" s="122"/>
      <c r="AM1320" s="122"/>
      <c r="AN1320" s="122"/>
    </row>
    <row r="1321">
      <c r="A1321" s="120"/>
      <c r="B1321" s="120"/>
      <c r="C1321" s="121"/>
      <c r="D1321" s="121"/>
      <c r="E1321" s="121"/>
      <c r="F1321" s="122"/>
      <c r="G1321" s="122"/>
      <c r="H1321" s="122"/>
      <c r="I1321" s="122"/>
      <c r="J1321" s="122"/>
      <c r="K1321" s="122"/>
      <c r="L1321" s="122"/>
      <c r="M1321" s="122"/>
      <c r="N1321" s="122"/>
      <c r="O1321" s="122"/>
      <c r="P1321" s="122"/>
      <c r="Q1321" s="122"/>
      <c r="R1321" s="122"/>
      <c r="S1321" s="122"/>
      <c r="T1321" s="122"/>
      <c r="U1321" s="122"/>
      <c r="V1321" s="122"/>
      <c r="W1321" s="122"/>
      <c r="X1321" s="122"/>
      <c r="Y1321" s="122"/>
      <c r="Z1321" s="122"/>
      <c r="AA1321" s="121"/>
      <c r="AB1321" s="122"/>
      <c r="AC1321" s="121"/>
      <c r="AD1321" s="122"/>
      <c r="AE1321" s="121"/>
      <c r="AF1321" s="122"/>
      <c r="AG1321" s="121"/>
      <c r="AH1321" s="122"/>
      <c r="AI1321" s="121"/>
      <c r="AJ1321" s="122"/>
      <c r="AK1321" s="122"/>
      <c r="AL1321" s="122"/>
      <c r="AM1321" s="121"/>
      <c r="AN1321" s="121"/>
    </row>
    <row r="1322">
      <c r="B1322" s="120"/>
      <c r="C1322" s="122"/>
      <c r="D1322" s="122"/>
      <c r="E1322" s="122"/>
      <c r="F1322" s="122"/>
      <c r="G1322" s="122"/>
      <c r="H1322" s="122"/>
      <c r="I1322" s="122"/>
      <c r="J1322" s="122"/>
      <c r="K1322" s="122"/>
      <c r="L1322" s="122"/>
      <c r="M1322" s="122"/>
      <c r="N1322" s="122"/>
      <c r="O1322" s="122"/>
      <c r="P1322" s="122"/>
      <c r="Q1322" s="122"/>
      <c r="R1322" s="122"/>
      <c r="S1322" s="122"/>
      <c r="T1322" s="122"/>
      <c r="U1322" s="122"/>
      <c r="V1322" s="122"/>
      <c r="W1322" s="122"/>
      <c r="X1322" s="122"/>
      <c r="Y1322" s="122"/>
      <c r="Z1322" s="122"/>
      <c r="AA1322" s="122"/>
      <c r="AB1322" s="122"/>
      <c r="AC1322" s="122"/>
      <c r="AD1322" s="122"/>
      <c r="AE1322" s="122"/>
      <c r="AF1322" s="122"/>
      <c r="AG1322" s="122"/>
      <c r="AH1322" s="122"/>
      <c r="AI1322" s="122"/>
      <c r="AJ1322" s="122"/>
      <c r="AK1322" s="122"/>
      <c r="AL1322" s="122"/>
      <c r="AM1322" s="122"/>
      <c r="AN1322" s="122"/>
    </row>
    <row r="1323">
      <c r="B1323" s="120"/>
      <c r="C1323" s="122"/>
      <c r="D1323" s="122"/>
      <c r="E1323" s="122"/>
      <c r="F1323" s="122"/>
      <c r="G1323" s="122"/>
      <c r="H1323" s="122"/>
      <c r="I1323" s="122"/>
      <c r="J1323" s="122"/>
      <c r="K1323" s="122"/>
      <c r="L1323" s="122"/>
      <c r="M1323" s="122"/>
      <c r="N1323" s="122"/>
      <c r="O1323" s="122"/>
      <c r="P1323" s="122"/>
      <c r="Q1323" s="122"/>
      <c r="R1323" s="122"/>
      <c r="S1323" s="122"/>
      <c r="T1323" s="122"/>
      <c r="U1323" s="122"/>
      <c r="V1323" s="122"/>
      <c r="W1323" s="122"/>
      <c r="X1323" s="122"/>
      <c r="Y1323" s="122"/>
      <c r="Z1323" s="122"/>
      <c r="AA1323" s="122"/>
      <c r="AB1323" s="122"/>
      <c r="AC1323" s="122"/>
      <c r="AD1323" s="122"/>
      <c r="AE1323" s="122"/>
      <c r="AF1323" s="122"/>
      <c r="AG1323" s="122"/>
      <c r="AH1323" s="122"/>
      <c r="AI1323" s="122"/>
      <c r="AJ1323" s="122"/>
      <c r="AK1323" s="122"/>
      <c r="AL1323" s="122"/>
      <c r="AM1323" s="122"/>
      <c r="AN1323" s="122"/>
    </row>
    <row r="1324">
      <c r="B1324" s="120"/>
      <c r="C1324" s="121"/>
      <c r="D1324" s="121"/>
      <c r="E1324" s="121"/>
      <c r="F1324" s="122"/>
      <c r="G1324" s="122"/>
      <c r="H1324" s="122"/>
      <c r="I1324" s="122"/>
      <c r="J1324" s="122"/>
      <c r="K1324" s="122"/>
      <c r="L1324" s="122"/>
      <c r="M1324" s="122"/>
      <c r="N1324" s="122"/>
      <c r="O1324" s="122"/>
      <c r="P1324" s="122"/>
      <c r="Q1324" s="122"/>
      <c r="R1324" s="122"/>
      <c r="S1324" s="122"/>
      <c r="T1324" s="122"/>
      <c r="U1324" s="122"/>
      <c r="V1324" s="122"/>
      <c r="W1324" s="122"/>
      <c r="X1324" s="122"/>
      <c r="Y1324" s="122"/>
      <c r="Z1324" s="122"/>
      <c r="AA1324" s="122"/>
      <c r="AB1324" s="122"/>
      <c r="AC1324" s="122"/>
      <c r="AD1324" s="122"/>
      <c r="AE1324" s="122"/>
      <c r="AF1324" s="122"/>
      <c r="AG1324" s="122"/>
      <c r="AH1324" s="122"/>
      <c r="AI1324" s="122"/>
      <c r="AJ1324" s="122"/>
      <c r="AK1324" s="122"/>
      <c r="AL1324" s="122"/>
      <c r="AM1324" s="122"/>
      <c r="AN1324" s="121"/>
    </row>
    <row r="1325">
      <c r="B1325" s="120"/>
      <c r="C1325" s="122"/>
      <c r="D1325" s="122"/>
      <c r="E1325" s="122"/>
      <c r="F1325" s="122"/>
      <c r="G1325" s="122"/>
      <c r="H1325" s="122"/>
      <c r="I1325" s="122"/>
      <c r="J1325" s="122"/>
      <c r="K1325" s="122"/>
      <c r="L1325" s="122"/>
      <c r="M1325" s="122"/>
      <c r="N1325" s="122"/>
      <c r="O1325" s="122"/>
      <c r="P1325" s="122"/>
      <c r="Q1325" s="122"/>
      <c r="R1325" s="122"/>
      <c r="S1325" s="122"/>
      <c r="T1325" s="122"/>
      <c r="U1325" s="122"/>
      <c r="V1325" s="122"/>
      <c r="W1325" s="122"/>
      <c r="X1325" s="122"/>
      <c r="Y1325" s="122"/>
      <c r="Z1325" s="122"/>
      <c r="AA1325" s="122"/>
      <c r="AB1325" s="122"/>
      <c r="AC1325" s="122"/>
      <c r="AD1325" s="122"/>
      <c r="AE1325" s="122"/>
      <c r="AF1325" s="122"/>
      <c r="AG1325" s="122"/>
      <c r="AH1325" s="122"/>
      <c r="AI1325" s="122"/>
      <c r="AJ1325" s="122"/>
      <c r="AK1325" s="122"/>
      <c r="AL1325" s="122"/>
      <c r="AM1325" s="122"/>
      <c r="AN1325" s="122"/>
    </row>
    <row r="1326">
      <c r="A1326" s="120"/>
      <c r="B1326" s="120"/>
      <c r="C1326" s="122"/>
      <c r="D1326" s="122"/>
      <c r="E1326" s="122"/>
      <c r="F1326" s="122"/>
      <c r="G1326" s="122"/>
      <c r="H1326" s="122"/>
      <c r="I1326" s="122"/>
      <c r="J1326" s="122"/>
      <c r="K1326" s="122"/>
      <c r="L1326" s="122"/>
      <c r="M1326" s="122"/>
      <c r="N1326" s="122"/>
      <c r="O1326" s="122"/>
      <c r="P1326" s="122"/>
      <c r="Q1326" s="122"/>
      <c r="R1326" s="122"/>
      <c r="S1326" s="122"/>
      <c r="T1326" s="122"/>
      <c r="U1326" s="122"/>
      <c r="V1326" s="122"/>
      <c r="W1326" s="122"/>
      <c r="X1326" s="122"/>
      <c r="Y1326" s="122"/>
      <c r="Z1326" s="122"/>
      <c r="AA1326" s="122"/>
      <c r="AB1326" s="122"/>
      <c r="AC1326" s="122"/>
      <c r="AD1326" s="122"/>
      <c r="AE1326" s="122"/>
      <c r="AF1326" s="122"/>
      <c r="AG1326" s="122"/>
      <c r="AH1326" s="122"/>
      <c r="AI1326" s="122"/>
      <c r="AJ1326" s="122"/>
      <c r="AK1326" s="122"/>
      <c r="AL1326" s="122"/>
      <c r="AM1326" s="122"/>
      <c r="AN1326" s="122"/>
    </row>
    <row r="1327">
      <c r="B1327" s="120"/>
      <c r="C1327" s="122"/>
      <c r="D1327" s="122"/>
      <c r="E1327" s="122"/>
      <c r="F1327" s="122"/>
      <c r="G1327" s="122"/>
      <c r="H1327" s="122"/>
      <c r="I1327" s="122"/>
      <c r="J1327" s="122"/>
      <c r="K1327" s="122"/>
      <c r="L1327" s="122"/>
      <c r="M1327" s="122"/>
      <c r="N1327" s="122"/>
      <c r="O1327" s="122"/>
      <c r="P1327" s="122"/>
      <c r="Q1327" s="122"/>
      <c r="R1327" s="122"/>
      <c r="S1327" s="122"/>
      <c r="T1327" s="122"/>
      <c r="U1327" s="122"/>
      <c r="V1327" s="122"/>
      <c r="W1327" s="122"/>
      <c r="X1327" s="122"/>
      <c r="Y1327" s="122"/>
      <c r="Z1327" s="122"/>
      <c r="AA1327" s="122"/>
      <c r="AB1327" s="122"/>
      <c r="AC1327" s="122"/>
      <c r="AD1327" s="122"/>
      <c r="AE1327" s="122"/>
      <c r="AF1327" s="122"/>
      <c r="AG1327" s="122"/>
      <c r="AH1327" s="122"/>
      <c r="AI1327" s="122"/>
      <c r="AJ1327" s="122"/>
      <c r="AK1327" s="122"/>
      <c r="AL1327" s="122"/>
      <c r="AM1327" s="122"/>
      <c r="AN1327" s="122"/>
    </row>
    <row r="1328">
      <c r="B1328" s="120"/>
      <c r="C1328" s="122"/>
      <c r="D1328" s="122"/>
      <c r="E1328" s="122"/>
      <c r="F1328" s="122"/>
      <c r="G1328" s="122"/>
      <c r="H1328" s="122"/>
      <c r="I1328" s="122"/>
      <c r="J1328" s="122"/>
      <c r="K1328" s="122"/>
      <c r="L1328" s="122"/>
      <c r="M1328" s="122"/>
      <c r="N1328" s="122"/>
      <c r="O1328" s="122"/>
      <c r="P1328" s="122"/>
      <c r="Q1328" s="122"/>
      <c r="R1328" s="122"/>
      <c r="S1328" s="122"/>
      <c r="T1328" s="122"/>
      <c r="U1328" s="122"/>
      <c r="V1328" s="122"/>
      <c r="W1328" s="122"/>
      <c r="X1328" s="122"/>
      <c r="Y1328" s="122"/>
      <c r="Z1328" s="122"/>
      <c r="AA1328" s="122"/>
      <c r="AB1328" s="122"/>
      <c r="AC1328" s="122"/>
      <c r="AD1328" s="122"/>
      <c r="AE1328" s="122"/>
      <c r="AF1328" s="122"/>
      <c r="AG1328" s="122"/>
      <c r="AH1328" s="122"/>
      <c r="AI1328" s="122"/>
      <c r="AJ1328" s="122"/>
      <c r="AK1328" s="122"/>
      <c r="AL1328" s="122"/>
      <c r="AM1328" s="122"/>
      <c r="AN1328" s="122"/>
    </row>
    <row r="1329">
      <c r="B1329" s="120"/>
      <c r="C1329" s="122"/>
      <c r="D1329" s="122"/>
      <c r="E1329" s="122"/>
      <c r="F1329" s="122"/>
      <c r="G1329" s="122"/>
      <c r="H1329" s="122"/>
      <c r="I1329" s="122"/>
      <c r="J1329" s="122"/>
      <c r="K1329" s="122"/>
      <c r="L1329" s="122"/>
      <c r="M1329" s="122"/>
      <c r="N1329" s="122"/>
      <c r="O1329" s="122"/>
      <c r="P1329" s="122"/>
      <c r="Q1329" s="122"/>
      <c r="R1329" s="122"/>
      <c r="S1329" s="122"/>
      <c r="T1329" s="122"/>
      <c r="U1329" s="122"/>
      <c r="V1329" s="122"/>
      <c r="W1329" s="122"/>
      <c r="X1329" s="122"/>
      <c r="Y1329" s="122"/>
      <c r="Z1329" s="122"/>
      <c r="AA1329" s="122"/>
      <c r="AB1329" s="122"/>
      <c r="AC1329" s="122"/>
      <c r="AD1329" s="122"/>
      <c r="AE1329" s="122"/>
      <c r="AF1329" s="122"/>
      <c r="AG1329" s="122"/>
      <c r="AH1329" s="122"/>
      <c r="AI1329" s="122"/>
      <c r="AJ1329" s="122"/>
      <c r="AK1329" s="122"/>
      <c r="AL1329" s="122"/>
      <c r="AM1329" s="122"/>
      <c r="AN1329" s="122"/>
    </row>
    <row r="1330">
      <c r="B1330" s="120"/>
      <c r="C1330" s="122"/>
      <c r="D1330" s="122"/>
      <c r="E1330" s="122"/>
      <c r="F1330" s="122"/>
      <c r="G1330" s="122"/>
      <c r="H1330" s="122"/>
      <c r="I1330" s="122"/>
      <c r="J1330" s="122"/>
      <c r="K1330" s="122"/>
      <c r="L1330" s="122"/>
      <c r="M1330" s="122"/>
      <c r="N1330" s="122"/>
      <c r="O1330" s="122"/>
      <c r="P1330" s="122"/>
      <c r="Q1330" s="122"/>
      <c r="R1330" s="122"/>
      <c r="S1330" s="122"/>
      <c r="T1330" s="122"/>
      <c r="U1330" s="122"/>
      <c r="V1330" s="122"/>
      <c r="W1330" s="122"/>
      <c r="X1330" s="122"/>
      <c r="Y1330" s="122"/>
      <c r="Z1330" s="122"/>
      <c r="AA1330" s="122"/>
      <c r="AB1330" s="122"/>
      <c r="AC1330" s="122"/>
      <c r="AD1330" s="122"/>
      <c r="AE1330" s="122"/>
      <c r="AF1330" s="122"/>
      <c r="AG1330" s="122"/>
      <c r="AH1330" s="122"/>
      <c r="AI1330" s="122"/>
      <c r="AJ1330" s="122"/>
      <c r="AK1330" s="122"/>
      <c r="AL1330" s="122"/>
      <c r="AM1330" s="122"/>
      <c r="AN1330" s="122"/>
    </row>
    <row r="1331">
      <c r="A1331" s="123"/>
    </row>
    <row r="1332">
      <c r="A1332" s="120"/>
      <c r="B1332" s="120"/>
      <c r="C1332" s="121"/>
      <c r="D1332" s="121"/>
      <c r="E1332" s="121"/>
      <c r="F1332" s="122"/>
      <c r="G1332" s="122"/>
      <c r="H1332" s="122"/>
      <c r="I1332" s="122"/>
      <c r="J1332" s="122"/>
      <c r="K1332" s="122"/>
      <c r="L1332" s="122"/>
      <c r="M1332" s="122"/>
      <c r="N1332" s="122"/>
      <c r="O1332" s="122"/>
      <c r="P1332" s="122"/>
      <c r="Q1332" s="122"/>
      <c r="R1332" s="122"/>
      <c r="S1332" s="122"/>
      <c r="T1332" s="122"/>
      <c r="U1332" s="122"/>
      <c r="V1332" s="122"/>
      <c r="W1332" s="121"/>
      <c r="X1332" s="121"/>
      <c r="Y1332" s="121"/>
      <c r="Z1332" s="121"/>
      <c r="AA1332" s="121"/>
      <c r="AB1332" s="121"/>
      <c r="AC1332" s="121"/>
      <c r="AD1332" s="121"/>
      <c r="AE1332" s="121"/>
      <c r="AF1332" s="121"/>
      <c r="AG1332" s="121"/>
      <c r="AH1332" s="121"/>
      <c r="AI1332" s="121"/>
      <c r="AJ1332" s="121"/>
      <c r="AK1332" s="121"/>
      <c r="AL1332" s="121"/>
      <c r="AM1332" s="121"/>
      <c r="AN1332" s="121"/>
    </row>
    <row r="1333">
      <c r="B1333" s="120"/>
      <c r="C1333" s="121"/>
      <c r="D1333" s="121"/>
      <c r="E1333" s="121"/>
      <c r="F1333" s="122"/>
      <c r="G1333" s="122"/>
      <c r="H1333" s="122"/>
      <c r="I1333" s="122"/>
      <c r="J1333" s="122"/>
      <c r="K1333" s="122"/>
      <c r="L1333" s="122"/>
      <c r="M1333" s="122"/>
      <c r="N1333" s="122"/>
      <c r="O1333" s="122"/>
      <c r="P1333" s="122"/>
      <c r="Q1333" s="122"/>
      <c r="R1333" s="122"/>
      <c r="S1333" s="122"/>
      <c r="T1333" s="122"/>
      <c r="U1333" s="122"/>
      <c r="V1333" s="122"/>
      <c r="W1333" s="122"/>
      <c r="X1333" s="122"/>
      <c r="Y1333" s="122"/>
      <c r="Z1333" s="122"/>
      <c r="AA1333" s="121"/>
      <c r="AB1333" s="121"/>
      <c r="AC1333" s="121"/>
      <c r="AD1333" s="121"/>
      <c r="AE1333" s="121"/>
      <c r="AF1333" s="121"/>
      <c r="AG1333" s="121"/>
      <c r="AH1333" s="121"/>
      <c r="AI1333" s="121"/>
      <c r="AJ1333" s="121"/>
      <c r="AK1333" s="121"/>
      <c r="AL1333" s="121"/>
      <c r="AM1333" s="121"/>
      <c r="AN1333" s="121"/>
    </row>
    <row r="1334">
      <c r="B1334" s="120"/>
      <c r="C1334" s="121"/>
      <c r="D1334" s="121"/>
      <c r="E1334" s="121"/>
      <c r="F1334" s="122"/>
      <c r="G1334" s="122"/>
      <c r="H1334" s="122"/>
      <c r="I1334" s="122"/>
      <c r="J1334" s="122"/>
      <c r="K1334" s="122"/>
      <c r="L1334" s="122"/>
      <c r="M1334" s="122"/>
      <c r="N1334" s="122"/>
      <c r="O1334" s="122"/>
      <c r="P1334" s="122"/>
      <c r="Q1334" s="122"/>
      <c r="R1334" s="122"/>
      <c r="S1334" s="122"/>
      <c r="T1334" s="122"/>
      <c r="U1334" s="122"/>
      <c r="V1334" s="122"/>
      <c r="W1334" s="122"/>
      <c r="X1334" s="122"/>
      <c r="Y1334" s="122"/>
      <c r="Z1334" s="122"/>
      <c r="AA1334" s="121"/>
      <c r="AB1334" s="122"/>
      <c r="AC1334" s="121"/>
      <c r="AD1334" s="122"/>
      <c r="AE1334" s="121"/>
      <c r="AF1334" s="122"/>
      <c r="AG1334" s="121"/>
      <c r="AH1334" s="122"/>
      <c r="AI1334" s="121"/>
      <c r="AJ1334" s="122"/>
      <c r="AK1334" s="122"/>
      <c r="AL1334" s="122"/>
      <c r="AM1334" s="122"/>
      <c r="AN1334" s="121"/>
    </row>
    <row r="1335">
      <c r="B1335" s="120"/>
      <c r="C1335" s="122"/>
      <c r="D1335" s="122"/>
      <c r="E1335" s="122"/>
      <c r="F1335" s="122"/>
      <c r="G1335" s="122"/>
      <c r="H1335" s="122"/>
      <c r="I1335" s="122"/>
      <c r="J1335" s="122"/>
      <c r="K1335" s="122"/>
      <c r="L1335" s="122"/>
      <c r="M1335" s="122"/>
      <c r="N1335" s="122"/>
      <c r="O1335" s="122"/>
      <c r="P1335" s="122"/>
      <c r="Q1335" s="122"/>
      <c r="R1335" s="122"/>
      <c r="S1335" s="122"/>
      <c r="T1335" s="122"/>
      <c r="U1335" s="122"/>
      <c r="V1335" s="122"/>
      <c r="W1335" s="122"/>
      <c r="X1335" s="122"/>
      <c r="Y1335" s="122"/>
      <c r="Z1335" s="122"/>
      <c r="AA1335" s="122"/>
      <c r="AB1335" s="122"/>
      <c r="AC1335" s="122"/>
      <c r="AD1335" s="122"/>
      <c r="AE1335" s="122"/>
      <c r="AF1335" s="122"/>
      <c r="AG1335" s="122"/>
      <c r="AH1335" s="122"/>
      <c r="AI1335" s="122"/>
      <c r="AJ1335" s="122"/>
      <c r="AK1335" s="122"/>
      <c r="AL1335" s="122"/>
      <c r="AM1335" s="122"/>
      <c r="AN1335" s="122"/>
    </row>
    <row r="1336">
      <c r="A1336" s="120"/>
      <c r="B1336" s="120"/>
      <c r="C1336" s="122"/>
      <c r="D1336" s="122"/>
      <c r="E1336" s="122"/>
      <c r="F1336" s="122"/>
      <c r="G1336" s="122"/>
      <c r="H1336" s="122"/>
      <c r="I1336" s="122"/>
      <c r="J1336" s="122"/>
      <c r="K1336" s="122"/>
      <c r="L1336" s="122"/>
      <c r="M1336" s="122"/>
      <c r="N1336" s="122"/>
      <c r="O1336" s="122"/>
      <c r="P1336" s="122"/>
      <c r="Q1336" s="122"/>
      <c r="R1336" s="122"/>
      <c r="S1336" s="122"/>
      <c r="T1336" s="122"/>
      <c r="U1336" s="122"/>
      <c r="V1336" s="122"/>
      <c r="W1336" s="122"/>
      <c r="X1336" s="122"/>
      <c r="Y1336" s="122"/>
      <c r="Z1336" s="122"/>
      <c r="AA1336" s="122"/>
      <c r="AB1336" s="122"/>
      <c r="AC1336" s="122"/>
      <c r="AD1336" s="122"/>
      <c r="AE1336" s="122"/>
      <c r="AF1336" s="122"/>
      <c r="AG1336" s="122"/>
      <c r="AH1336" s="122"/>
      <c r="AI1336" s="122"/>
      <c r="AJ1336" s="122"/>
      <c r="AK1336" s="122"/>
      <c r="AL1336" s="122"/>
      <c r="AM1336" s="122"/>
      <c r="AN1336" s="122"/>
    </row>
    <row r="1337">
      <c r="B1337" s="120"/>
      <c r="C1337" s="122"/>
      <c r="D1337" s="122"/>
      <c r="E1337" s="122"/>
      <c r="F1337" s="122"/>
      <c r="G1337" s="122"/>
      <c r="H1337" s="122"/>
      <c r="I1337" s="122"/>
      <c r="J1337" s="122"/>
      <c r="K1337" s="122"/>
      <c r="L1337" s="122"/>
      <c r="M1337" s="122"/>
      <c r="N1337" s="122"/>
      <c r="O1337" s="122"/>
      <c r="P1337" s="122"/>
      <c r="Q1337" s="122"/>
      <c r="R1337" s="122"/>
      <c r="S1337" s="122"/>
      <c r="T1337" s="122"/>
      <c r="U1337" s="122"/>
      <c r="V1337" s="122"/>
      <c r="W1337" s="122"/>
      <c r="X1337" s="122"/>
      <c r="Y1337" s="122"/>
      <c r="Z1337" s="122"/>
      <c r="AA1337" s="122"/>
      <c r="AB1337" s="122"/>
      <c r="AC1337" s="122"/>
      <c r="AD1337" s="122"/>
      <c r="AE1337" s="122"/>
      <c r="AF1337" s="122"/>
      <c r="AG1337" s="122"/>
      <c r="AH1337" s="122"/>
      <c r="AI1337" s="122"/>
      <c r="AJ1337" s="122"/>
      <c r="AK1337" s="122"/>
      <c r="AL1337" s="122"/>
      <c r="AM1337" s="122"/>
      <c r="AN1337" s="122"/>
    </row>
    <row r="1338">
      <c r="A1338" s="120"/>
      <c r="B1338" s="120"/>
      <c r="C1338" s="122"/>
      <c r="D1338" s="122"/>
      <c r="E1338" s="122"/>
      <c r="F1338" s="122"/>
      <c r="G1338" s="122"/>
      <c r="H1338" s="122"/>
      <c r="I1338" s="122"/>
      <c r="J1338" s="122"/>
      <c r="K1338" s="122"/>
      <c r="L1338" s="122"/>
      <c r="M1338" s="122"/>
      <c r="N1338" s="122"/>
      <c r="O1338" s="122"/>
      <c r="P1338" s="122"/>
      <c r="Q1338" s="122"/>
      <c r="R1338" s="122"/>
      <c r="S1338" s="122"/>
      <c r="T1338" s="122"/>
      <c r="U1338" s="122"/>
      <c r="V1338" s="122"/>
      <c r="W1338" s="122"/>
      <c r="X1338" s="122"/>
      <c r="Y1338" s="122"/>
      <c r="Z1338" s="122"/>
      <c r="AA1338" s="122"/>
      <c r="AB1338" s="122"/>
      <c r="AC1338" s="122"/>
      <c r="AD1338" s="122"/>
      <c r="AE1338" s="122"/>
      <c r="AF1338" s="122"/>
      <c r="AG1338" s="122"/>
      <c r="AH1338" s="122"/>
      <c r="AI1338" s="122"/>
      <c r="AJ1338" s="122"/>
      <c r="AK1338" s="122"/>
      <c r="AL1338" s="122"/>
      <c r="AM1338" s="122"/>
      <c r="AN1338" s="122"/>
    </row>
    <row r="1339">
      <c r="B1339" s="120"/>
      <c r="C1339" s="122"/>
      <c r="D1339" s="122"/>
      <c r="E1339" s="122"/>
      <c r="F1339" s="122"/>
      <c r="G1339" s="122"/>
      <c r="H1339" s="122"/>
      <c r="I1339" s="122"/>
      <c r="J1339" s="122"/>
      <c r="K1339" s="122"/>
      <c r="L1339" s="122"/>
      <c r="M1339" s="122"/>
      <c r="N1339" s="122"/>
      <c r="O1339" s="122"/>
      <c r="P1339" s="122"/>
      <c r="Q1339" s="122"/>
      <c r="R1339" s="122"/>
      <c r="S1339" s="122"/>
      <c r="T1339" s="122"/>
      <c r="U1339" s="122"/>
      <c r="V1339" s="122"/>
      <c r="W1339" s="122"/>
      <c r="X1339" s="122"/>
      <c r="Y1339" s="122"/>
      <c r="Z1339" s="122"/>
      <c r="AA1339" s="122"/>
      <c r="AB1339" s="122"/>
      <c r="AC1339" s="122"/>
      <c r="AD1339" s="122"/>
      <c r="AE1339" s="122"/>
      <c r="AF1339" s="122"/>
      <c r="AG1339" s="122"/>
      <c r="AH1339" s="122"/>
      <c r="AI1339" s="122"/>
      <c r="AJ1339" s="122"/>
      <c r="AK1339" s="122"/>
      <c r="AL1339" s="122"/>
      <c r="AM1339" s="122"/>
      <c r="AN1339" s="122"/>
    </row>
    <row r="1340">
      <c r="A1340" s="120"/>
      <c r="B1340" s="120"/>
      <c r="C1340" s="122"/>
      <c r="D1340" s="122"/>
      <c r="E1340" s="122"/>
      <c r="F1340" s="122"/>
      <c r="G1340" s="122"/>
      <c r="H1340" s="122"/>
      <c r="I1340" s="122"/>
      <c r="J1340" s="122"/>
      <c r="K1340" s="122"/>
      <c r="L1340" s="122"/>
      <c r="M1340" s="122"/>
      <c r="N1340" s="122"/>
      <c r="O1340" s="122"/>
      <c r="P1340" s="122"/>
      <c r="Q1340" s="122"/>
      <c r="R1340" s="122"/>
      <c r="S1340" s="122"/>
      <c r="T1340" s="122"/>
      <c r="U1340" s="122"/>
      <c r="V1340" s="122"/>
      <c r="W1340" s="122"/>
      <c r="X1340" s="122"/>
      <c r="Y1340" s="122"/>
      <c r="Z1340" s="122"/>
      <c r="AA1340" s="122"/>
      <c r="AB1340" s="122"/>
      <c r="AC1340" s="122"/>
      <c r="AD1340" s="122"/>
      <c r="AE1340" s="122"/>
      <c r="AF1340" s="122"/>
      <c r="AG1340" s="122"/>
      <c r="AH1340" s="122"/>
      <c r="AI1340" s="122"/>
      <c r="AJ1340" s="122"/>
      <c r="AK1340" s="122"/>
      <c r="AL1340" s="122"/>
      <c r="AM1340" s="122"/>
      <c r="AN1340" s="122"/>
    </row>
    <row r="1341">
      <c r="B1341" s="120"/>
      <c r="C1341" s="122"/>
      <c r="D1341" s="122"/>
      <c r="E1341" s="122"/>
      <c r="F1341" s="122"/>
      <c r="G1341" s="122"/>
      <c r="H1341" s="122"/>
      <c r="I1341" s="122"/>
      <c r="J1341" s="122"/>
      <c r="K1341" s="122"/>
      <c r="L1341" s="122"/>
      <c r="M1341" s="122"/>
      <c r="N1341" s="122"/>
      <c r="O1341" s="122"/>
      <c r="P1341" s="122"/>
      <c r="Q1341" s="122"/>
      <c r="R1341" s="122"/>
      <c r="S1341" s="122"/>
      <c r="T1341" s="122"/>
      <c r="U1341" s="122"/>
      <c r="V1341" s="122"/>
      <c r="W1341" s="122"/>
      <c r="X1341" s="122"/>
      <c r="Y1341" s="122"/>
      <c r="Z1341" s="122"/>
      <c r="AA1341" s="122"/>
      <c r="AB1341" s="122"/>
      <c r="AC1341" s="122"/>
      <c r="AD1341" s="122"/>
      <c r="AE1341" s="122"/>
      <c r="AF1341" s="122"/>
      <c r="AG1341" s="122"/>
      <c r="AH1341" s="122"/>
      <c r="AI1341" s="122"/>
      <c r="AJ1341" s="122"/>
      <c r="AK1341" s="122"/>
      <c r="AL1341" s="122"/>
      <c r="AM1341" s="122"/>
      <c r="AN1341" s="122"/>
    </row>
    <row r="1342">
      <c r="A1342" s="120"/>
      <c r="B1342" s="120"/>
      <c r="C1342" s="122"/>
      <c r="D1342" s="122"/>
      <c r="E1342" s="122"/>
      <c r="F1342" s="122"/>
      <c r="G1342" s="122"/>
      <c r="H1342" s="122"/>
      <c r="I1342" s="122"/>
      <c r="J1342" s="122"/>
      <c r="K1342" s="122"/>
      <c r="L1342" s="122"/>
      <c r="M1342" s="122"/>
      <c r="N1342" s="122"/>
      <c r="O1342" s="122"/>
      <c r="P1342" s="122"/>
      <c r="Q1342" s="122"/>
      <c r="R1342" s="122"/>
      <c r="S1342" s="122"/>
      <c r="T1342" s="122"/>
      <c r="U1342" s="122"/>
      <c r="V1342" s="122"/>
      <c r="W1342" s="122"/>
      <c r="X1342" s="122"/>
      <c r="Y1342" s="122"/>
      <c r="Z1342" s="122"/>
      <c r="AA1342" s="122"/>
      <c r="AB1342" s="122"/>
      <c r="AC1342" s="122"/>
      <c r="AD1342" s="122"/>
      <c r="AE1342" s="122"/>
      <c r="AF1342" s="122"/>
      <c r="AG1342" s="122"/>
      <c r="AH1342" s="122"/>
      <c r="AI1342" s="122"/>
      <c r="AJ1342" s="122"/>
      <c r="AK1342" s="122"/>
      <c r="AL1342" s="122"/>
      <c r="AM1342" s="122"/>
      <c r="AN1342" s="122"/>
    </row>
    <row r="1343">
      <c r="B1343" s="120"/>
      <c r="C1343" s="122"/>
      <c r="D1343" s="122"/>
      <c r="E1343" s="122"/>
      <c r="F1343" s="122"/>
      <c r="G1343" s="122"/>
      <c r="H1343" s="122"/>
      <c r="I1343" s="122"/>
      <c r="J1343" s="122"/>
      <c r="K1343" s="122"/>
      <c r="L1343" s="122"/>
      <c r="M1343" s="122"/>
      <c r="N1343" s="122"/>
      <c r="O1343" s="122"/>
      <c r="P1343" s="122"/>
      <c r="Q1343" s="122"/>
      <c r="R1343" s="122"/>
      <c r="S1343" s="122"/>
      <c r="T1343" s="122"/>
      <c r="U1343" s="122"/>
      <c r="V1343" s="122"/>
      <c r="W1343" s="122"/>
      <c r="X1343" s="122"/>
      <c r="Y1343" s="122"/>
      <c r="Z1343" s="122"/>
      <c r="AA1343" s="122"/>
      <c r="AB1343" s="122"/>
      <c r="AC1343" s="122"/>
      <c r="AD1343" s="122"/>
      <c r="AE1343" s="122"/>
      <c r="AF1343" s="122"/>
      <c r="AG1343" s="122"/>
      <c r="AH1343" s="122"/>
      <c r="AI1343" s="122"/>
      <c r="AJ1343" s="122"/>
      <c r="AK1343" s="122"/>
      <c r="AL1343" s="122"/>
      <c r="AM1343" s="122"/>
      <c r="AN1343" s="122"/>
    </row>
    <row r="1344">
      <c r="B1344" s="120"/>
      <c r="C1344" s="122"/>
      <c r="D1344" s="122"/>
      <c r="E1344" s="122"/>
      <c r="F1344" s="122"/>
      <c r="G1344" s="122"/>
      <c r="H1344" s="122"/>
      <c r="I1344" s="122"/>
      <c r="J1344" s="122"/>
      <c r="K1344" s="122"/>
      <c r="L1344" s="122"/>
      <c r="M1344" s="122"/>
      <c r="N1344" s="122"/>
      <c r="O1344" s="122"/>
      <c r="P1344" s="122"/>
      <c r="Q1344" s="122"/>
      <c r="R1344" s="122"/>
      <c r="S1344" s="122"/>
      <c r="T1344" s="122"/>
      <c r="U1344" s="122"/>
      <c r="V1344" s="122"/>
      <c r="W1344" s="122"/>
      <c r="X1344" s="122"/>
      <c r="Y1344" s="122"/>
      <c r="Z1344" s="122"/>
      <c r="AA1344" s="122"/>
      <c r="AB1344" s="122"/>
      <c r="AC1344" s="122"/>
      <c r="AD1344" s="122"/>
      <c r="AE1344" s="122"/>
      <c r="AF1344" s="122"/>
      <c r="AG1344" s="122"/>
      <c r="AH1344" s="122"/>
      <c r="AI1344" s="122"/>
      <c r="AJ1344" s="122"/>
      <c r="AK1344" s="122"/>
      <c r="AL1344" s="122"/>
      <c r="AM1344" s="122"/>
      <c r="AN1344" s="122"/>
    </row>
    <row r="1345">
      <c r="A1345" s="120"/>
      <c r="B1345" s="120"/>
      <c r="C1345" s="121"/>
      <c r="D1345" s="121"/>
      <c r="E1345" s="121"/>
      <c r="F1345" s="122"/>
      <c r="G1345" s="122"/>
      <c r="H1345" s="122"/>
      <c r="I1345" s="122"/>
      <c r="J1345" s="122"/>
      <c r="K1345" s="122"/>
      <c r="L1345" s="122"/>
      <c r="M1345" s="122"/>
      <c r="N1345" s="122"/>
      <c r="O1345" s="122"/>
      <c r="P1345" s="122"/>
      <c r="Q1345" s="122"/>
      <c r="R1345" s="122"/>
      <c r="S1345" s="122"/>
      <c r="T1345" s="122"/>
      <c r="U1345" s="122"/>
      <c r="V1345" s="122"/>
      <c r="W1345" s="122"/>
      <c r="X1345" s="122"/>
      <c r="Y1345" s="122"/>
      <c r="Z1345" s="122"/>
      <c r="AA1345" s="122"/>
      <c r="AB1345" s="122"/>
      <c r="AC1345" s="122"/>
      <c r="AD1345" s="122"/>
      <c r="AE1345" s="122"/>
      <c r="AF1345" s="122"/>
      <c r="AG1345" s="122"/>
      <c r="AH1345" s="122"/>
      <c r="AI1345" s="122"/>
      <c r="AJ1345" s="122"/>
      <c r="AK1345" s="122"/>
      <c r="AL1345" s="122"/>
      <c r="AM1345" s="122"/>
      <c r="AN1345" s="121"/>
    </row>
    <row r="1346">
      <c r="B1346" s="120"/>
      <c r="C1346" s="122"/>
      <c r="D1346" s="122"/>
      <c r="E1346" s="122"/>
      <c r="F1346" s="122"/>
      <c r="G1346" s="122"/>
      <c r="H1346" s="122"/>
      <c r="I1346" s="122"/>
      <c r="J1346" s="122"/>
      <c r="K1346" s="122"/>
      <c r="L1346" s="122"/>
      <c r="M1346" s="122"/>
      <c r="N1346" s="122"/>
      <c r="O1346" s="122"/>
      <c r="P1346" s="122"/>
      <c r="Q1346" s="122"/>
      <c r="R1346" s="122"/>
      <c r="S1346" s="122"/>
      <c r="T1346" s="122"/>
      <c r="U1346" s="122"/>
      <c r="V1346" s="122"/>
      <c r="W1346" s="122"/>
      <c r="X1346" s="122"/>
      <c r="Y1346" s="122"/>
      <c r="Z1346" s="122"/>
      <c r="AA1346" s="122"/>
      <c r="AB1346" s="122"/>
      <c r="AC1346" s="122"/>
      <c r="AD1346" s="122"/>
      <c r="AE1346" s="122"/>
      <c r="AF1346" s="122"/>
      <c r="AG1346" s="122"/>
      <c r="AH1346" s="122"/>
      <c r="AI1346" s="122"/>
      <c r="AJ1346" s="122"/>
      <c r="AK1346" s="122"/>
      <c r="AL1346" s="122"/>
      <c r="AM1346" s="122"/>
      <c r="AN1346" s="122"/>
    </row>
    <row r="1347">
      <c r="B1347" s="120"/>
      <c r="C1347" s="122"/>
      <c r="D1347" s="122"/>
      <c r="E1347" s="122"/>
      <c r="F1347" s="122"/>
      <c r="G1347" s="122"/>
      <c r="H1347" s="122"/>
      <c r="I1347" s="122"/>
      <c r="J1347" s="122"/>
      <c r="K1347" s="122"/>
      <c r="L1347" s="122"/>
      <c r="M1347" s="122"/>
      <c r="N1347" s="122"/>
      <c r="O1347" s="122"/>
      <c r="P1347" s="122"/>
      <c r="Q1347" s="122"/>
      <c r="R1347" s="122"/>
      <c r="S1347" s="122"/>
      <c r="T1347" s="122"/>
      <c r="U1347" s="122"/>
      <c r="V1347" s="122"/>
      <c r="W1347" s="122"/>
      <c r="X1347" s="122"/>
      <c r="Y1347" s="122"/>
      <c r="Z1347" s="122"/>
      <c r="AA1347" s="122"/>
      <c r="AB1347" s="122"/>
      <c r="AC1347" s="122"/>
      <c r="AD1347" s="122"/>
      <c r="AE1347" s="122"/>
      <c r="AF1347" s="122"/>
      <c r="AG1347" s="122"/>
      <c r="AH1347" s="122"/>
      <c r="AI1347" s="122"/>
      <c r="AJ1347" s="122"/>
      <c r="AK1347" s="122"/>
      <c r="AL1347" s="122"/>
      <c r="AM1347" s="122"/>
      <c r="AN1347" s="122"/>
    </row>
    <row r="1348">
      <c r="B1348" s="120"/>
      <c r="C1348" s="121"/>
      <c r="D1348" s="121"/>
      <c r="E1348" s="121"/>
      <c r="F1348" s="121"/>
      <c r="G1348" s="121"/>
      <c r="H1348" s="122"/>
      <c r="I1348" s="122"/>
      <c r="J1348" s="122"/>
      <c r="K1348" s="122"/>
      <c r="L1348" s="122"/>
      <c r="M1348" s="122"/>
      <c r="N1348" s="122"/>
      <c r="O1348" s="122"/>
      <c r="P1348" s="122"/>
      <c r="Q1348" s="122"/>
      <c r="R1348" s="122"/>
      <c r="S1348" s="122"/>
      <c r="T1348" s="122"/>
      <c r="U1348" s="122"/>
      <c r="V1348" s="122"/>
      <c r="W1348" s="122"/>
      <c r="X1348" s="122"/>
      <c r="Y1348" s="122"/>
      <c r="Z1348" s="122"/>
      <c r="AA1348" s="122"/>
      <c r="AB1348" s="122"/>
      <c r="AC1348" s="122"/>
      <c r="AD1348" s="122"/>
      <c r="AE1348" s="122"/>
      <c r="AF1348" s="122"/>
      <c r="AG1348" s="122"/>
      <c r="AH1348" s="122"/>
      <c r="AI1348" s="122"/>
      <c r="AJ1348" s="122"/>
      <c r="AK1348" s="122"/>
      <c r="AL1348" s="122"/>
      <c r="AM1348" s="122"/>
      <c r="AN1348" s="121"/>
    </row>
    <row r="1349">
      <c r="B1349" s="120"/>
      <c r="C1349" s="122"/>
      <c r="D1349" s="122"/>
      <c r="E1349" s="122"/>
      <c r="F1349" s="122"/>
      <c r="G1349" s="122"/>
      <c r="H1349" s="122"/>
      <c r="I1349" s="122"/>
      <c r="J1349" s="122"/>
      <c r="K1349" s="122"/>
      <c r="L1349" s="122"/>
      <c r="M1349" s="122"/>
      <c r="N1349" s="122"/>
      <c r="O1349" s="122"/>
      <c r="P1349" s="122"/>
      <c r="Q1349" s="122"/>
      <c r="R1349" s="122"/>
      <c r="S1349" s="122"/>
      <c r="T1349" s="122"/>
      <c r="U1349" s="122"/>
      <c r="V1349" s="122"/>
      <c r="W1349" s="122"/>
      <c r="X1349" s="122"/>
      <c r="Y1349" s="122"/>
      <c r="Z1349" s="122"/>
      <c r="AA1349" s="122"/>
      <c r="AB1349" s="122"/>
      <c r="AC1349" s="122"/>
      <c r="AD1349" s="122"/>
      <c r="AE1349" s="122"/>
      <c r="AF1349" s="122"/>
      <c r="AG1349" s="122"/>
      <c r="AH1349" s="122"/>
      <c r="AI1349" s="122"/>
      <c r="AJ1349" s="122"/>
      <c r="AK1349" s="122"/>
      <c r="AL1349" s="122"/>
      <c r="AM1349" s="122"/>
      <c r="AN1349" s="122"/>
    </row>
    <row r="1350">
      <c r="A1350" s="120"/>
      <c r="B1350" s="120"/>
      <c r="C1350" s="122"/>
      <c r="D1350" s="122"/>
      <c r="E1350" s="122"/>
      <c r="F1350" s="122"/>
      <c r="G1350" s="122"/>
      <c r="H1350" s="122"/>
      <c r="I1350" s="122"/>
      <c r="J1350" s="122"/>
      <c r="K1350" s="122"/>
      <c r="L1350" s="122"/>
      <c r="M1350" s="122"/>
      <c r="N1350" s="122"/>
      <c r="O1350" s="122"/>
      <c r="P1350" s="122"/>
      <c r="Q1350" s="122"/>
      <c r="R1350" s="122"/>
      <c r="S1350" s="122"/>
      <c r="T1350" s="122"/>
      <c r="U1350" s="122"/>
      <c r="V1350" s="122"/>
      <c r="W1350" s="122"/>
      <c r="X1350" s="122"/>
      <c r="Y1350" s="122"/>
      <c r="Z1350" s="122"/>
      <c r="AA1350" s="122"/>
      <c r="AB1350" s="122"/>
      <c r="AC1350" s="122"/>
      <c r="AD1350" s="122"/>
      <c r="AE1350" s="122"/>
      <c r="AF1350" s="122"/>
      <c r="AG1350" s="122"/>
      <c r="AH1350" s="122"/>
      <c r="AI1350" s="122"/>
      <c r="AJ1350" s="122"/>
      <c r="AK1350" s="122"/>
      <c r="AL1350" s="122"/>
      <c r="AM1350" s="122"/>
      <c r="AN1350" s="122"/>
    </row>
    <row r="1351">
      <c r="B1351" s="120"/>
      <c r="C1351" s="122"/>
      <c r="D1351" s="122"/>
      <c r="E1351" s="122"/>
      <c r="F1351" s="122"/>
      <c r="G1351" s="122"/>
      <c r="H1351" s="122"/>
      <c r="I1351" s="122"/>
      <c r="J1351" s="122"/>
      <c r="K1351" s="122"/>
      <c r="L1351" s="122"/>
      <c r="M1351" s="122"/>
      <c r="N1351" s="122"/>
      <c r="O1351" s="122"/>
      <c r="P1351" s="122"/>
      <c r="Q1351" s="122"/>
      <c r="R1351" s="122"/>
      <c r="S1351" s="122"/>
      <c r="T1351" s="122"/>
      <c r="U1351" s="122"/>
      <c r="V1351" s="122"/>
      <c r="W1351" s="122"/>
      <c r="X1351" s="122"/>
      <c r="Y1351" s="122"/>
      <c r="Z1351" s="122"/>
      <c r="AA1351" s="122"/>
      <c r="AB1351" s="122"/>
      <c r="AC1351" s="122"/>
      <c r="AD1351" s="122"/>
      <c r="AE1351" s="122"/>
      <c r="AF1351" s="122"/>
      <c r="AG1351" s="122"/>
      <c r="AH1351" s="122"/>
      <c r="AI1351" s="122"/>
      <c r="AJ1351" s="122"/>
      <c r="AK1351" s="122"/>
      <c r="AL1351" s="122"/>
      <c r="AM1351" s="122"/>
      <c r="AN1351" s="122"/>
    </row>
    <row r="1352">
      <c r="B1352" s="120"/>
      <c r="C1352" s="122"/>
      <c r="D1352" s="122"/>
      <c r="E1352" s="122"/>
      <c r="F1352" s="122"/>
      <c r="G1352" s="122"/>
      <c r="H1352" s="122"/>
      <c r="I1352" s="122"/>
      <c r="J1352" s="122"/>
      <c r="K1352" s="122"/>
      <c r="L1352" s="122"/>
      <c r="M1352" s="122"/>
      <c r="N1352" s="122"/>
      <c r="O1352" s="122"/>
      <c r="P1352" s="122"/>
      <c r="Q1352" s="122"/>
      <c r="R1352" s="122"/>
      <c r="S1352" s="122"/>
      <c r="T1352" s="122"/>
      <c r="U1352" s="122"/>
      <c r="V1352" s="122"/>
      <c r="W1352" s="122"/>
      <c r="X1352" s="122"/>
      <c r="Y1352" s="122"/>
      <c r="Z1352" s="122"/>
      <c r="AA1352" s="122"/>
      <c r="AB1352" s="122"/>
      <c r="AC1352" s="122"/>
      <c r="AD1352" s="122"/>
      <c r="AE1352" s="122"/>
      <c r="AF1352" s="122"/>
      <c r="AG1352" s="122"/>
      <c r="AH1352" s="122"/>
      <c r="AI1352" s="122"/>
      <c r="AJ1352" s="122"/>
      <c r="AK1352" s="122"/>
      <c r="AL1352" s="122"/>
      <c r="AM1352" s="122"/>
      <c r="AN1352" s="122"/>
    </row>
    <row r="1353">
      <c r="B1353" s="120"/>
      <c r="C1353" s="122"/>
      <c r="D1353" s="122"/>
      <c r="E1353" s="122"/>
      <c r="F1353" s="122"/>
      <c r="G1353" s="122"/>
      <c r="H1353" s="122"/>
      <c r="I1353" s="122"/>
      <c r="J1353" s="122"/>
      <c r="K1353" s="122"/>
      <c r="L1353" s="122"/>
      <c r="M1353" s="122"/>
      <c r="N1353" s="122"/>
      <c r="O1353" s="122"/>
      <c r="P1353" s="122"/>
      <c r="Q1353" s="122"/>
      <c r="R1353" s="122"/>
      <c r="S1353" s="122"/>
      <c r="T1353" s="122"/>
      <c r="U1353" s="122"/>
      <c r="V1353" s="122"/>
      <c r="W1353" s="122"/>
      <c r="X1353" s="122"/>
      <c r="Y1353" s="122"/>
      <c r="Z1353" s="122"/>
      <c r="AA1353" s="122"/>
      <c r="AB1353" s="122"/>
      <c r="AC1353" s="122"/>
      <c r="AD1353" s="122"/>
      <c r="AE1353" s="122"/>
      <c r="AF1353" s="122"/>
      <c r="AG1353" s="122"/>
      <c r="AH1353" s="122"/>
      <c r="AI1353" s="122"/>
      <c r="AJ1353" s="122"/>
      <c r="AK1353" s="122"/>
      <c r="AL1353" s="122"/>
      <c r="AM1353" s="122"/>
      <c r="AN1353" s="122"/>
    </row>
    <row r="1354">
      <c r="B1354" s="120"/>
      <c r="C1354" s="122"/>
      <c r="D1354" s="122"/>
      <c r="E1354" s="122"/>
      <c r="F1354" s="122"/>
      <c r="G1354" s="122"/>
      <c r="H1354" s="122"/>
      <c r="I1354" s="122"/>
      <c r="J1354" s="122"/>
      <c r="K1354" s="122"/>
      <c r="L1354" s="122"/>
      <c r="M1354" s="122"/>
      <c r="N1354" s="122"/>
      <c r="O1354" s="122"/>
      <c r="P1354" s="122"/>
      <c r="Q1354" s="122"/>
      <c r="R1354" s="122"/>
      <c r="S1354" s="122"/>
      <c r="T1354" s="122"/>
      <c r="U1354" s="122"/>
      <c r="V1354" s="122"/>
      <c r="W1354" s="122"/>
      <c r="X1354" s="122"/>
      <c r="Y1354" s="122"/>
      <c r="Z1354" s="122"/>
      <c r="AA1354" s="122"/>
      <c r="AB1354" s="122"/>
      <c r="AC1354" s="122"/>
      <c r="AD1354" s="122"/>
      <c r="AE1354" s="122"/>
      <c r="AF1354" s="122"/>
      <c r="AG1354" s="122"/>
      <c r="AH1354" s="122"/>
      <c r="AI1354" s="122"/>
      <c r="AJ1354" s="122"/>
      <c r="AK1354" s="122"/>
      <c r="AL1354" s="122"/>
      <c r="AM1354" s="122"/>
      <c r="AN1354" s="122"/>
    </row>
    <row r="1355">
      <c r="A1355" s="123"/>
    </row>
    <row r="1356">
      <c r="A1356" s="120"/>
      <c r="B1356" s="120"/>
      <c r="C1356" s="121"/>
      <c r="D1356" s="121"/>
      <c r="E1356" s="121"/>
      <c r="F1356" s="122"/>
      <c r="G1356" s="122"/>
      <c r="H1356" s="122"/>
      <c r="I1356" s="122"/>
      <c r="J1356" s="122"/>
      <c r="K1356" s="122"/>
      <c r="L1356" s="122"/>
      <c r="M1356" s="122"/>
      <c r="N1356" s="122"/>
      <c r="O1356" s="122"/>
      <c r="P1356" s="122"/>
      <c r="Q1356" s="122"/>
      <c r="R1356" s="122"/>
      <c r="S1356" s="122"/>
      <c r="T1356" s="122"/>
      <c r="U1356" s="122"/>
      <c r="V1356" s="122"/>
      <c r="W1356" s="121"/>
      <c r="X1356" s="121"/>
      <c r="Y1356" s="121"/>
      <c r="Z1356" s="121"/>
      <c r="AA1356" s="121"/>
      <c r="AB1356" s="121"/>
      <c r="AC1356" s="121"/>
      <c r="AD1356" s="121"/>
      <c r="AE1356" s="121"/>
      <c r="AF1356" s="121"/>
      <c r="AG1356" s="121"/>
      <c r="AH1356" s="121"/>
      <c r="AI1356" s="121"/>
      <c r="AJ1356" s="121"/>
      <c r="AK1356" s="121"/>
      <c r="AL1356" s="121"/>
      <c r="AM1356" s="121"/>
      <c r="AN1356" s="121"/>
    </row>
    <row r="1357">
      <c r="B1357" s="120"/>
      <c r="C1357" s="121"/>
      <c r="D1357" s="121"/>
      <c r="E1357" s="121"/>
      <c r="F1357" s="122"/>
      <c r="G1357" s="122"/>
      <c r="H1357" s="122"/>
      <c r="I1357" s="122"/>
      <c r="J1357" s="122"/>
      <c r="K1357" s="122"/>
      <c r="L1357" s="122"/>
      <c r="M1357" s="122"/>
      <c r="N1357" s="122"/>
      <c r="O1357" s="122"/>
      <c r="P1357" s="122"/>
      <c r="Q1357" s="122"/>
      <c r="R1357" s="122"/>
      <c r="S1357" s="122"/>
      <c r="T1357" s="122"/>
      <c r="U1357" s="122"/>
      <c r="V1357" s="122"/>
      <c r="W1357" s="122"/>
      <c r="X1357" s="122"/>
      <c r="Y1357" s="121"/>
      <c r="Z1357" s="121"/>
      <c r="AA1357" s="121"/>
      <c r="AB1357" s="121"/>
      <c r="AC1357" s="121"/>
      <c r="AD1357" s="121"/>
      <c r="AE1357" s="121"/>
      <c r="AF1357" s="121"/>
      <c r="AG1357" s="121"/>
      <c r="AH1357" s="121"/>
      <c r="AI1357" s="121"/>
      <c r="AJ1357" s="121"/>
      <c r="AK1357" s="121"/>
      <c r="AL1357" s="121"/>
      <c r="AM1357" s="121"/>
      <c r="AN1357" s="121"/>
    </row>
    <row r="1358">
      <c r="B1358" s="120"/>
      <c r="C1358" s="121"/>
      <c r="D1358" s="121"/>
      <c r="E1358" s="121"/>
      <c r="F1358" s="122"/>
      <c r="G1358" s="122"/>
      <c r="H1358" s="122"/>
      <c r="I1358" s="122"/>
      <c r="J1358" s="122"/>
      <c r="K1358" s="122"/>
      <c r="L1358" s="122"/>
      <c r="M1358" s="122"/>
      <c r="N1358" s="122"/>
      <c r="O1358" s="122"/>
      <c r="P1358" s="122"/>
      <c r="Q1358" s="122"/>
      <c r="R1358" s="122"/>
      <c r="S1358" s="122"/>
      <c r="T1358" s="122"/>
      <c r="U1358" s="122"/>
      <c r="V1358" s="122"/>
      <c r="W1358" s="122"/>
      <c r="X1358" s="122"/>
      <c r="Y1358" s="121"/>
      <c r="Z1358" s="122"/>
      <c r="AA1358" s="121"/>
      <c r="AB1358" s="121"/>
      <c r="AC1358" s="121"/>
      <c r="AD1358" s="121"/>
      <c r="AE1358" s="121"/>
      <c r="AF1358" s="121"/>
      <c r="AG1358" s="121"/>
      <c r="AH1358" s="121"/>
      <c r="AI1358" s="121"/>
      <c r="AJ1358" s="122"/>
      <c r="AK1358" s="121"/>
      <c r="AL1358" s="122"/>
      <c r="AM1358" s="121"/>
      <c r="AN1358" s="121"/>
    </row>
    <row r="1359">
      <c r="B1359" s="120"/>
      <c r="C1359" s="121"/>
      <c r="D1359" s="121"/>
      <c r="E1359" s="121"/>
      <c r="F1359" s="122"/>
      <c r="G1359" s="122"/>
      <c r="H1359" s="122"/>
      <c r="I1359" s="122"/>
      <c r="J1359" s="122"/>
      <c r="K1359" s="122"/>
      <c r="L1359" s="122"/>
      <c r="M1359" s="122"/>
      <c r="N1359" s="122"/>
      <c r="O1359" s="122"/>
      <c r="P1359" s="122"/>
      <c r="Q1359" s="122"/>
      <c r="R1359" s="122"/>
      <c r="S1359" s="122"/>
      <c r="T1359" s="122"/>
      <c r="U1359" s="122"/>
      <c r="V1359" s="122"/>
      <c r="W1359" s="122"/>
      <c r="X1359" s="122"/>
      <c r="Y1359" s="122"/>
      <c r="Z1359" s="122"/>
      <c r="AA1359" s="122"/>
      <c r="AB1359" s="122"/>
      <c r="AC1359" s="122"/>
      <c r="AD1359" s="122"/>
      <c r="AE1359" s="122"/>
      <c r="AF1359" s="122"/>
      <c r="AG1359" s="122"/>
      <c r="AH1359" s="122"/>
      <c r="AI1359" s="122"/>
      <c r="AJ1359" s="122"/>
      <c r="AK1359" s="122"/>
      <c r="AL1359" s="122"/>
      <c r="AM1359" s="122"/>
      <c r="AN1359" s="121"/>
    </row>
    <row r="1360">
      <c r="A1360" s="120"/>
      <c r="B1360" s="120"/>
      <c r="C1360" s="122"/>
      <c r="D1360" s="122"/>
      <c r="E1360" s="122"/>
      <c r="F1360" s="122"/>
      <c r="G1360" s="122"/>
      <c r="H1360" s="122"/>
      <c r="I1360" s="122"/>
      <c r="J1360" s="122"/>
      <c r="K1360" s="122"/>
      <c r="L1360" s="122"/>
      <c r="M1360" s="122"/>
      <c r="N1360" s="122"/>
      <c r="O1360" s="122"/>
      <c r="P1360" s="122"/>
      <c r="Q1360" s="122"/>
      <c r="R1360" s="122"/>
      <c r="S1360" s="122"/>
      <c r="T1360" s="122"/>
      <c r="U1360" s="122"/>
      <c r="V1360" s="122"/>
      <c r="W1360" s="122"/>
      <c r="X1360" s="122"/>
      <c r="Y1360" s="122"/>
      <c r="Z1360" s="122"/>
      <c r="AA1360" s="122"/>
      <c r="AB1360" s="122"/>
      <c r="AC1360" s="122"/>
      <c r="AD1360" s="122"/>
      <c r="AE1360" s="122"/>
      <c r="AF1360" s="122"/>
      <c r="AG1360" s="122"/>
      <c r="AH1360" s="122"/>
      <c r="AI1360" s="122"/>
      <c r="AJ1360" s="122"/>
      <c r="AK1360" s="122"/>
      <c r="AL1360" s="122"/>
      <c r="AM1360" s="122"/>
      <c r="AN1360" s="122"/>
    </row>
    <row r="1361">
      <c r="B1361" s="120"/>
      <c r="C1361" s="122"/>
      <c r="D1361" s="122"/>
      <c r="E1361" s="122"/>
      <c r="F1361" s="122"/>
      <c r="G1361" s="122"/>
      <c r="H1361" s="122"/>
      <c r="I1361" s="122"/>
      <c r="J1361" s="122"/>
      <c r="K1361" s="122"/>
      <c r="L1361" s="122"/>
      <c r="M1361" s="122"/>
      <c r="N1361" s="122"/>
      <c r="O1361" s="122"/>
      <c r="P1361" s="122"/>
      <c r="Q1361" s="122"/>
      <c r="R1361" s="122"/>
      <c r="S1361" s="122"/>
      <c r="T1361" s="122"/>
      <c r="U1361" s="122"/>
      <c r="V1361" s="122"/>
      <c r="W1361" s="122"/>
      <c r="X1361" s="122"/>
      <c r="Y1361" s="122"/>
      <c r="Z1361" s="122"/>
      <c r="AA1361" s="122"/>
      <c r="AB1361" s="122"/>
      <c r="AC1361" s="122"/>
      <c r="AD1361" s="122"/>
      <c r="AE1361" s="122"/>
      <c r="AF1361" s="122"/>
      <c r="AG1361" s="122"/>
      <c r="AH1361" s="122"/>
      <c r="AI1361" s="122"/>
      <c r="AJ1361" s="122"/>
      <c r="AK1361" s="122"/>
      <c r="AL1361" s="122"/>
      <c r="AM1361" s="122"/>
      <c r="AN1361" s="122"/>
    </row>
    <row r="1362">
      <c r="A1362" s="120"/>
      <c r="B1362" s="120"/>
      <c r="C1362" s="122"/>
      <c r="D1362" s="122"/>
      <c r="E1362" s="122"/>
      <c r="F1362" s="122"/>
      <c r="G1362" s="122"/>
      <c r="H1362" s="122"/>
      <c r="I1362" s="122"/>
      <c r="J1362" s="122"/>
      <c r="K1362" s="122"/>
      <c r="L1362" s="122"/>
      <c r="M1362" s="122"/>
      <c r="N1362" s="122"/>
      <c r="O1362" s="122"/>
      <c r="P1362" s="122"/>
      <c r="Q1362" s="122"/>
      <c r="R1362" s="122"/>
      <c r="S1362" s="122"/>
      <c r="T1362" s="122"/>
      <c r="U1362" s="122"/>
      <c r="V1362" s="122"/>
      <c r="W1362" s="122"/>
      <c r="X1362" s="122"/>
      <c r="Y1362" s="122"/>
      <c r="Z1362" s="122"/>
      <c r="AA1362" s="122"/>
      <c r="AB1362" s="122"/>
      <c r="AC1362" s="122"/>
      <c r="AD1362" s="122"/>
      <c r="AE1362" s="122"/>
      <c r="AF1362" s="122"/>
      <c r="AG1362" s="122"/>
      <c r="AH1362" s="122"/>
      <c r="AI1362" s="122"/>
      <c r="AJ1362" s="122"/>
      <c r="AK1362" s="122"/>
      <c r="AL1362" s="122"/>
      <c r="AM1362" s="122"/>
      <c r="AN1362" s="122"/>
    </row>
    <row r="1363">
      <c r="B1363" s="120"/>
      <c r="C1363" s="122"/>
      <c r="D1363" s="122"/>
      <c r="E1363" s="122"/>
      <c r="F1363" s="122"/>
      <c r="G1363" s="122"/>
      <c r="H1363" s="122"/>
      <c r="I1363" s="122"/>
      <c r="J1363" s="122"/>
      <c r="K1363" s="122"/>
      <c r="L1363" s="122"/>
      <c r="M1363" s="122"/>
      <c r="N1363" s="122"/>
      <c r="O1363" s="122"/>
      <c r="P1363" s="122"/>
      <c r="Q1363" s="122"/>
      <c r="R1363" s="122"/>
      <c r="S1363" s="122"/>
      <c r="T1363" s="122"/>
      <c r="U1363" s="122"/>
      <c r="V1363" s="122"/>
      <c r="W1363" s="122"/>
      <c r="X1363" s="122"/>
      <c r="Y1363" s="122"/>
      <c r="Z1363" s="122"/>
      <c r="AA1363" s="122"/>
      <c r="AB1363" s="122"/>
      <c r="AC1363" s="122"/>
      <c r="AD1363" s="122"/>
      <c r="AE1363" s="122"/>
      <c r="AF1363" s="122"/>
      <c r="AG1363" s="122"/>
      <c r="AH1363" s="122"/>
      <c r="AI1363" s="122"/>
      <c r="AJ1363" s="122"/>
      <c r="AK1363" s="122"/>
      <c r="AL1363" s="122"/>
      <c r="AM1363" s="122"/>
      <c r="AN1363" s="122"/>
    </row>
    <row r="1364">
      <c r="A1364" s="120"/>
      <c r="B1364" s="120"/>
      <c r="C1364" s="122"/>
      <c r="D1364" s="122"/>
      <c r="E1364" s="122"/>
      <c r="F1364" s="122"/>
      <c r="G1364" s="122"/>
      <c r="H1364" s="122"/>
      <c r="I1364" s="122"/>
      <c r="J1364" s="122"/>
      <c r="K1364" s="122"/>
      <c r="L1364" s="122"/>
      <c r="M1364" s="122"/>
      <c r="N1364" s="122"/>
      <c r="O1364" s="122"/>
      <c r="P1364" s="122"/>
      <c r="Q1364" s="122"/>
      <c r="R1364" s="122"/>
      <c r="S1364" s="122"/>
      <c r="T1364" s="122"/>
      <c r="U1364" s="122"/>
      <c r="V1364" s="122"/>
      <c r="W1364" s="122"/>
      <c r="X1364" s="122"/>
      <c r="Y1364" s="122"/>
      <c r="Z1364" s="122"/>
      <c r="AA1364" s="122"/>
      <c r="AB1364" s="122"/>
      <c r="AC1364" s="122"/>
      <c r="AD1364" s="122"/>
      <c r="AE1364" s="122"/>
      <c r="AF1364" s="122"/>
      <c r="AG1364" s="122"/>
      <c r="AH1364" s="122"/>
      <c r="AI1364" s="122"/>
      <c r="AJ1364" s="122"/>
      <c r="AK1364" s="122"/>
      <c r="AL1364" s="122"/>
      <c r="AM1364" s="122"/>
      <c r="AN1364" s="122"/>
    </row>
    <row r="1365">
      <c r="B1365" s="120"/>
      <c r="C1365" s="122"/>
      <c r="D1365" s="122"/>
      <c r="E1365" s="122"/>
      <c r="F1365" s="122"/>
      <c r="G1365" s="122"/>
      <c r="H1365" s="122"/>
      <c r="I1365" s="122"/>
      <c r="J1365" s="122"/>
      <c r="K1365" s="122"/>
      <c r="L1365" s="122"/>
      <c r="M1365" s="122"/>
      <c r="N1365" s="122"/>
      <c r="O1365" s="122"/>
      <c r="P1365" s="122"/>
      <c r="Q1365" s="122"/>
      <c r="R1365" s="122"/>
      <c r="S1365" s="122"/>
      <c r="T1365" s="122"/>
      <c r="U1365" s="122"/>
      <c r="V1365" s="122"/>
      <c r="W1365" s="122"/>
      <c r="X1365" s="122"/>
      <c r="Y1365" s="122"/>
      <c r="Z1365" s="122"/>
      <c r="AA1365" s="122"/>
      <c r="AB1365" s="122"/>
      <c r="AC1365" s="122"/>
      <c r="AD1365" s="122"/>
      <c r="AE1365" s="122"/>
      <c r="AF1365" s="122"/>
      <c r="AG1365" s="122"/>
      <c r="AH1365" s="122"/>
      <c r="AI1365" s="122"/>
      <c r="AJ1365" s="122"/>
      <c r="AK1365" s="122"/>
      <c r="AL1365" s="122"/>
      <c r="AM1365" s="122"/>
      <c r="AN1365" s="122"/>
    </row>
    <row r="1366">
      <c r="A1366" s="120"/>
      <c r="B1366" s="120"/>
      <c r="C1366" s="122"/>
      <c r="D1366" s="122"/>
      <c r="E1366" s="122"/>
      <c r="F1366" s="122"/>
      <c r="G1366" s="122"/>
      <c r="H1366" s="122"/>
      <c r="I1366" s="122"/>
      <c r="J1366" s="122"/>
      <c r="K1366" s="122"/>
      <c r="L1366" s="122"/>
      <c r="M1366" s="122"/>
      <c r="N1366" s="122"/>
      <c r="O1366" s="122"/>
      <c r="P1366" s="122"/>
      <c r="Q1366" s="122"/>
      <c r="R1366" s="122"/>
      <c r="S1366" s="122"/>
      <c r="T1366" s="122"/>
      <c r="U1366" s="122"/>
      <c r="V1366" s="122"/>
      <c r="W1366" s="122"/>
      <c r="X1366" s="122"/>
      <c r="Y1366" s="122"/>
      <c r="Z1366" s="122"/>
      <c r="AA1366" s="122"/>
      <c r="AB1366" s="122"/>
      <c r="AC1366" s="122"/>
      <c r="AD1366" s="122"/>
      <c r="AE1366" s="122"/>
      <c r="AF1366" s="122"/>
      <c r="AG1366" s="122"/>
      <c r="AH1366" s="122"/>
      <c r="AI1366" s="122"/>
      <c r="AJ1366" s="122"/>
      <c r="AK1366" s="122"/>
      <c r="AL1366" s="122"/>
      <c r="AM1366" s="122"/>
      <c r="AN1366" s="122"/>
    </row>
    <row r="1367">
      <c r="B1367" s="120"/>
      <c r="C1367" s="122"/>
      <c r="D1367" s="122"/>
      <c r="E1367" s="122"/>
      <c r="F1367" s="122"/>
      <c r="G1367" s="122"/>
      <c r="H1367" s="122"/>
      <c r="I1367" s="122"/>
      <c r="J1367" s="122"/>
      <c r="K1367" s="122"/>
      <c r="L1367" s="122"/>
      <c r="M1367" s="122"/>
      <c r="N1367" s="122"/>
      <c r="O1367" s="122"/>
      <c r="P1367" s="122"/>
      <c r="Q1367" s="122"/>
      <c r="R1367" s="122"/>
      <c r="S1367" s="122"/>
      <c r="T1367" s="122"/>
      <c r="U1367" s="122"/>
      <c r="V1367" s="122"/>
      <c r="W1367" s="122"/>
      <c r="X1367" s="122"/>
      <c r="Y1367" s="122"/>
      <c r="Z1367" s="122"/>
      <c r="AA1367" s="122"/>
      <c r="AB1367" s="122"/>
      <c r="AC1367" s="122"/>
      <c r="AD1367" s="122"/>
      <c r="AE1367" s="122"/>
      <c r="AF1367" s="122"/>
      <c r="AG1367" s="122"/>
      <c r="AH1367" s="122"/>
      <c r="AI1367" s="122"/>
      <c r="AJ1367" s="122"/>
      <c r="AK1367" s="122"/>
      <c r="AL1367" s="122"/>
      <c r="AM1367" s="122"/>
      <c r="AN1367" s="122"/>
    </row>
    <row r="1368">
      <c r="B1368" s="120"/>
      <c r="C1368" s="122"/>
      <c r="D1368" s="122"/>
      <c r="E1368" s="122"/>
      <c r="F1368" s="122"/>
      <c r="G1368" s="122"/>
      <c r="H1368" s="122"/>
      <c r="I1368" s="122"/>
      <c r="J1368" s="122"/>
      <c r="K1368" s="122"/>
      <c r="L1368" s="122"/>
      <c r="M1368" s="122"/>
      <c r="N1368" s="122"/>
      <c r="O1368" s="122"/>
      <c r="P1368" s="122"/>
      <c r="Q1368" s="122"/>
      <c r="R1368" s="122"/>
      <c r="S1368" s="122"/>
      <c r="T1368" s="122"/>
      <c r="U1368" s="122"/>
      <c r="V1368" s="122"/>
      <c r="W1368" s="122"/>
      <c r="X1368" s="122"/>
      <c r="Y1368" s="122"/>
      <c r="Z1368" s="122"/>
      <c r="AA1368" s="122"/>
      <c r="AB1368" s="122"/>
      <c r="AC1368" s="122"/>
      <c r="AD1368" s="122"/>
      <c r="AE1368" s="122"/>
      <c r="AF1368" s="122"/>
      <c r="AG1368" s="122"/>
      <c r="AH1368" s="122"/>
      <c r="AI1368" s="122"/>
      <c r="AJ1368" s="122"/>
      <c r="AK1368" s="122"/>
      <c r="AL1368" s="122"/>
      <c r="AM1368" s="122"/>
      <c r="AN1368" s="122"/>
    </row>
    <row r="1369">
      <c r="A1369" s="120"/>
      <c r="B1369" s="120"/>
      <c r="C1369" s="121"/>
      <c r="D1369" s="121"/>
      <c r="E1369" s="121"/>
      <c r="F1369" s="122"/>
      <c r="G1369" s="122"/>
      <c r="H1369" s="122"/>
      <c r="I1369" s="122"/>
      <c r="J1369" s="122"/>
      <c r="K1369" s="122"/>
      <c r="L1369" s="122"/>
      <c r="M1369" s="122"/>
      <c r="N1369" s="122"/>
      <c r="O1369" s="122"/>
      <c r="P1369" s="122"/>
      <c r="Q1369" s="122"/>
      <c r="R1369" s="122"/>
      <c r="S1369" s="122"/>
      <c r="T1369" s="122"/>
      <c r="U1369" s="122"/>
      <c r="V1369" s="122"/>
      <c r="W1369" s="122"/>
      <c r="X1369" s="122"/>
      <c r="Y1369" s="121"/>
      <c r="Z1369" s="122"/>
      <c r="AA1369" s="121"/>
      <c r="AB1369" s="122"/>
      <c r="AC1369" s="121"/>
      <c r="AD1369" s="122"/>
      <c r="AE1369" s="121"/>
      <c r="AF1369" s="122"/>
      <c r="AG1369" s="121"/>
      <c r="AH1369" s="122"/>
      <c r="AI1369" s="121"/>
      <c r="AJ1369" s="122"/>
      <c r="AK1369" s="122"/>
      <c r="AL1369" s="122"/>
      <c r="AM1369" s="122"/>
      <c r="AN1369" s="121"/>
    </row>
    <row r="1370">
      <c r="B1370" s="120"/>
      <c r="C1370" s="121"/>
      <c r="D1370" s="122"/>
      <c r="E1370" s="122"/>
      <c r="F1370" s="122"/>
      <c r="G1370" s="122"/>
      <c r="H1370" s="122"/>
      <c r="I1370" s="122"/>
      <c r="J1370" s="122"/>
      <c r="K1370" s="122"/>
      <c r="L1370" s="122"/>
      <c r="M1370" s="122"/>
      <c r="N1370" s="122"/>
      <c r="O1370" s="122"/>
      <c r="P1370" s="122"/>
      <c r="Q1370" s="122"/>
      <c r="R1370" s="122"/>
      <c r="S1370" s="122"/>
      <c r="T1370" s="122"/>
      <c r="U1370" s="122"/>
      <c r="V1370" s="122"/>
      <c r="W1370" s="122"/>
      <c r="X1370" s="122"/>
      <c r="Y1370" s="122"/>
      <c r="Z1370" s="122"/>
      <c r="AA1370" s="122"/>
      <c r="AB1370" s="122"/>
      <c r="AC1370" s="122"/>
      <c r="AD1370" s="122"/>
      <c r="AE1370" s="122"/>
      <c r="AF1370" s="122"/>
      <c r="AG1370" s="122"/>
      <c r="AH1370" s="122"/>
      <c r="AI1370" s="122"/>
      <c r="AJ1370" s="122"/>
      <c r="AK1370" s="122"/>
      <c r="AL1370" s="122"/>
      <c r="AM1370" s="122"/>
      <c r="AN1370" s="121"/>
    </row>
    <row r="1371">
      <c r="B1371" s="120"/>
      <c r="C1371" s="122"/>
      <c r="D1371" s="122"/>
      <c r="E1371" s="122"/>
      <c r="F1371" s="122"/>
      <c r="G1371" s="122"/>
      <c r="H1371" s="122"/>
      <c r="I1371" s="122"/>
      <c r="J1371" s="122"/>
      <c r="K1371" s="122"/>
      <c r="L1371" s="122"/>
      <c r="M1371" s="122"/>
      <c r="N1371" s="122"/>
      <c r="O1371" s="122"/>
      <c r="P1371" s="122"/>
      <c r="Q1371" s="122"/>
      <c r="R1371" s="122"/>
      <c r="S1371" s="122"/>
      <c r="T1371" s="122"/>
      <c r="U1371" s="122"/>
      <c r="V1371" s="122"/>
      <c r="W1371" s="122"/>
      <c r="X1371" s="122"/>
      <c r="Y1371" s="122"/>
      <c r="Z1371" s="122"/>
      <c r="AA1371" s="122"/>
      <c r="AB1371" s="122"/>
      <c r="AC1371" s="122"/>
      <c r="AD1371" s="122"/>
      <c r="AE1371" s="122"/>
      <c r="AF1371" s="122"/>
      <c r="AG1371" s="122"/>
      <c r="AH1371" s="122"/>
      <c r="AI1371" s="122"/>
      <c r="AJ1371" s="122"/>
      <c r="AK1371" s="122"/>
      <c r="AL1371" s="122"/>
      <c r="AM1371" s="122"/>
      <c r="AN1371" s="122"/>
    </row>
    <row r="1372">
      <c r="B1372" s="120"/>
      <c r="C1372" s="121"/>
      <c r="D1372" s="121"/>
      <c r="E1372" s="121"/>
      <c r="F1372" s="121"/>
      <c r="G1372" s="121"/>
      <c r="H1372" s="122"/>
      <c r="I1372" s="122"/>
      <c r="J1372" s="122"/>
      <c r="K1372" s="122"/>
      <c r="L1372" s="122"/>
      <c r="M1372" s="122"/>
      <c r="N1372" s="122"/>
      <c r="O1372" s="122"/>
      <c r="P1372" s="122"/>
      <c r="Q1372" s="122"/>
      <c r="R1372" s="122"/>
      <c r="S1372" s="122"/>
      <c r="T1372" s="122"/>
      <c r="U1372" s="122"/>
      <c r="V1372" s="122"/>
      <c r="W1372" s="122"/>
      <c r="X1372" s="122"/>
      <c r="Y1372" s="122"/>
      <c r="Z1372" s="122"/>
      <c r="AA1372" s="122"/>
      <c r="AB1372" s="122"/>
      <c r="AC1372" s="122"/>
      <c r="AD1372" s="122"/>
      <c r="AE1372" s="122"/>
      <c r="AF1372" s="122"/>
      <c r="AG1372" s="122"/>
      <c r="AH1372" s="122"/>
      <c r="AI1372" s="122"/>
      <c r="AJ1372" s="122"/>
      <c r="AK1372" s="122"/>
      <c r="AL1372" s="122"/>
      <c r="AM1372" s="122"/>
      <c r="AN1372" s="121"/>
    </row>
    <row r="1373">
      <c r="B1373" s="120"/>
      <c r="C1373" s="121"/>
      <c r="D1373" s="121"/>
      <c r="E1373" s="121"/>
      <c r="F1373" s="122"/>
      <c r="G1373" s="122"/>
      <c r="H1373" s="122"/>
      <c r="I1373" s="122"/>
      <c r="J1373" s="122"/>
      <c r="K1373" s="122"/>
      <c r="L1373" s="122"/>
      <c r="M1373" s="122"/>
      <c r="N1373" s="122"/>
      <c r="O1373" s="122"/>
      <c r="P1373" s="122"/>
      <c r="Q1373" s="122"/>
      <c r="R1373" s="122"/>
      <c r="S1373" s="122"/>
      <c r="T1373" s="122"/>
      <c r="U1373" s="122"/>
      <c r="V1373" s="122"/>
      <c r="W1373" s="122"/>
      <c r="X1373" s="122"/>
      <c r="Y1373" s="122"/>
      <c r="Z1373" s="122"/>
      <c r="AA1373" s="122"/>
      <c r="AB1373" s="122"/>
      <c r="AC1373" s="122"/>
      <c r="AD1373" s="122"/>
      <c r="AE1373" s="122"/>
      <c r="AF1373" s="122"/>
      <c r="AG1373" s="122"/>
      <c r="AH1373" s="122"/>
      <c r="AI1373" s="122"/>
      <c r="AJ1373" s="122"/>
      <c r="AK1373" s="122"/>
      <c r="AL1373" s="122"/>
      <c r="AM1373" s="122"/>
      <c r="AN1373" s="121"/>
    </row>
    <row r="1374">
      <c r="A1374" s="120"/>
      <c r="B1374" s="120"/>
      <c r="C1374" s="122"/>
      <c r="D1374" s="122"/>
      <c r="E1374" s="122"/>
      <c r="F1374" s="122"/>
      <c r="G1374" s="122"/>
      <c r="H1374" s="122"/>
      <c r="I1374" s="122"/>
      <c r="J1374" s="122"/>
      <c r="K1374" s="122"/>
      <c r="L1374" s="122"/>
      <c r="M1374" s="122"/>
      <c r="N1374" s="122"/>
      <c r="O1374" s="122"/>
      <c r="P1374" s="122"/>
      <c r="Q1374" s="122"/>
      <c r="R1374" s="122"/>
      <c r="S1374" s="122"/>
      <c r="T1374" s="122"/>
      <c r="U1374" s="122"/>
      <c r="V1374" s="122"/>
      <c r="W1374" s="122"/>
      <c r="X1374" s="122"/>
      <c r="Y1374" s="122"/>
      <c r="Z1374" s="122"/>
      <c r="AA1374" s="122"/>
      <c r="AB1374" s="122"/>
      <c r="AC1374" s="122"/>
      <c r="AD1374" s="122"/>
      <c r="AE1374" s="122"/>
      <c r="AF1374" s="122"/>
      <c r="AG1374" s="122"/>
      <c r="AH1374" s="122"/>
      <c r="AI1374" s="122"/>
      <c r="AJ1374" s="122"/>
      <c r="AK1374" s="122"/>
      <c r="AL1374" s="122"/>
      <c r="AM1374" s="122"/>
      <c r="AN1374" s="122"/>
    </row>
    <row r="1375">
      <c r="B1375" s="120"/>
      <c r="C1375" s="122"/>
      <c r="D1375" s="122"/>
      <c r="E1375" s="122"/>
      <c r="F1375" s="122"/>
      <c r="G1375" s="122"/>
      <c r="H1375" s="122"/>
      <c r="I1375" s="122"/>
      <c r="J1375" s="122"/>
      <c r="K1375" s="122"/>
      <c r="L1375" s="122"/>
      <c r="M1375" s="122"/>
      <c r="N1375" s="122"/>
      <c r="O1375" s="122"/>
      <c r="P1375" s="122"/>
      <c r="Q1375" s="122"/>
      <c r="R1375" s="122"/>
      <c r="S1375" s="122"/>
      <c r="T1375" s="122"/>
      <c r="U1375" s="122"/>
      <c r="V1375" s="122"/>
      <c r="W1375" s="122"/>
      <c r="X1375" s="122"/>
      <c r="Y1375" s="122"/>
      <c r="Z1375" s="122"/>
      <c r="AA1375" s="122"/>
      <c r="AB1375" s="122"/>
      <c r="AC1375" s="122"/>
      <c r="AD1375" s="122"/>
      <c r="AE1375" s="122"/>
      <c r="AF1375" s="122"/>
      <c r="AG1375" s="122"/>
      <c r="AH1375" s="122"/>
      <c r="AI1375" s="122"/>
      <c r="AJ1375" s="122"/>
      <c r="AK1375" s="122"/>
      <c r="AL1375" s="122"/>
      <c r="AM1375" s="122"/>
      <c r="AN1375" s="122"/>
    </row>
    <row r="1376">
      <c r="B1376" s="120"/>
      <c r="C1376" s="122"/>
      <c r="D1376" s="122"/>
      <c r="E1376" s="122"/>
      <c r="F1376" s="122"/>
      <c r="G1376" s="122"/>
      <c r="H1376" s="122"/>
      <c r="I1376" s="122"/>
      <c r="J1376" s="122"/>
      <c r="K1376" s="122"/>
      <c r="L1376" s="122"/>
      <c r="M1376" s="122"/>
      <c r="N1376" s="122"/>
      <c r="O1376" s="122"/>
      <c r="P1376" s="122"/>
      <c r="Q1376" s="122"/>
      <c r="R1376" s="122"/>
      <c r="S1376" s="122"/>
      <c r="T1376" s="122"/>
      <c r="U1376" s="122"/>
      <c r="V1376" s="122"/>
      <c r="W1376" s="122"/>
      <c r="X1376" s="122"/>
      <c r="Y1376" s="122"/>
      <c r="Z1376" s="122"/>
      <c r="AA1376" s="122"/>
      <c r="AB1376" s="122"/>
      <c r="AC1376" s="122"/>
      <c r="AD1376" s="122"/>
      <c r="AE1376" s="122"/>
      <c r="AF1376" s="122"/>
      <c r="AG1376" s="122"/>
      <c r="AH1376" s="122"/>
      <c r="AI1376" s="122"/>
      <c r="AJ1376" s="122"/>
      <c r="AK1376" s="122"/>
      <c r="AL1376" s="122"/>
      <c r="AM1376" s="122"/>
      <c r="AN1376" s="122"/>
    </row>
    <row r="1377">
      <c r="B1377" s="120"/>
      <c r="C1377" s="122"/>
      <c r="D1377" s="122"/>
      <c r="E1377" s="122"/>
      <c r="F1377" s="122"/>
      <c r="G1377" s="122"/>
      <c r="H1377" s="122"/>
      <c r="I1377" s="122"/>
      <c r="J1377" s="122"/>
      <c r="K1377" s="122"/>
      <c r="L1377" s="122"/>
      <c r="M1377" s="122"/>
      <c r="N1377" s="122"/>
      <c r="O1377" s="122"/>
      <c r="P1377" s="122"/>
      <c r="Q1377" s="122"/>
      <c r="R1377" s="122"/>
      <c r="S1377" s="122"/>
      <c r="T1377" s="122"/>
      <c r="U1377" s="122"/>
      <c r="V1377" s="122"/>
      <c r="W1377" s="122"/>
      <c r="X1377" s="122"/>
      <c r="Y1377" s="122"/>
      <c r="Z1377" s="122"/>
      <c r="AA1377" s="122"/>
      <c r="AB1377" s="122"/>
      <c r="AC1377" s="122"/>
      <c r="AD1377" s="122"/>
      <c r="AE1377" s="122"/>
      <c r="AF1377" s="122"/>
      <c r="AG1377" s="122"/>
      <c r="AH1377" s="122"/>
      <c r="AI1377" s="122"/>
      <c r="AJ1377" s="122"/>
      <c r="AK1377" s="122"/>
      <c r="AL1377" s="122"/>
      <c r="AM1377" s="122"/>
      <c r="AN1377" s="122"/>
    </row>
    <row r="1378">
      <c r="B1378" s="120"/>
      <c r="C1378" s="122"/>
      <c r="D1378" s="122"/>
      <c r="E1378" s="122"/>
      <c r="F1378" s="122"/>
      <c r="G1378" s="122"/>
      <c r="H1378" s="122"/>
      <c r="I1378" s="122"/>
      <c r="J1378" s="122"/>
      <c r="K1378" s="122"/>
      <c r="L1378" s="122"/>
      <c r="M1378" s="122"/>
      <c r="N1378" s="122"/>
      <c r="O1378" s="122"/>
      <c r="P1378" s="122"/>
      <c r="Q1378" s="122"/>
      <c r="R1378" s="122"/>
      <c r="S1378" s="122"/>
      <c r="T1378" s="122"/>
      <c r="U1378" s="122"/>
      <c r="V1378" s="122"/>
      <c r="W1378" s="122"/>
      <c r="X1378" s="122"/>
      <c r="Y1378" s="122"/>
      <c r="Z1378" s="122"/>
      <c r="AA1378" s="122"/>
      <c r="AB1378" s="122"/>
      <c r="AC1378" s="122"/>
      <c r="AD1378" s="122"/>
      <c r="AE1378" s="122"/>
      <c r="AF1378" s="122"/>
      <c r="AG1378" s="122"/>
      <c r="AH1378" s="122"/>
      <c r="AI1378" s="122"/>
      <c r="AJ1378" s="122"/>
      <c r="AK1378" s="122"/>
      <c r="AL1378" s="122"/>
      <c r="AM1378" s="122"/>
      <c r="AN1378" s="122"/>
    </row>
    <row r="1379">
      <c r="A1379" s="123"/>
    </row>
    <row r="1380">
      <c r="A1380" s="120"/>
      <c r="B1380" s="120"/>
      <c r="C1380" s="121"/>
      <c r="D1380" s="121"/>
      <c r="E1380" s="121"/>
      <c r="F1380" s="122"/>
      <c r="G1380" s="122"/>
      <c r="H1380" s="122"/>
      <c r="I1380" s="122"/>
      <c r="J1380" s="122"/>
      <c r="K1380" s="122"/>
      <c r="L1380" s="122"/>
      <c r="M1380" s="122"/>
      <c r="N1380" s="122"/>
      <c r="O1380" s="122"/>
      <c r="P1380" s="122"/>
      <c r="Q1380" s="122"/>
      <c r="R1380" s="122"/>
      <c r="S1380" s="122"/>
      <c r="T1380" s="122"/>
      <c r="U1380" s="122"/>
      <c r="V1380" s="122"/>
      <c r="W1380" s="121"/>
      <c r="X1380" s="122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</row>
    <row r="1381">
      <c r="B1381" s="120"/>
      <c r="C1381" s="121"/>
      <c r="D1381" s="121"/>
      <c r="E1381" s="121"/>
      <c r="F1381" s="122"/>
      <c r="G1381" s="122"/>
      <c r="H1381" s="122"/>
      <c r="I1381" s="122"/>
      <c r="J1381" s="122"/>
      <c r="K1381" s="122"/>
      <c r="L1381" s="122"/>
      <c r="M1381" s="122"/>
      <c r="N1381" s="122"/>
      <c r="O1381" s="122"/>
      <c r="P1381" s="122"/>
      <c r="Q1381" s="122"/>
      <c r="R1381" s="122"/>
      <c r="S1381" s="122"/>
      <c r="T1381" s="122"/>
      <c r="U1381" s="122"/>
      <c r="V1381" s="122"/>
      <c r="W1381" s="122"/>
      <c r="X1381" s="122"/>
      <c r="Y1381" s="122"/>
      <c r="Z1381" s="122"/>
      <c r="AA1381" s="121"/>
      <c r="AB1381" s="122"/>
      <c r="AC1381" s="121"/>
      <c r="AD1381" s="121"/>
      <c r="AE1381" s="121"/>
      <c r="AF1381" s="121"/>
      <c r="AG1381" s="121"/>
      <c r="AH1381" s="121"/>
      <c r="AI1381" s="121"/>
      <c r="AJ1381" s="122"/>
      <c r="AK1381" s="121"/>
      <c r="AL1381" s="121"/>
      <c r="AM1381" s="121"/>
      <c r="AN1381" s="121"/>
    </row>
    <row r="1382">
      <c r="B1382" s="120"/>
      <c r="C1382" s="121"/>
      <c r="D1382" s="121"/>
      <c r="E1382" s="121"/>
      <c r="F1382" s="122"/>
      <c r="G1382" s="122"/>
      <c r="H1382" s="122"/>
      <c r="I1382" s="122"/>
      <c r="J1382" s="122"/>
      <c r="K1382" s="122"/>
      <c r="L1382" s="122"/>
      <c r="M1382" s="122"/>
      <c r="N1382" s="122"/>
      <c r="O1382" s="122"/>
      <c r="P1382" s="122"/>
      <c r="Q1382" s="122"/>
      <c r="R1382" s="122"/>
      <c r="S1382" s="122"/>
      <c r="T1382" s="122"/>
      <c r="U1382" s="122"/>
      <c r="V1382" s="122"/>
      <c r="W1382" s="122"/>
      <c r="X1382" s="122"/>
      <c r="Y1382" s="121"/>
      <c r="Z1382" s="122"/>
      <c r="AA1382" s="121"/>
      <c r="AB1382" s="122"/>
      <c r="AC1382" s="121"/>
      <c r="AD1382" s="121"/>
      <c r="AE1382" s="121"/>
      <c r="AF1382" s="121"/>
      <c r="AG1382" s="121"/>
      <c r="AH1382" s="121"/>
      <c r="AI1382" s="121"/>
      <c r="AJ1382" s="122"/>
      <c r="AK1382" s="121"/>
      <c r="AL1382" s="122"/>
      <c r="AM1382" s="121"/>
      <c r="AN1382" s="121"/>
    </row>
    <row r="1383">
      <c r="B1383" s="120"/>
      <c r="C1383" s="121"/>
      <c r="D1383" s="121"/>
      <c r="E1383" s="121"/>
      <c r="F1383" s="122"/>
      <c r="G1383" s="122"/>
      <c r="H1383" s="122"/>
      <c r="I1383" s="122"/>
      <c r="J1383" s="122"/>
      <c r="K1383" s="122"/>
      <c r="L1383" s="122"/>
      <c r="M1383" s="122"/>
      <c r="N1383" s="122"/>
      <c r="O1383" s="122"/>
      <c r="P1383" s="122"/>
      <c r="Q1383" s="122"/>
      <c r="R1383" s="122"/>
      <c r="S1383" s="122"/>
      <c r="T1383" s="122"/>
      <c r="U1383" s="122"/>
      <c r="V1383" s="122"/>
      <c r="W1383" s="122"/>
      <c r="X1383" s="122"/>
      <c r="Y1383" s="122"/>
      <c r="Z1383" s="122"/>
      <c r="AA1383" s="122"/>
      <c r="AB1383" s="122"/>
      <c r="AC1383" s="122"/>
      <c r="AD1383" s="122"/>
      <c r="AE1383" s="122"/>
      <c r="AF1383" s="122"/>
      <c r="AG1383" s="122"/>
      <c r="AH1383" s="122"/>
      <c r="AI1383" s="122"/>
      <c r="AJ1383" s="122"/>
      <c r="AK1383" s="122"/>
      <c r="AL1383" s="122"/>
      <c r="AM1383" s="122"/>
      <c r="AN1383" s="121"/>
    </row>
    <row r="1384">
      <c r="A1384" s="120"/>
      <c r="B1384" s="120"/>
      <c r="C1384" s="122"/>
      <c r="D1384" s="122"/>
      <c r="E1384" s="122"/>
      <c r="F1384" s="122"/>
      <c r="G1384" s="122"/>
      <c r="H1384" s="122"/>
      <c r="I1384" s="122"/>
      <c r="J1384" s="122"/>
      <c r="K1384" s="122"/>
      <c r="L1384" s="122"/>
      <c r="M1384" s="122"/>
      <c r="N1384" s="122"/>
      <c r="O1384" s="122"/>
      <c r="P1384" s="122"/>
      <c r="Q1384" s="122"/>
      <c r="R1384" s="122"/>
      <c r="S1384" s="122"/>
      <c r="T1384" s="122"/>
      <c r="U1384" s="122"/>
      <c r="V1384" s="122"/>
      <c r="W1384" s="122"/>
      <c r="X1384" s="122"/>
      <c r="Y1384" s="122"/>
      <c r="Z1384" s="122"/>
      <c r="AA1384" s="122"/>
      <c r="AB1384" s="122"/>
      <c r="AC1384" s="122"/>
      <c r="AD1384" s="122"/>
      <c r="AE1384" s="122"/>
      <c r="AF1384" s="122"/>
      <c r="AG1384" s="122"/>
      <c r="AH1384" s="122"/>
      <c r="AI1384" s="122"/>
      <c r="AJ1384" s="122"/>
      <c r="AK1384" s="122"/>
      <c r="AL1384" s="122"/>
      <c r="AM1384" s="122"/>
      <c r="AN1384" s="122"/>
    </row>
    <row r="1385">
      <c r="B1385" s="120"/>
      <c r="C1385" s="122"/>
      <c r="D1385" s="122"/>
      <c r="E1385" s="122"/>
      <c r="F1385" s="122"/>
      <c r="G1385" s="122"/>
      <c r="H1385" s="122"/>
      <c r="I1385" s="122"/>
      <c r="J1385" s="122"/>
      <c r="K1385" s="122"/>
      <c r="L1385" s="122"/>
      <c r="M1385" s="122"/>
      <c r="N1385" s="122"/>
      <c r="O1385" s="122"/>
      <c r="P1385" s="122"/>
      <c r="Q1385" s="122"/>
      <c r="R1385" s="122"/>
      <c r="S1385" s="122"/>
      <c r="T1385" s="122"/>
      <c r="U1385" s="122"/>
      <c r="V1385" s="122"/>
      <c r="W1385" s="122"/>
      <c r="X1385" s="122"/>
      <c r="Y1385" s="122"/>
      <c r="Z1385" s="122"/>
      <c r="AA1385" s="122"/>
      <c r="AB1385" s="122"/>
      <c r="AC1385" s="122"/>
      <c r="AD1385" s="122"/>
      <c r="AE1385" s="122"/>
      <c r="AF1385" s="122"/>
      <c r="AG1385" s="122"/>
      <c r="AH1385" s="122"/>
      <c r="AI1385" s="122"/>
      <c r="AJ1385" s="122"/>
      <c r="AK1385" s="122"/>
      <c r="AL1385" s="122"/>
      <c r="AM1385" s="122"/>
      <c r="AN1385" s="122"/>
    </row>
    <row r="1386">
      <c r="A1386" s="120"/>
      <c r="B1386" s="120"/>
      <c r="C1386" s="122"/>
      <c r="D1386" s="122"/>
      <c r="E1386" s="122"/>
      <c r="F1386" s="122"/>
      <c r="G1386" s="122"/>
      <c r="H1386" s="122"/>
      <c r="I1386" s="122"/>
      <c r="J1386" s="122"/>
      <c r="K1386" s="122"/>
      <c r="L1386" s="122"/>
      <c r="M1386" s="122"/>
      <c r="N1386" s="122"/>
      <c r="O1386" s="122"/>
      <c r="P1386" s="122"/>
      <c r="Q1386" s="122"/>
      <c r="R1386" s="122"/>
      <c r="S1386" s="122"/>
      <c r="T1386" s="122"/>
      <c r="U1386" s="122"/>
      <c r="V1386" s="122"/>
      <c r="W1386" s="122"/>
      <c r="X1386" s="122"/>
      <c r="Y1386" s="122"/>
      <c r="Z1386" s="122"/>
      <c r="AA1386" s="122"/>
      <c r="AB1386" s="122"/>
      <c r="AC1386" s="122"/>
      <c r="AD1386" s="122"/>
      <c r="AE1386" s="122"/>
      <c r="AF1386" s="122"/>
      <c r="AG1386" s="122"/>
      <c r="AH1386" s="122"/>
      <c r="AI1386" s="122"/>
      <c r="AJ1386" s="122"/>
      <c r="AK1386" s="122"/>
      <c r="AL1386" s="122"/>
      <c r="AM1386" s="122"/>
      <c r="AN1386" s="122"/>
    </row>
    <row r="1387">
      <c r="B1387" s="120"/>
      <c r="C1387" s="122"/>
      <c r="D1387" s="122"/>
      <c r="E1387" s="122"/>
      <c r="F1387" s="122"/>
      <c r="G1387" s="122"/>
      <c r="H1387" s="122"/>
      <c r="I1387" s="122"/>
      <c r="J1387" s="122"/>
      <c r="K1387" s="122"/>
      <c r="L1387" s="122"/>
      <c r="M1387" s="122"/>
      <c r="N1387" s="122"/>
      <c r="O1387" s="122"/>
      <c r="P1387" s="122"/>
      <c r="Q1387" s="122"/>
      <c r="R1387" s="122"/>
      <c r="S1387" s="122"/>
      <c r="T1387" s="122"/>
      <c r="U1387" s="122"/>
      <c r="V1387" s="122"/>
      <c r="W1387" s="122"/>
      <c r="X1387" s="122"/>
      <c r="Y1387" s="122"/>
      <c r="Z1387" s="122"/>
      <c r="AA1387" s="122"/>
      <c r="AB1387" s="122"/>
      <c r="AC1387" s="122"/>
      <c r="AD1387" s="122"/>
      <c r="AE1387" s="122"/>
      <c r="AF1387" s="122"/>
      <c r="AG1387" s="122"/>
      <c r="AH1387" s="122"/>
      <c r="AI1387" s="122"/>
      <c r="AJ1387" s="122"/>
      <c r="AK1387" s="122"/>
      <c r="AL1387" s="122"/>
      <c r="AM1387" s="122"/>
      <c r="AN1387" s="122"/>
    </row>
    <row r="1388">
      <c r="A1388" s="120"/>
      <c r="B1388" s="120"/>
      <c r="C1388" s="122"/>
      <c r="D1388" s="122"/>
      <c r="E1388" s="122"/>
      <c r="F1388" s="122"/>
      <c r="G1388" s="122"/>
      <c r="H1388" s="122"/>
      <c r="I1388" s="122"/>
      <c r="J1388" s="122"/>
      <c r="K1388" s="122"/>
      <c r="L1388" s="122"/>
      <c r="M1388" s="122"/>
      <c r="N1388" s="122"/>
      <c r="O1388" s="122"/>
      <c r="P1388" s="122"/>
      <c r="Q1388" s="122"/>
      <c r="R1388" s="122"/>
      <c r="S1388" s="122"/>
      <c r="T1388" s="122"/>
      <c r="U1388" s="122"/>
      <c r="V1388" s="122"/>
      <c r="W1388" s="122"/>
      <c r="X1388" s="122"/>
      <c r="Y1388" s="122"/>
      <c r="Z1388" s="122"/>
      <c r="AA1388" s="122"/>
      <c r="AB1388" s="122"/>
      <c r="AC1388" s="122"/>
      <c r="AD1388" s="122"/>
      <c r="AE1388" s="122"/>
      <c r="AF1388" s="122"/>
      <c r="AG1388" s="122"/>
      <c r="AH1388" s="122"/>
      <c r="AI1388" s="122"/>
      <c r="AJ1388" s="122"/>
      <c r="AK1388" s="122"/>
      <c r="AL1388" s="122"/>
      <c r="AM1388" s="122"/>
      <c r="AN1388" s="122"/>
    </row>
    <row r="1389">
      <c r="B1389" s="120"/>
      <c r="C1389" s="122"/>
      <c r="D1389" s="122"/>
      <c r="E1389" s="122"/>
      <c r="F1389" s="122"/>
      <c r="G1389" s="122"/>
      <c r="H1389" s="122"/>
      <c r="I1389" s="122"/>
      <c r="J1389" s="122"/>
      <c r="K1389" s="122"/>
      <c r="L1389" s="122"/>
      <c r="M1389" s="122"/>
      <c r="N1389" s="122"/>
      <c r="O1389" s="122"/>
      <c r="P1389" s="122"/>
      <c r="Q1389" s="122"/>
      <c r="R1389" s="122"/>
      <c r="S1389" s="122"/>
      <c r="T1389" s="122"/>
      <c r="U1389" s="122"/>
      <c r="V1389" s="122"/>
      <c r="W1389" s="122"/>
      <c r="X1389" s="122"/>
      <c r="Y1389" s="122"/>
      <c r="Z1389" s="122"/>
      <c r="AA1389" s="122"/>
      <c r="AB1389" s="122"/>
      <c r="AC1389" s="122"/>
      <c r="AD1389" s="122"/>
      <c r="AE1389" s="122"/>
      <c r="AF1389" s="122"/>
      <c r="AG1389" s="122"/>
      <c r="AH1389" s="122"/>
      <c r="AI1389" s="122"/>
      <c r="AJ1389" s="122"/>
      <c r="AK1389" s="122"/>
      <c r="AL1389" s="122"/>
      <c r="AM1389" s="122"/>
      <c r="AN1389" s="122"/>
    </row>
    <row r="1390">
      <c r="A1390" s="120"/>
      <c r="B1390" s="120"/>
      <c r="C1390" s="122"/>
      <c r="D1390" s="122"/>
      <c r="E1390" s="122"/>
      <c r="F1390" s="122"/>
      <c r="G1390" s="122"/>
      <c r="H1390" s="122"/>
      <c r="I1390" s="122"/>
      <c r="J1390" s="122"/>
      <c r="K1390" s="122"/>
      <c r="L1390" s="122"/>
      <c r="M1390" s="122"/>
      <c r="N1390" s="122"/>
      <c r="O1390" s="122"/>
      <c r="P1390" s="122"/>
      <c r="Q1390" s="122"/>
      <c r="R1390" s="122"/>
      <c r="S1390" s="122"/>
      <c r="T1390" s="122"/>
      <c r="U1390" s="122"/>
      <c r="V1390" s="122"/>
      <c r="W1390" s="122"/>
      <c r="X1390" s="122"/>
      <c r="Y1390" s="122"/>
      <c r="Z1390" s="122"/>
      <c r="AA1390" s="122"/>
      <c r="AB1390" s="122"/>
      <c r="AC1390" s="122"/>
      <c r="AD1390" s="122"/>
      <c r="AE1390" s="122"/>
      <c r="AF1390" s="122"/>
      <c r="AG1390" s="122"/>
      <c r="AH1390" s="122"/>
      <c r="AI1390" s="122"/>
      <c r="AJ1390" s="122"/>
      <c r="AK1390" s="122"/>
      <c r="AL1390" s="122"/>
      <c r="AM1390" s="122"/>
      <c r="AN1390" s="122"/>
    </row>
    <row r="1391">
      <c r="B1391" s="120"/>
      <c r="C1391" s="122"/>
      <c r="D1391" s="122"/>
      <c r="E1391" s="122"/>
      <c r="F1391" s="122"/>
      <c r="G1391" s="122"/>
      <c r="H1391" s="122"/>
      <c r="I1391" s="122"/>
      <c r="J1391" s="122"/>
      <c r="K1391" s="122"/>
      <c r="L1391" s="122"/>
      <c r="M1391" s="122"/>
      <c r="N1391" s="122"/>
      <c r="O1391" s="122"/>
      <c r="P1391" s="122"/>
      <c r="Q1391" s="122"/>
      <c r="R1391" s="122"/>
      <c r="S1391" s="122"/>
      <c r="T1391" s="122"/>
      <c r="U1391" s="122"/>
      <c r="V1391" s="122"/>
      <c r="W1391" s="122"/>
      <c r="X1391" s="122"/>
      <c r="Y1391" s="122"/>
      <c r="Z1391" s="122"/>
      <c r="AA1391" s="122"/>
      <c r="AB1391" s="122"/>
      <c r="AC1391" s="122"/>
      <c r="AD1391" s="122"/>
      <c r="AE1391" s="122"/>
      <c r="AF1391" s="122"/>
      <c r="AG1391" s="122"/>
      <c r="AH1391" s="122"/>
      <c r="AI1391" s="122"/>
      <c r="AJ1391" s="122"/>
      <c r="AK1391" s="122"/>
      <c r="AL1391" s="122"/>
      <c r="AM1391" s="122"/>
      <c r="AN1391" s="122"/>
    </row>
    <row r="1392">
      <c r="B1392" s="120"/>
      <c r="C1392" s="122"/>
      <c r="D1392" s="122"/>
      <c r="E1392" s="122"/>
      <c r="F1392" s="122"/>
      <c r="G1392" s="122"/>
      <c r="H1392" s="122"/>
      <c r="I1392" s="122"/>
      <c r="J1392" s="122"/>
      <c r="K1392" s="122"/>
      <c r="L1392" s="122"/>
      <c r="M1392" s="122"/>
      <c r="N1392" s="122"/>
      <c r="O1392" s="122"/>
      <c r="P1392" s="122"/>
      <c r="Q1392" s="122"/>
      <c r="R1392" s="122"/>
      <c r="S1392" s="122"/>
      <c r="T1392" s="122"/>
      <c r="U1392" s="122"/>
      <c r="V1392" s="122"/>
      <c r="W1392" s="122"/>
      <c r="X1392" s="122"/>
      <c r="Y1392" s="122"/>
      <c r="Z1392" s="122"/>
      <c r="AA1392" s="122"/>
      <c r="AB1392" s="122"/>
      <c r="AC1392" s="122"/>
      <c r="AD1392" s="122"/>
      <c r="AE1392" s="122"/>
      <c r="AF1392" s="122"/>
      <c r="AG1392" s="122"/>
      <c r="AH1392" s="122"/>
      <c r="AI1392" s="122"/>
      <c r="AJ1392" s="122"/>
      <c r="AK1392" s="122"/>
      <c r="AL1392" s="122"/>
      <c r="AM1392" s="122"/>
      <c r="AN1392" s="122"/>
    </row>
    <row r="1393">
      <c r="A1393" s="120"/>
      <c r="B1393" s="120"/>
      <c r="C1393" s="121"/>
      <c r="D1393" s="121"/>
      <c r="E1393" s="121"/>
      <c r="F1393" s="122"/>
      <c r="G1393" s="122"/>
      <c r="H1393" s="122"/>
      <c r="I1393" s="122"/>
      <c r="J1393" s="122"/>
      <c r="K1393" s="122"/>
      <c r="L1393" s="122"/>
      <c r="M1393" s="122"/>
      <c r="N1393" s="122"/>
      <c r="O1393" s="122"/>
      <c r="P1393" s="122"/>
      <c r="Q1393" s="122"/>
      <c r="R1393" s="122"/>
      <c r="S1393" s="122"/>
      <c r="T1393" s="122"/>
      <c r="U1393" s="122"/>
      <c r="V1393" s="122"/>
      <c r="W1393" s="122"/>
      <c r="X1393" s="122"/>
      <c r="Y1393" s="122"/>
      <c r="Z1393" s="122"/>
      <c r="AA1393" s="122"/>
      <c r="AB1393" s="122"/>
      <c r="AC1393" s="122"/>
      <c r="AD1393" s="122"/>
      <c r="AE1393" s="122"/>
      <c r="AF1393" s="122"/>
      <c r="AG1393" s="122"/>
      <c r="AH1393" s="122"/>
      <c r="AI1393" s="122"/>
      <c r="AJ1393" s="122"/>
      <c r="AK1393" s="122"/>
      <c r="AL1393" s="122"/>
      <c r="AM1393" s="122"/>
      <c r="AN1393" s="121"/>
    </row>
    <row r="1394">
      <c r="B1394" s="120"/>
      <c r="C1394" s="122"/>
      <c r="D1394" s="122"/>
      <c r="E1394" s="122"/>
      <c r="F1394" s="122"/>
      <c r="G1394" s="122"/>
      <c r="H1394" s="122"/>
      <c r="I1394" s="122"/>
      <c r="J1394" s="122"/>
      <c r="K1394" s="122"/>
      <c r="L1394" s="122"/>
      <c r="M1394" s="122"/>
      <c r="N1394" s="122"/>
      <c r="O1394" s="122"/>
      <c r="P1394" s="122"/>
      <c r="Q1394" s="122"/>
      <c r="R1394" s="122"/>
      <c r="S1394" s="122"/>
      <c r="T1394" s="122"/>
      <c r="U1394" s="122"/>
      <c r="V1394" s="122"/>
      <c r="W1394" s="122"/>
      <c r="X1394" s="122"/>
      <c r="Y1394" s="122"/>
      <c r="Z1394" s="122"/>
      <c r="AA1394" s="122"/>
      <c r="AB1394" s="122"/>
      <c r="AC1394" s="122"/>
      <c r="AD1394" s="122"/>
      <c r="AE1394" s="122"/>
      <c r="AF1394" s="122"/>
      <c r="AG1394" s="122"/>
      <c r="AH1394" s="122"/>
      <c r="AI1394" s="122"/>
      <c r="AJ1394" s="122"/>
      <c r="AK1394" s="122"/>
      <c r="AL1394" s="122"/>
      <c r="AM1394" s="122"/>
      <c r="AN1394" s="122"/>
    </row>
    <row r="1395">
      <c r="B1395" s="120"/>
      <c r="C1395" s="122"/>
      <c r="D1395" s="122"/>
      <c r="E1395" s="122"/>
      <c r="F1395" s="122"/>
      <c r="G1395" s="122"/>
      <c r="H1395" s="122"/>
      <c r="I1395" s="122"/>
      <c r="J1395" s="122"/>
      <c r="K1395" s="122"/>
      <c r="L1395" s="122"/>
      <c r="M1395" s="122"/>
      <c r="N1395" s="122"/>
      <c r="O1395" s="122"/>
      <c r="P1395" s="122"/>
      <c r="Q1395" s="122"/>
      <c r="R1395" s="122"/>
      <c r="S1395" s="122"/>
      <c r="T1395" s="122"/>
      <c r="U1395" s="122"/>
      <c r="V1395" s="122"/>
      <c r="W1395" s="122"/>
      <c r="X1395" s="122"/>
      <c r="Y1395" s="122"/>
      <c r="Z1395" s="122"/>
      <c r="AA1395" s="122"/>
      <c r="AB1395" s="122"/>
      <c r="AC1395" s="122"/>
      <c r="AD1395" s="122"/>
      <c r="AE1395" s="122"/>
      <c r="AF1395" s="122"/>
      <c r="AG1395" s="122"/>
      <c r="AH1395" s="122"/>
      <c r="AI1395" s="122"/>
      <c r="AJ1395" s="122"/>
      <c r="AK1395" s="122"/>
      <c r="AL1395" s="122"/>
      <c r="AM1395" s="122"/>
      <c r="AN1395" s="122"/>
    </row>
    <row r="1396">
      <c r="B1396" s="120"/>
      <c r="C1396" s="121"/>
      <c r="D1396" s="121"/>
      <c r="E1396" s="121"/>
      <c r="F1396" s="121"/>
      <c r="G1396" s="121"/>
      <c r="H1396" s="122"/>
      <c r="I1396" s="122"/>
      <c r="J1396" s="122"/>
      <c r="K1396" s="122"/>
      <c r="L1396" s="122"/>
      <c r="M1396" s="122"/>
      <c r="N1396" s="122"/>
      <c r="O1396" s="122"/>
      <c r="P1396" s="122"/>
      <c r="Q1396" s="122"/>
      <c r="R1396" s="122"/>
      <c r="S1396" s="122"/>
      <c r="T1396" s="122"/>
      <c r="U1396" s="122"/>
      <c r="V1396" s="122"/>
      <c r="W1396" s="122"/>
      <c r="X1396" s="122"/>
      <c r="Y1396" s="122"/>
      <c r="Z1396" s="122"/>
      <c r="AA1396" s="122"/>
      <c r="AB1396" s="122"/>
      <c r="AC1396" s="122"/>
      <c r="AD1396" s="122"/>
      <c r="AE1396" s="122"/>
      <c r="AF1396" s="122"/>
      <c r="AG1396" s="122"/>
      <c r="AH1396" s="122"/>
      <c r="AI1396" s="122"/>
      <c r="AJ1396" s="122"/>
      <c r="AK1396" s="122"/>
      <c r="AL1396" s="122"/>
      <c r="AM1396" s="122"/>
      <c r="AN1396" s="121"/>
    </row>
    <row r="1397">
      <c r="B1397" s="120"/>
      <c r="C1397" s="121"/>
      <c r="D1397" s="121"/>
      <c r="E1397" s="121"/>
      <c r="F1397" s="122"/>
      <c r="G1397" s="122"/>
      <c r="H1397" s="122"/>
      <c r="I1397" s="122"/>
      <c r="J1397" s="122"/>
      <c r="K1397" s="122"/>
      <c r="L1397" s="122"/>
      <c r="M1397" s="122"/>
      <c r="N1397" s="122"/>
      <c r="O1397" s="122"/>
      <c r="P1397" s="122"/>
      <c r="Q1397" s="122"/>
      <c r="R1397" s="122"/>
      <c r="S1397" s="122"/>
      <c r="T1397" s="122"/>
      <c r="U1397" s="122"/>
      <c r="V1397" s="122"/>
      <c r="W1397" s="122"/>
      <c r="X1397" s="122"/>
      <c r="Y1397" s="122"/>
      <c r="Z1397" s="122"/>
      <c r="AA1397" s="122"/>
      <c r="AB1397" s="122"/>
      <c r="AC1397" s="122"/>
      <c r="AD1397" s="122"/>
      <c r="AE1397" s="122"/>
      <c r="AF1397" s="122"/>
      <c r="AG1397" s="122"/>
      <c r="AH1397" s="122"/>
      <c r="AI1397" s="122"/>
      <c r="AJ1397" s="122"/>
      <c r="AK1397" s="122"/>
      <c r="AL1397" s="122"/>
      <c r="AM1397" s="122"/>
      <c r="AN1397" s="121"/>
    </row>
    <row r="1398">
      <c r="A1398" s="120"/>
      <c r="B1398" s="120"/>
      <c r="C1398" s="122"/>
      <c r="D1398" s="122"/>
      <c r="E1398" s="122"/>
      <c r="F1398" s="122"/>
      <c r="G1398" s="122"/>
      <c r="H1398" s="122"/>
      <c r="I1398" s="122"/>
      <c r="J1398" s="122"/>
      <c r="K1398" s="122"/>
      <c r="L1398" s="122"/>
      <c r="M1398" s="122"/>
      <c r="N1398" s="122"/>
      <c r="O1398" s="122"/>
      <c r="P1398" s="122"/>
      <c r="Q1398" s="122"/>
      <c r="R1398" s="122"/>
      <c r="S1398" s="122"/>
      <c r="T1398" s="122"/>
      <c r="U1398" s="122"/>
      <c r="V1398" s="122"/>
      <c r="W1398" s="122"/>
      <c r="X1398" s="122"/>
      <c r="Y1398" s="122"/>
      <c r="Z1398" s="122"/>
      <c r="AA1398" s="122"/>
      <c r="AB1398" s="122"/>
      <c r="AC1398" s="122"/>
      <c r="AD1398" s="122"/>
      <c r="AE1398" s="122"/>
      <c r="AF1398" s="122"/>
      <c r="AG1398" s="122"/>
      <c r="AH1398" s="122"/>
      <c r="AI1398" s="122"/>
      <c r="AJ1398" s="122"/>
      <c r="AK1398" s="122"/>
      <c r="AL1398" s="122"/>
      <c r="AM1398" s="122"/>
      <c r="AN1398" s="122"/>
    </row>
    <row r="1399">
      <c r="B1399" s="120"/>
      <c r="C1399" s="122"/>
      <c r="D1399" s="122"/>
      <c r="E1399" s="122"/>
      <c r="F1399" s="122"/>
      <c r="G1399" s="122"/>
      <c r="H1399" s="122"/>
      <c r="I1399" s="122"/>
      <c r="J1399" s="122"/>
      <c r="K1399" s="122"/>
      <c r="L1399" s="122"/>
      <c r="M1399" s="122"/>
      <c r="N1399" s="122"/>
      <c r="O1399" s="122"/>
      <c r="P1399" s="122"/>
      <c r="Q1399" s="122"/>
      <c r="R1399" s="122"/>
      <c r="S1399" s="122"/>
      <c r="T1399" s="122"/>
      <c r="U1399" s="122"/>
      <c r="V1399" s="122"/>
      <c r="W1399" s="122"/>
      <c r="X1399" s="122"/>
      <c r="Y1399" s="122"/>
      <c r="Z1399" s="122"/>
      <c r="AA1399" s="122"/>
      <c r="AB1399" s="122"/>
      <c r="AC1399" s="122"/>
      <c r="AD1399" s="122"/>
      <c r="AE1399" s="122"/>
      <c r="AF1399" s="122"/>
      <c r="AG1399" s="122"/>
      <c r="AH1399" s="122"/>
      <c r="AI1399" s="122"/>
      <c r="AJ1399" s="122"/>
      <c r="AK1399" s="122"/>
      <c r="AL1399" s="122"/>
      <c r="AM1399" s="122"/>
      <c r="AN1399" s="122"/>
    </row>
    <row r="1400">
      <c r="B1400" s="120"/>
      <c r="C1400" s="122"/>
      <c r="D1400" s="122"/>
      <c r="E1400" s="122"/>
      <c r="F1400" s="122"/>
      <c r="G1400" s="122"/>
      <c r="H1400" s="122"/>
      <c r="I1400" s="122"/>
      <c r="J1400" s="122"/>
      <c r="K1400" s="122"/>
      <c r="L1400" s="122"/>
      <c r="M1400" s="122"/>
      <c r="N1400" s="122"/>
      <c r="O1400" s="122"/>
      <c r="P1400" s="122"/>
      <c r="Q1400" s="122"/>
      <c r="R1400" s="122"/>
      <c r="S1400" s="122"/>
      <c r="T1400" s="122"/>
      <c r="U1400" s="122"/>
      <c r="V1400" s="122"/>
      <c r="W1400" s="122"/>
      <c r="X1400" s="122"/>
      <c r="Y1400" s="122"/>
      <c r="Z1400" s="122"/>
      <c r="AA1400" s="122"/>
      <c r="AB1400" s="122"/>
      <c r="AC1400" s="122"/>
      <c r="AD1400" s="122"/>
      <c r="AE1400" s="122"/>
      <c r="AF1400" s="122"/>
      <c r="AG1400" s="122"/>
      <c r="AH1400" s="122"/>
      <c r="AI1400" s="122"/>
      <c r="AJ1400" s="122"/>
      <c r="AK1400" s="122"/>
      <c r="AL1400" s="122"/>
      <c r="AM1400" s="122"/>
      <c r="AN1400" s="122"/>
    </row>
    <row r="1401">
      <c r="B1401" s="120"/>
      <c r="C1401" s="122"/>
      <c r="D1401" s="122"/>
      <c r="E1401" s="122"/>
      <c r="F1401" s="122"/>
      <c r="G1401" s="122"/>
      <c r="H1401" s="122"/>
      <c r="I1401" s="122"/>
      <c r="J1401" s="122"/>
      <c r="K1401" s="122"/>
      <c r="L1401" s="122"/>
      <c r="M1401" s="122"/>
      <c r="N1401" s="122"/>
      <c r="O1401" s="122"/>
      <c r="P1401" s="122"/>
      <c r="Q1401" s="122"/>
      <c r="R1401" s="122"/>
      <c r="S1401" s="122"/>
      <c r="T1401" s="122"/>
      <c r="U1401" s="122"/>
      <c r="V1401" s="122"/>
      <c r="W1401" s="122"/>
      <c r="X1401" s="122"/>
      <c r="Y1401" s="122"/>
      <c r="Z1401" s="122"/>
      <c r="AA1401" s="122"/>
      <c r="AB1401" s="122"/>
      <c r="AC1401" s="122"/>
      <c r="AD1401" s="122"/>
      <c r="AE1401" s="122"/>
      <c r="AF1401" s="122"/>
      <c r="AG1401" s="122"/>
      <c r="AH1401" s="122"/>
      <c r="AI1401" s="122"/>
      <c r="AJ1401" s="122"/>
      <c r="AK1401" s="122"/>
      <c r="AL1401" s="122"/>
      <c r="AM1401" s="122"/>
      <c r="AN1401" s="122"/>
    </row>
    <row r="1402">
      <c r="B1402" s="120"/>
      <c r="C1402" s="122"/>
      <c r="D1402" s="122"/>
      <c r="E1402" s="122"/>
      <c r="F1402" s="122"/>
      <c r="G1402" s="122"/>
      <c r="H1402" s="122"/>
      <c r="I1402" s="122"/>
      <c r="J1402" s="122"/>
      <c r="K1402" s="122"/>
      <c r="L1402" s="122"/>
      <c r="M1402" s="122"/>
      <c r="N1402" s="122"/>
      <c r="O1402" s="122"/>
      <c r="P1402" s="122"/>
      <c r="Q1402" s="122"/>
      <c r="R1402" s="122"/>
      <c r="S1402" s="122"/>
      <c r="T1402" s="122"/>
      <c r="U1402" s="122"/>
      <c r="V1402" s="122"/>
      <c r="W1402" s="122"/>
      <c r="X1402" s="122"/>
      <c r="Y1402" s="122"/>
      <c r="Z1402" s="122"/>
      <c r="AA1402" s="122"/>
      <c r="AB1402" s="122"/>
      <c r="AC1402" s="122"/>
      <c r="AD1402" s="122"/>
      <c r="AE1402" s="122"/>
      <c r="AF1402" s="122"/>
      <c r="AG1402" s="122"/>
      <c r="AH1402" s="122"/>
      <c r="AI1402" s="122"/>
      <c r="AJ1402" s="122"/>
      <c r="AK1402" s="122"/>
      <c r="AL1402" s="122"/>
      <c r="AM1402" s="122"/>
      <c r="AN1402" s="122"/>
    </row>
    <row r="1403">
      <c r="A1403" s="123"/>
    </row>
    <row r="1404">
      <c r="A1404" s="120"/>
      <c r="B1404" s="120"/>
      <c r="C1404" s="121"/>
      <c r="D1404" s="121"/>
      <c r="E1404" s="121"/>
      <c r="F1404" s="122"/>
      <c r="G1404" s="122"/>
      <c r="H1404" s="122"/>
      <c r="I1404" s="122"/>
      <c r="J1404" s="122"/>
      <c r="K1404" s="122"/>
      <c r="L1404" s="122"/>
      <c r="M1404" s="122"/>
      <c r="N1404" s="122"/>
      <c r="O1404" s="122"/>
      <c r="P1404" s="122"/>
      <c r="Q1404" s="122"/>
      <c r="R1404" s="122"/>
      <c r="S1404" s="122"/>
      <c r="T1404" s="122"/>
      <c r="U1404" s="122"/>
      <c r="V1404" s="122"/>
      <c r="W1404" s="122"/>
      <c r="X1404" s="122"/>
      <c r="Y1404" s="122"/>
      <c r="Z1404" s="122"/>
      <c r="AA1404" s="121"/>
      <c r="AB1404" s="122"/>
      <c r="AC1404" s="121"/>
      <c r="AD1404" s="121"/>
      <c r="AE1404" s="121"/>
      <c r="AF1404" s="121"/>
      <c r="AG1404" s="121"/>
      <c r="AH1404" s="121"/>
      <c r="AI1404" s="121"/>
      <c r="AJ1404" s="122"/>
      <c r="AK1404" s="121"/>
      <c r="AL1404" s="122"/>
      <c r="AM1404" s="121"/>
      <c r="AN1404" s="121"/>
    </row>
    <row r="1405">
      <c r="B1405" s="120"/>
      <c r="C1405" s="121"/>
      <c r="D1405" s="121"/>
      <c r="E1405" s="121"/>
      <c r="F1405" s="122"/>
      <c r="G1405" s="122"/>
      <c r="H1405" s="122"/>
      <c r="I1405" s="122"/>
      <c r="J1405" s="122"/>
      <c r="K1405" s="122"/>
      <c r="L1405" s="122"/>
      <c r="M1405" s="122"/>
      <c r="N1405" s="122"/>
      <c r="O1405" s="122"/>
      <c r="P1405" s="122"/>
      <c r="Q1405" s="122"/>
      <c r="R1405" s="122"/>
      <c r="S1405" s="122"/>
      <c r="T1405" s="122"/>
      <c r="U1405" s="122"/>
      <c r="V1405" s="122"/>
      <c r="W1405" s="122"/>
      <c r="X1405" s="122"/>
      <c r="Y1405" s="122"/>
      <c r="Z1405" s="122"/>
      <c r="AA1405" s="122"/>
      <c r="AB1405" s="122"/>
      <c r="AC1405" s="122"/>
      <c r="AD1405" s="122"/>
      <c r="AE1405" s="122"/>
      <c r="AF1405" s="122"/>
      <c r="AG1405" s="122"/>
      <c r="AH1405" s="122"/>
      <c r="AI1405" s="122"/>
      <c r="AJ1405" s="122"/>
      <c r="AK1405" s="122"/>
      <c r="AL1405" s="122"/>
      <c r="AM1405" s="122"/>
      <c r="AN1405" s="121"/>
    </row>
    <row r="1406">
      <c r="B1406" s="120"/>
      <c r="C1406" s="121"/>
      <c r="D1406" s="121"/>
      <c r="E1406" s="121"/>
      <c r="F1406" s="122"/>
      <c r="G1406" s="122"/>
      <c r="H1406" s="122"/>
      <c r="I1406" s="122"/>
      <c r="J1406" s="122"/>
      <c r="K1406" s="122"/>
      <c r="L1406" s="122"/>
      <c r="M1406" s="122"/>
      <c r="N1406" s="122"/>
      <c r="O1406" s="122"/>
      <c r="P1406" s="122"/>
      <c r="Q1406" s="122"/>
      <c r="R1406" s="122"/>
      <c r="S1406" s="122"/>
      <c r="T1406" s="122"/>
      <c r="U1406" s="122"/>
      <c r="V1406" s="122"/>
      <c r="W1406" s="122"/>
      <c r="X1406" s="122"/>
      <c r="Y1406" s="122"/>
      <c r="Z1406" s="122"/>
      <c r="AA1406" s="122"/>
      <c r="AB1406" s="122"/>
      <c r="AC1406" s="122"/>
      <c r="AD1406" s="122"/>
      <c r="AE1406" s="122"/>
      <c r="AF1406" s="122"/>
      <c r="AG1406" s="122"/>
      <c r="AH1406" s="122"/>
      <c r="AI1406" s="122"/>
      <c r="AJ1406" s="122"/>
      <c r="AK1406" s="122"/>
      <c r="AL1406" s="122"/>
      <c r="AM1406" s="122"/>
      <c r="AN1406" s="121"/>
    </row>
    <row r="1407">
      <c r="B1407" s="120"/>
      <c r="C1407" s="122"/>
      <c r="D1407" s="122"/>
      <c r="E1407" s="122"/>
      <c r="F1407" s="122"/>
      <c r="G1407" s="122"/>
      <c r="H1407" s="122"/>
      <c r="I1407" s="122"/>
      <c r="J1407" s="122"/>
      <c r="K1407" s="122"/>
      <c r="L1407" s="122"/>
      <c r="M1407" s="122"/>
      <c r="N1407" s="122"/>
      <c r="O1407" s="122"/>
      <c r="P1407" s="122"/>
      <c r="Q1407" s="122"/>
      <c r="R1407" s="122"/>
      <c r="S1407" s="122"/>
      <c r="T1407" s="122"/>
      <c r="U1407" s="122"/>
      <c r="V1407" s="122"/>
      <c r="W1407" s="122"/>
      <c r="X1407" s="122"/>
      <c r="Y1407" s="122"/>
      <c r="Z1407" s="122"/>
      <c r="AA1407" s="122"/>
      <c r="AB1407" s="122"/>
      <c r="AC1407" s="122"/>
      <c r="AD1407" s="122"/>
      <c r="AE1407" s="122"/>
      <c r="AF1407" s="122"/>
      <c r="AG1407" s="122"/>
      <c r="AH1407" s="122"/>
      <c r="AI1407" s="122"/>
      <c r="AJ1407" s="122"/>
      <c r="AK1407" s="122"/>
      <c r="AL1407" s="122"/>
      <c r="AM1407" s="122"/>
      <c r="AN1407" s="122"/>
    </row>
    <row r="1408">
      <c r="A1408" s="120"/>
      <c r="B1408" s="120"/>
      <c r="C1408" s="122"/>
      <c r="D1408" s="122"/>
      <c r="E1408" s="122"/>
      <c r="F1408" s="122"/>
      <c r="G1408" s="122"/>
      <c r="H1408" s="122"/>
      <c r="I1408" s="122"/>
      <c r="J1408" s="122"/>
      <c r="K1408" s="122"/>
      <c r="L1408" s="122"/>
      <c r="M1408" s="122"/>
      <c r="N1408" s="122"/>
      <c r="O1408" s="122"/>
      <c r="P1408" s="122"/>
      <c r="Q1408" s="122"/>
      <c r="R1408" s="122"/>
      <c r="S1408" s="122"/>
      <c r="T1408" s="122"/>
      <c r="U1408" s="122"/>
      <c r="V1408" s="122"/>
      <c r="W1408" s="122"/>
      <c r="X1408" s="122"/>
      <c r="Y1408" s="122"/>
      <c r="Z1408" s="122"/>
      <c r="AA1408" s="122"/>
      <c r="AB1408" s="122"/>
      <c r="AC1408" s="122"/>
      <c r="AD1408" s="122"/>
      <c r="AE1408" s="122"/>
      <c r="AF1408" s="122"/>
      <c r="AG1408" s="122"/>
      <c r="AH1408" s="122"/>
      <c r="AI1408" s="122"/>
      <c r="AJ1408" s="122"/>
      <c r="AK1408" s="122"/>
      <c r="AL1408" s="122"/>
      <c r="AM1408" s="122"/>
      <c r="AN1408" s="122"/>
    </row>
    <row r="1409">
      <c r="B1409" s="120"/>
      <c r="C1409" s="122"/>
      <c r="D1409" s="122"/>
      <c r="E1409" s="122"/>
      <c r="F1409" s="122"/>
      <c r="G1409" s="122"/>
      <c r="H1409" s="122"/>
      <c r="I1409" s="122"/>
      <c r="J1409" s="122"/>
      <c r="K1409" s="122"/>
      <c r="L1409" s="122"/>
      <c r="M1409" s="122"/>
      <c r="N1409" s="122"/>
      <c r="O1409" s="122"/>
      <c r="P1409" s="122"/>
      <c r="Q1409" s="122"/>
      <c r="R1409" s="122"/>
      <c r="S1409" s="122"/>
      <c r="T1409" s="122"/>
      <c r="U1409" s="122"/>
      <c r="V1409" s="122"/>
      <c r="W1409" s="122"/>
      <c r="X1409" s="122"/>
      <c r="Y1409" s="122"/>
      <c r="Z1409" s="122"/>
      <c r="AA1409" s="122"/>
      <c r="AB1409" s="122"/>
      <c r="AC1409" s="122"/>
      <c r="AD1409" s="122"/>
      <c r="AE1409" s="122"/>
      <c r="AF1409" s="122"/>
      <c r="AG1409" s="122"/>
      <c r="AH1409" s="122"/>
      <c r="AI1409" s="122"/>
      <c r="AJ1409" s="122"/>
      <c r="AK1409" s="122"/>
      <c r="AL1409" s="122"/>
      <c r="AM1409" s="122"/>
      <c r="AN1409" s="122"/>
    </row>
    <row r="1410">
      <c r="A1410" s="120"/>
      <c r="B1410" s="120"/>
      <c r="C1410" s="122"/>
      <c r="D1410" s="122"/>
      <c r="E1410" s="122"/>
      <c r="F1410" s="122"/>
      <c r="G1410" s="122"/>
      <c r="H1410" s="122"/>
      <c r="I1410" s="122"/>
      <c r="J1410" s="122"/>
      <c r="K1410" s="122"/>
      <c r="L1410" s="122"/>
      <c r="M1410" s="122"/>
      <c r="N1410" s="122"/>
      <c r="O1410" s="122"/>
      <c r="P1410" s="122"/>
      <c r="Q1410" s="122"/>
      <c r="R1410" s="122"/>
      <c r="S1410" s="122"/>
      <c r="T1410" s="122"/>
      <c r="U1410" s="122"/>
      <c r="V1410" s="122"/>
      <c r="W1410" s="122"/>
      <c r="X1410" s="122"/>
      <c r="Y1410" s="122"/>
      <c r="Z1410" s="122"/>
      <c r="AA1410" s="122"/>
      <c r="AB1410" s="122"/>
      <c r="AC1410" s="122"/>
      <c r="AD1410" s="122"/>
      <c r="AE1410" s="122"/>
      <c r="AF1410" s="122"/>
      <c r="AG1410" s="122"/>
      <c r="AH1410" s="122"/>
      <c r="AI1410" s="122"/>
      <c r="AJ1410" s="122"/>
      <c r="AK1410" s="122"/>
      <c r="AL1410" s="122"/>
      <c r="AM1410" s="122"/>
      <c r="AN1410" s="122"/>
    </row>
    <row r="1411">
      <c r="B1411" s="120"/>
      <c r="C1411" s="122"/>
      <c r="D1411" s="122"/>
      <c r="E1411" s="122"/>
      <c r="F1411" s="122"/>
      <c r="G1411" s="122"/>
      <c r="H1411" s="122"/>
      <c r="I1411" s="122"/>
      <c r="J1411" s="122"/>
      <c r="K1411" s="122"/>
      <c r="L1411" s="122"/>
      <c r="M1411" s="122"/>
      <c r="N1411" s="122"/>
      <c r="O1411" s="122"/>
      <c r="P1411" s="122"/>
      <c r="Q1411" s="122"/>
      <c r="R1411" s="122"/>
      <c r="S1411" s="122"/>
      <c r="T1411" s="122"/>
      <c r="U1411" s="122"/>
      <c r="V1411" s="122"/>
      <c r="W1411" s="122"/>
      <c r="X1411" s="122"/>
      <c r="Y1411" s="122"/>
      <c r="Z1411" s="122"/>
      <c r="AA1411" s="122"/>
      <c r="AB1411" s="122"/>
      <c r="AC1411" s="122"/>
      <c r="AD1411" s="122"/>
      <c r="AE1411" s="122"/>
      <c r="AF1411" s="122"/>
      <c r="AG1411" s="122"/>
      <c r="AH1411" s="122"/>
      <c r="AI1411" s="122"/>
      <c r="AJ1411" s="122"/>
      <c r="AK1411" s="122"/>
      <c r="AL1411" s="122"/>
      <c r="AM1411" s="122"/>
      <c r="AN1411" s="122"/>
    </row>
    <row r="1412">
      <c r="A1412" s="120"/>
      <c r="B1412" s="120"/>
      <c r="C1412" s="122"/>
      <c r="D1412" s="122"/>
      <c r="E1412" s="122"/>
      <c r="F1412" s="122"/>
      <c r="G1412" s="122"/>
      <c r="H1412" s="122"/>
      <c r="I1412" s="122"/>
      <c r="J1412" s="122"/>
      <c r="K1412" s="122"/>
      <c r="L1412" s="122"/>
      <c r="M1412" s="122"/>
      <c r="N1412" s="122"/>
      <c r="O1412" s="122"/>
      <c r="P1412" s="122"/>
      <c r="Q1412" s="122"/>
      <c r="R1412" s="122"/>
      <c r="S1412" s="122"/>
      <c r="T1412" s="122"/>
      <c r="U1412" s="122"/>
      <c r="V1412" s="122"/>
      <c r="W1412" s="122"/>
      <c r="X1412" s="122"/>
      <c r="Y1412" s="122"/>
      <c r="Z1412" s="122"/>
      <c r="AA1412" s="122"/>
      <c r="AB1412" s="122"/>
      <c r="AC1412" s="122"/>
      <c r="AD1412" s="122"/>
      <c r="AE1412" s="122"/>
      <c r="AF1412" s="122"/>
      <c r="AG1412" s="122"/>
      <c r="AH1412" s="122"/>
      <c r="AI1412" s="122"/>
      <c r="AJ1412" s="122"/>
      <c r="AK1412" s="122"/>
      <c r="AL1412" s="122"/>
      <c r="AM1412" s="122"/>
      <c r="AN1412" s="122"/>
    </row>
    <row r="1413">
      <c r="B1413" s="120"/>
      <c r="C1413" s="122"/>
      <c r="D1413" s="122"/>
      <c r="E1413" s="122"/>
      <c r="F1413" s="122"/>
      <c r="G1413" s="122"/>
      <c r="H1413" s="122"/>
      <c r="I1413" s="122"/>
      <c r="J1413" s="122"/>
      <c r="K1413" s="122"/>
      <c r="L1413" s="122"/>
      <c r="M1413" s="122"/>
      <c r="N1413" s="122"/>
      <c r="O1413" s="122"/>
      <c r="P1413" s="122"/>
      <c r="Q1413" s="122"/>
      <c r="R1413" s="122"/>
      <c r="S1413" s="122"/>
      <c r="T1413" s="122"/>
      <c r="U1413" s="122"/>
      <c r="V1413" s="122"/>
      <c r="W1413" s="122"/>
      <c r="X1413" s="122"/>
      <c r="Y1413" s="122"/>
      <c r="Z1413" s="122"/>
      <c r="AA1413" s="122"/>
      <c r="AB1413" s="122"/>
      <c r="AC1413" s="122"/>
      <c r="AD1413" s="122"/>
      <c r="AE1413" s="122"/>
      <c r="AF1413" s="122"/>
      <c r="AG1413" s="122"/>
      <c r="AH1413" s="122"/>
      <c r="AI1413" s="122"/>
      <c r="AJ1413" s="122"/>
      <c r="AK1413" s="122"/>
      <c r="AL1413" s="122"/>
      <c r="AM1413" s="122"/>
      <c r="AN1413" s="122"/>
    </row>
    <row r="1414">
      <c r="A1414" s="120"/>
      <c r="B1414" s="120"/>
      <c r="C1414" s="122"/>
      <c r="D1414" s="122"/>
      <c r="E1414" s="122"/>
      <c r="F1414" s="122"/>
      <c r="G1414" s="122"/>
      <c r="H1414" s="122"/>
      <c r="I1414" s="122"/>
      <c r="J1414" s="122"/>
      <c r="K1414" s="122"/>
      <c r="L1414" s="122"/>
      <c r="M1414" s="122"/>
      <c r="N1414" s="122"/>
      <c r="O1414" s="122"/>
      <c r="P1414" s="122"/>
      <c r="Q1414" s="122"/>
      <c r="R1414" s="122"/>
      <c r="S1414" s="122"/>
      <c r="T1414" s="122"/>
      <c r="U1414" s="122"/>
      <c r="V1414" s="122"/>
      <c r="W1414" s="122"/>
      <c r="X1414" s="122"/>
      <c r="Y1414" s="122"/>
      <c r="Z1414" s="122"/>
      <c r="AA1414" s="122"/>
      <c r="AB1414" s="122"/>
      <c r="AC1414" s="122"/>
      <c r="AD1414" s="122"/>
      <c r="AE1414" s="122"/>
      <c r="AF1414" s="122"/>
      <c r="AG1414" s="122"/>
      <c r="AH1414" s="122"/>
      <c r="AI1414" s="122"/>
      <c r="AJ1414" s="122"/>
      <c r="AK1414" s="122"/>
      <c r="AL1414" s="122"/>
      <c r="AM1414" s="122"/>
      <c r="AN1414" s="122"/>
    </row>
    <row r="1415">
      <c r="B1415" s="120"/>
      <c r="C1415" s="122"/>
      <c r="D1415" s="122"/>
      <c r="E1415" s="122"/>
      <c r="F1415" s="122"/>
      <c r="G1415" s="122"/>
      <c r="H1415" s="122"/>
      <c r="I1415" s="122"/>
      <c r="J1415" s="122"/>
      <c r="K1415" s="122"/>
      <c r="L1415" s="122"/>
      <c r="M1415" s="122"/>
      <c r="N1415" s="122"/>
      <c r="O1415" s="122"/>
      <c r="P1415" s="122"/>
      <c r="Q1415" s="122"/>
      <c r="R1415" s="122"/>
      <c r="S1415" s="122"/>
      <c r="T1415" s="122"/>
      <c r="U1415" s="122"/>
      <c r="V1415" s="122"/>
      <c r="W1415" s="122"/>
      <c r="X1415" s="122"/>
      <c r="Y1415" s="122"/>
      <c r="Z1415" s="122"/>
      <c r="AA1415" s="122"/>
      <c r="AB1415" s="122"/>
      <c r="AC1415" s="122"/>
      <c r="AD1415" s="122"/>
      <c r="AE1415" s="122"/>
      <c r="AF1415" s="122"/>
      <c r="AG1415" s="122"/>
      <c r="AH1415" s="122"/>
      <c r="AI1415" s="122"/>
      <c r="AJ1415" s="122"/>
      <c r="AK1415" s="122"/>
      <c r="AL1415" s="122"/>
      <c r="AM1415" s="122"/>
      <c r="AN1415" s="122"/>
    </row>
    <row r="1416">
      <c r="B1416" s="120"/>
      <c r="C1416" s="122"/>
      <c r="D1416" s="122"/>
      <c r="E1416" s="122"/>
      <c r="F1416" s="122"/>
      <c r="G1416" s="122"/>
      <c r="H1416" s="122"/>
      <c r="I1416" s="122"/>
      <c r="J1416" s="122"/>
      <c r="K1416" s="122"/>
      <c r="L1416" s="122"/>
      <c r="M1416" s="122"/>
      <c r="N1416" s="122"/>
      <c r="O1416" s="122"/>
      <c r="P1416" s="122"/>
      <c r="Q1416" s="122"/>
      <c r="R1416" s="122"/>
      <c r="S1416" s="122"/>
      <c r="T1416" s="122"/>
      <c r="U1416" s="122"/>
      <c r="V1416" s="122"/>
      <c r="W1416" s="122"/>
      <c r="X1416" s="122"/>
      <c r="Y1416" s="122"/>
      <c r="Z1416" s="122"/>
      <c r="AA1416" s="122"/>
      <c r="AB1416" s="122"/>
      <c r="AC1416" s="122"/>
      <c r="AD1416" s="122"/>
      <c r="AE1416" s="122"/>
      <c r="AF1416" s="122"/>
      <c r="AG1416" s="122"/>
      <c r="AH1416" s="122"/>
      <c r="AI1416" s="122"/>
      <c r="AJ1416" s="122"/>
      <c r="AK1416" s="122"/>
      <c r="AL1416" s="122"/>
      <c r="AM1416" s="122"/>
      <c r="AN1416" s="122"/>
    </row>
    <row r="1417">
      <c r="A1417" s="120"/>
      <c r="B1417" s="120"/>
      <c r="C1417" s="121"/>
      <c r="D1417" s="122"/>
      <c r="E1417" s="121"/>
      <c r="F1417" s="122"/>
      <c r="G1417" s="122"/>
      <c r="H1417" s="122"/>
      <c r="I1417" s="122"/>
      <c r="J1417" s="122"/>
      <c r="K1417" s="122"/>
      <c r="L1417" s="122"/>
      <c r="M1417" s="122"/>
      <c r="N1417" s="122"/>
      <c r="O1417" s="122"/>
      <c r="P1417" s="122"/>
      <c r="Q1417" s="122"/>
      <c r="R1417" s="122"/>
      <c r="S1417" s="122"/>
      <c r="T1417" s="122"/>
      <c r="U1417" s="122"/>
      <c r="V1417" s="122"/>
      <c r="W1417" s="122"/>
      <c r="X1417" s="122"/>
      <c r="Y1417" s="122"/>
      <c r="Z1417" s="122"/>
      <c r="AA1417" s="122"/>
      <c r="AB1417" s="122"/>
      <c r="AC1417" s="122"/>
      <c r="AD1417" s="122"/>
      <c r="AE1417" s="122"/>
      <c r="AF1417" s="122"/>
      <c r="AG1417" s="122"/>
      <c r="AH1417" s="122"/>
      <c r="AI1417" s="122"/>
      <c r="AJ1417" s="122"/>
      <c r="AK1417" s="122"/>
      <c r="AL1417" s="122"/>
      <c r="AM1417" s="122"/>
      <c r="AN1417" s="121"/>
    </row>
    <row r="1418">
      <c r="B1418" s="120"/>
      <c r="C1418" s="122"/>
      <c r="D1418" s="122"/>
      <c r="E1418" s="122"/>
      <c r="F1418" s="122"/>
      <c r="G1418" s="122"/>
      <c r="H1418" s="122"/>
      <c r="I1418" s="122"/>
      <c r="J1418" s="122"/>
      <c r="K1418" s="122"/>
      <c r="L1418" s="122"/>
      <c r="M1418" s="122"/>
      <c r="N1418" s="122"/>
      <c r="O1418" s="122"/>
      <c r="P1418" s="122"/>
      <c r="Q1418" s="122"/>
      <c r="R1418" s="122"/>
      <c r="S1418" s="122"/>
      <c r="T1418" s="122"/>
      <c r="U1418" s="122"/>
      <c r="V1418" s="122"/>
      <c r="W1418" s="122"/>
      <c r="X1418" s="122"/>
      <c r="Y1418" s="122"/>
      <c r="Z1418" s="122"/>
      <c r="AA1418" s="122"/>
      <c r="AB1418" s="122"/>
      <c r="AC1418" s="122"/>
      <c r="AD1418" s="122"/>
      <c r="AE1418" s="122"/>
      <c r="AF1418" s="122"/>
      <c r="AG1418" s="122"/>
      <c r="AH1418" s="122"/>
      <c r="AI1418" s="122"/>
      <c r="AJ1418" s="122"/>
      <c r="AK1418" s="122"/>
      <c r="AL1418" s="122"/>
      <c r="AM1418" s="122"/>
      <c r="AN1418" s="122"/>
    </row>
    <row r="1419">
      <c r="B1419" s="120"/>
      <c r="C1419" s="122"/>
      <c r="D1419" s="122"/>
      <c r="E1419" s="122"/>
      <c r="F1419" s="122"/>
      <c r="G1419" s="122"/>
      <c r="H1419" s="122"/>
      <c r="I1419" s="122"/>
      <c r="J1419" s="122"/>
      <c r="K1419" s="122"/>
      <c r="L1419" s="122"/>
      <c r="M1419" s="122"/>
      <c r="N1419" s="122"/>
      <c r="O1419" s="122"/>
      <c r="P1419" s="122"/>
      <c r="Q1419" s="122"/>
      <c r="R1419" s="122"/>
      <c r="S1419" s="122"/>
      <c r="T1419" s="122"/>
      <c r="U1419" s="122"/>
      <c r="V1419" s="122"/>
      <c r="W1419" s="122"/>
      <c r="X1419" s="122"/>
      <c r="Y1419" s="122"/>
      <c r="Z1419" s="122"/>
      <c r="AA1419" s="122"/>
      <c r="AB1419" s="122"/>
      <c r="AC1419" s="122"/>
      <c r="AD1419" s="122"/>
      <c r="AE1419" s="122"/>
      <c r="AF1419" s="122"/>
      <c r="AG1419" s="122"/>
      <c r="AH1419" s="122"/>
      <c r="AI1419" s="122"/>
      <c r="AJ1419" s="122"/>
      <c r="AK1419" s="122"/>
      <c r="AL1419" s="122"/>
      <c r="AM1419" s="122"/>
      <c r="AN1419" s="122"/>
    </row>
    <row r="1420">
      <c r="B1420" s="120"/>
      <c r="C1420" s="122"/>
      <c r="D1420" s="122"/>
      <c r="E1420" s="122"/>
      <c r="F1420" s="122"/>
      <c r="G1420" s="122"/>
      <c r="H1420" s="122"/>
      <c r="I1420" s="122"/>
      <c r="J1420" s="122"/>
      <c r="K1420" s="122"/>
      <c r="L1420" s="122"/>
      <c r="M1420" s="122"/>
      <c r="N1420" s="122"/>
      <c r="O1420" s="122"/>
      <c r="P1420" s="122"/>
      <c r="Q1420" s="122"/>
      <c r="R1420" s="122"/>
      <c r="S1420" s="122"/>
      <c r="T1420" s="122"/>
      <c r="U1420" s="122"/>
      <c r="V1420" s="122"/>
      <c r="W1420" s="122"/>
      <c r="X1420" s="122"/>
      <c r="Y1420" s="122"/>
      <c r="Z1420" s="122"/>
      <c r="AA1420" s="122"/>
      <c r="AB1420" s="122"/>
      <c r="AC1420" s="122"/>
      <c r="AD1420" s="122"/>
      <c r="AE1420" s="122"/>
      <c r="AF1420" s="122"/>
      <c r="AG1420" s="122"/>
      <c r="AH1420" s="122"/>
      <c r="AI1420" s="122"/>
      <c r="AJ1420" s="122"/>
      <c r="AK1420" s="122"/>
      <c r="AL1420" s="122"/>
      <c r="AM1420" s="122"/>
      <c r="AN1420" s="122"/>
    </row>
    <row r="1421">
      <c r="B1421" s="120"/>
      <c r="C1421" s="122"/>
      <c r="D1421" s="122"/>
      <c r="E1421" s="122"/>
      <c r="F1421" s="122"/>
      <c r="G1421" s="122"/>
      <c r="H1421" s="122"/>
      <c r="I1421" s="122"/>
      <c r="J1421" s="122"/>
      <c r="K1421" s="122"/>
      <c r="L1421" s="122"/>
      <c r="M1421" s="122"/>
      <c r="N1421" s="122"/>
      <c r="O1421" s="122"/>
      <c r="P1421" s="122"/>
      <c r="Q1421" s="122"/>
      <c r="R1421" s="122"/>
      <c r="S1421" s="122"/>
      <c r="T1421" s="122"/>
      <c r="U1421" s="122"/>
      <c r="V1421" s="122"/>
      <c r="W1421" s="122"/>
      <c r="X1421" s="122"/>
      <c r="Y1421" s="122"/>
      <c r="Z1421" s="122"/>
      <c r="AA1421" s="122"/>
      <c r="AB1421" s="122"/>
      <c r="AC1421" s="122"/>
      <c r="AD1421" s="122"/>
      <c r="AE1421" s="122"/>
      <c r="AF1421" s="122"/>
      <c r="AG1421" s="122"/>
      <c r="AH1421" s="122"/>
      <c r="AI1421" s="122"/>
      <c r="AJ1421" s="122"/>
      <c r="AK1421" s="122"/>
      <c r="AL1421" s="122"/>
      <c r="AM1421" s="122"/>
      <c r="AN1421" s="122"/>
    </row>
    <row r="1422">
      <c r="A1422" s="120"/>
      <c r="B1422" s="120"/>
      <c r="C1422" s="122"/>
      <c r="D1422" s="122"/>
      <c r="E1422" s="122"/>
      <c r="F1422" s="122"/>
      <c r="G1422" s="122"/>
      <c r="H1422" s="122"/>
      <c r="I1422" s="122"/>
      <c r="J1422" s="122"/>
      <c r="K1422" s="122"/>
      <c r="L1422" s="122"/>
      <c r="M1422" s="122"/>
      <c r="N1422" s="122"/>
      <c r="O1422" s="122"/>
      <c r="P1422" s="122"/>
      <c r="Q1422" s="122"/>
      <c r="R1422" s="122"/>
      <c r="S1422" s="122"/>
      <c r="T1422" s="122"/>
      <c r="U1422" s="122"/>
      <c r="V1422" s="122"/>
      <c r="W1422" s="122"/>
      <c r="X1422" s="122"/>
      <c r="Y1422" s="122"/>
      <c r="Z1422" s="122"/>
      <c r="AA1422" s="122"/>
      <c r="AB1422" s="122"/>
      <c r="AC1422" s="122"/>
      <c r="AD1422" s="122"/>
      <c r="AE1422" s="122"/>
      <c r="AF1422" s="122"/>
      <c r="AG1422" s="122"/>
      <c r="AH1422" s="122"/>
      <c r="AI1422" s="122"/>
      <c r="AJ1422" s="122"/>
      <c r="AK1422" s="122"/>
      <c r="AL1422" s="122"/>
      <c r="AM1422" s="122"/>
      <c r="AN1422" s="122"/>
    </row>
    <row r="1423">
      <c r="B1423" s="120"/>
      <c r="C1423" s="122"/>
      <c r="D1423" s="122"/>
      <c r="E1423" s="122"/>
      <c r="F1423" s="122"/>
      <c r="G1423" s="122"/>
      <c r="H1423" s="122"/>
      <c r="I1423" s="122"/>
      <c r="J1423" s="122"/>
      <c r="K1423" s="122"/>
      <c r="L1423" s="122"/>
      <c r="M1423" s="122"/>
      <c r="N1423" s="122"/>
      <c r="O1423" s="122"/>
      <c r="P1423" s="122"/>
      <c r="Q1423" s="122"/>
      <c r="R1423" s="122"/>
      <c r="S1423" s="122"/>
      <c r="T1423" s="122"/>
      <c r="U1423" s="122"/>
      <c r="V1423" s="122"/>
      <c r="W1423" s="122"/>
      <c r="X1423" s="122"/>
      <c r="Y1423" s="122"/>
      <c r="Z1423" s="122"/>
      <c r="AA1423" s="122"/>
      <c r="AB1423" s="122"/>
      <c r="AC1423" s="122"/>
      <c r="AD1423" s="122"/>
      <c r="AE1423" s="122"/>
      <c r="AF1423" s="122"/>
      <c r="AG1423" s="122"/>
      <c r="AH1423" s="122"/>
      <c r="AI1423" s="122"/>
      <c r="AJ1423" s="122"/>
      <c r="AK1423" s="122"/>
      <c r="AL1423" s="122"/>
      <c r="AM1423" s="122"/>
      <c r="AN1423" s="122"/>
    </row>
    <row r="1424">
      <c r="B1424" s="120"/>
      <c r="C1424" s="122"/>
      <c r="D1424" s="122"/>
      <c r="E1424" s="122"/>
      <c r="F1424" s="122"/>
      <c r="G1424" s="122"/>
      <c r="H1424" s="122"/>
      <c r="I1424" s="122"/>
      <c r="J1424" s="122"/>
      <c r="K1424" s="122"/>
      <c r="L1424" s="122"/>
      <c r="M1424" s="122"/>
      <c r="N1424" s="122"/>
      <c r="O1424" s="122"/>
      <c r="P1424" s="122"/>
      <c r="Q1424" s="122"/>
      <c r="R1424" s="122"/>
      <c r="S1424" s="122"/>
      <c r="T1424" s="122"/>
      <c r="U1424" s="122"/>
      <c r="V1424" s="122"/>
      <c r="W1424" s="122"/>
      <c r="X1424" s="122"/>
      <c r="Y1424" s="122"/>
      <c r="Z1424" s="122"/>
      <c r="AA1424" s="122"/>
      <c r="AB1424" s="122"/>
      <c r="AC1424" s="122"/>
      <c r="AD1424" s="122"/>
      <c r="AE1424" s="122"/>
      <c r="AF1424" s="122"/>
      <c r="AG1424" s="122"/>
      <c r="AH1424" s="122"/>
      <c r="AI1424" s="122"/>
      <c r="AJ1424" s="122"/>
      <c r="AK1424" s="122"/>
      <c r="AL1424" s="122"/>
      <c r="AM1424" s="122"/>
      <c r="AN1424" s="122"/>
    </row>
    <row r="1425">
      <c r="B1425" s="120"/>
      <c r="C1425" s="122"/>
      <c r="D1425" s="122"/>
      <c r="E1425" s="122"/>
      <c r="F1425" s="122"/>
      <c r="G1425" s="122"/>
      <c r="H1425" s="122"/>
      <c r="I1425" s="122"/>
      <c r="J1425" s="122"/>
      <c r="K1425" s="122"/>
      <c r="L1425" s="122"/>
      <c r="M1425" s="122"/>
      <c r="N1425" s="122"/>
      <c r="O1425" s="122"/>
      <c r="P1425" s="122"/>
      <c r="Q1425" s="122"/>
      <c r="R1425" s="122"/>
      <c r="S1425" s="122"/>
      <c r="T1425" s="122"/>
      <c r="U1425" s="122"/>
      <c r="V1425" s="122"/>
      <c r="W1425" s="122"/>
      <c r="X1425" s="122"/>
      <c r="Y1425" s="122"/>
      <c r="Z1425" s="122"/>
      <c r="AA1425" s="122"/>
      <c r="AB1425" s="122"/>
      <c r="AC1425" s="122"/>
      <c r="AD1425" s="122"/>
      <c r="AE1425" s="122"/>
      <c r="AF1425" s="122"/>
      <c r="AG1425" s="122"/>
      <c r="AH1425" s="122"/>
      <c r="AI1425" s="122"/>
      <c r="AJ1425" s="122"/>
      <c r="AK1425" s="122"/>
      <c r="AL1425" s="122"/>
      <c r="AM1425" s="122"/>
      <c r="AN1425" s="122"/>
    </row>
    <row r="1426">
      <c r="B1426" s="120"/>
      <c r="C1426" s="122"/>
      <c r="D1426" s="122"/>
      <c r="E1426" s="122"/>
      <c r="F1426" s="122"/>
      <c r="G1426" s="122"/>
      <c r="H1426" s="122"/>
      <c r="I1426" s="122"/>
      <c r="J1426" s="122"/>
      <c r="K1426" s="122"/>
      <c r="L1426" s="122"/>
      <c r="M1426" s="122"/>
      <c r="N1426" s="122"/>
      <c r="O1426" s="122"/>
      <c r="P1426" s="122"/>
      <c r="Q1426" s="122"/>
      <c r="R1426" s="122"/>
      <c r="S1426" s="122"/>
      <c r="T1426" s="122"/>
      <c r="U1426" s="122"/>
      <c r="V1426" s="122"/>
      <c r="W1426" s="122"/>
      <c r="X1426" s="122"/>
      <c r="Y1426" s="122"/>
      <c r="Z1426" s="122"/>
      <c r="AA1426" s="122"/>
      <c r="AB1426" s="122"/>
      <c r="AC1426" s="122"/>
      <c r="AD1426" s="122"/>
      <c r="AE1426" s="122"/>
      <c r="AF1426" s="122"/>
      <c r="AG1426" s="122"/>
      <c r="AH1426" s="122"/>
      <c r="AI1426" s="122"/>
      <c r="AJ1426" s="122"/>
      <c r="AK1426" s="122"/>
      <c r="AL1426" s="122"/>
      <c r="AM1426" s="122"/>
      <c r="AN1426" s="122"/>
    </row>
    <row r="1427">
      <c r="A1427" s="123"/>
    </row>
    <row r="1428">
      <c r="A1428" s="120"/>
      <c r="B1428" s="120"/>
      <c r="C1428" s="121"/>
      <c r="D1428" s="121"/>
      <c r="E1428" s="121"/>
      <c r="F1428" s="122"/>
      <c r="G1428" s="122"/>
      <c r="H1428" s="122"/>
      <c r="I1428" s="122"/>
      <c r="J1428" s="122"/>
      <c r="K1428" s="122"/>
      <c r="L1428" s="122"/>
      <c r="M1428" s="122"/>
      <c r="N1428" s="122"/>
      <c r="O1428" s="122"/>
      <c r="P1428" s="122"/>
      <c r="Q1428" s="122"/>
      <c r="R1428" s="122"/>
      <c r="S1428" s="122"/>
      <c r="T1428" s="122"/>
      <c r="U1428" s="122"/>
      <c r="V1428" s="122"/>
      <c r="W1428" s="122"/>
      <c r="X1428" s="122"/>
      <c r="Y1428" s="122"/>
      <c r="Z1428" s="122"/>
      <c r="AA1428" s="121"/>
      <c r="AB1428" s="121"/>
      <c r="AC1428" s="121"/>
      <c r="AD1428" s="121"/>
      <c r="AE1428" s="121"/>
      <c r="AF1428" s="121"/>
      <c r="AG1428" s="121"/>
      <c r="AH1428" s="121"/>
      <c r="AI1428" s="121"/>
      <c r="AJ1428" s="122"/>
      <c r="AK1428" s="121"/>
      <c r="AL1428" s="122"/>
      <c r="AM1428" s="121"/>
      <c r="AN1428" s="121"/>
    </row>
    <row r="1429">
      <c r="B1429" s="120"/>
      <c r="C1429" s="121"/>
      <c r="D1429" s="121"/>
      <c r="E1429" s="121"/>
      <c r="F1429" s="122"/>
      <c r="G1429" s="122"/>
      <c r="H1429" s="122"/>
      <c r="I1429" s="122"/>
      <c r="J1429" s="122"/>
      <c r="K1429" s="122"/>
      <c r="L1429" s="122"/>
      <c r="M1429" s="122"/>
      <c r="N1429" s="122"/>
      <c r="O1429" s="122"/>
      <c r="P1429" s="122"/>
      <c r="Q1429" s="122"/>
      <c r="R1429" s="122"/>
      <c r="S1429" s="122"/>
      <c r="T1429" s="122"/>
      <c r="U1429" s="122"/>
      <c r="V1429" s="122"/>
      <c r="W1429" s="122"/>
      <c r="X1429" s="122"/>
      <c r="Y1429" s="122"/>
      <c r="Z1429" s="122"/>
      <c r="AA1429" s="122"/>
      <c r="AB1429" s="122"/>
      <c r="AC1429" s="121"/>
      <c r="AD1429" s="122"/>
      <c r="AE1429" s="121"/>
      <c r="AF1429" s="122"/>
      <c r="AG1429" s="121"/>
      <c r="AH1429" s="122"/>
      <c r="AI1429" s="121"/>
      <c r="AJ1429" s="122"/>
      <c r="AK1429" s="122"/>
      <c r="AL1429" s="122"/>
      <c r="AM1429" s="121"/>
      <c r="AN1429" s="121"/>
    </row>
    <row r="1430">
      <c r="B1430" s="120"/>
      <c r="C1430" s="121"/>
      <c r="D1430" s="121"/>
      <c r="E1430" s="121"/>
      <c r="F1430" s="122"/>
      <c r="G1430" s="122"/>
      <c r="H1430" s="122"/>
      <c r="I1430" s="122"/>
      <c r="J1430" s="122"/>
      <c r="K1430" s="122"/>
      <c r="L1430" s="122"/>
      <c r="M1430" s="122"/>
      <c r="N1430" s="122"/>
      <c r="O1430" s="122"/>
      <c r="P1430" s="122"/>
      <c r="Q1430" s="122"/>
      <c r="R1430" s="122"/>
      <c r="S1430" s="122"/>
      <c r="T1430" s="122"/>
      <c r="U1430" s="122"/>
      <c r="V1430" s="122"/>
      <c r="W1430" s="122"/>
      <c r="X1430" s="122"/>
      <c r="Y1430" s="122"/>
      <c r="Z1430" s="122"/>
      <c r="AA1430" s="122"/>
      <c r="AB1430" s="122"/>
      <c r="AC1430" s="122"/>
      <c r="AD1430" s="122"/>
      <c r="AE1430" s="122"/>
      <c r="AF1430" s="122"/>
      <c r="AG1430" s="122"/>
      <c r="AH1430" s="122"/>
      <c r="AI1430" s="122"/>
      <c r="AJ1430" s="122"/>
      <c r="AK1430" s="122"/>
      <c r="AL1430" s="122"/>
      <c r="AM1430" s="122"/>
      <c r="AN1430" s="121"/>
    </row>
    <row r="1431">
      <c r="B1431" s="120"/>
      <c r="C1431" s="122"/>
      <c r="D1431" s="122"/>
      <c r="E1431" s="122"/>
      <c r="F1431" s="122"/>
      <c r="G1431" s="122"/>
      <c r="H1431" s="122"/>
      <c r="I1431" s="122"/>
      <c r="J1431" s="122"/>
      <c r="K1431" s="122"/>
      <c r="L1431" s="122"/>
      <c r="M1431" s="122"/>
      <c r="N1431" s="122"/>
      <c r="O1431" s="122"/>
      <c r="P1431" s="122"/>
      <c r="Q1431" s="122"/>
      <c r="R1431" s="122"/>
      <c r="S1431" s="122"/>
      <c r="T1431" s="122"/>
      <c r="U1431" s="122"/>
      <c r="V1431" s="122"/>
      <c r="W1431" s="122"/>
      <c r="X1431" s="122"/>
      <c r="Y1431" s="122"/>
      <c r="Z1431" s="122"/>
      <c r="AA1431" s="122"/>
      <c r="AB1431" s="122"/>
      <c r="AC1431" s="122"/>
      <c r="AD1431" s="122"/>
      <c r="AE1431" s="122"/>
      <c r="AF1431" s="122"/>
      <c r="AG1431" s="122"/>
      <c r="AH1431" s="122"/>
      <c r="AI1431" s="122"/>
      <c r="AJ1431" s="122"/>
      <c r="AK1431" s="122"/>
      <c r="AL1431" s="122"/>
      <c r="AM1431" s="122"/>
      <c r="AN1431" s="122"/>
    </row>
    <row r="1432">
      <c r="A1432" s="120"/>
      <c r="B1432" s="120"/>
      <c r="C1432" s="122"/>
      <c r="D1432" s="122"/>
      <c r="E1432" s="122"/>
      <c r="F1432" s="122"/>
      <c r="G1432" s="122"/>
      <c r="H1432" s="122"/>
      <c r="I1432" s="122"/>
      <c r="J1432" s="122"/>
      <c r="K1432" s="122"/>
      <c r="L1432" s="122"/>
      <c r="M1432" s="122"/>
      <c r="N1432" s="122"/>
      <c r="O1432" s="122"/>
      <c r="P1432" s="122"/>
      <c r="Q1432" s="122"/>
      <c r="R1432" s="122"/>
      <c r="S1432" s="122"/>
      <c r="T1432" s="122"/>
      <c r="U1432" s="122"/>
      <c r="V1432" s="122"/>
      <c r="W1432" s="122"/>
      <c r="X1432" s="122"/>
      <c r="Y1432" s="122"/>
      <c r="Z1432" s="122"/>
      <c r="AA1432" s="122"/>
      <c r="AB1432" s="122"/>
      <c r="AC1432" s="122"/>
      <c r="AD1432" s="122"/>
      <c r="AE1432" s="122"/>
      <c r="AF1432" s="122"/>
      <c r="AG1432" s="122"/>
      <c r="AH1432" s="122"/>
      <c r="AI1432" s="122"/>
      <c r="AJ1432" s="122"/>
      <c r="AK1432" s="122"/>
      <c r="AL1432" s="122"/>
      <c r="AM1432" s="122"/>
      <c r="AN1432" s="122"/>
    </row>
    <row r="1433">
      <c r="B1433" s="120"/>
      <c r="C1433" s="122"/>
      <c r="D1433" s="122"/>
      <c r="E1433" s="122"/>
      <c r="F1433" s="122"/>
      <c r="G1433" s="122"/>
      <c r="H1433" s="122"/>
      <c r="I1433" s="122"/>
      <c r="J1433" s="122"/>
      <c r="K1433" s="122"/>
      <c r="L1433" s="122"/>
      <c r="M1433" s="122"/>
      <c r="N1433" s="122"/>
      <c r="O1433" s="122"/>
      <c r="P1433" s="122"/>
      <c r="Q1433" s="122"/>
      <c r="R1433" s="122"/>
      <c r="S1433" s="122"/>
      <c r="T1433" s="122"/>
      <c r="U1433" s="122"/>
      <c r="V1433" s="122"/>
      <c r="W1433" s="122"/>
      <c r="X1433" s="122"/>
      <c r="Y1433" s="122"/>
      <c r="Z1433" s="122"/>
      <c r="AA1433" s="122"/>
      <c r="AB1433" s="122"/>
      <c r="AC1433" s="122"/>
      <c r="AD1433" s="122"/>
      <c r="AE1433" s="122"/>
      <c r="AF1433" s="122"/>
      <c r="AG1433" s="122"/>
      <c r="AH1433" s="122"/>
      <c r="AI1433" s="122"/>
      <c r="AJ1433" s="122"/>
      <c r="AK1433" s="122"/>
      <c r="AL1433" s="122"/>
      <c r="AM1433" s="122"/>
      <c r="AN1433" s="122"/>
    </row>
    <row r="1434">
      <c r="A1434" s="120"/>
      <c r="B1434" s="120"/>
      <c r="C1434" s="122"/>
      <c r="D1434" s="122"/>
      <c r="E1434" s="122"/>
      <c r="F1434" s="122"/>
      <c r="G1434" s="122"/>
      <c r="H1434" s="122"/>
      <c r="I1434" s="122"/>
      <c r="J1434" s="122"/>
      <c r="K1434" s="122"/>
      <c r="L1434" s="122"/>
      <c r="M1434" s="122"/>
      <c r="N1434" s="122"/>
      <c r="O1434" s="122"/>
      <c r="P1434" s="122"/>
      <c r="Q1434" s="122"/>
      <c r="R1434" s="122"/>
      <c r="S1434" s="122"/>
      <c r="T1434" s="122"/>
      <c r="U1434" s="122"/>
      <c r="V1434" s="122"/>
      <c r="W1434" s="122"/>
      <c r="X1434" s="122"/>
      <c r="Y1434" s="122"/>
      <c r="Z1434" s="122"/>
      <c r="AA1434" s="122"/>
      <c r="AB1434" s="122"/>
      <c r="AC1434" s="122"/>
      <c r="AD1434" s="122"/>
      <c r="AE1434" s="122"/>
      <c r="AF1434" s="122"/>
      <c r="AG1434" s="122"/>
      <c r="AH1434" s="122"/>
      <c r="AI1434" s="122"/>
      <c r="AJ1434" s="122"/>
      <c r="AK1434" s="122"/>
      <c r="AL1434" s="122"/>
      <c r="AM1434" s="122"/>
      <c r="AN1434" s="122"/>
    </row>
    <row r="1435">
      <c r="B1435" s="120"/>
      <c r="C1435" s="122"/>
      <c r="D1435" s="122"/>
      <c r="E1435" s="122"/>
      <c r="F1435" s="122"/>
      <c r="G1435" s="122"/>
      <c r="H1435" s="122"/>
      <c r="I1435" s="122"/>
      <c r="J1435" s="122"/>
      <c r="K1435" s="122"/>
      <c r="L1435" s="122"/>
      <c r="M1435" s="122"/>
      <c r="N1435" s="122"/>
      <c r="O1435" s="122"/>
      <c r="P1435" s="122"/>
      <c r="Q1435" s="122"/>
      <c r="R1435" s="122"/>
      <c r="S1435" s="122"/>
      <c r="T1435" s="122"/>
      <c r="U1435" s="122"/>
      <c r="V1435" s="122"/>
      <c r="W1435" s="122"/>
      <c r="X1435" s="122"/>
      <c r="Y1435" s="122"/>
      <c r="Z1435" s="122"/>
      <c r="AA1435" s="122"/>
      <c r="AB1435" s="122"/>
      <c r="AC1435" s="122"/>
      <c r="AD1435" s="122"/>
      <c r="AE1435" s="122"/>
      <c r="AF1435" s="122"/>
      <c r="AG1435" s="122"/>
      <c r="AH1435" s="122"/>
      <c r="AI1435" s="122"/>
      <c r="AJ1435" s="122"/>
      <c r="AK1435" s="122"/>
      <c r="AL1435" s="122"/>
      <c r="AM1435" s="122"/>
      <c r="AN1435" s="122"/>
    </row>
    <row r="1436">
      <c r="A1436" s="120"/>
      <c r="B1436" s="120"/>
      <c r="C1436" s="122"/>
      <c r="D1436" s="122"/>
      <c r="E1436" s="122"/>
      <c r="F1436" s="122"/>
      <c r="G1436" s="122"/>
      <c r="H1436" s="122"/>
      <c r="I1436" s="122"/>
      <c r="J1436" s="122"/>
      <c r="K1436" s="122"/>
      <c r="L1436" s="122"/>
      <c r="M1436" s="122"/>
      <c r="N1436" s="122"/>
      <c r="O1436" s="122"/>
      <c r="P1436" s="122"/>
      <c r="Q1436" s="122"/>
      <c r="R1436" s="122"/>
      <c r="S1436" s="122"/>
      <c r="T1436" s="122"/>
      <c r="U1436" s="122"/>
      <c r="V1436" s="122"/>
      <c r="W1436" s="122"/>
      <c r="X1436" s="122"/>
      <c r="Y1436" s="122"/>
      <c r="Z1436" s="122"/>
      <c r="AA1436" s="122"/>
      <c r="AB1436" s="122"/>
      <c r="AC1436" s="122"/>
      <c r="AD1436" s="122"/>
      <c r="AE1436" s="122"/>
      <c r="AF1436" s="122"/>
      <c r="AG1436" s="122"/>
      <c r="AH1436" s="122"/>
      <c r="AI1436" s="122"/>
      <c r="AJ1436" s="122"/>
      <c r="AK1436" s="122"/>
      <c r="AL1436" s="122"/>
      <c r="AM1436" s="122"/>
      <c r="AN1436" s="122"/>
    </row>
    <row r="1437">
      <c r="B1437" s="120"/>
      <c r="C1437" s="122"/>
      <c r="D1437" s="122"/>
      <c r="E1437" s="122"/>
      <c r="F1437" s="122"/>
      <c r="G1437" s="122"/>
      <c r="H1437" s="122"/>
      <c r="I1437" s="122"/>
      <c r="J1437" s="122"/>
      <c r="K1437" s="122"/>
      <c r="L1437" s="122"/>
      <c r="M1437" s="122"/>
      <c r="N1437" s="122"/>
      <c r="O1437" s="122"/>
      <c r="P1437" s="122"/>
      <c r="Q1437" s="122"/>
      <c r="R1437" s="122"/>
      <c r="S1437" s="122"/>
      <c r="T1437" s="122"/>
      <c r="U1437" s="122"/>
      <c r="V1437" s="122"/>
      <c r="W1437" s="122"/>
      <c r="X1437" s="122"/>
      <c r="Y1437" s="122"/>
      <c r="Z1437" s="122"/>
      <c r="AA1437" s="122"/>
      <c r="AB1437" s="122"/>
      <c r="AC1437" s="122"/>
      <c r="AD1437" s="122"/>
      <c r="AE1437" s="122"/>
      <c r="AF1437" s="122"/>
      <c r="AG1437" s="122"/>
      <c r="AH1437" s="122"/>
      <c r="AI1437" s="122"/>
      <c r="AJ1437" s="122"/>
      <c r="AK1437" s="122"/>
      <c r="AL1437" s="122"/>
      <c r="AM1437" s="122"/>
      <c r="AN1437" s="122"/>
    </row>
    <row r="1438">
      <c r="A1438" s="120"/>
      <c r="B1438" s="120"/>
      <c r="C1438" s="122"/>
      <c r="D1438" s="122"/>
      <c r="E1438" s="122"/>
      <c r="F1438" s="122"/>
      <c r="G1438" s="122"/>
      <c r="H1438" s="122"/>
      <c r="I1438" s="122"/>
      <c r="J1438" s="122"/>
      <c r="K1438" s="122"/>
      <c r="L1438" s="122"/>
      <c r="M1438" s="122"/>
      <c r="N1438" s="122"/>
      <c r="O1438" s="122"/>
      <c r="P1438" s="122"/>
      <c r="Q1438" s="122"/>
      <c r="R1438" s="122"/>
      <c r="S1438" s="122"/>
      <c r="T1438" s="122"/>
      <c r="U1438" s="122"/>
      <c r="V1438" s="122"/>
      <c r="W1438" s="122"/>
      <c r="X1438" s="122"/>
      <c r="Y1438" s="122"/>
      <c r="Z1438" s="122"/>
      <c r="AA1438" s="122"/>
      <c r="AB1438" s="122"/>
      <c r="AC1438" s="122"/>
      <c r="AD1438" s="122"/>
      <c r="AE1438" s="122"/>
      <c r="AF1438" s="122"/>
      <c r="AG1438" s="122"/>
      <c r="AH1438" s="122"/>
      <c r="AI1438" s="122"/>
      <c r="AJ1438" s="122"/>
      <c r="AK1438" s="122"/>
      <c r="AL1438" s="122"/>
      <c r="AM1438" s="122"/>
      <c r="AN1438" s="122"/>
    </row>
    <row r="1439">
      <c r="B1439" s="120"/>
      <c r="C1439" s="122"/>
      <c r="D1439" s="122"/>
      <c r="E1439" s="122"/>
      <c r="F1439" s="122"/>
      <c r="G1439" s="122"/>
      <c r="H1439" s="122"/>
      <c r="I1439" s="122"/>
      <c r="J1439" s="122"/>
      <c r="K1439" s="122"/>
      <c r="L1439" s="122"/>
      <c r="M1439" s="122"/>
      <c r="N1439" s="122"/>
      <c r="O1439" s="122"/>
      <c r="P1439" s="122"/>
      <c r="Q1439" s="122"/>
      <c r="R1439" s="122"/>
      <c r="S1439" s="122"/>
      <c r="T1439" s="122"/>
      <c r="U1439" s="122"/>
      <c r="V1439" s="122"/>
      <c r="W1439" s="122"/>
      <c r="X1439" s="122"/>
      <c r="Y1439" s="122"/>
      <c r="Z1439" s="122"/>
      <c r="AA1439" s="122"/>
      <c r="AB1439" s="122"/>
      <c r="AC1439" s="122"/>
      <c r="AD1439" s="122"/>
      <c r="AE1439" s="122"/>
      <c r="AF1439" s="122"/>
      <c r="AG1439" s="122"/>
      <c r="AH1439" s="122"/>
      <c r="AI1439" s="122"/>
      <c r="AJ1439" s="122"/>
      <c r="AK1439" s="122"/>
      <c r="AL1439" s="122"/>
      <c r="AM1439" s="122"/>
      <c r="AN1439" s="122"/>
    </row>
    <row r="1440">
      <c r="B1440" s="120"/>
      <c r="C1440" s="122"/>
      <c r="D1440" s="122"/>
      <c r="E1440" s="122"/>
      <c r="F1440" s="122"/>
      <c r="G1440" s="122"/>
      <c r="H1440" s="122"/>
      <c r="I1440" s="122"/>
      <c r="J1440" s="122"/>
      <c r="K1440" s="122"/>
      <c r="L1440" s="122"/>
      <c r="M1440" s="122"/>
      <c r="N1440" s="122"/>
      <c r="O1440" s="122"/>
      <c r="P1440" s="122"/>
      <c r="Q1440" s="122"/>
      <c r="R1440" s="122"/>
      <c r="S1440" s="122"/>
      <c r="T1440" s="122"/>
      <c r="U1440" s="122"/>
      <c r="V1440" s="122"/>
      <c r="W1440" s="122"/>
      <c r="X1440" s="122"/>
      <c r="Y1440" s="122"/>
      <c r="Z1440" s="122"/>
      <c r="AA1440" s="122"/>
      <c r="AB1440" s="122"/>
      <c r="AC1440" s="122"/>
      <c r="AD1440" s="122"/>
      <c r="AE1440" s="122"/>
      <c r="AF1440" s="122"/>
      <c r="AG1440" s="122"/>
      <c r="AH1440" s="122"/>
      <c r="AI1440" s="122"/>
      <c r="AJ1440" s="122"/>
      <c r="AK1440" s="122"/>
      <c r="AL1440" s="122"/>
      <c r="AM1440" s="122"/>
      <c r="AN1440" s="122"/>
    </row>
    <row r="1441">
      <c r="A1441" s="120"/>
      <c r="B1441" s="120"/>
      <c r="C1441" s="121"/>
      <c r="D1441" s="121"/>
      <c r="E1441" s="121"/>
      <c r="F1441" s="122"/>
      <c r="G1441" s="122"/>
      <c r="H1441" s="122"/>
      <c r="I1441" s="122"/>
      <c r="J1441" s="122"/>
      <c r="K1441" s="122"/>
      <c r="L1441" s="122"/>
      <c r="M1441" s="122"/>
      <c r="N1441" s="122"/>
      <c r="O1441" s="122"/>
      <c r="P1441" s="122"/>
      <c r="Q1441" s="122"/>
      <c r="R1441" s="122"/>
      <c r="S1441" s="122"/>
      <c r="T1441" s="122"/>
      <c r="U1441" s="122"/>
      <c r="V1441" s="122"/>
      <c r="W1441" s="122"/>
      <c r="X1441" s="122"/>
      <c r="Y1441" s="122"/>
      <c r="Z1441" s="122"/>
      <c r="AA1441" s="122"/>
      <c r="AB1441" s="122"/>
      <c r="AC1441" s="122"/>
      <c r="AD1441" s="122"/>
      <c r="AE1441" s="122"/>
      <c r="AF1441" s="122"/>
      <c r="AG1441" s="122"/>
      <c r="AH1441" s="122"/>
      <c r="AI1441" s="122"/>
      <c r="AJ1441" s="122"/>
      <c r="AK1441" s="122"/>
      <c r="AL1441" s="122"/>
      <c r="AM1441" s="122"/>
      <c r="AN1441" s="121"/>
    </row>
    <row r="1442">
      <c r="B1442" s="120"/>
      <c r="C1442" s="122"/>
      <c r="D1442" s="122"/>
      <c r="E1442" s="122"/>
      <c r="F1442" s="122"/>
      <c r="G1442" s="122"/>
      <c r="H1442" s="122"/>
      <c r="I1442" s="122"/>
      <c r="J1442" s="122"/>
      <c r="K1442" s="122"/>
      <c r="L1442" s="122"/>
      <c r="M1442" s="122"/>
      <c r="N1442" s="122"/>
      <c r="O1442" s="122"/>
      <c r="P1442" s="122"/>
      <c r="Q1442" s="122"/>
      <c r="R1442" s="122"/>
      <c r="S1442" s="122"/>
      <c r="T1442" s="122"/>
      <c r="U1442" s="122"/>
      <c r="V1442" s="122"/>
      <c r="W1442" s="122"/>
      <c r="X1442" s="122"/>
      <c r="Y1442" s="122"/>
      <c r="Z1442" s="122"/>
      <c r="AA1442" s="122"/>
      <c r="AB1442" s="122"/>
      <c r="AC1442" s="122"/>
      <c r="AD1442" s="122"/>
      <c r="AE1442" s="122"/>
      <c r="AF1442" s="122"/>
      <c r="AG1442" s="122"/>
      <c r="AH1442" s="122"/>
      <c r="AI1442" s="122"/>
      <c r="AJ1442" s="122"/>
      <c r="AK1442" s="122"/>
      <c r="AL1442" s="122"/>
      <c r="AM1442" s="122"/>
      <c r="AN1442" s="122"/>
    </row>
    <row r="1443">
      <c r="B1443" s="120"/>
      <c r="C1443" s="122"/>
      <c r="D1443" s="122"/>
      <c r="E1443" s="122"/>
      <c r="F1443" s="122"/>
      <c r="G1443" s="122"/>
      <c r="H1443" s="122"/>
      <c r="I1443" s="122"/>
      <c r="J1443" s="122"/>
      <c r="K1443" s="122"/>
      <c r="L1443" s="122"/>
      <c r="M1443" s="122"/>
      <c r="N1443" s="122"/>
      <c r="O1443" s="122"/>
      <c r="P1443" s="122"/>
      <c r="Q1443" s="122"/>
      <c r="R1443" s="122"/>
      <c r="S1443" s="122"/>
      <c r="T1443" s="122"/>
      <c r="U1443" s="122"/>
      <c r="V1443" s="122"/>
      <c r="W1443" s="122"/>
      <c r="X1443" s="122"/>
      <c r="Y1443" s="122"/>
      <c r="Z1443" s="122"/>
      <c r="AA1443" s="122"/>
      <c r="AB1443" s="122"/>
      <c r="AC1443" s="122"/>
      <c r="AD1443" s="122"/>
      <c r="AE1443" s="122"/>
      <c r="AF1443" s="122"/>
      <c r="AG1443" s="122"/>
      <c r="AH1443" s="122"/>
      <c r="AI1443" s="122"/>
      <c r="AJ1443" s="122"/>
      <c r="AK1443" s="122"/>
      <c r="AL1443" s="122"/>
      <c r="AM1443" s="122"/>
      <c r="AN1443" s="122"/>
    </row>
    <row r="1444">
      <c r="B1444" s="120"/>
      <c r="C1444" s="121"/>
      <c r="D1444" s="121"/>
      <c r="E1444" s="121"/>
      <c r="F1444" s="122"/>
      <c r="G1444" s="122"/>
      <c r="H1444" s="122"/>
      <c r="I1444" s="122"/>
      <c r="J1444" s="122"/>
      <c r="K1444" s="122"/>
      <c r="L1444" s="122"/>
      <c r="M1444" s="122"/>
      <c r="N1444" s="122"/>
      <c r="O1444" s="122"/>
      <c r="P1444" s="122"/>
      <c r="Q1444" s="122"/>
      <c r="R1444" s="122"/>
      <c r="S1444" s="122"/>
      <c r="T1444" s="122"/>
      <c r="U1444" s="122"/>
      <c r="V1444" s="122"/>
      <c r="W1444" s="122"/>
      <c r="X1444" s="122"/>
      <c r="Y1444" s="122"/>
      <c r="Z1444" s="122"/>
      <c r="AA1444" s="122"/>
      <c r="AB1444" s="122"/>
      <c r="AC1444" s="122"/>
      <c r="AD1444" s="122"/>
      <c r="AE1444" s="122"/>
      <c r="AF1444" s="122"/>
      <c r="AG1444" s="122"/>
      <c r="AH1444" s="122"/>
      <c r="AI1444" s="122"/>
      <c r="AJ1444" s="122"/>
      <c r="AK1444" s="122"/>
      <c r="AL1444" s="122"/>
      <c r="AM1444" s="122"/>
      <c r="AN1444" s="121"/>
    </row>
    <row r="1445">
      <c r="B1445" s="120"/>
      <c r="C1445" s="121"/>
      <c r="D1445" s="122"/>
      <c r="E1445" s="121"/>
      <c r="F1445" s="122"/>
      <c r="G1445" s="122"/>
      <c r="H1445" s="122"/>
      <c r="I1445" s="122"/>
      <c r="J1445" s="122"/>
      <c r="K1445" s="122"/>
      <c r="L1445" s="122"/>
      <c r="M1445" s="122"/>
      <c r="N1445" s="122"/>
      <c r="O1445" s="122"/>
      <c r="P1445" s="122"/>
      <c r="Q1445" s="122"/>
      <c r="R1445" s="122"/>
      <c r="S1445" s="122"/>
      <c r="T1445" s="122"/>
      <c r="U1445" s="122"/>
      <c r="V1445" s="122"/>
      <c r="W1445" s="122"/>
      <c r="X1445" s="122"/>
      <c r="Y1445" s="122"/>
      <c r="Z1445" s="122"/>
      <c r="AA1445" s="122"/>
      <c r="AB1445" s="122"/>
      <c r="AC1445" s="122"/>
      <c r="AD1445" s="122"/>
      <c r="AE1445" s="122"/>
      <c r="AF1445" s="122"/>
      <c r="AG1445" s="122"/>
      <c r="AH1445" s="122"/>
      <c r="AI1445" s="122"/>
      <c r="AJ1445" s="122"/>
      <c r="AK1445" s="122"/>
      <c r="AL1445" s="122"/>
      <c r="AM1445" s="122"/>
      <c r="AN1445" s="121"/>
    </row>
    <row r="1446">
      <c r="A1446" s="120"/>
      <c r="B1446" s="120"/>
      <c r="C1446" s="122"/>
      <c r="D1446" s="122"/>
      <c r="E1446" s="122"/>
      <c r="F1446" s="122"/>
      <c r="G1446" s="122"/>
      <c r="H1446" s="122"/>
      <c r="I1446" s="122"/>
      <c r="J1446" s="122"/>
      <c r="K1446" s="122"/>
      <c r="L1446" s="122"/>
      <c r="M1446" s="122"/>
      <c r="N1446" s="122"/>
      <c r="O1446" s="122"/>
      <c r="P1446" s="122"/>
      <c r="Q1446" s="122"/>
      <c r="R1446" s="122"/>
      <c r="S1446" s="122"/>
      <c r="T1446" s="122"/>
      <c r="U1446" s="122"/>
      <c r="V1446" s="122"/>
      <c r="W1446" s="122"/>
      <c r="X1446" s="122"/>
      <c r="Y1446" s="122"/>
      <c r="Z1446" s="122"/>
      <c r="AA1446" s="122"/>
      <c r="AB1446" s="122"/>
      <c r="AC1446" s="122"/>
      <c r="AD1446" s="122"/>
      <c r="AE1446" s="122"/>
      <c r="AF1446" s="122"/>
      <c r="AG1446" s="122"/>
      <c r="AH1446" s="122"/>
      <c r="AI1446" s="122"/>
      <c r="AJ1446" s="122"/>
      <c r="AK1446" s="122"/>
      <c r="AL1446" s="122"/>
      <c r="AM1446" s="122"/>
      <c r="AN1446" s="122"/>
    </row>
    <row r="1447">
      <c r="B1447" s="120"/>
      <c r="C1447" s="122"/>
      <c r="D1447" s="122"/>
      <c r="E1447" s="122"/>
      <c r="F1447" s="122"/>
      <c r="G1447" s="122"/>
      <c r="H1447" s="122"/>
      <c r="I1447" s="122"/>
      <c r="J1447" s="122"/>
      <c r="K1447" s="122"/>
      <c r="L1447" s="122"/>
      <c r="M1447" s="122"/>
      <c r="N1447" s="122"/>
      <c r="O1447" s="122"/>
      <c r="P1447" s="122"/>
      <c r="Q1447" s="122"/>
      <c r="R1447" s="122"/>
      <c r="S1447" s="122"/>
      <c r="T1447" s="122"/>
      <c r="U1447" s="122"/>
      <c r="V1447" s="122"/>
      <c r="W1447" s="122"/>
      <c r="X1447" s="122"/>
      <c r="Y1447" s="122"/>
      <c r="Z1447" s="122"/>
      <c r="AA1447" s="122"/>
      <c r="AB1447" s="122"/>
      <c r="AC1447" s="122"/>
      <c r="AD1447" s="122"/>
      <c r="AE1447" s="122"/>
      <c r="AF1447" s="122"/>
      <c r="AG1447" s="122"/>
      <c r="AH1447" s="122"/>
      <c r="AI1447" s="122"/>
      <c r="AJ1447" s="122"/>
      <c r="AK1447" s="122"/>
      <c r="AL1447" s="122"/>
      <c r="AM1447" s="122"/>
      <c r="AN1447" s="122"/>
    </row>
    <row r="1448">
      <c r="B1448" s="120"/>
      <c r="C1448" s="122"/>
      <c r="D1448" s="122"/>
      <c r="E1448" s="122"/>
      <c r="F1448" s="122"/>
      <c r="G1448" s="122"/>
      <c r="H1448" s="122"/>
      <c r="I1448" s="122"/>
      <c r="J1448" s="122"/>
      <c r="K1448" s="122"/>
      <c r="L1448" s="122"/>
      <c r="M1448" s="122"/>
      <c r="N1448" s="122"/>
      <c r="O1448" s="122"/>
      <c r="P1448" s="122"/>
      <c r="Q1448" s="122"/>
      <c r="R1448" s="122"/>
      <c r="S1448" s="122"/>
      <c r="T1448" s="122"/>
      <c r="U1448" s="122"/>
      <c r="V1448" s="122"/>
      <c r="W1448" s="122"/>
      <c r="X1448" s="122"/>
      <c r="Y1448" s="122"/>
      <c r="Z1448" s="122"/>
      <c r="AA1448" s="122"/>
      <c r="AB1448" s="122"/>
      <c r="AC1448" s="122"/>
      <c r="AD1448" s="122"/>
      <c r="AE1448" s="122"/>
      <c r="AF1448" s="122"/>
      <c r="AG1448" s="122"/>
      <c r="AH1448" s="122"/>
      <c r="AI1448" s="122"/>
      <c r="AJ1448" s="122"/>
      <c r="AK1448" s="122"/>
      <c r="AL1448" s="122"/>
      <c r="AM1448" s="122"/>
      <c r="AN1448" s="122"/>
    </row>
    <row r="1449">
      <c r="B1449" s="120"/>
      <c r="C1449" s="122"/>
      <c r="D1449" s="122"/>
      <c r="E1449" s="122"/>
      <c r="F1449" s="122"/>
      <c r="G1449" s="122"/>
      <c r="H1449" s="122"/>
      <c r="I1449" s="122"/>
      <c r="J1449" s="122"/>
      <c r="K1449" s="122"/>
      <c r="L1449" s="122"/>
      <c r="M1449" s="122"/>
      <c r="N1449" s="122"/>
      <c r="O1449" s="122"/>
      <c r="P1449" s="122"/>
      <c r="Q1449" s="122"/>
      <c r="R1449" s="122"/>
      <c r="S1449" s="122"/>
      <c r="T1449" s="122"/>
      <c r="U1449" s="122"/>
      <c r="V1449" s="122"/>
      <c r="W1449" s="122"/>
      <c r="X1449" s="122"/>
      <c r="Y1449" s="122"/>
      <c r="Z1449" s="122"/>
      <c r="AA1449" s="122"/>
      <c r="AB1449" s="122"/>
      <c r="AC1449" s="122"/>
      <c r="AD1449" s="122"/>
      <c r="AE1449" s="122"/>
      <c r="AF1449" s="122"/>
      <c r="AG1449" s="122"/>
      <c r="AH1449" s="122"/>
      <c r="AI1449" s="122"/>
      <c r="AJ1449" s="122"/>
      <c r="AK1449" s="122"/>
      <c r="AL1449" s="122"/>
      <c r="AM1449" s="122"/>
      <c r="AN1449" s="122"/>
    </row>
    <row r="1450">
      <c r="B1450" s="120"/>
      <c r="C1450" s="122"/>
      <c r="D1450" s="122"/>
      <c r="E1450" s="122"/>
      <c r="F1450" s="122"/>
      <c r="G1450" s="122"/>
      <c r="H1450" s="122"/>
      <c r="I1450" s="122"/>
      <c r="J1450" s="122"/>
      <c r="K1450" s="122"/>
      <c r="L1450" s="122"/>
      <c r="M1450" s="122"/>
      <c r="N1450" s="122"/>
      <c r="O1450" s="122"/>
      <c r="P1450" s="122"/>
      <c r="Q1450" s="122"/>
      <c r="R1450" s="122"/>
      <c r="S1450" s="122"/>
      <c r="T1450" s="122"/>
      <c r="U1450" s="122"/>
      <c r="V1450" s="122"/>
      <c r="W1450" s="122"/>
      <c r="X1450" s="122"/>
      <c r="Y1450" s="122"/>
      <c r="Z1450" s="122"/>
      <c r="AA1450" s="122"/>
      <c r="AB1450" s="122"/>
      <c r="AC1450" s="122"/>
      <c r="AD1450" s="122"/>
      <c r="AE1450" s="122"/>
      <c r="AF1450" s="122"/>
      <c r="AG1450" s="122"/>
      <c r="AH1450" s="122"/>
      <c r="AI1450" s="122"/>
      <c r="AJ1450" s="122"/>
      <c r="AK1450" s="122"/>
      <c r="AL1450" s="122"/>
      <c r="AM1450" s="122"/>
      <c r="AN1450" s="122"/>
    </row>
  </sheetData>
  <mergeCells count="526">
    <mergeCell ref="A342:AN342"/>
    <mergeCell ref="A366:AN366"/>
    <mergeCell ref="A390:AN390"/>
    <mergeCell ref="A414:AN414"/>
    <mergeCell ref="A438:AN438"/>
    <mergeCell ref="A462:AN462"/>
    <mergeCell ref="A486:AN486"/>
    <mergeCell ref="A678:AN678"/>
    <mergeCell ref="A702:AN702"/>
    <mergeCell ref="A510:AN510"/>
    <mergeCell ref="A534:AN534"/>
    <mergeCell ref="A558:AN558"/>
    <mergeCell ref="A582:AN582"/>
    <mergeCell ref="A606:AN606"/>
    <mergeCell ref="A630:AN630"/>
    <mergeCell ref="A654:AN654"/>
    <mergeCell ref="A511:A514"/>
    <mergeCell ref="A515:A516"/>
    <mergeCell ref="A517:A518"/>
    <mergeCell ref="A519:A520"/>
    <mergeCell ref="A521:A523"/>
    <mergeCell ref="A524:A528"/>
    <mergeCell ref="A529:A533"/>
    <mergeCell ref="A535:A538"/>
    <mergeCell ref="A539:A540"/>
    <mergeCell ref="A541:A542"/>
    <mergeCell ref="A543:A544"/>
    <mergeCell ref="A545:A547"/>
    <mergeCell ref="A548:A552"/>
    <mergeCell ref="A553:A557"/>
    <mergeCell ref="A559:A562"/>
    <mergeCell ref="A563:A564"/>
    <mergeCell ref="A565:A566"/>
    <mergeCell ref="A567:A568"/>
    <mergeCell ref="A569:A571"/>
    <mergeCell ref="A572:A576"/>
    <mergeCell ref="A577:A581"/>
    <mergeCell ref="A583:A586"/>
    <mergeCell ref="A587:A588"/>
    <mergeCell ref="A589:A590"/>
    <mergeCell ref="A591:A592"/>
    <mergeCell ref="A593:A595"/>
    <mergeCell ref="A596:A600"/>
    <mergeCell ref="A601:A605"/>
    <mergeCell ref="A607:A610"/>
    <mergeCell ref="A611:A612"/>
    <mergeCell ref="A613:A614"/>
    <mergeCell ref="A615:A616"/>
    <mergeCell ref="A617:A619"/>
    <mergeCell ref="A620:A624"/>
    <mergeCell ref="A625:A629"/>
    <mergeCell ref="A631:A634"/>
    <mergeCell ref="A635:A636"/>
    <mergeCell ref="A637:A638"/>
    <mergeCell ref="A639:A640"/>
    <mergeCell ref="A641:A643"/>
    <mergeCell ref="A644:A648"/>
    <mergeCell ref="A649:A653"/>
    <mergeCell ref="A655:A658"/>
    <mergeCell ref="A659:A660"/>
    <mergeCell ref="A661:A662"/>
    <mergeCell ref="A663:A664"/>
    <mergeCell ref="A665:A667"/>
    <mergeCell ref="A668:A672"/>
    <mergeCell ref="A673:A677"/>
    <mergeCell ref="A788:A789"/>
    <mergeCell ref="A790:A792"/>
    <mergeCell ref="A793:A797"/>
    <mergeCell ref="A798:A802"/>
    <mergeCell ref="A803:AN803"/>
    <mergeCell ref="A804:A807"/>
    <mergeCell ref="A808:A809"/>
    <mergeCell ref="A810:A811"/>
    <mergeCell ref="A812:A813"/>
    <mergeCell ref="A814:A816"/>
    <mergeCell ref="A817:A821"/>
    <mergeCell ref="A822:A826"/>
    <mergeCell ref="A827:AN827"/>
    <mergeCell ref="A828:A831"/>
    <mergeCell ref="A832:A833"/>
    <mergeCell ref="A834:A835"/>
    <mergeCell ref="A836:A837"/>
    <mergeCell ref="A838:A840"/>
    <mergeCell ref="A841:A845"/>
    <mergeCell ref="A846:A850"/>
    <mergeCell ref="A851:AN851"/>
    <mergeCell ref="A852:A855"/>
    <mergeCell ref="A856:A857"/>
    <mergeCell ref="A858:A859"/>
    <mergeCell ref="A860:A861"/>
    <mergeCell ref="A862:A864"/>
    <mergeCell ref="A865:A869"/>
    <mergeCell ref="A875:AN875"/>
    <mergeCell ref="A870:A874"/>
    <mergeCell ref="A876:A879"/>
    <mergeCell ref="A880:A881"/>
    <mergeCell ref="A882:A883"/>
    <mergeCell ref="A884:A885"/>
    <mergeCell ref="A886:A888"/>
    <mergeCell ref="A889:A893"/>
    <mergeCell ref="A900:A903"/>
    <mergeCell ref="A904:A905"/>
    <mergeCell ref="A906:A907"/>
    <mergeCell ref="A908:A909"/>
    <mergeCell ref="A910:A912"/>
    <mergeCell ref="A913:A917"/>
    <mergeCell ref="A918:A922"/>
    <mergeCell ref="A924:A927"/>
    <mergeCell ref="A928:A929"/>
    <mergeCell ref="A930:A931"/>
    <mergeCell ref="A932:A933"/>
    <mergeCell ref="A934:A936"/>
    <mergeCell ref="A937:A941"/>
    <mergeCell ref="A942:A946"/>
    <mergeCell ref="A948:A951"/>
    <mergeCell ref="A952:A953"/>
    <mergeCell ref="A954:A955"/>
    <mergeCell ref="A956:A957"/>
    <mergeCell ref="A958:A960"/>
    <mergeCell ref="A961:A965"/>
    <mergeCell ref="A966:A970"/>
    <mergeCell ref="A972:A975"/>
    <mergeCell ref="A976:A977"/>
    <mergeCell ref="A978:A979"/>
    <mergeCell ref="A980:A981"/>
    <mergeCell ref="A982:A984"/>
    <mergeCell ref="A985:A989"/>
    <mergeCell ref="A990:A994"/>
    <mergeCell ref="A996:A999"/>
    <mergeCell ref="A1000:A1001"/>
    <mergeCell ref="A1002:A1003"/>
    <mergeCell ref="A1004:A1005"/>
    <mergeCell ref="A1006:A1008"/>
    <mergeCell ref="A1009:A1013"/>
    <mergeCell ref="A1014:A1018"/>
    <mergeCell ref="A1020:A1023"/>
    <mergeCell ref="A1024:A1025"/>
    <mergeCell ref="A1026:A1027"/>
    <mergeCell ref="A1028:A1029"/>
    <mergeCell ref="A1030:A1032"/>
    <mergeCell ref="A1033:A1037"/>
    <mergeCell ref="A1038:A1042"/>
    <mergeCell ref="A1043:AN1043"/>
    <mergeCell ref="A1067:AN1067"/>
    <mergeCell ref="A1091:AN1091"/>
    <mergeCell ref="A1115:AN1115"/>
    <mergeCell ref="A1139:AN1139"/>
    <mergeCell ref="A1163:AN1163"/>
    <mergeCell ref="A1187:AN1187"/>
    <mergeCell ref="A1379:AN1379"/>
    <mergeCell ref="A1403:AN1403"/>
    <mergeCell ref="A1427:AN1427"/>
    <mergeCell ref="A1211:AN1211"/>
    <mergeCell ref="A1235:AN1235"/>
    <mergeCell ref="A1259:AN1259"/>
    <mergeCell ref="A1283:AN1283"/>
    <mergeCell ref="A1307:AN1307"/>
    <mergeCell ref="A1331:AN1331"/>
    <mergeCell ref="A1355:AN1355"/>
    <mergeCell ref="AD729:AE729"/>
    <mergeCell ref="AF729:AG729"/>
    <mergeCell ref="AH729:AI729"/>
    <mergeCell ref="AJ729:AK729"/>
    <mergeCell ref="A728:A730"/>
    <mergeCell ref="B728:B730"/>
    <mergeCell ref="C728:E729"/>
    <mergeCell ref="F728:AM728"/>
    <mergeCell ref="AN728:AN730"/>
    <mergeCell ref="F729:G729"/>
    <mergeCell ref="H729:I729"/>
    <mergeCell ref="AL729:AM729"/>
    <mergeCell ref="A731:AN731"/>
    <mergeCell ref="A732:A735"/>
    <mergeCell ref="A736:A737"/>
    <mergeCell ref="A738:A739"/>
    <mergeCell ref="A740:A741"/>
    <mergeCell ref="A742:A744"/>
    <mergeCell ref="A745:A749"/>
    <mergeCell ref="A750:A754"/>
    <mergeCell ref="A755:AN755"/>
    <mergeCell ref="A756:A759"/>
    <mergeCell ref="A760:A761"/>
    <mergeCell ref="A762:A763"/>
    <mergeCell ref="A764:A765"/>
    <mergeCell ref="A766:A768"/>
    <mergeCell ref="A769:A773"/>
    <mergeCell ref="A774:A778"/>
    <mergeCell ref="A779:AN779"/>
    <mergeCell ref="A780:A783"/>
    <mergeCell ref="A784:A785"/>
    <mergeCell ref="A786:A787"/>
    <mergeCell ref="A894:A898"/>
    <mergeCell ref="A899:AN899"/>
    <mergeCell ref="A923:AN923"/>
    <mergeCell ref="A947:AN947"/>
    <mergeCell ref="A971:AN971"/>
    <mergeCell ref="A995:AN995"/>
    <mergeCell ref="A1019:AN1019"/>
    <mergeCell ref="A1044:A1047"/>
    <mergeCell ref="A1048:A1049"/>
    <mergeCell ref="A1050:A1051"/>
    <mergeCell ref="A1052:A1053"/>
    <mergeCell ref="A1054:A1056"/>
    <mergeCell ref="A1057:A1061"/>
    <mergeCell ref="A1062:A1066"/>
    <mergeCell ref="A1068:A1071"/>
    <mergeCell ref="A1072:A1073"/>
    <mergeCell ref="A1074:A1075"/>
    <mergeCell ref="A1076:A1077"/>
    <mergeCell ref="A1078:A1080"/>
    <mergeCell ref="A1081:A1085"/>
    <mergeCell ref="A1086:A1090"/>
    <mergeCell ref="A1092:A1095"/>
    <mergeCell ref="A1096:A1097"/>
    <mergeCell ref="A1098:A1099"/>
    <mergeCell ref="A1100:A1101"/>
    <mergeCell ref="A1102:A1104"/>
    <mergeCell ref="A1105:A1109"/>
    <mergeCell ref="A1110:A1114"/>
    <mergeCell ref="A1116:A1119"/>
    <mergeCell ref="A1120:A1121"/>
    <mergeCell ref="A1122:A1123"/>
    <mergeCell ref="A1124:A1125"/>
    <mergeCell ref="A1126:A1128"/>
    <mergeCell ref="A1129:A1133"/>
    <mergeCell ref="A1134:A1138"/>
    <mergeCell ref="A1140:A1143"/>
    <mergeCell ref="A1144:A1145"/>
    <mergeCell ref="A1146:A1147"/>
    <mergeCell ref="A1148:A1149"/>
    <mergeCell ref="A1150:A1152"/>
    <mergeCell ref="A1153:A1157"/>
    <mergeCell ref="A1158:A1162"/>
    <mergeCell ref="A1164:A1167"/>
    <mergeCell ref="A1168:A1169"/>
    <mergeCell ref="A1170:A1171"/>
    <mergeCell ref="A1172:A1173"/>
    <mergeCell ref="A1174:A1176"/>
    <mergeCell ref="A1177:A1181"/>
    <mergeCell ref="A1182:A1186"/>
    <mergeCell ref="A1188:A1191"/>
    <mergeCell ref="A1192:A1193"/>
    <mergeCell ref="A1194:A1195"/>
    <mergeCell ref="A1196:A1197"/>
    <mergeCell ref="A1198:A1200"/>
    <mergeCell ref="A1201:A1205"/>
    <mergeCell ref="A1206:A1210"/>
    <mergeCell ref="A1380:A1383"/>
    <mergeCell ref="A1384:A1385"/>
    <mergeCell ref="A1386:A1387"/>
    <mergeCell ref="A1388:A1389"/>
    <mergeCell ref="A1390:A1392"/>
    <mergeCell ref="A1393:A1397"/>
    <mergeCell ref="A1398:A1402"/>
    <mergeCell ref="A1428:A1431"/>
    <mergeCell ref="A1432:A1433"/>
    <mergeCell ref="A1434:A1435"/>
    <mergeCell ref="A1436:A1437"/>
    <mergeCell ref="A1438:A1440"/>
    <mergeCell ref="A1441:A1445"/>
    <mergeCell ref="A1446:A1450"/>
    <mergeCell ref="A1404:A1407"/>
    <mergeCell ref="A1408:A1409"/>
    <mergeCell ref="A1410:A1411"/>
    <mergeCell ref="A1412:A1413"/>
    <mergeCell ref="A1414:A1416"/>
    <mergeCell ref="A1417:A1421"/>
    <mergeCell ref="A1422:A1426"/>
    <mergeCell ref="A1212:A1215"/>
    <mergeCell ref="A1216:A1217"/>
    <mergeCell ref="A1218:A1219"/>
    <mergeCell ref="A1220:A1221"/>
    <mergeCell ref="A1222:A1224"/>
    <mergeCell ref="A1225:A1229"/>
    <mergeCell ref="A1230:A1234"/>
    <mergeCell ref="A1236:A1239"/>
    <mergeCell ref="A1240:A1241"/>
    <mergeCell ref="A1242:A1243"/>
    <mergeCell ref="A1244:A1245"/>
    <mergeCell ref="A1246:A1248"/>
    <mergeCell ref="A1249:A1253"/>
    <mergeCell ref="A1254:A1258"/>
    <mergeCell ref="A1260:A1263"/>
    <mergeCell ref="A1264:A1265"/>
    <mergeCell ref="A1266:A1267"/>
    <mergeCell ref="A1268:A1269"/>
    <mergeCell ref="A1270:A1272"/>
    <mergeCell ref="A1273:A1277"/>
    <mergeCell ref="A1278:A1282"/>
    <mergeCell ref="A1284:A1287"/>
    <mergeCell ref="A1288:A1289"/>
    <mergeCell ref="A1290:A1291"/>
    <mergeCell ref="A1292:A1293"/>
    <mergeCell ref="A1294:A1296"/>
    <mergeCell ref="A1297:A1301"/>
    <mergeCell ref="A1302:A1306"/>
    <mergeCell ref="A1308:A1311"/>
    <mergeCell ref="A1312:A1313"/>
    <mergeCell ref="A1314:A1315"/>
    <mergeCell ref="A1316:A1317"/>
    <mergeCell ref="A1318:A1320"/>
    <mergeCell ref="A1321:A1325"/>
    <mergeCell ref="A1326:A1330"/>
    <mergeCell ref="A1332:A1335"/>
    <mergeCell ref="A1336:A1337"/>
    <mergeCell ref="A1338:A1339"/>
    <mergeCell ref="A1340:A1341"/>
    <mergeCell ref="A1342:A1344"/>
    <mergeCell ref="A1345:A1349"/>
    <mergeCell ref="A1350:A1354"/>
    <mergeCell ref="A1356:A1359"/>
    <mergeCell ref="A1360:A1361"/>
    <mergeCell ref="A1362:A1363"/>
    <mergeCell ref="A1364:A1365"/>
    <mergeCell ref="A1366:A1368"/>
    <mergeCell ref="A1369:A1373"/>
    <mergeCell ref="A1374:A1378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85:A86"/>
    <mergeCell ref="A87:A88"/>
    <mergeCell ref="A89:A91"/>
    <mergeCell ref="A92:A96"/>
    <mergeCell ref="A97:A101"/>
    <mergeCell ref="A102:AN102"/>
    <mergeCell ref="A103:A106"/>
    <mergeCell ref="A107:A108"/>
    <mergeCell ref="A109:A110"/>
    <mergeCell ref="A111:A112"/>
    <mergeCell ref="A113:A115"/>
    <mergeCell ref="A116:A120"/>
    <mergeCell ref="A121:A125"/>
    <mergeCell ref="A126:AN126"/>
    <mergeCell ref="A127:A130"/>
    <mergeCell ref="A131:A132"/>
    <mergeCell ref="A133:A134"/>
    <mergeCell ref="A135:A136"/>
    <mergeCell ref="A137:A139"/>
    <mergeCell ref="A140:A144"/>
    <mergeCell ref="A150:AN150"/>
    <mergeCell ref="A174:AN174"/>
    <mergeCell ref="A145:A149"/>
    <mergeCell ref="A151:A154"/>
    <mergeCell ref="A155:A156"/>
    <mergeCell ref="A157:A158"/>
    <mergeCell ref="A159:A160"/>
    <mergeCell ref="A161:A163"/>
    <mergeCell ref="A164:A168"/>
    <mergeCell ref="A169:A173"/>
    <mergeCell ref="A175:A178"/>
    <mergeCell ref="A179:A180"/>
    <mergeCell ref="A181:A182"/>
    <mergeCell ref="A183:A184"/>
    <mergeCell ref="A185:A187"/>
    <mergeCell ref="A188:A192"/>
    <mergeCell ref="A199:A202"/>
    <mergeCell ref="A203:A204"/>
    <mergeCell ref="A205:A206"/>
    <mergeCell ref="A207:A208"/>
    <mergeCell ref="A209:A211"/>
    <mergeCell ref="A212:A216"/>
    <mergeCell ref="A217:A221"/>
    <mergeCell ref="A223:A226"/>
    <mergeCell ref="A227:A228"/>
    <mergeCell ref="A229:A230"/>
    <mergeCell ref="A231:A232"/>
    <mergeCell ref="A233:A235"/>
    <mergeCell ref="A236:A240"/>
    <mergeCell ref="A241:A245"/>
    <mergeCell ref="A247:A250"/>
    <mergeCell ref="A251:A252"/>
    <mergeCell ref="A253:A254"/>
    <mergeCell ref="A255:A256"/>
    <mergeCell ref="A257:A259"/>
    <mergeCell ref="A260:A264"/>
    <mergeCell ref="A265:A269"/>
    <mergeCell ref="A271:A274"/>
    <mergeCell ref="A275:A276"/>
    <mergeCell ref="A277:A278"/>
    <mergeCell ref="A279:A280"/>
    <mergeCell ref="A281:A283"/>
    <mergeCell ref="A284:A288"/>
    <mergeCell ref="A289:A293"/>
    <mergeCell ref="A295:A298"/>
    <mergeCell ref="A299:A300"/>
    <mergeCell ref="A301:A302"/>
    <mergeCell ref="A303:A304"/>
    <mergeCell ref="A305:A307"/>
    <mergeCell ref="A308:A312"/>
    <mergeCell ref="A313:A317"/>
    <mergeCell ref="A319:A322"/>
    <mergeCell ref="A323:A324"/>
    <mergeCell ref="A325:A326"/>
    <mergeCell ref="A327:A328"/>
    <mergeCell ref="A329:A331"/>
    <mergeCell ref="A332:A336"/>
    <mergeCell ref="A337:A341"/>
    <mergeCell ref="AH4:AI4"/>
    <mergeCell ref="AJ4:AK4"/>
    <mergeCell ref="A2:C2"/>
    <mergeCell ref="E2:H2"/>
    <mergeCell ref="A3:A5"/>
    <mergeCell ref="B3:B5"/>
    <mergeCell ref="C3:E4"/>
    <mergeCell ref="F3:AM3"/>
    <mergeCell ref="AN3:AN5"/>
    <mergeCell ref="AL4:AM4"/>
    <mergeCell ref="A6:AN6"/>
    <mergeCell ref="A7:A10"/>
    <mergeCell ref="A11:A12"/>
    <mergeCell ref="A13:A14"/>
    <mergeCell ref="A15:A16"/>
    <mergeCell ref="A17:A19"/>
    <mergeCell ref="A20:A24"/>
    <mergeCell ref="A25:A29"/>
    <mergeCell ref="A30:AN30"/>
    <mergeCell ref="A31:A34"/>
    <mergeCell ref="A35:A36"/>
    <mergeCell ref="A37:A38"/>
    <mergeCell ref="A39:A40"/>
    <mergeCell ref="A41:A43"/>
    <mergeCell ref="A44:A48"/>
    <mergeCell ref="A49:A53"/>
    <mergeCell ref="A54:AN54"/>
    <mergeCell ref="A55:A58"/>
    <mergeCell ref="A59:A60"/>
    <mergeCell ref="A61:A62"/>
    <mergeCell ref="A63:A64"/>
    <mergeCell ref="A65:A67"/>
    <mergeCell ref="A68:A72"/>
    <mergeCell ref="A73:A77"/>
    <mergeCell ref="A78:AN78"/>
    <mergeCell ref="A79:A82"/>
    <mergeCell ref="A83:A84"/>
    <mergeCell ref="A193:A197"/>
    <mergeCell ref="A198:AN198"/>
    <mergeCell ref="A222:AN222"/>
    <mergeCell ref="A246:AN246"/>
    <mergeCell ref="A270:AN270"/>
    <mergeCell ref="A294:AN294"/>
    <mergeCell ref="A318:AN318"/>
    <mergeCell ref="A343:A346"/>
    <mergeCell ref="A347:A348"/>
    <mergeCell ref="A349:A350"/>
    <mergeCell ref="A351:A352"/>
    <mergeCell ref="A353:A355"/>
    <mergeCell ref="A356:A360"/>
    <mergeCell ref="A361:A365"/>
    <mergeCell ref="A367:A370"/>
    <mergeCell ref="A371:A372"/>
    <mergeCell ref="A373:A374"/>
    <mergeCell ref="A375:A376"/>
    <mergeCell ref="A377:A379"/>
    <mergeCell ref="A380:A384"/>
    <mergeCell ref="A385:A389"/>
    <mergeCell ref="A391:A394"/>
    <mergeCell ref="A395:A396"/>
    <mergeCell ref="A397:A398"/>
    <mergeCell ref="A399:A400"/>
    <mergeCell ref="A401:A403"/>
    <mergeCell ref="A404:A408"/>
    <mergeCell ref="A409:A413"/>
    <mergeCell ref="A415:A418"/>
    <mergeCell ref="A419:A420"/>
    <mergeCell ref="A421:A422"/>
    <mergeCell ref="A423:A424"/>
    <mergeCell ref="A425:A427"/>
    <mergeCell ref="A428:A432"/>
    <mergeCell ref="A433:A437"/>
    <mergeCell ref="A439:A442"/>
    <mergeCell ref="A443:A444"/>
    <mergeCell ref="A445:A446"/>
    <mergeCell ref="A447:A448"/>
    <mergeCell ref="A449:A451"/>
    <mergeCell ref="A452:A456"/>
    <mergeCell ref="A457:A461"/>
    <mergeCell ref="A463:A466"/>
    <mergeCell ref="A467:A468"/>
    <mergeCell ref="A469:A470"/>
    <mergeCell ref="A471:A472"/>
    <mergeCell ref="A473:A475"/>
    <mergeCell ref="A476:A480"/>
    <mergeCell ref="A481:A485"/>
    <mergeCell ref="A487:A490"/>
    <mergeCell ref="A491:A492"/>
    <mergeCell ref="A493:A494"/>
    <mergeCell ref="A495:A496"/>
    <mergeCell ref="A497:A499"/>
    <mergeCell ref="A500:A504"/>
    <mergeCell ref="A505:A509"/>
    <mergeCell ref="A679:A682"/>
    <mergeCell ref="A683:A684"/>
    <mergeCell ref="A685:A686"/>
    <mergeCell ref="A687:A688"/>
    <mergeCell ref="A689:A691"/>
    <mergeCell ref="A692:A696"/>
    <mergeCell ref="A697:A701"/>
    <mergeCell ref="A703:A706"/>
    <mergeCell ref="A707:A708"/>
    <mergeCell ref="A709:A710"/>
    <mergeCell ref="A711:A712"/>
    <mergeCell ref="A713:A715"/>
    <mergeCell ref="A716:A720"/>
    <mergeCell ref="A721:A725"/>
    <mergeCell ref="J729:K729"/>
    <mergeCell ref="L729:M729"/>
    <mergeCell ref="N729:O729"/>
    <mergeCell ref="P729:Q729"/>
    <mergeCell ref="R729:S729"/>
    <mergeCell ref="T729:U729"/>
    <mergeCell ref="V729:W729"/>
    <mergeCell ref="X729:Y729"/>
    <mergeCell ref="Z729:AA729"/>
    <mergeCell ref="AB729:AC7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4" t="s">
        <v>238</v>
      </c>
      <c r="E1" s="92" t="s">
        <v>172</v>
      </c>
    </row>
    <row r="2">
      <c r="A2" s="125" t="s">
        <v>173</v>
      </c>
      <c r="B2" s="125" t="s">
        <v>174</v>
      </c>
      <c r="C2" s="126" t="s">
        <v>175</v>
      </c>
      <c r="D2" s="15"/>
      <c r="E2" s="13"/>
      <c r="F2" s="127" t="s">
        <v>176</v>
      </c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7"/>
      <c r="AN2" s="125" t="s">
        <v>177</v>
      </c>
    </row>
    <row r="3">
      <c r="A3" s="98"/>
      <c r="B3" s="98"/>
      <c r="C3" s="99"/>
      <c r="D3" s="100"/>
      <c r="E3" s="101"/>
      <c r="F3" s="127" t="s">
        <v>178</v>
      </c>
      <c r="G3" s="97"/>
      <c r="H3" s="128">
        <v>45905.0</v>
      </c>
      <c r="I3" s="97"/>
      <c r="J3" s="129">
        <v>45944.0</v>
      </c>
      <c r="K3" s="97"/>
      <c r="L3" s="127" t="s">
        <v>179</v>
      </c>
      <c r="M3" s="97"/>
      <c r="N3" s="127" t="s">
        <v>180</v>
      </c>
      <c r="O3" s="97"/>
      <c r="P3" s="127" t="s">
        <v>181</v>
      </c>
      <c r="Q3" s="97"/>
      <c r="R3" s="127" t="s">
        <v>182</v>
      </c>
      <c r="S3" s="97"/>
      <c r="T3" s="127" t="s">
        <v>183</v>
      </c>
      <c r="U3" s="97"/>
      <c r="V3" s="127" t="s">
        <v>184</v>
      </c>
      <c r="W3" s="97"/>
      <c r="X3" s="127" t="s">
        <v>185</v>
      </c>
      <c r="Y3" s="97"/>
      <c r="Z3" s="127" t="s">
        <v>186</v>
      </c>
      <c r="AA3" s="97"/>
      <c r="AB3" s="127" t="s">
        <v>187</v>
      </c>
      <c r="AC3" s="97"/>
      <c r="AD3" s="127" t="s">
        <v>188</v>
      </c>
      <c r="AE3" s="97"/>
      <c r="AF3" s="127" t="s">
        <v>189</v>
      </c>
      <c r="AG3" s="97"/>
      <c r="AH3" s="127" t="s">
        <v>190</v>
      </c>
      <c r="AI3" s="97"/>
      <c r="AJ3" s="127" t="s">
        <v>191</v>
      </c>
      <c r="AK3" s="97"/>
      <c r="AL3" s="127" t="s">
        <v>192</v>
      </c>
      <c r="AM3" s="97"/>
      <c r="AN3" s="98"/>
    </row>
    <row r="4">
      <c r="A4" s="104"/>
      <c r="B4" s="104"/>
      <c r="C4" s="130" t="s">
        <v>193</v>
      </c>
      <c r="D4" s="130" t="s">
        <v>194</v>
      </c>
      <c r="E4" s="130" t="s">
        <v>195</v>
      </c>
      <c r="F4" s="130" t="s">
        <v>194</v>
      </c>
      <c r="G4" s="130" t="s">
        <v>195</v>
      </c>
      <c r="H4" s="130" t="s">
        <v>194</v>
      </c>
      <c r="I4" s="130" t="s">
        <v>195</v>
      </c>
      <c r="J4" s="130" t="s">
        <v>194</v>
      </c>
      <c r="K4" s="130" t="s">
        <v>195</v>
      </c>
      <c r="L4" s="130" t="s">
        <v>194</v>
      </c>
      <c r="M4" s="130" t="s">
        <v>195</v>
      </c>
      <c r="N4" s="130" t="s">
        <v>194</v>
      </c>
      <c r="O4" s="130" t="s">
        <v>195</v>
      </c>
      <c r="P4" s="130" t="s">
        <v>194</v>
      </c>
      <c r="Q4" s="130" t="s">
        <v>195</v>
      </c>
      <c r="R4" s="130" t="s">
        <v>194</v>
      </c>
      <c r="S4" s="130" t="s">
        <v>195</v>
      </c>
      <c r="T4" s="130" t="s">
        <v>194</v>
      </c>
      <c r="U4" s="130" t="s">
        <v>195</v>
      </c>
      <c r="V4" s="130" t="s">
        <v>194</v>
      </c>
      <c r="W4" s="130" t="s">
        <v>195</v>
      </c>
      <c r="X4" s="130" t="s">
        <v>194</v>
      </c>
      <c r="Y4" s="130" t="s">
        <v>195</v>
      </c>
      <c r="Z4" s="130" t="s">
        <v>194</v>
      </c>
      <c r="AA4" s="130" t="s">
        <v>195</v>
      </c>
      <c r="AB4" s="130" t="s">
        <v>194</v>
      </c>
      <c r="AC4" s="130" t="s">
        <v>195</v>
      </c>
      <c r="AD4" s="130" t="s">
        <v>194</v>
      </c>
      <c r="AE4" s="130" t="s">
        <v>195</v>
      </c>
      <c r="AF4" s="130" t="s">
        <v>194</v>
      </c>
      <c r="AG4" s="130" t="s">
        <v>195</v>
      </c>
      <c r="AH4" s="130" t="s">
        <v>194</v>
      </c>
      <c r="AI4" s="130" t="s">
        <v>195</v>
      </c>
      <c r="AJ4" s="130" t="s">
        <v>194</v>
      </c>
      <c r="AK4" s="130" t="s">
        <v>195</v>
      </c>
      <c r="AL4" s="130" t="s">
        <v>194</v>
      </c>
      <c r="AM4" s="130" t="s">
        <v>195</v>
      </c>
      <c r="AN4" s="104"/>
    </row>
    <row r="5">
      <c r="A5" s="131" t="s">
        <v>196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</row>
    <row r="6">
      <c r="A6" s="132" t="s">
        <v>197</v>
      </c>
      <c r="B6" s="133" t="s">
        <v>198</v>
      </c>
      <c r="C6" s="134">
        <v>2900511.0</v>
      </c>
      <c r="D6" s="134">
        <v>1050710.0</v>
      </c>
      <c r="E6" s="134">
        <v>1849815.0</v>
      </c>
      <c r="F6" s="135">
        <v>0.0</v>
      </c>
      <c r="G6" s="135">
        <v>0.0</v>
      </c>
      <c r="H6" s="135">
        <v>0.0</v>
      </c>
      <c r="I6" s="135">
        <v>0.0</v>
      </c>
      <c r="J6" s="135">
        <v>0.0</v>
      </c>
      <c r="K6" s="135">
        <v>0.0</v>
      </c>
      <c r="L6" s="134">
        <v>1968.0</v>
      </c>
      <c r="M6" s="134">
        <v>3082.0</v>
      </c>
      <c r="N6" s="134">
        <v>2754.0</v>
      </c>
      <c r="O6" s="134">
        <v>6079.0</v>
      </c>
      <c r="P6" s="134">
        <v>5586.0</v>
      </c>
      <c r="Q6" s="134">
        <v>12319.0</v>
      </c>
      <c r="R6" s="134">
        <v>9340.0</v>
      </c>
      <c r="S6" s="134">
        <v>20733.0</v>
      </c>
      <c r="T6" s="134">
        <v>17184.0</v>
      </c>
      <c r="U6" s="134">
        <v>36752.0</v>
      </c>
      <c r="V6" s="134">
        <v>30585.0</v>
      </c>
      <c r="W6" s="134">
        <v>66181.0</v>
      </c>
      <c r="X6" s="134">
        <v>53624.0</v>
      </c>
      <c r="Y6" s="134">
        <v>116524.0</v>
      </c>
      <c r="Z6" s="134">
        <v>92911.0</v>
      </c>
      <c r="AA6" s="134">
        <v>194785.0</v>
      </c>
      <c r="AB6" s="134">
        <v>126974.0</v>
      </c>
      <c r="AC6" s="134">
        <v>239999.0</v>
      </c>
      <c r="AD6" s="134">
        <v>146278.0</v>
      </c>
      <c r="AE6" s="134">
        <v>256955.0</v>
      </c>
      <c r="AF6" s="134">
        <v>157480.0</v>
      </c>
      <c r="AG6" s="134">
        <v>253533.0</v>
      </c>
      <c r="AH6" s="134">
        <v>157647.0</v>
      </c>
      <c r="AI6" s="134">
        <v>238296.0</v>
      </c>
      <c r="AJ6" s="134">
        <v>122664.0</v>
      </c>
      <c r="AK6" s="134">
        <v>187835.0</v>
      </c>
      <c r="AL6" s="134">
        <v>126033.0</v>
      </c>
      <c r="AM6" s="134">
        <v>217273.0</v>
      </c>
      <c r="AN6" s="134">
        <v>2870098.0</v>
      </c>
    </row>
    <row r="7">
      <c r="A7" s="98"/>
      <c r="B7" s="136" t="s">
        <v>199</v>
      </c>
      <c r="C7" s="134">
        <v>1322084.0</v>
      </c>
      <c r="D7" s="134">
        <v>478473.0</v>
      </c>
      <c r="E7" s="134">
        <v>843611.0</v>
      </c>
      <c r="F7" s="135">
        <v>0.0</v>
      </c>
      <c r="G7" s="135">
        <v>0.0</v>
      </c>
      <c r="H7" s="135">
        <v>0.0</v>
      </c>
      <c r="I7" s="135">
        <v>0.0</v>
      </c>
      <c r="J7" s="135">
        <v>0.0</v>
      </c>
      <c r="K7" s="135">
        <v>0.0</v>
      </c>
      <c r="L7" s="137">
        <v>490.0</v>
      </c>
      <c r="M7" s="137">
        <v>701.0</v>
      </c>
      <c r="N7" s="137">
        <v>980.0</v>
      </c>
      <c r="O7" s="134">
        <v>1592.0</v>
      </c>
      <c r="P7" s="134">
        <v>1926.0</v>
      </c>
      <c r="Q7" s="134">
        <v>3758.0</v>
      </c>
      <c r="R7" s="134">
        <v>3429.0</v>
      </c>
      <c r="S7" s="134">
        <v>6787.0</v>
      </c>
      <c r="T7" s="134">
        <v>6297.0</v>
      </c>
      <c r="U7" s="134">
        <v>13456.0</v>
      </c>
      <c r="V7" s="134">
        <v>11978.0</v>
      </c>
      <c r="W7" s="134">
        <v>26034.0</v>
      </c>
      <c r="X7" s="134">
        <v>21445.0</v>
      </c>
      <c r="Y7" s="134">
        <v>48279.0</v>
      </c>
      <c r="Z7" s="134">
        <v>38590.0</v>
      </c>
      <c r="AA7" s="134">
        <v>82504.0</v>
      </c>
      <c r="AB7" s="134">
        <v>53340.0</v>
      </c>
      <c r="AC7" s="134">
        <v>103725.0</v>
      </c>
      <c r="AD7" s="134">
        <v>63352.0</v>
      </c>
      <c r="AE7" s="134">
        <v>115049.0</v>
      </c>
      <c r="AF7" s="134">
        <v>74461.0</v>
      </c>
      <c r="AG7" s="134">
        <v>122516.0</v>
      </c>
      <c r="AH7" s="134">
        <v>77172.0</v>
      </c>
      <c r="AI7" s="134">
        <v>117861.0</v>
      </c>
      <c r="AJ7" s="134">
        <v>61285.0</v>
      </c>
      <c r="AK7" s="134">
        <v>93115.0</v>
      </c>
      <c r="AL7" s="134">
        <v>63728.0</v>
      </c>
      <c r="AM7" s="134">
        <v>108234.0</v>
      </c>
      <c r="AN7" s="134">
        <v>1309557.0</v>
      </c>
    </row>
    <row r="8">
      <c r="A8" s="98"/>
      <c r="B8" s="136" t="s">
        <v>200</v>
      </c>
      <c r="C8" s="134">
        <v>1111789.0</v>
      </c>
      <c r="D8" s="134">
        <v>379451.0</v>
      </c>
      <c r="E8" s="134">
        <v>732338.0</v>
      </c>
      <c r="F8" s="135">
        <v>0.0</v>
      </c>
      <c r="G8" s="135">
        <v>0.0</v>
      </c>
      <c r="H8" s="135">
        <v>0.0</v>
      </c>
      <c r="I8" s="135">
        <v>0.0</v>
      </c>
      <c r="J8" s="135">
        <v>0.0</v>
      </c>
      <c r="K8" s="135">
        <v>0.0</v>
      </c>
      <c r="L8" s="137">
        <v>834.0</v>
      </c>
      <c r="M8" s="134">
        <v>1682.0</v>
      </c>
      <c r="N8" s="134">
        <v>1288.0</v>
      </c>
      <c r="O8" s="134">
        <v>3385.0</v>
      </c>
      <c r="P8" s="134">
        <v>2388.0</v>
      </c>
      <c r="Q8" s="134">
        <v>6139.0</v>
      </c>
      <c r="R8" s="134">
        <v>3886.0</v>
      </c>
      <c r="S8" s="134">
        <v>9441.0</v>
      </c>
      <c r="T8" s="134">
        <v>6988.0</v>
      </c>
      <c r="U8" s="134">
        <v>16578.0</v>
      </c>
      <c r="V8" s="134">
        <v>11953.0</v>
      </c>
      <c r="W8" s="134">
        <v>28331.0</v>
      </c>
      <c r="X8" s="134">
        <v>20562.0</v>
      </c>
      <c r="Y8" s="134">
        <v>49780.0</v>
      </c>
      <c r="Z8" s="134">
        <v>34300.0</v>
      </c>
      <c r="AA8" s="134">
        <v>82024.0</v>
      </c>
      <c r="AB8" s="134">
        <v>45888.0</v>
      </c>
      <c r="AC8" s="134">
        <v>97679.0</v>
      </c>
      <c r="AD8" s="134">
        <v>52135.0</v>
      </c>
      <c r="AE8" s="134">
        <v>102073.0</v>
      </c>
      <c r="AF8" s="134">
        <v>56889.0</v>
      </c>
      <c r="AG8" s="134">
        <v>99888.0</v>
      </c>
      <c r="AH8" s="134">
        <v>57413.0</v>
      </c>
      <c r="AI8" s="134">
        <v>92312.0</v>
      </c>
      <c r="AJ8" s="134">
        <v>43529.0</v>
      </c>
      <c r="AK8" s="134">
        <v>69745.0</v>
      </c>
      <c r="AL8" s="134">
        <v>41396.0</v>
      </c>
      <c r="AM8" s="134">
        <v>73282.0</v>
      </c>
      <c r="AN8" s="134">
        <v>1099332.0</v>
      </c>
    </row>
    <row r="9">
      <c r="A9" s="104"/>
      <c r="B9" s="136" t="s">
        <v>201</v>
      </c>
      <c r="C9" s="134">
        <v>92806.0</v>
      </c>
      <c r="D9" s="134">
        <v>34235.0</v>
      </c>
      <c r="E9" s="134">
        <v>58571.0</v>
      </c>
      <c r="F9" s="135">
        <v>0.0</v>
      </c>
      <c r="G9" s="135">
        <v>0.0</v>
      </c>
      <c r="H9" s="135">
        <v>0.0</v>
      </c>
      <c r="I9" s="135">
        <v>0.0</v>
      </c>
      <c r="J9" s="135">
        <v>0.0</v>
      </c>
      <c r="K9" s="135">
        <v>0.0</v>
      </c>
      <c r="L9" s="137">
        <v>134.0</v>
      </c>
      <c r="M9" s="137">
        <v>167.0</v>
      </c>
      <c r="N9" s="137">
        <v>121.0</v>
      </c>
      <c r="O9" s="137">
        <v>263.0</v>
      </c>
      <c r="P9" s="137">
        <v>278.0</v>
      </c>
      <c r="Q9" s="137">
        <v>484.0</v>
      </c>
      <c r="R9" s="137">
        <v>380.0</v>
      </c>
      <c r="S9" s="137">
        <v>865.0</v>
      </c>
      <c r="T9" s="137">
        <v>670.0</v>
      </c>
      <c r="U9" s="134">
        <v>1366.0</v>
      </c>
      <c r="V9" s="134">
        <v>1055.0</v>
      </c>
      <c r="W9" s="134">
        <v>2373.0</v>
      </c>
      <c r="X9" s="134">
        <v>1912.0</v>
      </c>
      <c r="Y9" s="134">
        <v>4004.0</v>
      </c>
      <c r="Z9" s="134">
        <v>3105.0</v>
      </c>
      <c r="AA9" s="134">
        <v>6364.0</v>
      </c>
      <c r="AB9" s="134">
        <v>3912.0</v>
      </c>
      <c r="AC9" s="134">
        <v>7619.0</v>
      </c>
      <c r="AD9" s="134">
        <v>4303.0</v>
      </c>
      <c r="AE9" s="134">
        <v>8142.0</v>
      </c>
      <c r="AF9" s="134">
        <v>4990.0</v>
      </c>
      <c r="AG9" s="134">
        <v>7904.0</v>
      </c>
      <c r="AH9" s="134">
        <v>5121.0</v>
      </c>
      <c r="AI9" s="134">
        <v>7180.0</v>
      </c>
      <c r="AJ9" s="134">
        <v>3889.0</v>
      </c>
      <c r="AK9" s="134">
        <v>5303.0</v>
      </c>
      <c r="AL9" s="134">
        <v>4365.0</v>
      </c>
      <c r="AM9" s="134">
        <v>6537.0</v>
      </c>
      <c r="AN9" s="134">
        <v>92097.0</v>
      </c>
    </row>
    <row r="10">
      <c r="A10" s="132" t="s">
        <v>202</v>
      </c>
      <c r="B10" s="136" t="s">
        <v>198</v>
      </c>
      <c r="C10" s="134">
        <v>11070.0</v>
      </c>
      <c r="D10" s="134">
        <v>6218.0</v>
      </c>
      <c r="E10" s="134">
        <v>4852.0</v>
      </c>
      <c r="F10" s="137">
        <v>137.0</v>
      </c>
      <c r="G10" s="137">
        <v>139.0</v>
      </c>
      <c r="H10" s="137">
        <v>155.0</v>
      </c>
      <c r="I10" s="137">
        <v>140.0</v>
      </c>
      <c r="J10" s="137">
        <v>130.0</v>
      </c>
      <c r="K10" s="137">
        <v>106.0</v>
      </c>
      <c r="L10" s="137">
        <v>215.0</v>
      </c>
      <c r="M10" s="137">
        <v>211.0</v>
      </c>
      <c r="N10" s="137">
        <v>453.0</v>
      </c>
      <c r="O10" s="137">
        <v>364.0</v>
      </c>
      <c r="P10" s="137">
        <v>638.0</v>
      </c>
      <c r="Q10" s="137">
        <v>436.0</v>
      </c>
      <c r="R10" s="137">
        <v>498.0</v>
      </c>
      <c r="S10" s="137">
        <v>417.0</v>
      </c>
      <c r="T10" s="137">
        <v>553.0</v>
      </c>
      <c r="U10" s="137">
        <v>302.0</v>
      </c>
      <c r="V10" s="137">
        <v>460.0</v>
      </c>
      <c r="W10" s="137">
        <v>315.0</v>
      </c>
      <c r="X10" s="137">
        <v>414.0</v>
      </c>
      <c r="Y10" s="137">
        <v>310.0</v>
      </c>
      <c r="Z10" s="137">
        <v>494.0</v>
      </c>
      <c r="AA10" s="137">
        <v>350.0</v>
      </c>
      <c r="AB10" s="137">
        <v>453.0</v>
      </c>
      <c r="AC10" s="137">
        <v>417.0</v>
      </c>
      <c r="AD10" s="137">
        <v>540.0</v>
      </c>
      <c r="AE10" s="137">
        <v>365.0</v>
      </c>
      <c r="AF10" s="137">
        <v>329.0</v>
      </c>
      <c r="AG10" s="137">
        <v>321.0</v>
      </c>
      <c r="AH10" s="137">
        <v>266.0</v>
      </c>
      <c r="AI10" s="137">
        <v>251.0</v>
      </c>
      <c r="AJ10" s="137">
        <v>249.0</v>
      </c>
      <c r="AK10" s="137">
        <v>178.0</v>
      </c>
      <c r="AL10" s="137">
        <v>234.0</v>
      </c>
      <c r="AM10" s="137">
        <v>230.0</v>
      </c>
      <c r="AN10" s="134">
        <v>10594.0</v>
      </c>
    </row>
    <row r="11">
      <c r="A11" s="104"/>
      <c r="B11" s="136" t="s">
        <v>199</v>
      </c>
      <c r="C11" s="134">
        <v>9612.0</v>
      </c>
      <c r="D11" s="134">
        <v>5416.0</v>
      </c>
      <c r="E11" s="134">
        <v>4196.0</v>
      </c>
      <c r="F11" s="137">
        <v>218.0</v>
      </c>
      <c r="G11" s="137">
        <v>220.0</v>
      </c>
      <c r="H11" s="137">
        <v>152.0</v>
      </c>
      <c r="I11" s="137">
        <v>148.0</v>
      </c>
      <c r="J11" s="137">
        <v>142.0</v>
      </c>
      <c r="K11" s="137">
        <v>105.0</v>
      </c>
      <c r="L11" s="137">
        <v>359.0</v>
      </c>
      <c r="M11" s="137">
        <v>178.0</v>
      </c>
      <c r="N11" s="137">
        <v>425.0</v>
      </c>
      <c r="O11" s="137">
        <v>406.0</v>
      </c>
      <c r="P11" s="137">
        <v>631.0</v>
      </c>
      <c r="Q11" s="137">
        <v>352.0</v>
      </c>
      <c r="R11" s="137">
        <v>394.0</v>
      </c>
      <c r="S11" s="137">
        <v>583.0</v>
      </c>
      <c r="T11" s="137">
        <v>705.0</v>
      </c>
      <c r="U11" s="137">
        <v>295.0</v>
      </c>
      <c r="V11" s="137">
        <v>329.0</v>
      </c>
      <c r="W11" s="137">
        <v>222.0</v>
      </c>
      <c r="X11" s="137">
        <v>250.0</v>
      </c>
      <c r="Y11" s="137">
        <v>247.0</v>
      </c>
      <c r="Z11" s="137">
        <v>366.0</v>
      </c>
      <c r="AA11" s="137">
        <v>299.0</v>
      </c>
      <c r="AB11" s="137">
        <v>362.0</v>
      </c>
      <c r="AC11" s="137">
        <v>219.0</v>
      </c>
      <c r="AD11" s="137">
        <v>469.0</v>
      </c>
      <c r="AE11" s="137">
        <v>212.0</v>
      </c>
      <c r="AF11" s="137">
        <v>183.0</v>
      </c>
      <c r="AG11" s="137">
        <v>261.0</v>
      </c>
      <c r="AH11" s="137">
        <v>143.0</v>
      </c>
      <c r="AI11" s="137">
        <v>191.0</v>
      </c>
      <c r="AJ11" s="137">
        <v>125.0</v>
      </c>
      <c r="AK11" s="137">
        <v>114.0</v>
      </c>
      <c r="AL11" s="137">
        <v>163.0</v>
      </c>
      <c r="AM11" s="137">
        <v>144.0</v>
      </c>
      <c r="AN11" s="134">
        <v>9200.0</v>
      </c>
    </row>
    <row r="12">
      <c r="A12" s="132" t="s">
        <v>203</v>
      </c>
      <c r="B12" s="136" t="s">
        <v>198</v>
      </c>
      <c r="C12" s="134">
        <v>2183.0</v>
      </c>
      <c r="D12" s="137">
        <v>887.0</v>
      </c>
      <c r="E12" s="134">
        <v>1296.0</v>
      </c>
      <c r="F12" s="135">
        <v>0.0</v>
      </c>
      <c r="G12" s="135">
        <v>0.0</v>
      </c>
      <c r="H12" s="135">
        <v>0.0</v>
      </c>
      <c r="I12" s="135">
        <v>0.0</v>
      </c>
      <c r="J12" s="135">
        <v>0.0</v>
      </c>
      <c r="K12" s="135">
        <v>0.0</v>
      </c>
      <c r="L12" s="135">
        <v>0.0</v>
      </c>
      <c r="M12" s="135">
        <v>0.0</v>
      </c>
      <c r="N12" s="135">
        <v>0.0</v>
      </c>
      <c r="O12" s="135">
        <v>0.0</v>
      </c>
      <c r="P12" s="135">
        <v>0.0</v>
      </c>
      <c r="Q12" s="135">
        <v>0.0</v>
      </c>
      <c r="R12" s="135">
        <v>0.0</v>
      </c>
      <c r="S12" s="135">
        <v>0.0</v>
      </c>
      <c r="T12" s="135">
        <v>0.0</v>
      </c>
      <c r="U12" s="135">
        <v>0.0</v>
      </c>
      <c r="V12" s="135">
        <v>0.0</v>
      </c>
      <c r="W12" s="135">
        <v>0.0</v>
      </c>
      <c r="X12" s="135">
        <v>0.0</v>
      </c>
      <c r="Y12" s="135">
        <v>0.0</v>
      </c>
      <c r="Z12" s="135">
        <v>0.0</v>
      </c>
      <c r="AA12" s="135">
        <v>0.0</v>
      </c>
      <c r="AB12" s="135">
        <v>0.0</v>
      </c>
      <c r="AC12" s="135">
        <v>0.0</v>
      </c>
      <c r="AD12" s="135">
        <v>0.0</v>
      </c>
      <c r="AE12" s="135">
        <v>0.0</v>
      </c>
      <c r="AF12" s="137">
        <v>212.0</v>
      </c>
      <c r="AG12" s="137">
        <v>323.0</v>
      </c>
      <c r="AH12" s="137">
        <v>216.0</v>
      </c>
      <c r="AI12" s="137">
        <v>282.0</v>
      </c>
      <c r="AJ12" s="137">
        <v>229.0</v>
      </c>
      <c r="AK12" s="137">
        <v>265.0</v>
      </c>
      <c r="AL12" s="137">
        <v>230.0</v>
      </c>
      <c r="AM12" s="137">
        <v>426.0</v>
      </c>
      <c r="AN12" s="134">
        <v>2179.0</v>
      </c>
    </row>
    <row r="13">
      <c r="A13" s="104"/>
      <c r="B13" s="136" t="s">
        <v>199</v>
      </c>
      <c r="C13" s="134">
        <v>23215.0</v>
      </c>
      <c r="D13" s="134">
        <v>8542.0</v>
      </c>
      <c r="E13" s="134">
        <v>14673.0</v>
      </c>
      <c r="F13" s="135">
        <v>0.0</v>
      </c>
      <c r="G13" s="135">
        <v>0.0</v>
      </c>
      <c r="H13" s="135">
        <v>0.0</v>
      </c>
      <c r="I13" s="135">
        <v>0.0</v>
      </c>
      <c r="J13" s="135">
        <v>0.0</v>
      </c>
      <c r="K13" s="135">
        <v>0.0</v>
      </c>
      <c r="L13" s="135">
        <v>0.0</v>
      </c>
      <c r="M13" s="135">
        <v>0.0</v>
      </c>
      <c r="N13" s="135">
        <v>0.0</v>
      </c>
      <c r="O13" s="135">
        <v>0.0</v>
      </c>
      <c r="P13" s="135">
        <v>0.0</v>
      </c>
      <c r="Q13" s="135">
        <v>0.0</v>
      </c>
      <c r="R13" s="135">
        <v>0.0</v>
      </c>
      <c r="S13" s="135">
        <v>0.0</v>
      </c>
      <c r="T13" s="135">
        <v>0.0</v>
      </c>
      <c r="U13" s="135">
        <v>0.0</v>
      </c>
      <c r="V13" s="135">
        <v>0.0</v>
      </c>
      <c r="W13" s="135">
        <v>0.0</v>
      </c>
      <c r="X13" s="135">
        <v>0.0</v>
      </c>
      <c r="Y13" s="135">
        <v>0.0</v>
      </c>
      <c r="Z13" s="135">
        <v>0.0</v>
      </c>
      <c r="AA13" s="135">
        <v>0.0</v>
      </c>
      <c r="AB13" s="135">
        <v>0.0</v>
      </c>
      <c r="AC13" s="135">
        <v>0.0</v>
      </c>
      <c r="AD13" s="135">
        <v>0.0</v>
      </c>
      <c r="AE13" s="135">
        <v>0.0</v>
      </c>
      <c r="AF13" s="134">
        <v>2202.0</v>
      </c>
      <c r="AG13" s="134">
        <v>4086.0</v>
      </c>
      <c r="AH13" s="134">
        <v>2688.0</v>
      </c>
      <c r="AI13" s="134">
        <v>4359.0</v>
      </c>
      <c r="AJ13" s="134">
        <v>2082.0</v>
      </c>
      <c r="AK13" s="134">
        <v>3290.0</v>
      </c>
      <c r="AL13" s="134">
        <v>1570.0</v>
      </c>
      <c r="AM13" s="134">
        <v>2938.0</v>
      </c>
      <c r="AN13" s="134">
        <v>22890.0</v>
      </c>
    </row>
    <row r="14">
      <c r="A14" s="132" t="s">
        <v>204</v>
      </c>
      <c r="B14" s="136" t="s">
        <v>198</v>
      </c>
      <c r="C14" s="137">
        <v>719.0</v>
      </c>
      <c r="D14" s="137">
        <v>264.0</v>
      </c>
      <c r="E14" s="137">
        <v>455.0</v>
      </c>
      <c r="F14" s="135">
        <v>0.0</v>
      </c>
      <c r="G14" s="135">
        <v>0.0</v>
      </c>
      <c r="H14" s="135">
        <v>0.0</v>
      </c>
      <c r="I14" s="135">
        <v>0.0</v>
      </c>
      <c r="J14" s="135">
        <v>0.0</v>
      </c>
      <c r="K14" s="135">
        <v>0.0</v>
      </c>
      <c r="L14" s="135">
        <v>0.0</v>
      </c>
      <c r="M14" s="135">
        <v>0.0</v>
      </c>
      <c r="N14" s="135">
        <v>0.0</v>
      </c>
      <c r="O14" s="135">
        <v>0.0</v>
      </c>
      <c r="P14" s="135">
        <v>0.0</v>
      </c>
      <c r="Q14" s="135">
        <v>0.0</v>
      </c>
      <c r="R14" s="135">
        <v>0.0</v>
      </c>
      <c r="S14" s="135">
        <v>0.0</v>
      </c>
      <c r="T14" s="135">
        <v>0.0</v>
      </c>
      <c r="U14" s="135">
        <v>0.0</v>
      </c>
      <c r="V14" s="135">
        <v>0.0</v>
      </c>
      <c r="W14" s="135">
        <v>0.0</v>
      </c>
      <c r="X14" s="135">
        <v>0.0</v>
      </c>
      <c r="Y14" s="135">
        <v>0.0</v>
      </c>
      <c r="Z14" s="135">
        <v>0.0</v>
      </c>
      <c r="AA14" s="135">
        <v>0.0</v>
      </c>
      <c r="AB14" s="135">
        <v>0.0</v>
      </c>
      <c r="AC14" s="135">
        <v>0.0</v>
      </c>
      <c r="AD14" s="135">
        <v>0.0</v>
      </c>
      <c r="AE14" s="135">
        <v>0.0</v>
      </c>
      <c r="AF14" s="137">
        <v>38.0</v>
      </c>
      <c r="AG14" s="137">
        <v>62.0</v>
      </c>
      <c r="AH14" s="137">
        <v>42.0</v>
      </c>
      <c r="AI14" s="137">
        <v>84.0</v>
      </c>
      <c r="AJ14" s="137">
        <v>64.0</v>
      </c>
      <c r="AK14" s="137">
        <v>110.0</v>
      </c>
      <c r="AL14" s="137">
        <v>120.0</v>
      </c>
      <c r="AM14" s="137">
        <v>199.0</v>
      </c>
      <c r="AN14" s="137">
        <v>712.0</v>
      </c>
    </row>
    <row r="15">
      <c r="A15" s="104"/>
      <c r="B15" s="136" t="s">
        <v>199</v>
      </c>
      <c r="C15" s="134">
        <v>14359.0</v>
      </c>
      <c r="D15" s="134">
        <v>4990.0</v>
      </c>
      <c r="E15" s="134">
        <v>9369.0</v>
      </c>
      <c r="F15" s="135">
        <v>0.0</v>
      </c>
      <c r="G15" s="135">
        <v>0.0</v>
      </c>
      <c r="H15" s="135">
        <v>0.0</v>
      </c>
      <c r="I15" s="135">
        <v>0.0</v>
      </c>
      <c r="J15" s="135">
        <v>0.0</v>
      </c>
      <c r="K15" s="135">
        <v>0.0</v>
      </c>
      <c r="L15" s="135">
        <v>0.0</v>
      </c>
      <c r="M15" s="135">
        <v>0.0</v>
      </c>
      <c r="N15" s="135">
        <v>0.0</v>
      </c>
      <c r="O15" s="135">
        <v>0.0</v>
      </c>
      <c r="P15" s="135">
        <v>0.0</v>
      </c>
      <c r="Q15" s="135">
        <v>0.0</v>
      </c>
      <c r="R15" s="135">
        <v>0.0</v>
      </c>
      <c r="S15" s="135">
        <v>0.0</v>
      </c>
      <c r="T15" s="135">
        <v>0.0</v>
      </c>
      <c r="U15" s="135">
        <v>0.0</v>
      </c>
      <c r="V15" s="135">
        <v>0.0</v>
      </c>
      <c r="W15" s="135">
        <v>0.0</v>
      </c>
      <c r="X15" s="135">
        <v>0.0</v>
      </c>
      <c r="Y15" s="135">
        <v>0.0</v>
      </c>
      <c r="Z15" s="135">
        <v>0.0</v>
      </c>
      <c r="AA15" s="135">
        <v>0.0</v>
      </c>
      <c r="AB15" s="135">
        <v>0.0</v>
      </c>
      <c r="AC15" s="135">
        <v>0.0</v>
      </c>
      <c r="AD15" s="135">
        <v>0.0</v>
      </c>
      <c r="AE15" s="135">
        <v>0.0</v>
      </c>
      <c r="AF15" s="137">
        <v>635.0</v>
      </c>
      <c r="AG15" s="134">
        <v>1204.0</v>
      </c>
      <c r="AH15" s="137">
        <v>948.0</v>
      </c>
      <c r="AI15" s="134">
        <v>1750.0</v>
      </c>
      <c r="AJ15" s="134">
        <v>1202.0</v>
      </c>
      <c r="AK15" s="134">
        <v>2020.0</v>
      </c>
      <c r="AL15" s="134">
        <v>2205.0</v>
      </c>
      <c r="AM15" s="134">
        <v>4395.0</v>
      </c>
      <c r="AN15" s="134">
        <v>14194.0</v>
      </c>
    </row>
    <row r="16">
      <c r="A16" s="132" t="s">
        <v>205</v>
      </c>
      <c r="B16" s="136" t="s">
        <v>198</v>
      </c>
      <c r="C16" s="134">
        <v>2966.0</v>
      </c>
      <c r="D16" s="134">
        <v>1031.0</v>
      </c>
      <c r="E16" s="134">
        <v>1935.0</v>
      </c>
      <c r="F16" s="137">
        <v>11.0</v>
      </c>
      <c r="G16" s="137">
        <v>16.0</v>
      </c>
      <c r="H16" s="137">
        <v>20.0</v>
      </c>
      <c r="I16" s="137">
        <v>8.0</v>
      </c>
      <c r="J16" s="137">
        <v>30.0</v>
      </c>
      <c r="K16" s="137">
        <v>14.0</v>
      </c>
      <c r="L16" s="137">
        <v>54.0</v>
      </c>
      <c r="M16" s="137">
        <v>85.0</v>
      </c>
      <c r="N16" s="137">
        <v>125.0</v>
      </c>
      <c r="O16" s="137">
        <v>136.0</v>
      </c>
      <c r="P16" s="137">
        <v>82.0</v>
      </c>
      <c r="Q16" s="137">
        <v>143.0</v>
      </c>
      <c r="R16" s="137">
        <v>81.0</v>
      </c>
      <c r="S16" s="137">
        <v>96.0</v>
      </c>
      <c r="T16" s="137">
        <v>42.0</v>
      </c>
      <c r="U16" s="137">
        <v>76.0</v>
      </c>
      <c r="V16" s="137">
        <v>47.0</v>
      </c>
      <c r="W16" s="137">
        <v>99.0</v>
      </c>
      <c r="X16" s="137">
        <v>48.0</v>
      </c>
      <c r="Y16" s="137">
        <v>102.0</v>
      </c>
      <c r="Z16" s="137">
        <v>63.0</v>
      </c>
      <c r="AA16" s="137">
        <v>141.0</v>
      </c>
      <c r="AB16" s="137">
        <v>55.0</v>
      </c>
      <c r="AC16" s="137">
        <v>188.0</v>
      </c>
      <c r="AD16" s="137">
        <v>94.0</v>
      </c>
      <c r="AE16" s="137">
        <v>221.0</v>
      </c>
      <c r="AF16" s="137">
        <v>61.0</v>
      </c>
      <c r="AG16" s="137">
        <v>214.0</v>
      </c>
      <c r="AH16" s="137">
        <v>67.0</v>
      </c>
      <c r="AI16" s="137">
        <v>162.0</v>
      </c>
      <c r="AJ16" s="137">
        <v>78.0</v>
      </c>
      <c r="AK16" s="137">
        <v>113.0</v>
      </c>
      <c r="AL16" s="137">
        <v>73.0</v>
      </c>
      <c r="AM16" s="137">
        <v>121.0</v>
      </c>
      <c r="AN16" s="134">
        <v>2940.0</v>
      </c>
    </row>
    <row r="17">
      <c r="A17" s="98"/>
      <c r="B17" s="136" t="s">
        <v>199</v>
      </c>
      <c r="C17" s="137">
        <v>516.0</v>
      </c>
      <c r="D17" s="137">
        <v>198.0</v>
      </c>
      <c r="E17" s="137">
        <v>318.0</v>
      </c>
      <c r="F17" s="137">
        <v>6.0</v>
      </c>
      <c r="G17" s="137">
        <v>6.0</v>
      </c>
      <c r="H17" s="137">
        <v>3.0</v>
      </c>
      <c r="I17" s="137">
        <v>12.0</v>
      </c>
      <c r="J17" s="137">
        <v>4.0</v>
      </c>
      <c r="K17" s="137">
        <v>5.0</v>
      </c>
      <c r="L17" s="137">
        <v>12.0</v>
      </c>
      <c r="M17" s="137">
        <v>8.0</v>
      </c>
      <c r="N17" s="137">
        <v>25.0</v>
      </c>
      <c r="O17" s="137">
        <v>19.0</v>
      </c>
      <c r="P17" s="137">
        <v>14.0</v>
      </c>
      <c r="Q17" s="137">
        <v>22.0</v>
      </c>
      <c r="R17" s="137">
        <v>18.0</v>
      </c>
      <c r="S17" s="137">
        <v>26.0</v>
      </c>
      <c r="T17" s="137">
        <v>18.0</v>
      </c>
      <c r="U17" s="137">
        <v>32.0</v>
      </c>
      <c r="V17" s="137">
        <v>21.0</v>
      </c>
      <c r="W17" s="137">
        <v>26.0</v>
      </c>
      <c r="X17" s="137">
        <v>7.0</v>
      </c>
      <c r="Y17" s="137">
        <v>31.0</v>
      </c>
      <c r="Z17" s="137">
        <v>12.0</v>
      </c>
      <c r="AA17" s="137">
        <v>24.0</v>
      </c>
      <c r="AB17" s="137">
        <v>7.0</v>
      </c>
      <c r="AC17" s="137">
        <v>26.0</v>
      </c>
      <c r="AD17" s="137">
        <v>10.0</v>
      </c>
      <c r="AE17" s="137">
        <v>13.0</v>
      </c>
      <c r="AF17" s="137">
        <v>8.0</v>
      </c>
      <c r="AG17" s="137">
        <v>15.0</v>
      </c>
      <c r="AH17" s="137">
        <v>14.0</v>
      </c>
      <c r="AI17" s="137">
        <v>16.0</v>
      </c>
      <c r="AJ17" s="137">
        <v>10.0</v>
      </c>
      <c r="AK17" s="137">
        <v>22.0</v>
      </c>
      <c r="AL17" s="137">
        <v>9.0</v>
      </c>
      <c r="AM17" s="137">
        <v>15.0</v>
      </c>
      <c r="AN17" s="137">
        <v>515.0</v>
      </c>
    </row>
    <row r="18">
      <c r="A18" s="104"/>
      <c r="B18" s="136" t="s">
        <v>206</v>
      </c>
      <c r="C18" s="134">
        <v>6111.0</v>
      </c>
      <c r="D18" s="134">
        <v>1514.0</v>
      </c>
      <c r="E18" s="134">
        <v>4602.0</v>
      </c>
      <c r="F18" s="137">
        <v>5.0</v>
      </c>
      <c r="G18" s="137">
        <v>6.0</v>
      </c>
      <c r="H18" s="137">
        <v>12.0</v>
      </c>
      <c r="I18" s="137">
        <v>5.0</v>
      </c>
      <c r="J18" s="137">
        <v>6.0</v>
      </c>
      <c r="K18" s="137">
        <v>25.0</v>
      </c>
      <c r="L18" s="137">
        <v>256.0</v>
      </c>
      <c r="M18" s="137">
        <v>646.0</v>
      </c>
      <c r="N18" s="137">
        <v>352.0</v>
      </c>
      <c r="O18" s="137">
        <v>952.0</v>
      </c>
      <c r="P18" s="137">
        <v>235.0</v>
      </c>
      <c r="Q18" s="137">
        <v>765.0</v>
      </c>
      <c r="R18" s="137">
        <v>152.0</v>
      </c>
      <c r="S18" s="137">
        <v>521.0</v>
      </c>
      <c r="T18" s="137">
        <v>117.0</v>
      </c>
      <c r="U18" s="137">
        <v>511.0</v>
      </c>
      <c r="V18" s="137">
        <v>85.0</v>
      </c>
      <c r="W18" s="137">
        <v>290.0</v>
      </c>
      <c r="X18" s="137">
        <v>73.0</v>
      </c>
      <c r="Y18" s="137">
        <v>317.0</v>
      </c>
      <c r="Z18" s="137">
        <v>72.0</v>
      </c>
      <c r="AA18" s="137">
        <v>203.0</v>
      </c>
      <c r="AB18" s="137">
        <v>58.0</v>
      </c>
      <c r="AC18" s="137">
        <v>146.0</v>
      </c>
      <c r="AD18" s="137">
        <v>28.0</v>
      </c>
      <c r="AE18" s="137">
        <v>81.0</v>
      </c>
      <c r="AF18" s="137">
        <v>17.0</v>
      </c>
      <c r="AG18" s="137">
        <v>30.0</v>
      </c>
      <c r="AH18" s="137">
        <v>22.0</v>
      </c>
      <c r="AI18" s="137">
        <v>50.0</v>
      </c>
      <c r="AJ18" s="137">
        <v>15.0</v>
      </c>
      <c r="AK18" s="137">
        <v>18.0</v>
      </c>
      <c r="AL18" s="137">
        <v>9.0</v>
      </c>
      <c r="AM18" s="137">
        <v>36.0</v>
      </c>
      <c r="AN18" s="134">
        <v>6043.0</v>
      </c>
    </row>
    <row r="19">
      <c r="A19" s="132" t="s">
        <v>207</v>
      </c>
      <c r="B19" s="136" t="s">
        <v>198</v>
      </c>
      <c r="C19" s="134">
        <v>702395.0</v>
      </c>
      <c r="D19" s="134">
        <v>189546.0</v>
      </c>
      <c r="E19" s="134">
        <v>512849.0</v>
      </c>
      <c r="F19" s="134">
        <v>7284.0</v>
      </c>
      <c r="G19" s="134">
        <v>6285.0</v>
      </c>
      <c r="H19" s="134">
        <v>5629.0</v>
      </c>
      <c r="I19" s="134">
        <v>4447.0</v>
      </c>
      <c r="J19" s="134">
        <v>5336.0</v>
      </c>
      <c r="K19" s="134">
        <v>4714.0</v>
      </c>
      <c r="L19" s="134">
        <v>4753.0</v>
      </c>
      <c r="M19" s="134">
        <v>7486.0</v>
      </c>
      <c r="N19" s="134">
        <v>3569.0</v>
      </c>
      <c r="O19" s="134">
        <v>9871.0</v>
      </c>
      <c r="P19" s="134">
        <v>3932.0</v>
      </c>
      <c r="Q19" s="134">
        <v>14177.0</v>
      </c>
      <c r="R19" s="134">
        <v>4288.0</v>
      </c>
      <c r="S19" s="134">
        <v>15942.0</v>
      </c>
      <c r="T19" s="134">
        <v>4891.0</v>
      </c>
      <c r="U19" s="134">
        <v>19518.0</v>
      </c>
      <c r="V19" s="134">
        <v>6157.0</v>
      </c>
      <c r="W19" s="134">
        <v>25114.0</v>
      </c>
      <c r="X19" s="134">
        <v>8782.0</v>
      </c>
      <c r="Y19" s="134">
        <v>34001.0</v>
      </c>
      <c r="Z19" s="134">
        <v>12752.0</v>
      </c>
      <c r="AA19" s="134">
        <v>48059.0</v>
      </c>
      <c r="AB19" s="134">
        <v>17384.0</v>
      </c>
      <c r="AC19" s="134">
        <v>59067.0</v>
      </c>
      <c r="AD19" s="134">
        <v>19228.0</v>
      </c>
      <c r="AE19" s="134">
        <v>61711.0</v>
      </c>
      <c r="AF19" s="134">
        <v>21424.0</v>
      </c>
      <c r="AG19" s="134">
        <v>59362.0</v>
      </c>
      <c r="AH19" s="134">
        <v>22769.0</v>
      </c>
      <c r="AI19" s="134">
        <v>54103.0</v>
      </c>
      <c r="AJ19" s="134">
        <v>19184.0</v>
      </c>
      <c r="AK19" s="134">
        <v>41319.0</v>
      </c>
      <c r="AL19" s="134">
        <v>22184.0</v>
      </c>
      <c r="AM19" s="134">
        <v>47853.0</v>
      </c>
      <c r="AN19" s="134">
        <v>690884.0</v>
      </c>
    </row>
    <row r="20">
      <c r="A20" s="98"/>
      <c r="B20" s="136" t="s">
        <v>199</v>
      </c>
      <c r="C20" s="134">
        <v>80633.0</v>
      </c>
      <c r="D20" s="134">
        <v>28517.0</v>
      </c>
      <c r="E20" s="134">
        <v>52116.0</v>
      </c>
      <c r="F20" s="134">
        <v>1647.0</v>
      </c>
      <c r="G20" s="134">
        <v>1524.0</v>
      </c>
      <c r="H20" s="137">
        <v>626.0</v>
      </c>
      <c r="I20" s="137">
        <v>589.0</v>
      </c>
      <c r="J20" s="137">
        <v>340.0</v>
      </c>
      <c r="K20" s="137">
        <v>321.0</v>
      </c>
      <c r="L20" s="137">
        <v>368.0</v>
      </c>
      <c r="M20" s="137">
        <v>501.0</v>
      </c>
      <c r="N20" s="137">
        <v>351.0</v>
      </c>
      <c r="O20" s="137">
        <v>633.0</v>
      </c>
      <c r="P20" s="137">
        <v>416.0</v>
      </c>
      <c r="Q20" s="137">
        <v>936.0</v>
      </c>
      <c r="R20" s="137">
        <v>518.0</v>
      </c>
      <c r="S20" s="134">
        <v>1175.0</v>
      </c>
      <c r="T20" s="137">
        <v>577.0</v>
      </c>
      <c r="U20" s="134">
        <v>1570.0</v>
      </c>
      <c r="V20" s="137">
        <v>687.0</v>
      </c>
      <c r="W20" s="134">
        <v>1950.0</v>
      </c>
      <c r="X20" s="134">
        <v>1092.0</v>
      </c>
      <c r="Y20" s="134">
        <v>3053.0</v>
      </c>
      <c r="Z20" s="134">
        <v>1751.0</v>
      </c>
      <c r="AA20" s="134">
        <v>4596.0</v>
      </c>
      <c r="AB20" s="134">
        <v>2682.0</v>
      </c>
      <c r="AC20" s="134">
        <v>5158.0</v>
      </c>
      <c r="AD20" s="134">
        <v>2933.0</v>
      </c>
      <c r="AE20" s="134">
        <v>5939.0</v>
      </c>
      <c r="AF20" s="134">
        <v>3420.0</v>
      </c>
      <c r="AG20" s="134">
        <v>6490.0</v>
      </c>
      <c r="AH20" s="134">
        <v>4055.0</v>
      </c>
      <c r="AI20" s="134">
        <v>6277.0</v>
      </c>
      <c r="AJ20" s="134">
        <v>3149.0</v>
      </c>
      <c r="AK20" s="134">
        <v>4987.0</v>
      </c>
      <c r="AL20" s="134">
        <v>3904.0</v>
      </c>
      <c r="AM20" s="134">
        <v>6417.0</v>
      </c>
      <c r="AN20" s="134">
        <v>78691.0</v>
      </c>
    </row>
    <row r="21">
      <c r="A21" s="98"/>
      <c r="B21" s="136" t="s">
        <v>206</v>
      </c>
      <c r="C21" s="134">
        <v>13505.0</v>
      </c>
      <c r="D21" s="134">
        <v>1261.0</v>
      </c>
      <c r="E21" s="134">
        <v>12244.0</v>
      </c>
      <c r="F21" s="137">
        <v>620.0</v>
      </c>
      <c r="G21" s="137">
        <v>741.0</v>
      </c>
      <c r="H21" s="137">
        <v>38.0</v>
      </c>
      <c r="I21" s="137">
        <v>73.0</v>
      </c>
      <c r="J21" s="137">
        <v>57.0</v>
      </c>
      <c r="K21" s="137">
        <v>191.0</v>
      </c>
      <c r="L21" s="137">
        <v>32.0</v>
      </c>
      <c r="M21" s="137">
        <v>653.0</v>
      </c>
      <c r="N21" s="137">
        <v>29.0</v>
      </c>
      <c r="O21" s="137">
        <v>857.0</v>
      </c>
      <c r="P21" s="137">
        <v>35.0</v>
      </c>
      <c r="Q21" s="134">
        <v>1105.0</v>
      </c>
      <c r="R21" s="137">
        <v>28.0</v>
      </c>
      <c r="S21" s="137">
        <v>910.0</v>
      </c>
      <c r="T21" s="137">
        <v>34.0</v>
      </c>
      <c r="U21" s="137">
        <v>897.0</v>
      </c>
      <c r="V21" s="137">
        <v>35.0</v>
      </c>
      <c r="W21" s="137">
        <v>874.0</v>
      </c>
      <c r="X21" s="137">
        <v>40.0</v>
      </c>
      <c r="Y21" s="137">
        <v>942.0</v>
      </c>
      <c r="Z21" s="137">
        <v>45.0</v>
      </c>
      <c r="AA21" s="134">
        <v>1049.0</v>
      </c>
      <c r="AB21" s="137">
        <v>51.0</v>
      </c>
      <c r="AC21" s="134">
        <v>1112.0</v>
      </c>
      <c r="AD21" s="137">
        <v>61.0</v>
      </c>
      <c r="AE21" s="134">
        <v>1093.0</v>
      </c>
      <c r="AF21" s="137">
        <v>49.0</v>
      </c>
      <c r="AG21" s="137">
        <v>801.0</v>
      </c>
      <c r="AH21" s="137">
        <v>42.0</v>
      </c>
      <c r="AI21" s="137">
        <v>566.0</v>
      </c>
      <c r="AJ21" s="137">
        <v>25.0</v>
      </c>
      <c r="AK21" s="137">
        <v>330.0</v>
      </c>
      <c r="AL21" s="137">
        <v>40.0</v>
      </c>
      <c r="AM21" s="137">
        <v>212.0</v>
      </c>
      <c r="AN21" s="134">
        <v>13399.0</v>
      </c>
    </row>
    <row r="22">
      <c r="A22" s="98"/>
      <c r="B22" s="136" t="s">
        <v>200</v>
      </c>
      <c r="C22" s="134">
        <v>139925.0</v>
      </c>
      <c r="D22" s="134">
        <v>49069.0</v>
      </c>
      <c r="E22" s="134">
        <v>90856.0</v>
      </c>
      <c r="F22" s="134">
        <v>23914.0</v>
      </c>
      <c r="G22" s="134">
        <v>23005.0</v>
      </c>
      <c r="H22" s="134">
        <v>6517.0</v>
      </c>
      <c r="I22" s="134">
        <v>6740.0</v>
      </c>
      <c r="J22" s="134">
        <v>2658.0</v>
      </c>
      <c r="K22" s="134">
        <v>3224.0</v>
      </c>
      <c r="L22" s="134">
        <v>1053.0</v>
      </c>
      <c r="M22" s="134">
        <v>4204.0</v>
      </c>
      <c r="N22" s="137">
        <v>579.0</v>
      </c>
      <c r="O22" s="134">
        <v>4752.0</v>
      </c>
      <c r="P22" s="137">
        <v>701.0</v>
      </c>
      <c r="Q22" s="134">
        <v>5568.0</v>
      </c>
      <c r="R22" s="137">
        <v>716.0</v>
      </c>
      <c r="S22" s="134">
        <v>4808.0</v>
      </c>
      <c r="T22" s="137">
        <v>680.0</v>
      </c>
      <c r="U22" s="134">
        <v>4295.0</v>
      </c>
      <c r="V22" s="137">
        <v>747.0</v>
      </c>
      <c r="W22" s="134">
        <v>3723.0</v>
      </c>
      <c r="X22" s="137">
        <v>878.0</v>
      </c>
      <c r="Y22" s="134">
        <v>4162.0</v>
      </c>
      <c r="Z22" s="134">
        <v>1271.0</v>
      </c>
      <c r="AA22" s="134">
        <v>5107.0</v>
      </c>
      <c r="AB22" s="134">
        <v>1474.0</v>
      </c>
      <c r="AC22" s="134">
        <v>4868.0</v>
      </c>
      <c r="AD22" s="134">
        <v>1536.0</v>
      </c>
      <c r="AE22" s="134">
        <v>4307.0</v>
      </c>
      <c r="AF22" s="134">
        <v>1773.0</v>
      </c>
      <c r="AG22" s="134">
        <v>3775.0</v>
      </c>
      <c r="AH22" s="134">
        <v>1808.0</v>
      </c>
      <c r="AI22" s="134">
        <v>3269.0</v>
      </c>
      <c r="AJ22" s="134">
        <v>1325.0</v>
      </c>
      <c r="AK22" s="134">
        <v>2344.0</v>
      </c>
      <c r="AL22" s="134">
        <v>1439.0</v>
      </c>
      <c r="AM22" s="134">
        <v>2704.0</v>
      </c>
      <c r="AN22" s="134">
        <v>137375.0</v>
      </c>
    </row>
    <row r="23">
      <c r="A23" s="104"/>
      <c r="B23" s="136" t="s">
        <v>201</v>
      </c>
      <c r="C23" s="134">
        <v>61052.0</v>
      </c>
      <c r="D23" s="134">
        <v>25947.0</v>
      </c>
      <c r="E23" s="134">
        <v>35105.0</v>
      </c>
      <c r="F23" s="134">
        <v>1516.0</v>
      </c>
      <c r="G23" s="134">
        <v>1485.0</v>
      </c>
      <c r="H23" s="137">
        <v>991.0</v>
      </c>
      <c r="I23" s="134">
        <v>1059.0</v>
      </c>
      <c r="J23" s="137">
        <v>950.0</v>
      </c>
      <c r="K23" s="134">
        <v>1019.0</v>
      </c>
      <c r="L23" s="137">
        <v>660.0</v>
      </c>
      <c r="M23" s="134">
        <v>1307.0</v>
      </c>
      <c r="N23" s="137">
        <v>748.0</v>
      </c>
      <c r="O23" s="134">
        <v>1365.0</v>
      </c>
      <c r="P23" s="137">
        <v>940.0</v>
      </c>
      <c r="Q23" s="134">
        <v>1761.0</v>
      </c>
      <c r="R23" s="137">
        <v>977.0</v>
      </c>
      <c r="S23" s="134">
        <v>1798.0</v>
      </c>
      <c r="T23" s="134">
        <v>1014.0</v>
      </c>
      <c r="U23" s="134">
        <v>1888.0</v>
      </c>
      <c r="V23" s="134">
        <v>1170.0</v>
      </c>
      <c r="W23" s="134">
        <v>2253.0</v>
      </c>
      <c r="X23" s="134">
        <v>1549.0</v>
      </c>
      <c r="Y23" s="134">
        <v>2497.0</v>
      </c>
      <c r="Z23" s="134">
        <v>1973.0</v>
      </c>
      <c r="AA23" s="134">
        <v>3031.0</v>
      </c>
      <c r="AB23" s="134">
        <v>2100.0</v>
      </c>
      <c r="AC23" s="134">
        <v>2763.0</v>
      </c>
      <c r="AD23" s="134">
        <v>1998.0</v>
      </c>
      <c r="AE23" s="134">
        <v>2839.0</v>
      </c>
      <c r="AF23" s="134">
        <v>2259.0</v>
      </c>
      <c r="AG23" s="134">
        <v>2676.0</v>
      </c>
      <c r="AH23" s="134">
        <v>2493.0</v>
      </c>
      <c r="AI23" s="134">
        <v>2410.0</v>
      </c>
      <c r="AJ23" s="134">
        <v>2027.0</v>
      </c>
      <c r="AK23" s="134">
        <v>2241.0</v>
      </c>
      <c r="AL23" s="134">
        <v>2582.0</v>
      </c>
      <c r="AM23" s="134">
        <v>2713.0</v>
      </c>
      <c r="AN23" s="134">
        <v>60226.0</v>
      </c>
    </row>
    <row r="24">
      <c r="A24" s="132" t="s">
        <v>208</v>
      </c>
      <c r="B24" s="136" t="s">
        <v>198</v>
      </c>
      <c r="C24" s="134">
        <v>1211.0</v>
      </c>
      <c r="D24" s="137">
        <v>734.0</v>
      </c>
      <c r="E24" s="137">
        <v>477.0</v>
      </c>
      <c r="F24" s="137">
        <v>444.0</v>
      </c>
      <c r="G24" s="137">
        <v>299.0</v>
      </c>
      <c r="H24" s="137">
        <v>176.0</v>
      </c>
      <c r="I24" s="137">
        <v>96.0</v>
      </c>
      <c r="J24" s="137">
        <v>77.0</v>
      </c>
      <c r="K24" s="137">
        <v>41.0</v>
      </c>
      <c r="L24" s="137">
        <v>29.0</v>
      </c>
      <c r="M24" s="137">
        <v>24.0</v>
      </c>
      <c r="N24" s="137">
        <v>8.0</v>
      </c>
      <c r="O24" s="137">
        <v>17.0</v>
      </c>
      <c r="P24" s="135">
        <v>0.0</v>
      </c>
      <c r="Q24" s="135">
        <v>0.0</v>
      </c>
      <c r="R24" s="135">
        <v>0.0</v>
      </c>
      <c r="S24" s="135">
        <v>0.0</v>
      </c>
      <c r="T24" s="135">
        <v>0.0</v>
      </c>
      <c r="U24" s="135">
        <v>15.0</v>
      </c>
      <c r="V24" s="135">
        <v>0.0</v>
      </c>
      <c r="W24" s="135">
        <v>0.0</v>
      </c>
      <c r="X24" s="135">
        <v>0.0</v>
      </c>
      <c r="Y24" s="135">
        <v>0.0</v>
      </c>
      <c r="Z24" s="135">
        <v>0.0</v>
      </c>
      <c r="AA24" s="135">
        <v>0.0</v>
      </c>
      <c r="AB24" s="135">
        <v>0.0</v>
      </c>
      <c r="AC24" s="135">
        <v>0.0</v>
      </c>
      <c r="AD24" s="135">
        <v>0.0</v>
      </c>
      <c r="AE24" s="135">
        <v>0.0</v>
      </c>
      <c r="AF24" s="135">
        <v>0.0</v>
      </c>
      <c r="AG24" s="135">
        <v>0.0</v>
      </c>
      <c r="AH24" s="135">
        <v>0.0</v>
      </c>
      <c r="AI24" s="135">
        <v>0.0</v>
      </c>
      <c r="AJ24" s="135">
        <v>0.0</v>
      </c>
      <c r="AK24" s="135">
        <v>0.0</v>
      </c>
      <c r="AL24" s="135">
        <v>0.0</v>
      </c>
      <c r="AM24" s="135">
        <v>0.0</v>
      </c>
      <c r="AN24" s="134">
        <v>1039.0</v>
      </c>
    </row>
    <row r="25">
      <c r="A25" s="98"/>
      <c r="B25" s="136" t="s">
        <v>199</v>
      </c>
      <c r="C25" s="134">
        <v>2878.0</v>
      </c>
      <c r="D25" s="134">
        <v>1576.0</v>
      </c>
      <c r="E25" s="134">
        <v>1302.0</v>
      </c>
      <c r="F25" s="134">
        <v>1259.0</v>
      </c>
      <c r="G25" s="134">
        <v>1086.0</v>
      </c>
      <c r="H25" s="137">
        <v>245.0</v>
      </c>
      <c r="I25" s="137">
        <v>147.0</v>
      </c>
      <c r="J25" s="137">
        <v>53.0</v>
      </c>
      <c r="K25" s="137">
        <v>33.0</v>
      </c>
      <c r="L25" s="137">
        <v>9.0</v>
      </c>
      <c r="M25" s="137">
        <v>19.0</v>
      </c>
      <c r="N25" s="137">
        <v>10.0</v>
      </c>
      <c r="O25" s="137">
        <v>17.0</v>
      </c>
      <c r="P25" s="135">
        <v>0.0</v>
      </c>
      <c r="Q25" s="135">
        <v>0.0</v>
      </c>
      <c r="R25" s="135">
        <v>0.0</v>
      </c>
      <c r="S25" s="135">
        <v>0.0</v>
      </c>
      <c r="T25" s="135">
        <v>0.0</v>
      </c>
      <c r="U25" s="135">
        <v>15.0</v>
      </c>
      <c r="V25" s="135">
        <v>0.0</v>
      </c>
      <c r="W25" s="135">
        <v>0.0</v>
      </c>
      <c r="X25" s="135">
        <v>0.0</v>
      </c>
      <c r="Y25" s="135">
        <v>0.0</v>
      </c>
      <c r="Z25" s="135">
        <v>0.0</v>
      </c>
      <c r="AA25" s="135">
        <v>0.0</v>
      </c>
      <c r="AB25" s="135">
        <v>0.0</v>
      </c>
      <c r="AC25" s="135">
        <v>0.0</v>
      </c>
      <c r="AD25" s="135">
        <v>0.0</v>
      </c>
      <c r="AE25" s="135">
        <v>0.0</v>
      </c>
      <c r="AF25" s="135">
        <v>0.0</v>
      </c>
      <c r="AG25" s="135">
        <v>0.0</v>
      </c>
      <c r="AH25" s="135">
        <v>0.0</v>
      </c>
      <c r="AI25" s="135">
        <v>0.0</v>
      </c>
      <c r="AJ25" s="135">
        <v>0.0</v>
      </c>
      <c r="AK25" s="135">
        <v>0.0</v>
      </c>
      <c r="AL25" s="135">
        <v>0.0</v>
      </c>
      <c r="AM25" s="135">
        <v>0.0</v>
      </c>
      <c r="AN25" s="134">
        <v>2698.0</v>
      </c>
    </row>
    <row r="26">
      <c r="A26" s="98"/>
      <c r="B26" s="136" t="s">
        <v>206</v>
      </c>
      <c r="C26" s="137">
        <v>179.0</v>
      </c>
      <c r="D26" s="137">
        <v>43.0</v>
      </c>
      <c r="E26" s="137">
        <v>137.0</v>
      </c>
      <c r="F26" s="137">
        <v>25.0</v>
      </c>
      <c r="G26" s="137">
        <v>20.0</v>
      </c>
      <c r="H26" s="137">
        <v>0.0</v>
      </c>
      <c r="I26" s="137">
        <v>0.0</v>
      </c>
      <c r="J26" s="137">
        <v>7.0</v>
      </c>
      <c r="K26" s="137">
        <v>12.0</v>
      </c>
      <c r="L26" s="137">
        <v>3.0</v>
      </c>
      <c r="M26" s="137">
        <v>42.0</v>
      </c>
      <c r="N26" s="137">
        <v>8.0</v>
      </c>
      <c r="O26" s="137">
        <v>63.0</v>
      </c>
      <c r="P26" s="135">
        <v>0.0</v>
      </c>
      <c r="Q26" s="135">
        <v>0.0</v>
      </c>
      <c r="R26" s="135">
        <v>0.0</v>
      </c>
      <c r="S26" s="135">
        <v>0.0</v>
      </c>
      <c r="T26" s="135">
        <v>0.0</v>
      </c>
      <c r="U26" s="135">
        <v>15.0</v>
      </c>
      <c r="V26" s="135">
        <v>0.0</v>
      </c>
      <c r="W26" s="135">
        <v>0.0</v>
      </c>
      <c r="X26" s="135">
        <v>0.0</v>
      </c>
      <c r="Y26" s="135">
        <v>0.0</v>
      </c>
      <c r="Z26" s="135">
        <v>0.0</v>
      </c>
      <c r="AA26" s="135">
        <v>0.0</v>
      </c>
      <c r="AB26" s="135">
        <v>0.0</v>
      </c>
      <c r="AC26" s="135">
        <v>0.0</v>
      </c>
      <c r="AD26" s="135">
        <v>0.0</v>
      </c>
      <c r="AE26" s="135">
        <v>0.0</v>
      </c>
      <c r="AF26" s="135">
        <v>0.0</v>
      </c>
      <c r="AG26" s="135">
        <v>0.0</v>
      </c>
      <c r="AH26" s="135">
        <v>0.0</v>
      </c>
      <c r="AI26" s="135">
        <v>0.0</v>
      </c>
      <c r="AJ26" s="135">
        <v>0.0</v>
      </c>
      <c r="AK26" s="135">
        <v>0.0</v>
      </c>
      <c r="AL26" s="135">
        <v>0.0</v>
      </c>
      <c r="AM26" s="135">
        <v>0.0</v>
      </c>
      <c r="AN26" s="137">
        <v>175.0</v>
      </c>
    </row>
    <row r="27">
      <c r="A27" s="98"/>
      <c r="B27" s="136" t="s">
        <v>200</v>
      </c>
      <c r="C27" s="134">
        <v>1936.0</v>
      </c>
      <c r="D27" s="137">
        <v>988.0</v>
      </c>
      <c r="E27" s="137">
        <v>948.0</v>
      </c>
      <c r="F27" s="137">
        <v>763.0</v>
      </c>
      <c r="G27" s="137">
        <v>715.0</v>
      </c>
      <c r="H27" s="137">
        <v>136.0</v>
      </c>
      <c r="I27" s="137">
        <v>104.0</v>
      </c>
      <c r="J27" s="137">
        <v>44.0</v>
      </c>
      <c r="K27" s="137">
        <v>49.0</v>
      </c>
      <c r="L27" s="137">
        <v>35.0</v>
      </c>
      <c r="M27" s="137">
        <v>50.0</v>
      </c>
      <c r="N27" s="137">
        <v>10.0</v>
      </c>
      <c r="O27" s="137">
        <v>30.0</v>
      </c>
      <c r="P27" s="135">
        <v>0.0</v>
      </c>
      <c r="Q27" s="135">
        <v>0.0</v>
      </c>
      <c r="R27" s="135">
        <v>0.0</v>
      </c>
      <c r="S27" s="135">
        <v>0.0</v>
      </c>
      <c r="T27" s="135">
        <v>0.0</v>
      </c>
      <c r="U27" s="135">
        <v>15.0</v>
      </c>
      <c r="V27" s="135">
        <v>0.0</v>
      </c>
      <c r="W27" s="135">
        <v>0.0</v>
      </c>
      <c r="X27" s="135">
        <v>0.0</v>
      </c>
      <c r="Y27" s="135">
        <v>0.0</v>
      </c>
      <c r="Z27" s="135">
        <v>0.0</v>
      </c>
      <c r="AA27" s="135">
        <v>0.0</v>
      </c>
      <c r="AB27" s="135">
        <v>0.0</v>
      </c>
      <c r="AC27" s="135">
        <v>0.0</v>
      </c>
      <c r="AD27" s="135">
        <v>0.0</v>
      </c>
      <c r="AE27" s="135">
        <v>0.0</v>
      </c>
      <c r="AF27" s="135">
        <v>0.0</v>
      </c>
      <c r="AG27" s="135">
        <v>0.0</v>
      </c>
      <c r="AH27" s="135">
        <v>0.0</v>
      </c>
      <c r="AI27" s="135">
        <v>0.0</v>
      </c>
      <c r="AJ27" s="135">
        <v>0.0</v>
      </c>
      <c r="AK27" s="135">
        <v>0.0</v>
      </c>
      <c r="AL27" s="135">
        <v>0.0</v>
      </c>
      <c r="AM27" s="135">
        <v>0.0</v>
      </c>
      <c r="AN27" s="134">
        <v>1849.0</v>
      </c>
    </row>
    <row r="28">
      <c r="A28" s="104"/>
      <c r="B28" s="136" t="s">
        <v>201</v>
      </c>
      <c r="C28" s="137">
        <v>87.0</v>
      </c>
      <c r="D28" s="137">
        <v>52.0</v>
      </c>
      <c r="E28" s="137">
        <v>35.0</v>
      </c>
      <c r="F28" s="137">
        <v>25.0</v>
      </c>
      <c r="G28" s="137">
        <v>13.0</v>
      </c>
      <c r="H28" s="137">
        <v>16.0</v>
      </c>
      <c r="I28" s="137">
        <v>6.0</v>
      </c>
      <c r="J28" s="137">
        <v>6.0</v>
      </c>
      <c r="K28" s="137">
        <v>4.0</v>
      </c>
      <c r="L28" s="137">
        <v>4.0</v>
      </c>
      <c r="M28" s="137">
        <v>4.0</v>
      </c>
      <c r="N28" s="137">
        <v>1.0</v>
      </c>
      <c r="O28" s="137">
        <v>8.0</v>
      </c>
      <c r="P28" s="135">
        <v>0.0</v>
      </c>
      <c r="Q28" s="135">
        <v>0.0</v>
      </c>
      <c r="R28" s="135">
        <v>0.0</v>
      </c>
      <c r="S28" s="135">
        <v>0.0</v>
      </c>
      <c r="T28" s="135">
        <v>0.0</v>
      </c>
      <c r="U28" s="135">
        <v>15.0</v>
      </c>
      <c r="V28" s="135">
        <v>0.0</v>
      </c>
      <c r="W28" s="135">
        <v>0.0</v>
      </c>
      <c r="X28" s="135">
        <v>0.0</v>
      </c>
      <c r="Y28" s="135">
        <v>0.0</v>
      </c>
      <c r="Z28" s="135">
        <v>0.0</v>
      </c>
      <c r="AA28" s="135">
        <v>0.0</v>
      </c>
      <c r="AB28" s="135">
        <v>0.0</v>
      </c>
      <c r="AC28" s="135">
        <v>0.0</v>
      </c>
      <c r="AD28" s="135">
        <v>0.0</v>
      </c>
      <c r="AE28" s="135">
        <v>0.0</v>
      </c>
      <c r="AF28" s="135">
        <v>0.0</v>
      </c>
      <c r="AG28" s="135">
        <v>0.0</v>
      </c>
      <c r="AH28" s="135">
        <v>0.0</v>
      </c>
      <c r="AI28" s="135">
        <v>0.0</v>
      </c>
      <c r="AJ28" s="135">
        <v>0.0</v>
      </c>
      <c r="AK28" s="135">
        <v>0.0</v>
      </c>
      <c r="AL28" s="135">
        <v>0.0</v>
      </c>
      <c r="AM28" s="135">
        <v>0.0</v>
      </c>
      <c r="AN28" s="137">
        <v>85.0</v>
      </c>
    </row>
    <row r="29">
      <c r="A29" s="138" t="s">
        <v>209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</row>
    <row r="30">
      <c r="A30" s="132" t="s">
        <v>197</v>
      </c>
      <c r="B30" s="133" t="s">
        <v>198</v>
      </c>
      <c r="C30" s="134">
        <v>19907.0</v>
      </c>
      <c r="D30" s="134">
        <v>7288.0</v>
      </c>
      <c r="E30" s="134">
        <v>12619.0</v>
      </c>
      <c r="F30" s="135">
        <v>0.0</v>
      </c>
      <c r="G30" s="135">
        <v>0.0</v>
      </c>
      <c r="H30" s="135">
        <v>0.0</v>
      </c>
      <c r="I30" s="135">
        <v>0.0</v>
      </c>
      <c r="J30" s="135">
        <v>0.0</v>
      </c>
      <c r="K30" s="135">
        <v>0.0</v>
      </c>
      <c r="L30" s="137">
        <v>10.0</v>
      </c>
      <c r="M30" s="137">
        <v>16.0</v>
      </c>
      <c r="N30" s="137">
        <v>18.0</v>
      </c>
      <c r="O30" s="137">
        <v>36.0</v>
      </c>
      <c r="P30" s="137">
        <v>37.0</v>
      </c>
      <c r="Q30" s="137">
        <v>31.0</v>
      </c>
      <c r="R30" s="137">
        <v>51.0</v>
      </c>
      <c r="S30" s="137">
        <v>104.0</v>
      </c>
      <c r="T30" s="137">
        <v>81.0</v>
      </c>
      <c r="U30" s="137">
        <v>218.0</v>
      </c>
      <c r="V30" s="137">
        <v>132.0</v>
      </c>
      <c r="W30" s="137">
        <v>360.0</v>
      </c>
      <c r="X30" s="137">
        <v>288.0</v>
      </c>
      <c r="Y30" s="137">
        <v>646.0</v>
      </c>
      <c r="Z30" s="137">
        <v>534.0</v>
      </c>
      <c r="AA30" s="134">
        <v>1116.0</v>
      </c>
      <c r="AB30" s="137">
        <v>757.0</v>
      </c>
      <c r="AC30" s="134">
        <v>1518.0</v>
      </c>
      <c r="AD30" s="137">
        <v>920.0</v>
      </c>
      <c r="AE30" s="134">
        <v>1622.0</v>
      </c>
      <c r="AF30" s="134">
        <v>1148.0</v>
      </c>
      <c r="AG30" s="134">
        <v>1939.0</v>
      </c>
      <c r="AH30" s="134">
        <v>1346.0</v>
      </c>
      <c r="AI30" s="134">
        <v>1958.0</v>
      </c>
      <c r="AJ30" s="134">
        <v>1024.0</v>
      </c>
      <c r="AK30" s="134">
        <v>1443.0</v>
      </c>
      <c r="AL30" s="137">
        <v>942.0</v>
      </c>
      <c r="AM30" s="134">
        <v>1612.0</v>
      </c>
      <c r="AN30" s="134">
        <v>19841.0</v>
      </c>
    </row>
    <row r="31">
      <c r="A31" s="98"/>
      <c r="B31" s="136" t="s">
        <v>199</v>
      </c>
      <c r="C31" s="134">
        <v>17302.0</v>
      </c>
      <c r="D31" s="134">
        <v>6826.0</v>
      </c>
      <c r="E31" s="134">
        <v>10476.0</v>
      </c>
      <c r="F31" s="135">
        <v>0.0</v>
      </c>
      <c r="G31" s="135">
        <v>0.0</v>
      </c>
      <c r="H31" s="135">
        <v>0.0</v>
      </c>
      <c r="I31" s="135">
        <v>0.0</v>
      </c>
      <c r="J31" s="135">
        <v>0.0</v>
      </c>
      <c r="K31" s="135">
        <v>0.0</v>
      </c>
      <c r="L31" s="137">
        <v>4.0</v>
      </c>
      <c r="M31" s="137">
        <v>7.0</v>
      </c>
      <c r="N31" s="137">
        <v>14.0</v>
      </c>
      <c r="O31" s="137">
        <v>26.0</v>
      </c>
      <c r="P31" s="137">
        <v>38.0</v>
      </c>
      <c r="Q31" s="137">
        <v>35.0</v>
      </c>
      <c r="R31" s="137">
        <v>78.0</v>
      </c>
      <c r="S31" s="137">
        <v>111.0</v>
      </c>
      <c r="T31" s="137">
        <v>91.0</v>
      </c>
      <c r="U31" s="137">
        <v>192.0</v>
      </c>
      <c r="V31" s="137">
        <v>169.0</v>
      </c>
      <c r="W31" s="137">
        <v>321.0</v>
      </c>
      <c r="X31" s="137">
        <v>313.0</v>
      </c>
      <c r="Y31" s="137">
        <v>536.0</v>
      </c>
      <c r="Z31" s="137">
        <v>530.0</v>
      </c>
      <c r="AA31" s="137">
        <v>932.0</v>
      </c>
      <c r="AB31" s="137">
        <v>757.0</v>
      </c>
      <c r="AC31" s="134">
        <v>1237.0</v>
      </c>
      <c r="AD31" s="137">
        <v>880.0</v>
      </c>
      <c r="AE31" s="134">
        <v>1286.0</v>
      </c>
      <c r="AF31" s="134">
        <v>1038.0</v>
      </c>
      <c r="AG31" s="134">
        <v>1567.0</v>
      </c>
      <c r="AH31" s="134">
        <v>1147.0</v>
      </c>
      <c r="AI31" s="134">
        <v>1513.0</v>
      </c>
      <c r="AJ31" s="137">
        <v>840.0</v>
      </c>
      <c r="AK31" s="134">
        <v>1123.0</v>
      </c>
      <c r="AL31" s="137">
        <v>927.0</v>
      </c>
      <c r="AM31" s="134">
        <v>1590.0</v>
      </c>
      <c r="AN31" s="134">
        <v>17298.0</v>
      </c>
    </row>
    <row r="32">
      <c r="A32" s="98"/>
      <c r="B32" s="136" t="s">
        <v>200</v>
      </c>
      <c r="C32" s="134">
        <v>9923.0</v>
      </c>
      <c r="D32" s="134">
        <v>3632.0</v>
      </c>
      <c r="E32" s="134">
        <v>6291.0</v>
      </c>
      <c r="F32" s="135">
        <v>0.0</v>
      </c>
      <c r="G32" s="135">
        <v>0.0</v>
      </c>
      <c r="H32" s="135">
        <v>0.0</v>
      </c>
      <c r="I32" s="135">
        <v>0.0</v>
      </c>
      <c r="J32" s="135">
        <v>0.0</v>
      </c>
      <c r="K32" s="135">
        <v>0.0</v>
      </c>
      <c r="L32" s="137">
        <v>4.0</v>
      </c>
      <c r="M32" s="137">
        <v>9.0</v>
      </c>
      <c r="N32" s="137">
        <v>9.0</v>
      </c>
      <c r="O32" s="137">
        <v>17.0</v>
      </c>
      <c r="P32" s="137">
        <v>29.0</v>
      </c>
      <c r="Q32" s="137">
        <v>20.0</v>
      </c>
      <c r="R32" s="137">
        <v>34.0</v>
      </c>
      <c r="S32" s="137">
        <v>57.0</v>
      </c>
      <c r="T32" s="137">
        <v>48.0</v>
      </c>
      <c r="U32" s="137">
        <v>102.0</v>
      </c>
      <c r="V32" s="137">
        <v>86.0</v>
      </c>
      <c r="W32" s="137">
        <v>170.0</v>
      </c>
      <c r="X32" s="137">
        <v>148.0</v>
      </c>
      <c r="Y32" s="137">
        <v>319.0</v>
      </c>
      <c r="Z32" s="137">
        <v>265.0</v>
      </c>
      <c r="AA32" s="137">
        <v>564.0</v>
      </c>
      <c r="AB32" s="137">
        <v>340.0</v>
      </c>
      <c r="AC32" s="137">
        <v>746.0</v>
      </c>
      <c r="AD32" s="137">
        <v>426.0</v>
      </c>
      <c r="AE32" s="137">
        <v>823.0</v>
      </c>
      <c r="AF32" s="137">
        <v>550.0</v>
      </c>
      <c r="AG32" s="137">
        <v>919.0</v>
      </c>
      <c r="AH32" s="137">
        <v>696.0</v>
      </c>
      <c r="AI32" s="134">
        <v>1017.0</v>
      </c>
      <c r="AJ32" s="137">
        <v>528.0</v>
      </c>
      <c r="AK32" s="137">
        <v>732.0</v>
      </c>
      <c r="AL32" s="137">
        <v>469.0</v>
      </c>
      <c r="AM32" s="137">
        <v>796.0</v>
      </c>
      <c r="AN32" s="134">
        <v>9923.0</v>
      </c>
    </row>
    <row r="33">
      <c r="A33" s="104"/>
      <c r="B33" s="136" t="s">
        <v>201</v>
      </c>
      <c r="C33" s="137">
        <v>303.0</v>
      </c>
      <c r="D33" s="137">
        <v>146.0</v>
      </c>
      <c r="E33" s="137">
        <v>157.0</v>
      </c>
      <c r="F33" s="135">
        <v>0.0</v>
      </c>
      <c r="G33" s="135">
        <v>0.0</v>
      </c>
      <c r="H33" s="135">
        <v>0.0</v>
      </c>
      <c r="I33" s="135">
        <v>0.0</v>
      </c>
      <c r="J33" s="135">
        <v>0.0</v>
      </c>
      <c r="K33" s="135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v>2.0</v>
      </c>
      <c r="Q33" s="137">
        <v>0.0</v>
      </c>
      <c r="R33" s="137">
        <v>3.0</v>
      </c>
      <c r="S33" s="137">
        <v>0.0</v>
      </c>
      <c r="T33" s="137">
        <v>1.0</v>
      </c>
      <c r="U33" s="137">
        <v>1.0</v>
      </c>
      <c r="V33" s="137">
        <v>1.0</v>
      </c>
      <c r="W33" s="137">
        <v>9.0</v>
      </c>
      <c r="X33" s="137">
        <v>18.0</v>
      </c>
      <c r="Y33" s="137">
        <v>7.0</v>
      </c>
      <c r="Z33" s="137">
        <v>18.0</v>
      </c>
      <c r="AA33" s="137">
        <v>18.0</v>
      </c>
      <c r="AB33" s="137">
        <v>35.0</v>
      </c>
      <c r="AC33" s="137">
        <v>6.0</v>
      </c>
      <c r="AD33" s="137">
        <v>10.0</v>
      </c>
      <c r="AE33" s="137">
        <v>8.0</v>
      </c>
      <c r="AF33" s="137">
        <v>2.0</v>
      </c>
      <c r="AG33" s="137">
        <v>22.0</v>
      </c>
      <c r="AH33" s="137">
        <v>22.0</v>
      </c>
      <c r="AI33" s="137">
        <v>53.0</v>
      </c>
      <c r="AJ33" s="137">
        <v>33.0</v>
      </c>
      <c r="AK33" s="137">
        <v>18.0</v>
      </c>
      <c r="AL33" s="137">
        <v>1.0</v>
      </c>
      <c r="AM33" s="137">
        <v>15.0</v>
      </c>
      <c r="AN33" s="137">
        <v>287.0</v>
      </c>
    </row>
    <row r="34">
      <c r="A34" s="132" t="s">
        <v>202</v>
      </c>
      <c r="B34" s="136" t="s">
        <v>198</v>
      </c>
      <c r="C34" s="137">
        <v>402.0</v>
      </c>
      <c r="D34" s="137">
        <v>207.0</v>
      </c>
      <c r="E34" s="137">
        <v>195.0</v>
      </c>
      <c r="F34" s="137">
        <v>9.0</v>
      </c>
      <c r="G34" s="137">
        <v>3.0</v>
      </c>
      <c r="H34" s="137">
        <v>0.0</v>
      </c>
      <c r="I34" s="137">
        <v>0.0</v>
      </c>
      <c r="J34" s="137">
        <v>6.0</v>
      </c>
      <c r="K34" s="137">
        <v>0.0</v>
      </c>
      <c r="L34" s="137">
        <v>0.0</v>
      </c>
      <c r="M34" s="137">
        <v>9.0</v>
      </c>
      <c r="N34" s="137">
        <v>28.0</v>
      </c>
      <c r="O34" s="137">
        <v>13.0</v>
      </c>
      <c r="P34" s="137">
        <v>16.0</v>
      </c>
      <c r="Q34" s="137">
        <v>20.0</v>
      </c>
      <c r="R34" s="137">
        <v>21.0</v>
      </c>
      <c r="S34" s="137">
        <v>37.0</v>
      </c>
      <c r="T34" s="137">
        <v>18.0</v>
      </c>
      <c r="U34" s="137">
        <v>10.0</v>
      </c>
      <c r="V34" s="137">
        <v>23.0</v>
      </c>
      <c r="W34" s="137">
        <v>14.0</v>
      </c>
      <c r="X34" s="137">
        <v>11.0</v>
      </c>
      <c r="Y34" s="137">
        <v>12.0</v>
      </c>
      <c r="Z34" s="137">
        <v>13.0</v>
      </c>
      <c r="AA34" s="137">
        <v>8.0</v>
      </c>
      <c r="AB34" s="137">
        <v>17.0</v>
      </c>
      <c r="AC34" s="137">
        <v>9.0</v>
      </c>
      <c r="AD34" s="137">
        <v>12.0</v>
      </c>
      <c r="AE34" s="137">
        <v>24.0</v>
      </c>
      <c r="AF34" s="137">
        <v>12.0</v>
      </c>
      <c r="AG34" s="137">
        <v>14.0</v>
      </c>
      <c r="AH34" s="137">
        <v>6.0</v>
      </c>
      <c r="AI34" s="137">
        <v>3.0</v>
      </c>
      <c r="AJ34" s="137">
        <v>10.0</v>
      </c>
      <c r="AK34" s="137">
        <v>10.0</v>
      </c>
      <c r="AL34" s="137">
        <v>5.0</v>
      </c>
      <c r="AM34" s="137">
        <v>9.0</v>
      </c>
      <c r="AN34" s="137">
        <v>397.0</v>
      </c>
    </row>
    <row r="35">
      <c r="A35" s="104"/>
      <c r="B35" s="136" t="s">
        <v>199</v>
      </c>
      <c r="C35" s="137">
        <v>243.0</v>
      </c>
      <c r="D35" s="137">
        <v>141.0</v>
      </c>
      <c r="E35" s="137">
        <v>102.0</v>
      </c>
      <c r="F35" s="137">
        <v>7.0</v>
      </c>
      <c r="G35" s="137">
        <v>0.0</v>
      </c>
      <c r="H35" s="137">
        <v>5.0</v>
      </c>
      <c r="I35" s="137">
        <v>2.0</v>
      </c>
      <c r="J35" s="137">
        <v>2.0</v>
      </c>
      <c r="K35" s="137">
        <v>5.0</v>
      </c>
      <c r="L35" s="137">
        <v>0.0</v>
      </c>
      <c r="M35" s="137">
        <v>3.0</v>
      </c>
      <c r="N35" s="137">
        <v>17.0</v>
      </c>
      <c r="O35" s="137">
        <v>5.0</v>
      </c>
      <c r="P35" s="137">
        <v>11.0</v>
      </c>
      <c r="Q35" s="137">
        <v>6.0</v>
      </c>
      <c r="R35" s="137">
        <v>12.0</v>
      </c>
      <c r="S35" s="137">
        <v>16.0</v>
      </c>
      <c r="T35" s="137">
        <v>10.0</v>
      </c>
      <c r="U35" s="137">
        <v>3.0</v>
      </c>
      <c r="V35" s="137">
        <v>10.0</v>
      </c>
      <c r="W35" s="137">
        <v>6.0</v>
      </c>
      <c r="X35" s="137">
        <v>13.0</v>
      </c>
      <c r="Y35" s="137">
        <v>11.0</v>
      </c>
      <c r="Z35" s="137">
        <v>10.0</v>
      </c>
      <c r="AA35" s="137">
        <v>11.0</v>
      </c>
      <c r="AB35" s="137">
        <v>21.0</v>
      </c>
      <c r="AC35" s="137">
        <v>2.0</v>
      </c>
      <c r="AD35" s="137">
        <v>9.0</v>
      </c>
      <c r="AE35" s="137">
        <v>16.0</v>
      </c>
      <c r="AF35" s="137">
        <v>7.0</v>
      </c>
      <c r="AG35" s="137">
        <v>4.0</v>
      </c>
      <c r="AH35" s="137">
        <v>3.0</v>
      </c>
      <c r="AI35" s="137">
        <v>2.0</v>
      </c>
      <c r="AJ35" s="137">
        <v>2.0</v>
      </c>
      <c r="AK35" s="137">
        <v>4.0</v>
      </c>
      <c r="AL35" s="137">
        <v>2.0</v>
      </c>
      <c r="AM35" s="137">
        <v>6.0</v>
      </c>
      <c r="AN35" s="137">
        <v>243.0</v>
      </c>
    </row>
    <row r="36">
      <c r="A36" s="132" t="s">
        <v>203</v>
      </c>
      <c r="B36" s="136" t="s">
        <v>198</v>
      </c>
      <c r="C36" s="137">
        <v>382.0</v>
      </c>
      <c r="D36" s="137">
        <v>130.0</v>
      </c>
      <c r="E36" s="137">
        <v>252.0</v>
      </c>
      <c r="F36" s="135">
        <v>0.0</v>
      </c>
      <c r="G36" s="135">
        <v>0.0</v>
      </c>
      <c r="H36" s="135">
        <v>0.0</v>
      </c>
      <c r="I36" s="135">
        <v>0.0</v>
      </c>
      <c r="J36" s="135">
        <v>0.0</v>
      </c>
      <c r="K36" s="135">
        <v>0.0</v>
      </c>
      <c r="L36" s="135">
        <v>0.0</v>
      </c>
      <c r="M36" s="135">
        <v>0.0</v>
      </c>
      <c r="N36" s="135">
        <v>0.0</v>
      </c>
      <c r="O36" s="135">
        <v>0.0</v>
      </c>
      <c r="P36" s="135">
        <v>0.0</v>
      </c>
      <c r="Q36" s="135">
        <v>0.0</v>
      </c>
      <c r="R36" s="135">
        <v>0.0</v>
      </c>
      <c r="S36" s="135">
        <v>0.0</v>
      </c>
      <c r="T36" s="135">
        <v>0.0</v>
      </c>
      <c r="U36" s="135">
        <v>0.0</v>
      </c>
      <c r="V36" s="135">
        <v>0.0</v>
      </c>
      <c r="W36" s="135">
        <v>0.0</v>
      </c>
      <c r="X36" s="135">
        <v>0.0</v>
      </c>
      <c r="Y36" s="135">
        <v>0.0</v>
      </c>
      <c r="Z36" s="135">
        <v>0.0</v>
      </c>
      <c r="AA36" s="135">
        <v>0.0</v>
      </c>
      <c r="AB36" s="135">
        <v>0.0</v>
      </c>
      <c r="AC36" s="135">
        <v>0.0</v>
      </c>
      <c r="AD36" s="135">
        <v>0.0</v>
      </c>
      <c r="AE36" s="135">
        <v>0.0</v>
      </c>
      <c r="AF36" s="137">
        <v>19.0</v>
      </c>
      <c r="AG36" s="137">
        <v>45.0</v>
      </c>
      <c r="AH36" s="137">
        <v>27.0</v>
      </c>
      <c r="AI36" s="137">
        <v>76.0</v>
      </c>
      <c r="AJ36" s="137">
        <v>33.0</v>
      </c>
      <c r="AK36" s="137">
        <v>45.0</v>
      </c>
      <c r="AL36" s="137">
        <v>51.0</v>
      </c>
      <c r="AM36" s="137">
        <v>86.0</v>
      </c>
      <c r="AN36" s="137">
        <v>382.0</v>
      </c>
    </row>
    <row r="37">
      <c r="A37" s="104"/>
      <c r="B37" s="136" t="s">
        <v>199</v>
      </c>
      <c r="C37" s="137">
        <v>223.0</v>
      </c>
      <c r="D37" s="137">
        <v>69.0</v>
      </c>
      <c r="E37" s="137">
        <v>154.0</v>
      </c>
      <c r="F37" s="135">
        <v>0.0</v>
      </c>
      <c r="G37" s="135">
        <v>0.0</v>
      </c>
      <c r="H37" s="135">
        <v>0.0</v>
      </c>
      <c r="I37" s="135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0.0</v>
      </c>
      <c r="O37" s="135">
        <v>0.0</v>
      </c>
      <c r="P37" s="135">
        <v>0.0</v>
      </c>
      <c r="Q37" s="135">
        <v>0.0</v>
      </c>
      <c r="R37" s="135">
        <v>0.0</v>
      </c>
      <c r="S37" s="135">
        <v>0.0</v>
      </c>
      <c r="T37" s="135">
        <v>0.0</v>
      </c>
      <c r="U37" s="135">
        <v>0.0</v>
      </c>
      <c r="V37" s="135">
        <v>0.0</v>
      </c>
      <c r="W37" s="135">
        <v>0.0</v>
      </c>
      <c r="X37" s="135">
        <v>0.0</v>
      </c>
      <c r="Y37" s="135">
        <v>0.0</v>
      </c>
      <c r="Z37" s="135">
        <v>0.0</v>
      </c>
      <c r="AA37" s="135">
        <v>0.0</v>
      </c>
      <c r="AB37" s="135">
        <v>0.0</v>
      </c>
      <c r="AC37" s="135">
        <v>0.0</v>
      </c>
      <c r="AD37" s="135">
        <v>0.0</v>
      </c>
      <c r="AE37" s="135">
        <v>0.0</v>
      </c>
      <c r="AF37" s="137">
        <v>4.0</v>
      </c>
      <c r="AG37" s="137">
        <v>43.0</v>
      </c>
      <c r="AH37" s="137">
        <v>29.0</v>
      </c>
      <c r="AI37" s="137">
        <v>48.0</v>
      </c>
      <c r="AJ37" s="137">
        <v>17.0</v>
      </c>
      <c r="AK37" s="137">
        <v>38.0</v>
      </c>
      <c r="AL37" s="137">
        <v>19.0</v>
      </c>
      <c r="AM37" s="137">
        <v>25.0</v>
      </c>
      <c r="AN37" s="137">
        <v>223.0</v>
      </c>
    </row>
    <row r="38">
      <c r="A38" s="132" t="s">
        <v>204</v>
      </c>
      <c r="B38" s="136" t="s">
        <v>198</v>
      </c>
      <c r="C38" s="137">
        <v>101.0</v>
      </c>
      <c r="D38" s="137">
        <v>28.0</v>
      </c>
      <c r="E38" s="137">
        <v>73.0</v>
      </c>
      <c r="F38" s="135">
        <v>0.0</v>
      </c>
      <c r="G38" s="135">
        <v>0.0</v>
      </c>
      <c r="H38" s="135">
        <v>0.0</v>
      </c>
      <c r="I38" s="135">
        <v>0.0</v>
      </c>
      <c r="J38" s="135">
        <v>0.0</v>
      </c>
      <c r="K38" s="135">
        <v>0.0</v>
      </c>
      <c r="L38" s="135">
        <v>0.0</v>
      </c>
      <c r="M38" s="135">
        <v>0.0</v>
      </c>
      <c r="N38" s="135">
        <v>0.0</v>
      </c>
      <c r="O38" s="135">
        <v>0.0</v>
      </c>
      <c r="P38" s="135">
        <v>0.0</v>
      </c>
      <c r="Q38" s="135">
        <v>0.0</v>
      </c>
      <c r="R38" s="135">
        <v>0.0</v>
      </c>
      <c r="S38" s="135">
        <v>0.0</v>
      </c>
      <c r="T38" s="135">
        <v>0.0</v>
      </c>
      <c r="U38" s="135">
        <v>0.0</v>
      </c>
      <c r="V38" s="135">
        <v>0.0</v>
      </c>
      <c r="W38" s="135">
        <v>0.0</v>
      </c>
      <c r="X38" s="135">
        <v>0.0</v>
      </c>
      <c r="Y38" s="135">
        <v>0.0</v>
      </c>
      <c r="Z38" s="135">
        <v>0.0</v>
      </c>
      <c r="AA38" s="135">
        <v>0.0</v>
      </c>
      <c r="AB38" s="135">
        <v>0.0</v>
      </c>
      <c r="AC38" s="135">
        <v>0.0</v>
      </c>
      <c r="AD38" s="135">
        <v>0.0</v>
      </c>
      <c r="AE38" s="135">
        <v>0.0</v>
      </c>
      <c r="AF38" s="137">
        <v>4.0</v>
      </c>
      <c r="AG38" s="137">
        <v>5.0</v>
      </c>
      <c r="AH38" s="137">
        <v>3.0</v>
      </c>
      <c r="AI38" s="137">
        <v>13.0</v>
      </c>
      <c r="AJ38" s="137">
        <v>3.0</v>
      </c>
      <c r="AK38" s="137">
        <v>22.0</v>
      </c>
      <c r="AL38" s="137">
        <v>18.0</v>
      </c>
      <c r="AM38" s="137">
        <v>33.0</v>
      </c>
      <c r="AN38" s="137">
        <v>101.0</v>
      </c>
    </row>
    <row r="39">
      <c r="A39" s="104"/>
      <c r="B39" s="136" t="s">
        <v>199</v>
      </c>
      <c r="C39" s="137">
        <v>184.0</v>
      </c>
      <c r="D39" s="137">
        <v>69.0</v>
      </c>
      <c r="E39" s="137">
        <v>115.0</v>
      </c>
      <c r="F39" s="135">
        <v>0.0</v>
      </c>
      <c r="G39" s="135">
        <v>0.0</v>
      </c>
      <c r="H39" s="135">
        <v>0.0</v>
      </c>
      <c r="I39" s="135">
        <v>0.0</v>
      </c>
      <c r="J39" s="135">
        <v>0.0</v>
      </c>
      <c r="K39" s="135">
        <v>0.0</v>
      </c>
      <c r="L39" s="135">
        <v>0.0</v>
      </c>
      <c r="M39" s="135">
        <v>0.0</v>
      </c>
      <c r="N39" s="135">
        <v>0.0</v>
      </c>
      <c r="O39" s="135">
        <v>0.0</v>
      </c>
      <c r="P39" s="135">
        <v>0.0</v>
      </c>
      <c r="Q39" s="135">
        <v>0.0</v>
      </c>
      <c r="R39" s="135">
        <v>0.0</v>
      </c>
      <c r="S39" s="135">
        <v>0.0</v>
      </c>
      <c r="T39" s="135">
        <v>0.0</v>
      </c>
      <c r="U39" s="135">
        <v>0.0</v>
      </c>
      <c r="V39" s="135">
        <v>0.0</v>
      </c>
      <c r="W39" s="135">
        <v>0.0</v>
      </c>
      <c r="X39" s="135">
        <v>0.0</v>
      </c>
      <c r="Y39" s="135">
        <v>0.0</v>
      </c>
      <c r="Z39" s="135">
        <v>0.0</v>
      </c>
      <c r="AA39" s="135">
        <v>0.0</v>
      </c>
      <c r="AB39" s="135">
        <v>0.0</v>
      </c>
      <c r="AC39" s="135">
        <v>0.0</v>
      </c>
      <c r="AD39" s="135">
        <v>0.0</v>
      </c>
      <c r="AE39" s="135">
        <v>0.0</v>
      </c>
      <c r="AF39" s="137">
        <v>6.0</v>
      </c>
      <c r="AG39" s="137">
        <v>17.0</v>
      </c>
      <c r="AH39" s="137">
        <v>7.0</v>
      </c>
      <c r="AI39" s="137">
        <v>29.0</v>
      </c>
      <c r="AJ39" s="137">
        <v>21.0</v>
      </c>
      <c r="AK39" s="137">
        <v>23.0</v>
      </c>
      <c r="AL39" s="137">
        <v>35.0</v>
      </c>
      <c r="AM39" s="137">
        <v>46.0</v>
      </c>
      <c r="AN39" s="137">
        <v>184.0</v>
      </c>
    </row>
    <row r="40">
      <c r="A40" s="132" t="s">
        <v>205</v>
      </c>
      <c r="B40" s="136" t="s">
        <v>198</v>
      </c>
      <c r="C40" s="137">
        <v>3.0</v>
      </c>
      <c r="D40" s="137">
        <v>0.0</v>
      </c>
      <c r="E40" s="137">
        <v>3.0</v>
      </c>
      <c r="F40" s="137">
        <v>0.0</v>
      </c>
      <c r="G40" s="137">
        <v>0.0</v>
      </c>
      <c r="H40" s="137">
        <v>0.0</v>
      </c>
      <c r="I40" s="137">
        <v>0.0</v>
      </c>
      <c r="J40" s="137">
        <v>0.0</v>
      </c>
      <c r="K40" s="137">
        <v>0.0</v>
      </c>
      <c r="L40" s="137">
        <v>0.0</v>
      </c>
      <c r="M40" s="137">
        <v>0.0</v>
      </c>
      <c r="N40" s="137">
        <v>0.0</v>
      </c>
      <c r="O40" s="137">
        <v>0.0</v>
      </c>
      <c r="P40" s="137">
        <v>0.0</v>
      </c>
      <c r="Q40" s="137">
        <v>0.0</v>
      </c>
      <c r="R40" s="137">
        <v>0.0</v>
      </c>
      <c r="S40" s="137">
        <v>0.0</v>
      </c>
      <c r="T40" s="137">
        <v>0.0</v>
      </c>
      <c r="U40" s="137">
        <v>0.0</v>
      </c>
      <c r="V40" s="137">
        <v>0.0</v>
      </c>
      <c r="W40" s="137">
        <v>0.0</v>
      </c>
      <c r="X40" s="137">
        <v>0.0</v>
      </c>
      <c r="Y40" s="137">
        <v>0.0</v>
      </c>
      <c r="Z40" s="137">
        <v>0.0</v>
      </c>
      <c r="AA40" s="137">
        <v>0.0</v>
      </c>
      <c r="AB40" s="137">
        <v>0.0</v>
      </c>
      <c r="AC40" s="137">
        <v>0.0</v>
      </c>
      <c r="AD40" s="137">
        <v>0.0</v>
      </c>
      <c r="AE40" s="137">
        <v>0.0</v>
      </c>
      <c r="AF40" s="137">
        <v>0.0</v>
      </c>
      <c r="AG40" s="137">
        <v>1.0</v>
      </c>
      <c r="AH40" s="137">
        <v>0.0</v>
      </c>
      <c r="AI40" s="137">
        <v>1.0</v>
      </c>
      <c r="AJ40" s="137">
        <v>0.0</v>
      </c>
      <c r="AK40" s="137">
        <v>0.0</v>
      </c>
      <c r="AL40" s="137">
        <v>0.0</v>
      </c>
      <c r="AM40" s="137">
        <v>1.0</v>
      </c>
      <c r="AN40" s="137">
        <v>3.0</v>
      </c>
    </row>
    <row r="41">
      <c r="A41" s="98"/>
      <c r="B41" s="136" t="s">
        <v>199</v>
      </c>
      <c r="C41" s="137">
        <v>0.0</v>
      </c>
      <c r="D41" s="137">
        <v>0.0</v>
      </c>
      <c r="E41" s="137">
        <v>0.0</v>
      </c>
      <c r="F41" s="137">
        <v>0.0</v>
      </c>
      <c r="G41" s="137">
        <v>0.0</v>
      </c>
      <c r="H41" s="137">
        <v>0.0</v>
      </c>
      <c r="I41" s="137">
        <v>0.0</v>
      </c>
      <c r="J41" s="137">
        <v>0.0</v>
      </c>
      <c r="K41" s="137">
        <v>0.0</v>
      </c>
      <c r="L41" s="137">
        <v>0.0</v>
      </c>
      <c r="M41" s="137">
        <v>0.0</v>
      </c>
      <c r="N41" s="137">
        <v>0.0</v>
      </c>
      <c r="O41" s="137">
        <v>0.0</v>
      </c>
      <c r="P41" s="137">
        <v>0.0</v>
      </c>
      <c r="Q41" s="137">
        <v>0.0</v>
      </c>
      <c r="R41" s="137">
        <v>0.0</v>
      </c>
      <c r="S41" s="137">
        <v>0.0</v>
      </c>
      <c r="T41" s="137">
        <v>0.0</v>
      </c>
      <c r="U41" s="137">
        <v>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37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</row>
    <row r="42">
      <c r="A42" s="104"/>
      <c r="B42" s="136" t="s">
        <v>206</v>
      </c>
      <c r="C42" s="137">
        <v>1.0</v>
      </c>
      <c r="D42" s="137">
        <v>0.0</v>
      </c>
      <c r="E42" s="137">
        <v>1.0</v>
      </c>
      <c r="F42" s="137">
        <v>0.0</v>
      </c>
      <c r="G42" s="137">
        <v>0.0</v>
      </c>
      <c r="H42" s="137">
        <v>0.0</v>
      </c>
      <c r="I42" s="137">
        <v>0.0</v>
      </c>
      <c r="J42" s="137">
        <v>0.0</v>
      </c>
      <c r="K42" s="137">
        <v>0.0</v>
      </c>
      <c r="L42" s="137">
        <v>0.0</v>
      </c>
      <c r="M42" s="137">
        <v>0.0</v>
      </c>
      <c r="N42" s="137">
        <v>0.0</v>
      </c>
      <c r="O42" s="137">
        <v>0.0</v>
      </c>
      <c r="P42" s="137">
        <v>0.0</v>
      </c>
      <c r="Q42" s="137">
        <v>1.0</v>
      </c>
      <c r="R42" s="137">
        <v>0.0</v>
      </c>
      <c r="S42" s="137">
        <v>0.0</v>
      </c>
      <c r="T42" s="137">
        <v>0.0</v>
      </c>
      <c r="U42" s="137">
        <v>0.0</v>
      </c>
      <c r="V42" s="137">
        <v>0.0</v>
      </c>
      <c r="W42" s="137">
        <v>0.0</v>
      </c>
      <c r="X42" s="137">
        <v>0.0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37">
        <v>0.0</v>
      </c>
      <c r="AI42" s="137">
        <v>0.0</v>
      </c>
      <c r="AJ42" s="137">
        <v>0.0</v>
      </c>
      <c r="AK42" s="137">
        <v>0.0</v>
      </c>
      <c r="AL42" s="137">
        <v>0.0</v>
      </c>
      <c r="AM42" s="137">
        <v>0.0</v>
      </c>
      <c r="AN42" s="137">
        <v>1.0</v>
      </c>
    </row>
    <row r="43">
      <c r="A43" s="132" t="s">
        <v>207</v>
      </c>
      <c r="B43" s="136" t="s">
        <v>198</v>
      </c>
      <c r="C43" s="134">
        <v>18344.0</v>
      </c>
      <c r="D43" s="134">
        <v>5486.0</v>
      </c>
      <c r="E43" s="134">
        <v>12858.0</v>
      </c>
      <c r="F43" s="137">
        <v>21.0</v>
      </c>
      <c r="G43" s="137">
        <v>25.0</v>
      </c>
      <c r="H43" s="137">
        <v>157.0</v>
      </c>
      <c r="I43" s="137">
        <v>175.0</v>
      </c>
      <c r="J43" s="137">
        <v>328.0</v>
      </c>
      <c r="K43" s="137">
        <v>305.0</v>
      </c>
      <c r="L43" s="137">
        <v>308.0</v>
      </c>
      <c r="M43" s="137">
        <v>418.0</v>
      </c>
      <c r="N43" s="137">
        <v>213.0</v>
      </c>
      <c r="O43" s="137">
        <v>443.0</v>
      </c>
      <c r="P43" s="137">
        <v>211.0</v>
      </c>
      <c r="Q43" s="137">
        <v>448.0</v>
      </c>
      <c r="R43" s="137">
        <v>218.0</v>
      </c>
      <c r="S43" s="137">
        <v>425.0</v>
      </c>
      <c r="T43" s="137">
        <v>204.0</v>
      </c>
      <c r="U43" s="137">
        <v>498.0</v>
      </c>
      <c r="V43" s="137">
        <v>152.0</v>
      </c>
      <c r="W43" s="137">
        <v>492.0</v>
      </c>
      <c r="X43" s="137">
        <v>251.0</v>
      </c>
      <c r="Y43" s="137">
        <v>731.0</v>
      </c>
      <c r="Z43" s="137">
        <v>326.0</v>
      </c>
      <c r="AA43" s="134">
        <v>1124.0</v>
      </c>
      <c r="AB43" s="137">
        <v>451.0</v>
      </c>
      <c r="AC43" s="134">
        <v>1416.0</v>
      </c>
      <c r="AD43" s="137">
        <v>661.0</v>
      </c>
      <c r="AE43" s="134">
        <v>1419.0</v>
      </c>
      <c r="AF43" s="137">
        <v>551.0</v>
      </c>
      <c r="AG43" s="134">
        <v>1486.0</v>
      </c>
      <c r="AH43" s="137">
        <v>577.0</v>
      </c>
      <c r="AI43" s="134">
        <v>1426.0</v>
      </c>
      <c r="AJ43" s="137">
        <v>458.0</v>
      </c>
      <c r="AK43" s="137">
        <v>968.0</v>
      </c>
      <c r="AL43" s="137">
        <v>399.0</v>
      </c>
      <c r="AM43" s="134">
        <v>1059.0</v>
      </c>
      <c r="AN43" s="134">
        <v>18306.0</v>
      </c>
    </row>
    <row r="44">
      <c r="A44" s="98"/>
      <c r="B44" s="136" t="s">
        <v>199</v>
      </c>
      <c r="C44" s="134">
        <v>1618.0</v>
      </c>
      <c r="D44" s="137">
        <v>662.0</v>
      </c>
      <c r="E44" s="137">
        <v>956.0</v>
      </c>
      <c r="F44" s="137">
        <v>2.0</v>
      </c>
      <c r="G44" s="137">
        <v>2.0</v>
      </c>
      <c r="H44" s="137">
        <v>33.0</v>
      </c>
      <c r="I44" s="137">
        <v>52.0</v>
      </c>
      <c r="J44" s="137">
        <v>68.0</v>
      </c>
      <c r="K44" s="137">
        <v>67.0</v>
      </c>
      <c r="L44" s="137">
        <v>81.0</v>
      </c>
      <c r="M44" s="137">
        <v>84.0</v>
      </c>
      <c r="N44" s="137">
        <v>52.0</v>
      </c>
      <c r="O44" s="137">
        <v>77.0</v>
      </c>
      <c r="P44" s="137">
        <v>41.0</v>
      </c>
      <c r="Q44" s="137">
        <v>64.0</v>
      </c>
      <c r="R44" s="137">
        <v>38.0</v>
      </c>
      <c r="S44" s="137">
        <v>59.0</v>
      </c>
      <c r="T44" s="137">
        <v>37.0</v>
      </c>
      <c r="U44" s="137">
        <v>74.0</v>
      </c>
      <c r="V44" s="137">
        <v>31.0</v>
      </c>
      <c r="W44" s="137">
        <v>42.0</v>
      </c>
      <c r="X44" s="137">
        <v>48.0</v>
      </c>
      <c r="Y44" s="137">
        <v>69.0</v>
      </c>
      <c r="Z44" s="137">
        <v>41.0</v>
      </c>
      <c r="AA44" s="137">
        <v>84.0</v>
      </c>
      <c r="AB44" s="137">
        <v>46.0</v>
      </c>
      <c r="AC44" s="137">
        <v>112.0</v>
      </c>
      <c r="AD44" s="137">
        <v>60.0</v>
      </c>
      <c r="AE44" s="137">
        <v>42.0</v>
      </c>
      <c r="AF44" s="137">
        <v>38.0</v>
      </c>
      <c r="AG44" s="137">
        <v>35.0</v>
      </c>
      <c r="AH44" s="137">
        <v>22.0</v>
      </c>
      <c r="AI44" s="137">
        <v>36.0</v>
      </c>
      <c r="AJ44" s="137">
        <v>17.0</v>
      </c>
      <c r="AK44" s="137">
        <v>28.0</v>
      </c>
      <c r="AL44" s="137">
        <v>7.0</v>
      </c>
      <c r="AM44" s="137">
        <v>29.0</v>
      </c>
      <c r="AN44" s="134">
        <v>1605.0</v>
      </c>
    </row>
    <row r="45">
      <c r="A45" s="98"/>
      <c r="B45" s="136" t="s">
        <v>206</v>
      </c>
      <c r="C45" s="137">
        <v>107.0</v>
      </c>
      <c r="D45" s="137">
        <v>5.0</v>
      </c>
      <c r="E45" s="137">
        <v>102.0</v>
      </c>
      <c r="F45" s="137">
        <v>0.0</v>
      </c>
      <c r="G45" s="137">
        <v>0.0</v>
      </c>
      <c r="H45" s="137">
        <v>0.0</v>
      </c>
      <c r="I45" s="137">
        <v>0.0</v>
      </c>
      <c r="J45" s="137">
        <v>4.0</v>
      </c>
      <c r="K45" s="137">
        <v>0.0</v>
      </c>
      <c r="L45" s="137">
        <v>1.0</v>
      </c>
      <c r="M45" s="137">
        <v>12.0</v>
      </c>
      <c r="N45" s="137">
        <v>0.0</v>
      </c>
      <c r="O45" s="137">
        <v>22.0</v>
      </c>
      <c r="P45" s="137">
        <v>0.0</v>
      </c>
      <c r="Q45" s="137">
        <v>11.0</v>
      </c>
      <c r="R45" s="137">
        <v>0.0</v>
      </c>
      <c r="S45" s="137">
        <v>10.0</v>
      </c>
      <c r="T45" s="137">
        <v>0.0</v>
      </c>
      <c r="U45" s="137">
        <v>15.0</v>
      </c>
      <c r="V45" s="137">
        <v>0.0</v>
      </c>
      <c r="W45" s="137">
        <v>13.0</v>
      </c>
      <c r="X45" s="137">
        <v>0.0</v>
      </c>
      <c r="Y45" s="137">
        <v>5.0</v>
      </c>
      <c r="Z45" s="137">
        <v>0.0</v>
      </c>
      <c r="AA45" s="137">
        <v>3.0</v>
      </c>
      <c r="AB45" s="137">
        <v>0.0</v>
      </c>
      <c r="AC45" s="137">
        <v>3.0</v>
      </c>
      <c r="AD45" s="137">
        <v>0.0</v>
      </c>
      <c r="AE45" s="137">
        <v>4.0</v>
      </c>
      <c r="AF45" s="137">
        <v>0.0</v>
      </c>
      <c r="AG45" s="137">
        <v>3.0</v>
      </c>
      <c r="AH45" s="137">
        <v>0.0</v>
      </c>
      <c r="AI45" s="137">
        <v>1.0</v>
      </c>
      <c r="AJ45" s="137">
        <v>0.0</v>
      </c>
      <c r="AK45" s="137">
        <v>0.0</v>
      </c>
      <c r="AL45" s="137">
        <v>0.0</v>
      </c>
      <c r="AM45" s="137">
        <v>0.0</v>
      </c>
      <c r="AN45" s="137">
        <v>107.0</v>
      </c>
    </row>
    <row r="46">
      <c r="A46" s="98"/>
      <c r="B46" s="136" t="s">
        <v>200</v>
      </c>
      <c r="C46" s="134">
        <v>8764.0</v>
      </c>
      <c r="D46" s="134">
        <v>3624.0</v>
      </c>
      <c r="E46" s="134">
        <v>5140.0</v>
      </c>
      <c r="F46" s="134">
        <v>2079.0</v>
      </c>
      <c r="G46" s="134">
        <v>1963.0</v>
      </c>
      <c r="H46" s="137">
        <v>586.0</v>
      </c>
      <c r="I46" s="137">
        <v>588.0</v>
      </c>
      <c r="J46" s="137">
        <v>240.0</v>
      </c>
      <c r="K46" s="137">
        <v>254.0</v>
      </c>
      <c r="L46" s="137">
        <v>119.0</v>
      </c>
      <c r="M46" s="137">
        <v>382.0</v>
      </c>
      <c r="N46" s="137">
        <v>51.0</v>
      </c>
      <c r="O46" s="137">
        <v>222.0</v>
      </c>
      <c r="P46" s="137">
        <v>32.0</v>
      </c>
      <c r="Q46" s="137">
        <v>214.0</v>
      </c>
      <c r="R46" s="137">
        <v>38.0</v>
      </c>
      <c r="S46" s="137">
        <v>204.0</v>
      </c>
      <c r="T46" s="137">
        <v>40.0</v>
      </c>
      <c r="U46" s="137">
        <v>194.0</v>
      </c>
      <c r="V46" s="137">
        <v>28.0</v>
      </c>
      <c r="W46" s="137">
        <v>142.0</v>
      </c>
      <c r="X46" s="137">
        <v>32.0</v>
      </c>
      <c r="Y46" s="137">
        <v>137.0</v>
      </c>
      <c r="Z46" s="137">
        <v>42.0</v>
      </c>
      <c r="AA46" s="137">
        <v>175.0</v>
      </c>
      <c r="AB46" s="137">
        <v>60.0</v>
      </c>
      <c r="AC46" s="137">
        <v>193.0</v>
      </c>
      <c r="AD46" s="137">
        <v>72.0</v>
      </c>
      <c r="AE46" s="137">
        <v>156.0</v>
      </c>
      <c r="AF46" s="137">
        <v>64.0</v>
      </c>
      <c r="AG46" s="137">
        <v>108.0</v>
      </c>
      <c r="AH46" s="137">
        <v>52.0</v>
      </c>
      <c r="AI46" s="137">
        <v>78.0</v>
      </c>
      <c r="AJ46" s="137">
        <v>49.0</v>
      </c>
      <c r="AK46" s="137">
        <v>56.0</v>
      </c>
      <c r="AL46" s="137">
        <v>40.0</v>
      </c>
      <c r="AM46" s="137">
        <v>74.0</v>
      </c>
      <c r="AN46" s="134">
        <v>8759.0</v>
      </c>
    </row>
    <row r="47">
      <c r="A47" s="104"/>
      <c r="B47" s="136" t="s">
        <v>201</v>
      </c>
      <c r="C47" s="137">
        <v>51.0</v>
      </c>
      <c r="D47" s="137">
        <v>19.0</v>
      </c>
      <c r="E47" s="137">
        <v>32.0</v>
      </c>
      <c r="F47" s="137">
        <v>1.0</v>
      </c>
      <c r="G47" s="137">
        <v>0.0</v>
      </c>
      <c r="H47" s="137">
        <v>0.0</v>
      </c>
      <c r="I47" s="137">
        <v>0.0</v>
      </c>
      <c r="J47" s="137">
        <v>0.0</v>
      </c>
      <c r="K47" s="137">
        <v>0.0</v>
      </c>
      <c r="L47" s="137">
        <v>0.0</v>
      </c>
      <c r="M47" s="137">
        <v>0.0</v>
      </c>
      <c r="N47" s="137">
        <v>0.0</v>
      </c>
      <c r="O47" s="137">
        <v>0.0</v>
      </c>
      <c r="P47" s="137">
        <v>0.0</v>
      </c>
      <c r="Q47" s="137">
        <v>8.0</v>
      </c>
      <c r="R47" s="137">
        <v>1.0</v>
      </c>
      <c r="S47" s="137">
        <v>10.0</v>
      </c>
      <c r="T47" s="137">
        <v>0.0</v>
      </c>
      <c r="U47" s="137">
        <v>0.0</v>
      </c>
      <c r="V47" s="137">
        <v>1.0</v>
      </c>
      <c r="W47" s="137">
        <v>1.0</v>
      </c>
      <c r="X47" s="137">
        <v>5.0</v>
      </c>
      <c r="Y47" s="137">
        <v>2.0</v>
      </c>
      <c r="Z47" s="137">
        <v>4.0</v>
      </c>
      <c r="AA47" s="137">
        <v>3.0</v>
      </c>
      <c r="AB47" s="137">
        <v>6.0</v>
      </c>
      <c r="AC47" s="137">
        <v>0.0</v>
      </c>
      <c r="AD47" s="137">
        <v>1.0</v>
      </c>
      <c r="AE47" s="137">
        <v>3.0</v>
      </c>
      <c r="AF47" s="137">
        <v>0.0</v>
      </c>
      <c r="AG47" s="137">
        <v>0.0</v>
      </c>
      <c r="AH47" s="137">
        <v>0.0</v>
      </c>
      <c r="AI47" s="137">
        <v>0.0</v>
      </c>
      <c r="AJ47" s="137">
        <v>0.0</v>
      </c>
      <c r="AK47" s="137">
        <v>2.0</v>
      </c>
      <c r="AL47" s="137">
        <v>0.0</v>
      </c>
      <c r="AM47" s="137">
        <v>3.0</v>
      </c>
      <c r="AN47" s="137">
        <v>42.0</v>
      </c>
    </row>
    <row r="48">
      <c r="A48" s="132" t="s">
        <v>208</v>
      </c>
      <c r="B48" s="136" t="s">
        <v>198</v>
      </c>
      <c r="C48" s="137">
        <v>16.0</v>
      </c>
      <c r="D48" s="137">
        <v>9.0</v>
      </c>
      <c r="E48" s="137">
        <v>7.0</v>
      </c>
      <c r="F48" s="137">
        <v>7.0</v>
      </c>
      <c r="G48" s="137">
        <v>6.0</v>
      </c>
      <c r="H48" s="137">
        <v>1.0</v>
      </c>
      <c r="I48" s="137">
        <v>1.0</v>
      </c>
      <c r="J48" s="137">
        <v>1.0</v>
      </c>
      <c r="K48" s="137">
        <v>0.0</v>
      </c>
      <c r="L48" s="137">
        <v>0.0</v>
      </c>
      <c r="M48" s="137">
        <v>0.0</v>
      </c>
      <c r="N48" s="137">
        <v>0.0</v>
      </c>
      <c r="O48" s="137">
        <v>0.0</v>
      </c>
      <c r="P48" s="135">
        <v>0.0</v>
      </c>
      <c r="Q48" s="135">
        <v>0.0</v>
      </c>
      <c r="R48" s="135">
        <v>0.0</v>
      </c>
      <c r="S48" s="135">
        <v>0.0</v>
      </c>
      <c r="T48" s="135">
        <v>0.0</v>
      </c>
      <c r="U48" s="135">
        <v>0.0</v>
      </c>
      <c r="V48" s="135">
        <v>0.0</v>
      </c>
      <c r="W48" s="135">
        <v>0.0</v>
      </c>
      <c r="X48" s="135">
        <v>0.0</v>
      </c>
      <c r="Y48" s="135">
        <v>0.0</v>
      </c>
      <c r="Z48" s="135">
        <v>0.0</v>
      </c>
      <c r="AA48" s="135">
        <v>0.0</v>
      </c>
      <c r="AB48" s="135">
        <v>0.0</v>
      </c>
      <c r="AC48" s="135">
        <v>0.0</v>
      </c>
      <c r="AD48" s="135">
        <v>0.0</v>
      </c>
      <c r="AE48" s="135">
        <v>0.0</v>
      </c>
      <c r="AF48" s="135">
        <v>0.0</v>
      </c>
      <c r="AG48" s="135">
        <v>0.0</v>
      </c>
      <c r="AH48" s="135">
        <v>0.0</v>
      </c>
      <c r="AI48" s="135">
        <v>0.0</v>
      </c>
      <c r="AJ48" s="135">
        <v>0.0</v>
      </c>
      <c r="AK48" s="135">
        <v>0.0</v>
      </c>
      <c r="AL48" s="135">
        <v>0.0</v>
      </c>
      <c r="AM48" s="135">
        <v>0.0</v>
      </c>
      <c r="AN48" s="137">
        <v>15.0</v>
      </c>
    </row>
    <row r="49">
      <c r="A49" s="98"/>
      <c r="B49" s="136" t="s">
        <v>199</v>
      </c>
      <c r="C49" s="137">
        <v>223.0</v>
      </c>
      <c r="D49" s="137">
        <v>112.0</v>
      </c>
      <c r="E49" s="137">
        <v>111.0</v>
      </c>
      <c r="F49" s="137">
        <v>106.0</v>
      </c>
      <c r="G49" s="137">
        <v>107.0</v>
      </c>
      <c r="H49" s="137">
        <v>6.0</v>
      </c>
      <c r="I49" s="137">
        <v>4.0</v>
      </c>
      <c r="J49" s="137">
        <v>0.0</v>
      </c>
      <c r="K49" s="137">
        <v>0.0</v>
      </c>
      <c r="L49" s="137">
        <v>0.0</v>
      </c>
      <c r="M49" s="137">
        <v>0.0</v>
      </c>
      <c r="N49" s="137">
        <v>0.0</v>
      </c>
      <c r="O49" s="137">
        <v>0.0</v>
      </c>
      <c r="P49" s="135">
        <v>0.0</v>
      </c>
      <c r="Q49" s="135">
        <v>0.0</v>
      </c>
      <c r="R49" s="135">
        <v>0.0</v>
      </c>
      <c r="S49" s="135">
        <v>0.0</v>
      </c>
      <c r="T49" s="135">
        <v>0.0</v>
      </c>
      <c r="U49" s="135">
        <v>0.0</v>
      </c>
      <c r="V49" s="135">
        <v>0.0</v>
      </c>
      <c r="W49" s="135">
        <v>0.0</v>
      </c>
      <c r="X49" s="135">
        <v>0.0</v>
      </c>
      <c r="Y49" s="135">
        <v>0.0</v>
      </c>
      <c r="Z49" s="135">
        <v>0.0</v>
      </c>
      <c r="AA49" s="135">
        <v>0.0</v>
      </c>
      <c r="AB49" s="135">
        <v>0.0</v>
      </c>
      <c r="AC49" s="135">
        <v>0.0</v>
      </c>
      <c r="AD49" s="135">
        <v>0.0</v>
      </c>
      <c r="AE49" s="135">
        <v>0.0</v>
      </c>
      <c r="AF49" s="135">
        <v>0.0</v>
      </c>
      <c r="AG49" s="135">
        <v>0.0</v>
      </c>
      <c r="AH49" s="135">
        <v>0.0</v>
      </c>
      <c r="AI49" s="135">
        <v>0.0</v>
      </c>
      <c r="AJ49" s="135">
        <v>0.0</v>
      </c>
      <c r="AK49" s="135">
        <v>0.0</v>
      </c>
      <c r="AL49" s="135">
        <v>0.0</v>
      </c>
      <c r="AM49" s="135">
        <v>0.0</v>
      </c>
      <c r="AN49" s="137">
        <v>223.0</v>
      </c>
    </row>
    <row r="50">
      <c r="A50" s="98"/>
      <c r="B50" s="136" t="s">
        <v>206</v>
      </c>
      <c r="C50" s="137">
        <v>0.0</v>
      </c>
      <c r="D50" s="137">
        <v>0.0</v>
      </c>
      <c r="E50" s="137">
        <v>0.0</v>
      </c>
      <c r="F50" s="137">
        <v>0.0</v>
      </c>
      <c r="G50" s="137">
        <v>0.0</v>
      </c>
      <c r="H50" s="137">
        <v>0.0</v>
      </c>
      <c r="I50" s="137">
        <v>0.0</v>
      </c>
      <c r="J50" s="137">
        <v>0.0</v>
      </c>
      <c r="K50" s="137">
        <v>0.0</v>
      </c>
      <c r="L50" s="137">
        <v>0.0</v>
      </c>
      <c r="M50" s="137">
        <v>0.0</v>
      </c>
      <c r="N50" s="137">
        <v>0.0</v>
      </c>
      <c r="O50" s="137">
        <v>0.0</v>
      </c>
      <c r="P50" s="135">
        <v>0.0</v>
      </c>
      <c r="Q50" s="135">
        <v>0.0</v>
      </c>
      <c r="R50" s="135">
        <v>0.0</v>
      </c>
      <c r="S50" s="135">
        <v>0.0</v>
      </c>
      <c r="T50" s="135">
        <v>0.0</v>
      </c>
      <c r="U50" s="135">
        <v>0.0</v>
      </c>
      <c r="V50" s="135">
        <v>0.0</v>
      </c>
      <c r="W50" s="135">
        <v>0.0</v>
      </c>
      <c r="X50" s="135">
        <v>0.0</v>
      </c>
      <c r="Y50" s="135">
        <v>0.0</v>
      </c>
      <c r="Z50" s="135">
        <v>0.0</v>
      </c>
      <c r="AA50" s="135">
        <v>0.0</v>
      </c>
      <c r="AB50" s="135">
        <v>0.0</v>
      </c>
      <c r="AC50" s="135">
        <v>0.0</v>
      </c>
      <c r="AD50" s="135">
        <v>0.0</v>
      </c>
      <c r="AE50" s="135">
        <v>0.0</v>
      </c>
      <c r="AF50" s="135">
        <v>0.0</v>
      </c>
      <c r="AG50" s="135">
        <v>0.0</v>
      </c>
      <c r="AH50" s="135">
        <v>0.0</v>
      </c>
      <c r="AI50" s="135">
        <v>0.0</v>
      </c>
      <c r="AJ50" s="135">
        <v>0.0</v>
      </c>
      <c r="AK50" s="135">
        <v>0.0</v>
      </c>
      <c r="AL50" s="135">
        <v>0.0</v>
      </c>
      <c r="AM50" s="135">
        <v>0.0</v>
      </c>
      <c r="AN50" s="137">
        <v>0.0</v>
      </c>
    </row>
    <row r="51">
      <c r="A51" s="98"/>
      <c r="B51" s="136" t="s">
        <v>200</v>
      </c>
      <c r="C51" s="137">
        <v>16.0</v>
      </c>
      <c r="D51" s="137">
        <v>10.0</v>
      </c>
      <c r="E51" s="137">
        <v>6.0</v>
      </c>
      <c r="F51" s="137">
        <v>9.0</v>
      </c>
      <c r="G51" s="137">
        <v>6.0</v>
      </c>
      <c r="H51" s="137">
        <v>1.0</v>
      </c>
      <c r="I51" s="137">
        <v>0.0</v>
      </c>
      <c r="J51" s="137">
        <v>0.0</v>
      </c>
      <c r="K51" s="137">
        <v>0.0</v>
      </c>
      <c r="L51" s="137">
        <v>0.0</v>
      </c>
      <c r="M51" s="137">
        <v>0.0</v>
      </c>
      <c r="N51" s="137">
        <v>0.0</v>
      </c>
      <c r="O51" s="137">
        <v>0.0</v>
      </c>
      <c r="P51" s="135">
        <v>0.0</v>
      </c>
      <c r="Q51" s="135">
        <v>0.0</v>
      </c>
      <c r="R51" s="135">
        <v>0.0</v>
      </c>
      <c r="S51" s="135">
        <v>0.0</v>
      </c>
      <c r="T51" s="135">
        <v>0.0</v>
      </c>
      <c r="U51" s="135">
        <v>0.0</v>
      </c>
      <c r="V51" s="135">
        <v>0.0</v>
      </c>
      <c r="W51" s="135">
        <v>0.0</v>
      </c>
      <c r="X51" s="135">
        <v>0.0</v>
      </c>
      <c r="Y51" s="135">
        <v>0.0</v>
      </c>
      <c r="Z51" s="135">
        <v>0.0</v>
      </c>
      <c r="AA51" s="135">
        <v>0.0</v>
      </c>
      <c r="AB51" s="135">
        <v>0.0</v>
      </c>
      <c r="AC51" s="135">
        <v>0.0</v>
      </c>
      <c r="AD51" s="135">
        <v>0.0</v>
      </c>
      <c r="AE51" s="135">
        <v>0.0</v>
      </c>
      <c r="AF51" s="135">
        <v>0.0</v>
      </c>
      <c r="AG51" s="135">
        <v>0.0</v>
      </c>
      <c r="AH51" s="135">
        <v>0.0</v>
      </c>
      <c r="AI51" s="135">
        <v>0.0</v>
      </c>
      <c r="AJ51" s="135">
        <v>0.0</v>
      </c>
      <c r="AK51" s="135">
        <v>0.0</v>
      </c>
      <c r="AL51" s="135">
        <v>0.0</v>
      </c>
      <c r="AM51" s="135">
        <v>0.0</v>
      </c>
      <c r="AN51" s="137">
        <v>16.0</v>
      </c>
    </row>
    <row r="52">
      <c r="A52" s="104"/>
      <c r="B52" s="136" t="s">
        <v>201</v>
      </c>
      <c r="C52" s="137">
        <v>0.0</v>
      </c>
      <c r="D52" s="137">
        <v>0.0</v>
      </c>
      <c r="E52" s="137">
        <v>0.0</v>
      </c>
      <c r="F52" s="137">
        <v>0.0</v>
      </c>
      <c r="G52" s="137">
        <v>0.0</v>
      </c>
      <c r="H52" s="137">
        <v>0.0</v>
      </c>
      <c r="I52" s="137">
        <v>0.0</v>
      </c>
      <c r="J52" s="137">
        <v>0.0</v>
      </c>
      <c r="K52" s="137">
        <v>0.0</v>
      </c>
      <c r="L52" s="137">
        <v>0.0</v>
      </c>
      <c r="M52" s="137">
        <v>0.0</v>
      </c>
      <c r="N52" s="137">
        <v>0.0</v>
      </c>
      <c r="O52" s="137">
        <v>0.0</v>
      </c>
      <c r="P52" s="135">
        <v>0.0</v>
      </c>
      <c r="Q52" s="135">
        <v>0.0</v>
      </c>
      <c r="R52" s="135">
        <v>0.0</v>
      </c>
      <c r="S52" s="135">
        <v>0.0</v>
      </c>
      <c r="T52" s="135">
        <v>0.0</v>
      </c>
      <c r="U52" s="135">
        <v>0.0</v>
      </c>
      <c r="V52" s="135">
        <v>0.0</v>
      </c>
      <c r="W52" s="135">
        <v>0.0</v>
      </c>
      <c r="X52" s="135">
        <v>0.0</v>
      </c>
      <c r="Y52" s="135">
        <v>0.0</v>
      </c>
      <c r="Z52" s="135">
        <v>0.0</v>
      </c>
      <c r="AA52" s="135">
        <v>0.0</v>
      </c>
      <c r="AB52" s="135">
        <v>0.0</v>
      </c>
      <c r="AC52" s="135">
        <v>0.0</v>
      </c>
      <c r="AD52" s="135">
        <v>0.0</v>
      </c>
      <c r="AE52" s="135">
        <v>0.0</v>
      </c>
      <c r="AF52" s="135">
        <v>0.0</v>
      </c>
      <c r="AG52" s="135">
        <v>0.0</v>
      </c>
      <c r="AH52" s="135">
        <v>0.0</v>
      </c>
      <c r="AI52" s="135">
        <v>0.0</v>
      </c>
      <c r="AJ52" s="135">
        <v>0.0</v>
      </c>
      <c r="AK52" s="135">
        <v>0.0</v>
      </c>
      <c r="AL52" s="135">
        <v>0.0</v>
      </c>
      <c r="AM52" s="135">
        <v>0.0</v>
      </c>
      <c r="AN52" s="137">
        <v>0.0</v>
      </c>
    </row>
    <row r="53">
      <c r="A53" s="138" t="s">
        <v>210</v>
      </c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</row>
    <row r="54">
      <c r="A54" s="132" t="s">
        <v>197</v>
      </c>
      <c r="B54" s="133" t="s">
        <v>198</v>
      </c>
      <c r="C54" s="134">
        <v>60379.0</v>
      </c>
      <c r="D54" s="134">
        <v>21836.0</v>
      </c>
      <c r="E54" s="134">
        <v>38557.0</v>
      </c>
      <c r="F54" s="135">
        <v>0.0</v>
      </c>
      <c r="G54" s="135">
        <v>0.0</v>
      </c>
      <c r="H54" s="135">
        <v>0.0</v>
      </c>
      <c r="I54" s="135">
        <v>0.0</v>
      </c>
      <c r="J54" s="135">
        <v>0.0</v>
      </c>
      <c r="K54" s="135">
        <v>0.0</v>
      </c>
      <c r="L54" s="137">
        <v>32.0</v>
      </c>
      <c r="M54" s="137">
        <v>53.0</v>
      </c>
      <c r="N54" s="137">
        <v>34.0</v>
      </c>
      <c r="O54" s="137">
        <v>163.0</v>
      </c>
      <c r="P54" s="137">
        <v>92.0</v>
      </c>
      <c r="Q54" s="137">
        <v>230.0</v>
      </c>
      <c r="R54" s="137">
        <v>196.0</v>
      </c>
      <c r="S54" s="137">
        <v>394.0</v>
      </c>
      <c r="T54" s="137">
        <v>353.0</v>
      </c>
      <c r="U54" s="137">
        <v>756.0</v>
      </c>
      <c r="V54" s="137">
        <v>594.0</v>
      </c>
      <c r="W54" s="134">
        <v>1244.0</v>
      </c>
      <c r="X54" s="134">
        <v>1108.0</v>
      </c>
      <c r="Y54" s="134">
        <v>2132.0</v>
      </c>
      <c r="Z54" s="134">
        <v>1802.0</v>
      </c>
      <c r="AA54" s="134">
        <v>3943.0</v>
      </c>
      <c r="AB54" s="134">
        <v>2819.0</v>
      </c>
      <c r="AC54" s="134">
        <v>5104.0</v>
      </c>
      <c r="AD54" s="134">
        <v>3455.0</v>
      </c>
      <c r="AE54" s="134">
        <v>6073.0</v>
      </c>
      <c r="AF54" s="134">
        <v>3691.0</v>
      </c>
      <c r="AG54" s="134">
        <v>6180.0</v>
      </c>
      <c r="AH54" s="134">
        <v>3558.0</v>
      </c>
      <c r="AI54" s="134">
        <v>5254.0</v>
      </c>
      <c r="AJ54" s="134">
        <v>2271.0</v>
      </c>
      <c r="AK54" s="134">
        <v>3661.0</v>
      </c>
      <c r="AL54" s="134">
        <v>2172.0</v>
      </c>
      <c r="AM54" s="134">
        <v>3871.0</v>
      </c>
      <c r="AN54" s="134">
        <v>59715.0</v>
      </c>
    </row>
    <row r="55">
      <c r="A55" s="98"/>
      <c r="B55" s="136" t="s">
        <v>199</v>
      </c>
      <c r="C55" s="134">
        <v>12883.0</v>
      </c>
      <c r="D55" s="134">
        <v>4825.0</v>
      </c>
      <c r="E55" s="134">
        <v>8058.0</v>
      </c>
      <c r="F55" s="135">
        <v>0.0</v>
      </c>
      <c r="G55" s="135">
        <v>0.0</v>
      </c>
      <c r="H55" s="135">
        <v>0.0</v>
      </c>
      <c r="I55" s="135">
        <v>0.0</v>
      </c>
      <c r="J55" s="135">
        <v>0.0</v>
      </c>
      <c r="K55" s="135">
        <v>0.0</v>
      </c>
      <c r="L55" s="137">
        <v>5.0</v>
      </c>
      <c r="M55" s="137">
        <v>6.0</v>
      </c>
      <c r="N55" s="137">
        <v>6.0</v>
      </c>
      <c r="O55" s="137">
        <v>16.0</v>
      </c>
      <c r="P55" s="137">
        <v>16.0</v>
      </c>
      <c r="Q55" s="137">
        <v>45.0</v>
      </c>
      <c r="R55" s="137">
        <v>40.0</v>
      </c>
      <c r="S55" s="137">
        <v>72.0</v>
      </c>
      <c r="T55" s="137">
        <v>94.0</v>
      </c>
      <c r="U55" s="137">
        <v>145.0</v>
      </c>
      <c r="V55" s="137">
        <v>133.0</v>
      </c>
      <c r="W55" s="137">
        <v>265.0</v>
      </c>
      <c r="X55" s="137">
        <v>253.0</v>
      </c>
      <c r="Y55" s="137">
        <v>480.0</v>
      </c>
      <c r="Z55" s="137">
        <v>354.0</v>
      </c>
      <c r="AA55" s="137">
        <v>849.0</v>
      </c>
      <c r="AB55" s="137">
        <v>533.0</v>
      </c>
      <c r="AC55" s="134">
        <v>1005.0</v>
      </c>
      <c r="AD55" s="137">
        <v>679.0</v>
      </c>
      <c r="AE55" s="134">
        <v>1211.0</v>
      </c>
      <c r="AF55" s="137">
        <v>790.0</v>
      </c>
      <c r="AG55" s="134">
        <v>1209.0</v>
      </c>
      <c r="AH55" s="137">
        <v>841.0</v>
      </c>
      <c r="AI55" s="134">
        <v>1106.0</v>
      </c>
      <c r="AJ55" s="137">
        <v>553.0</v>
      </c>
      <c r="AK55" s="137">
        <v>811.0</v>
      </c>
      <c r="AL55" s="137">
        <v>528.0</v>
      </c>
      <c r="AM55" s="137">
        <v>838.0</v>
      </c>
      <c r="AN55" s="134">
        <v>12584.0</v>
      </c>
    </row>
    <row r="56">
      <c r="A56" s="98"/>
      <c r="B56" s="136" t="s">
        <v>200</v>
      </c>
      <c r="C56" s="134">
        <v>10401.0</v>
      </c>
      <c r="D56" s="134">
        <v>3884.0</v>
      </c>
      <c r="E56" s="134">
        <v>6517.0</v>
      </c>
      <c r="F56" s="135">
        <v>0.0</v>
      </c>
      <c r="G56" s="135">
        <v>0.0</v>
      </c>
      <c r="H56" s="135">
        <v>0.0</v>
      </c>
      <c r="I56" s="135">
        <v>0.0</v>
      </c>
      <c r="J56" s="135">
        <v>0.0</v>
      </c>
      <c r="K56" s="135">
        <v>0.0</v>
      </c>
      <c r="L56" s="137">
        <v>4.0</v>
      </c>
      <c r="M56" s="137">
        <v>8.0</v>
      </c>
      <c r="N56" s="137">
        <v>17.0</v>
      </c>
      <c r="O56" s="137">
        <v>25.0</v>
      </c>
      <c r="P56" s="137">
        <v>25.0</v>
      </c>
      <c r="Q56" s="137">
        <v>59.0</v>
      </c>
      <c r="R56" s="137">
        <v>59.0</v>
      </c>
      <c r="S56" s="137">
        <v>106.0</v>
      </c>
      <c r="T56" s="137">
        <v>139.0</v>
      </c>
      <c r="U56" s="137">
        <v>199.0</v>
      </c>
      <c r="V56" s="137">
        <v>138.0</v>
      </c>
      <c r="W56" s="137">
        <v>263.0</v>
      </c>
      <c r="X56" s="137">
        <v>239.0</v>
      </c>
      <c r="Y56" s="137">
        <v>442.0</v>
      </c>
      <c r="Z56" s="137">
        <v>314.0</v>
      </c>
      <c r="AA56" s="137">
        <v>797.0</v>
      </c>
      <c r="AB56" s="137">
        <v>541.0</v>
      </c>
      <c r="AC56" s="137">
        <v>918.0</v>
      </c>
      <c r="AD56" s="137">
        <v>570.0</v>
      </c>
      <c r="AE56" s="137">
        <v>915.0</v>
      </c>
      <c r="AF56" s="137">
        <v>511.0</v>
      </c>
      <c r="AG56" s="137">
        <v>913.0</v>
      </c>
      <c r="AH56" s="137">
        <v>580.0</v>
      </c>
      <c r="AI56" s="137">
        <v>774.0</v>
      </c>
      <c r="AJ56" s="137">
        <v>392.0</v>
      </c>
      <c r="AK56" s="137">
        <v>558.0</v>
      </c>
      <c r="AL56" s="137">
        <v>355.0</v>
      </c>
      <c r="AM56" s="137">
        <v>540.0</v>
      </c>
      <c r="AN56" s="134">
        <v>9827.0</v>
      </c>
    </row>
    <row r="57">
      <c r="A57" s="104"/>
      <c r="B57" s="136" t="s">
        <v>201</v>
      </c>
      <c r="C57" s="137">
        <v>165.0</v>
      </c>
      <c r="D57" s="137">
        <v>56.0</v>
      </c>
      <c r="E57" s="137">
        <v>109.0</v>
      </c>
      <c r="F57" s="135">
        <v>0.0</v>
      </c>
      <c r="G57" s="135">
        <v>0.0</v>
      </c>
      <c r="H57" s="135">
        <v>0.0</v>
      </c>
      <c r="I57" s="135">
        <v>0.0</v>
      </c>
      <c r="J57" s="135">
        <v>0.0</v>
      </c>
      <c r="K57" s="135">
        <v>0.0</v>
      </c>
      <c r="L57" s="137">
        <v>0.0</v>
      </c>
      <c r="M57" s="137">
        <v>0.0</v>
      </c>
      <c r="N57" s="137">
        <v>0.0</v>
      </c>
      <c r="O57" s="137">
        <v>0.0</v>
      </c>
      <c r="P57" s="137">
        <v>0.0</v>
      </c>
      <c r="Q57" s="137">
        <v>0.0</v>
      </c>
      <c r="R57" s="137">
        <v>0.0</v>
      </c>
      <c r="S57" s="137">
        <v>0.0</v>
      </c>
      <c r="T57" s="137">
        <v>0.0</v>
      </c>
      <c r="U57" s="137">
        <v>0.0</v>
      </c>
      <c r="V57" s="137">
        <v>0.0</v>
      </c>
      <c r="W57" s="137">
        <v>3.0</v>
      </c>
      <c r="X57" s="137">
        <v>4.0</v>
      </c>
      <c r="Y57" s="137">
        <v>0.0</v>
      </c>
      <c r="Z57" s="137">
        <v>0.0</v>
      </c>
      <c r="AA57" s="137">
        <v>2.0</v>
      </c>
      <c r="AB57" s="137">
        <v>8.0</v>
      </c>
      <c r="AC57" s="137">
        <v>15.0</v>
      </c>
      <c r="AD57" s="137">
        <v>1.0</v>
      </c>
      <c r="AE57" s="137">
        <v>26.0</v>
      </c>
      <c r="AF57" s="137">
        <v>19.0</v>
      </c>
      <c r="AG57" s="137">
        <v>18.0</v>
      </c>
      <c r="AH57" s="137">
        <v>20.0</v>
      </c>
      <c r="AI57" s="137">
        <v>24.0</v>
      </c>
      <c r="AJ57" s="137">
        <v>0.0</v>
      </c>
      <c r="AK57" s="137">
        <v>2.0</v>
      </c>
      <c r="AL57" s="137">
        <v>4.0</v>
      </c>
      <c r="AM57" s="137">
        <v>19.0</v>
      </c>
      <c r="AN57" s="137">
        <v>163.0</v>
      </c>
    </row>
    <row r="58">
      <c r="A58" s="132" t="s">
        <v>202</v>
      </c>
      <c r="B58" s="136" t="s">
        <v>198</v>
      </c>
      <c r="C58" s="137">
        <v>639.0</v>
      </c>
      <c r="D58" s="137">
        <v>337.0</v>
      </c>
      <c r="E58" s="137">
        <v>302.0</v>
      </c>
      <c r="F58" s="137">
        <v>1.0</v>
      </c>
      <c r="G58" s="137">
        <v>3.0</v>
      </c>
      <c r="H58" s="137">
        <v>2.0</v>
      </c>
      <c r="I58" s="137">
        <v>2.0</v>
      </c>
      <c r="J58" s="137">
        <v>7.0</v>
      </c>
      <c r="K58" s="137">
        <v>7.0</v>
      </c>
      <c r="L58" s="137">
        <v>19.0</v>
      </c>
      <c r="M58" s="137">
        <v>8.0</v>
      </c>
      <c r="N58" s="137">
        <v>18.0</v>
      </c>
      <c r="O58" s="137">
        <v>34.0</v>
      </c>
      <c r="P58" s="137">
        <v>39.0</v>
      </c>
      <c r="Q58" s="137">
        <v>24.0</v>
      </c>
      <c r="R58" s="137">
        <v>34.0</v>
      </c>
      <c r="S58" s="137">
        <v>37.0</v>
      </c>
      <c r="T58" s="137">
        <v>47.0</v>
      </c>
      <c r="U58" s="137">
        <v>33.0</v>
      </c>
      <c r="V58" s="137">
        <v>23.0</v>
      </c>
      <c r="W58" s="137">
        <v>23.0</v>
      </c>
      <c r="X58" s="137">
        <v>25.0</v>
      </c>
      <c r="Y58" s="137">
        <v>12.0</v>
      </c>
      <c r="Z58" s="137">
        <v>21.0</v>
      </c>
      <c r="AA58" s="137">
        <v>17.0</v>
      </c>
      <c r="AB58" s="137">
        <v>11.0</v>
      </c>
      <c r="AC58" s="137">
        <v>26.0</v>
      </c>
      <c r="AD58" s="137">
        <v>32.0</v>
      </c>
      <c r="AE58" s="137">
        <v>30.0</v>
      </c>
      <c r="AF58" s="137">
        <v>16.0</v>
      </c>
      <c r="AG58" s="137">
        <v>10.0</v>
      </c>
      <c r="AH58" s="137">
        <v>12.0</v>
      </c>
      <c r="AI58" s="137">
        <v>15.0</v>
      </c>
      <c r="AJ58" s="137">
        <v>7.0</v>
      </c>
      <c r="AK58" s="137">
        <v>7.0</v>
      </c>
      <c r="AL58" s="137">
        <v>23.0</v>
      </c>
      <c r="AM58" s="137">
        <v>14.0</v>
      </c>
      <c r="AN58" s="137">
        <v>512.0</v>
      </c>
    </row>
    <row r="59">
      <c r="A59" s="104"/>
      <c r="B59" s="136" t="s">
        <v>199</v>
      </c>
      <c r="C59" s="134">
        <v>2176.0</v>
      </c>
      <c r="D59" s="134">
        <v>1010.0</v>
      </c>
      <c r="E59" s="134">
        <v>1166.0</v>
      </c>
      <c r="F59" s="137">
        <v>13.0</v>
      </c>
      <c r="G59" s="137">
        <v>7.0</v>
      </c>
      <c r="H59" s="137">
        <v>0.0</v>
      </c>
      <c r="I59" s="137">
        <v>0.0</v>
      </c>
      <c r="J59" s="137">
        <v>13.0</v>
      </c>
      <c r="K59" s="137">
        <v>12.0</v>
      </c>
      <c r="L59" s="137">
        <v>18.0</v>
      </c>
      <c r="M59" s="137">
        <v>21.0</v>
      </c>
      <c r="N59" s="137">
        <v>108.0</v>
      </c>
      <c r="O59" s="137">
        <v>240.0</v>
      </c>
      <c r="P59" s="137">
        <v>188.0</v>
      </c>
      <c r="Q59" s="137">
        <v>121.0</v>
      </c>
      <c r="R59" s="137">
        <v>56.0</v>
      </c>
      <c r="S59" s="137">
        <v>311.0</v>
      </c>
      <c r="T59" s="137">
        <v>249.0</v>
      </c>
      <c r="U59" s="137">
        <v>166.0</v>
      </c>
      <c r="V59" s="137">
        <v>21.0</v>
      </c>
      <c r="W59" s="137">
        <v>64.0</v>
      </c>
      <c r="X59" s="137">
        <v>31.0</v>
      </c>
      <c r="Y59" s="137">
        <v>74.0</v>
      </c>
      <c r="Z59" s="137">
        <v>29.0</v>
      </c>
      <c r="AA59" s="137">
        <v>75.0</v>
      </c>
      <c r="AB59" s="137">
        <v>77.0</v>
      </c>
      <c r="AC59" s="137">
        <v>11.0</v>
      </c>
      <c r="AD59" s="137">
        <v>147.0</v>
      </c>
      <c r="AE59" s="137">
        <v>13.0</v>
      </c>
      <c r="AF59" s="137">
        <v>11.0</v>
      </c>
      <c r="AG59" s="137">
        <v>3.0</v>
      </c>
      <c r="AH59" s="137">
        <v>2.0</v>
      </c>
      <c r="AI59" s="137">
        <v>40.0</v>
      </c>
      <c r="AJ59" s="137">
        <v>0.0</v>
      </c>
      <c r="AK59" s="137">
        <v>6.0</v>
      </c>
      <c r="AL59" s="137">
        <v>47.0</v>
      </c>
      <c r="AM59" s="137">
        <v>2.0</v>
      </c>
      <c r="AN59" s="134">
        <v>1995.0</v>
      </c>
    </row>
    <row r="60">
      <c r="A60" s="132" t="s">
        <v>203</v>
      </c>
      <c r="B60" s="136" t="s">
        <v>198</v>
      </c>
      <c r="C60" s="137">
        <v>55.0</v>
      </c>
      <c r="D60" s="137">
        <v>24.0</v>
      </c>
      <c r="E60" s="137">
        <v>31.0</v>
      </c>
      <c r="F60" s="135">
        <v>0.0</v>
      </c>
      <c r="G60" s="135">
        <v>0.0</v>
      </c>
      <c r="H60" s="135">
        <v>0.0</v>
      </c>
      <c r="I60" s="135">
        <v>0.0</v>
      </c>
      <c r="J60" s="135">
        <v>0.0</v>
      </c>
      <c r="K60" s="135">
        <v>0.0</v>
      </c>
      <c r="L60" s="135">
        <v>0.0</v>
      </c>
      <c r="M60" s="135">
        <v>0.0</v>
      </c>
      <c r="N60" s="135">
        <v>0.0</v>
      </c>
      <c r="O60" s="135">
        <v>0.0</v>
      </c>
      <c r="P60" s="135">
        <v>0.0</v>
      </c>
      <c r="Q60" s="135">
        <v>0.0</v>
      </c>
      <c r="R60" s="135">
        <v>0.0</v>
      </c>
      <c r="S60" s="135">
        <v>0.0</v>
      </c>
      <c r="T60" s="135">
        <v>0.0</v>
      </c>
      <c r="U60" s="135">
        <v>0.0</v>
      </c>
      <c r="V60" s="135">
        <v>0.0</v>
      </c>
      <c r="W60" s="135">
        <v>0.0</v>
      </c>
      <c r="X60" s="135">
        <v>0.0</v>
      </c>
      <c r="Y60" s="135">
        <v>0.0</v>
      </c>
      <c r="Z60" s="135">
        <v>0.0</v>
      </c>
      <c r="AA60" s="135">
        <v>0.0</v>
      </c>
      <c r="AB60" s="135">
        <v>0.0</v>
      </c>
      <c r="AC60" s="135">
        <v>0.0</v>
      </c>
      <c r="AD60" s="135">
        <v>0.0</v>
      </c>
      <c r="AE60" s="135">
        <v>0.0</v>
      </c>
      <c r="AF60" s="137">
        <v>7.0</v>
      </c>
      <c r="AG60" s="137">
        <v>6.0</v>
      </c>
      <c r="AH60" s="137">
        <v>6.0</v>
      </c>
      <c r="AI60" s="137">
        <v>6.0</v>
      </c>
      <c r="AJ60" s="137">
        <v>4.0</v>
      </c>
      <c r="AK60" s="137">
        <v>12.0</v>
      </c>
      <c r="AL60" s="137">
        <v>7.0</v>
      </c>
      <c r="AM60" s="137">
        <v>7.0</v>
      </c>
      <c r="AN60" s="137">
        <v>55.0</v>
      </c>
    </row>
    <row r="61">
      <c r="A61" s="104"/>
      <c r="B61" s="136" t="s">
        <v>199</v>
      </c>
      <c r="C61" s="137">
        <v>473.0</v>
      </c>
      <c r="D61" s="137">
        <v>177.0</v>
      </c>
      <c r="E61" s="137">
        <v>296.0</v>
      </c>
      <c r="F61" s="135">
        <v>0.0</v>
      </c>
      <c r="G61" s="135">
        <v>0.0</v>
      </c>
      <c r="H61" s="135">
        <v>0.0</v>
      </c>
      <c r="I61" s="135">
        <v>0.0</v>
      </c>
      <c r="J61" s="135">
        <v>0.0</v>
      </c>
      <c r="K61" s="135">
        <v>0.0</v>
      </c>
      <c r="L61" s="135">
        <v>0.0</v>
      </c>
      <c r="M61" s="135">
        <v>0.0</v>
      </c>
      <c r="N61" s="135">
        <v>0.0</v>
      </c>
      <c r="O61" s="135">
        <v>0.0</v>
      </c>
      <c r="P61" s="135">
        <v>0.0</v>
      </c>
      <c r="Q61" s="135">
        <v>0.0</v>
      </c>
      <c r="R61" s="135">
        <v>0.0</v>
      </c>
      <c r="S61" s="135">
        <v>0.0</v>
      </c>
      <c r="T61" s="135">
        <v>0.0</v>
      </c>
      <c r="U61" s="135">
        <v>0.0</v>
      </c>
      <c r="V61" s="135">
        <v>0.0</v>
      </c>
      <c r="W61" s="135">
        <v>0.0</v>
      </c>
      <c r="X61" s="135">
        <v>0.0</v>
      </c>
      <c r="Y61" s="135">
        <v>0.0</v>
      </c>
      <c r="Z61" s="135">
        <v>0.0</v>
      </c>
      <c r="AA61" s="135">
        <v>0.0</v>
      </c>
      <c r="AB61" s="135">
        <v>0.0</v>
      </c>
      <c r="AC61" s="135">
        <v>0.0</v>
      </c>
      <c r="AD61" s="135">
        <v>0.0</v>
      </c>
      <c r="AE61" s="135">
        <v>0.0</v>
      </c>
      <c r="AF61" s="137">
        <v>51.0</v>
      </c>
      <c r="AG61" s="137">
        <v>80.0</v>
      </c>
      <c r="AH61" s="137">
        <v>56.0</v>
      </c>
      <c r="AI61" s="137">
        <v>91.0</v>
      </c>
      <c r="AJ61" s="137">
        <v>35.0</v>
      </c>
      <c r="AK61" s="137">
        <v>62.0</v>
      </c>
      <c r="AL61" s="137">
        <v>35.0</v>
      </c>
      <c r="AM61" s="137">
        <v>63.0</v>
      </c>
      <c r="AN61" s="137">
        <v>456.0</v>
      </c>
    </row>
    <row r="62">
      <c r="A62" s="132" t="s">
        <v>204</v>
      </c>
      <c r="B62" s="136" t="s">
        <v>198</v>
      </c>
      <c r="C62" s="137">
        <v>30.0</v>
      </c>
      <c r="D62" s="137">
        <v>11.0</v>
      </c>
      <c r="E62" s="137">
        <v>19.0</v>
      </c>
      <c r="F62" s="135">
        <v>0.0</v>
      </c>
      <c r="G62" s="135">
        <v>0.0</v>
      </c>
      <c r="H62" s="135">
        <v>0.0</v>
      </c>
      <c r="I62" s="135">
        <v>0.0</v>
      </c>
      <c r="J62" s="135">
        <v>0.0</v>
      </c>
      <c r="K62" s="135">
        <v>0.0</v>
      </c>
      <c r="L62" s="135">
        <v>0.0</v>
      </c>
      <c r="M62" s="135">
        <v>0.0</v>
      </c>
      <c r="N62" s="135">
        <v>0.0</v>
      </c>
      <c r="O62" s="135">
        <v>0.0</v>
      </c>
      <c r="P62" s="135">
        <v>0.0</v>
      </c>
      <c r="Q62" s="135">
        <v>0.0</v>
      </c>
      <c r="R62" s="135">
        <v>0.0</v>
      </c>
      <c r="S62" s="135">
        <v>0.0</v>
      </c>
      <c r="T62" s="135">
        <v>0.0</v>
      </c>
      <c r="U62" s="135">
        <v>0.0</v>
      </c>
      <c r="V62" s="135">
        <v>0.0</v>
      </c>
      <c r="W62" s="135">
        <v>0.0</v>
      </c>
      <c r="X62" s="135">
        <v>0.0</v>
      </c>
      <c r="Y62" s="135">
        <v>0.0</v>
      </c>
      <c r="Z62" s="135">
        <v>0.0</v>
      </c>
      <c r="AA62" s="135">
        <v>0.0</v>
      </c>
      <c r="AB62" s="135">
        <v>0.0</v>
      </c>
      <c r="AC62" s="135">
        <v>0.0</v>
      </c>
      <c r="AD62" s="135">
        <v>0.0</v>
      </c>
      <c r="AE62" s="135">
        <v>0.0</v>
      </c>
      <c r="AF62" s="137">
        <v>2.0</v>
      </c>
      <c r="AG62" s="137">
        <v>2.0</v>
      </c>
      <c r="AH62" s="137">
        <v>2.0</v>
      </c>
      <c r="AI62" s="137">
        <v>5.0</v>
      </c>
      <c r="AJ62" s="137">
        <v>4.0</v>
      </c>
      <c r="AK62" s="137">
        <v>4.0</v>
      </c>
      <c r="AL62" s="137">
        <v>3.0</v>
      </c>
      <c r="AM62" s="137">
        <v>8.0</v>
      </c>
      <c r="AN62" s="137">
        <v>30.0</v>
      </c>
    </row>
    <row r="63">
      <c r="A63" s="104"/>
      <c r="B63" s="136" t="s">
        <v>199</v>
      </c>
      <c r="C63" s="137">
        <v>300.0</v>
      </c>
      <c r="D63" s="137">
        <v>97.0</v>
      </c>
      <c r="E63" s="137">
        <v>203.0</v>
      </c>
      <c r="F63" s="135">
        <v>0.0</v>
      </c>
      <c r="G63" s="135">
        <v>0.0</v>
      </c>
      <c r="H63" s="135">
        <v>0.0</v>
      </c>
      <c r="I63" s="135">
        <v>0.0</v>
      </c>
      <c r="J63" s="135">
        <v>0.0</v>
      </c>
      <c r="K63" s="135">
        <v>0.0</v>
      </c>
      <c r="L63" s="135">
        <v>0.0</v>
      </c>
      <c r="M63" s="135">
        <v>0.0</v>
      </c>
      <c r="N63" s="135">
        <v>0.0</v>
      </c>
      <c r="O63" s="135">
        <v>0.0</v>
      </c>
      <c r="P63" s="135">
        <v>0.0</v>
      </c>
      <c r="Q63" s="135">
        <v>0.0</v>
      </c>
      <c r="R63" s="135">
        <v>0.0</v>
      </c>
      <c r="S63" s="135">
        <v>0.0</v>
      </c>
      <c r="T63" s="135">
        <v>0.0</v>
      </c>
      <c r="U63" s="135">
        <v>0.0</v>
      </c>
      <c r="V63" s="135">
        <v>0.0</v>
      </c>
      <c r="W63" s="135">
        <v>0.0</v>
      </c>
      <c r="X63" s="135">
        <v>0.0</v>
      </c>
      <c r="Y63" s="135">
        <v>0.0</v>
      </c>
      <c r="Z63" s="135">
        <v>0.0</v>
      </c>
      <c r="AA63" s="135">
        <v>0.0</v>
      </c>
      <c r="AB63" s="135">
        <v>0.0</v>
      </c>
      <c r="AC63" s="135">
        <v>0.0</v>
      </c>
      <c r="AD63" s="135">
        <v>0.0</v>
      </c>
      <c r="AE63" s="135">
        <v>0.0</v>
      </c>
      <c r="AF63" s="137">
        <v>21.0</v>
      </c>
      <c r="AG63" s="137">
        <v>30.0</v>
      </c>
      <c r="AH63" s="137">
        <v>17.0</v>
      </c>
      <c r="AI63" s="137">
        <v>34.0</v>
      </c>
      <c r="AJ63" s="137">
        <v>23.0</v>
      </c>
      <c r="AK63" s="137">
        <v>34.0</v>
      </c>
      <c r="AL63" s="137">
        <v>36.0</v>
      </c>
      <c r="AM63" s="137">
        <v>105.0</v>
      </c>
      <c r="AN63" s="137">
        <v>283.0</v>
      </c>
    </row>
    <row r="64">
      <c r="A64" s="132" t="s">
        <v>205</v>
      </c>
      <c r="B64" s="136" t="s">
        <v>198</v>
      </c>
      <c r="C64" s="137">
        <v>2.0</v>
      </c>
      <c r="D64" s="137">
        <v>1.0</v>
      </c>
      <c r="E64" s="137">
        <v>1.0</v>
      </c>
      <c r="F64" s="137">
        <v>1.0</v>
      </c>
      <c r="G64" s="137">
        <v>1.0</v>
      </c>
      <c r="H64" s="137">
        <v>0.0</v>
      </c>
      <c r="I64" s="137">
        <v>0.0</v>
      </c>
      <c r="J64" s="137">
        <v>0.0</v>
      </c>
      <c r="K64" s="137">
        <v>0.0</v>
      </c>
      <c r="L64" s="137">
        <v>0.0</v>
      </c>
      <c r="M64" s="137">
        <v>0.0</v>
      </c>
      <c r="N64" s="137">
        <v>0.0</v>
      </c>
      <c r="O64" s="137">
        <v>0.0</v>
      </c>
      <c r="P64" s="137">
        <v>0.0</v>
      </c>
      <c r="Q64" s="137">
        <v>0.0</v>
      </c>
      <c r="R64" s="137">
        <v>0.0</v>
      </c>
      <c r="S64" s="137">
        <v>0.0</v>
      </c>
      <c r="T64" s="137">
        <v>0.0</v>
      </c>
      <c r="U64" s="137">
        <v>0.0</v>
      </c>
      <c r="V64" s="137">
        <v>0.0</v>
      </c>
      <c r="W64" s="137">
        <v>0.0</v>
      </c>
      <c r="X64" s="137">
        <v>0.0</v>
      </c>
      <c r="Y64" s="137">
        <v>0.0</v>
      </c>
      <c r="Z64" s="137">
        <v>0.0</v>
      </c>
      <c r="AA64" s="137">
        <v>0.0</v>
      </c>
      <c r="AB64" s="137">
        <v>0.0</v>
      </c>
      <c r="AC64" s="137">
        <v>0.0</v>
      </c>
      <c r="AD64" s="137">
        <v>0.0</v>
      </c>
      <c r="AE64" s="137">
        <v>0.0</v>
      </c>
      <c r="AF64" s="137">
        <v>0.0</v>
      </c>
      <c r="AG64" s="137">
        <v>0.0</v>
      </c>
      <c r="AH64" s="137">
        <v>0.0</v>
      </c>
      <c r="AI64" s="137">
        <v>0.0</v>
      </c>
      <c r="AJ64" s="137">
        <v>0.0</v>
      </c>
      <c r="AK64" s="137">
        <v>0.0</v>
      </c>
      <c r="AL64" s="137">
        <v>0.0</v>
      </c>
      <c r="AM64" s="137">
        <v>0.0</v>
      </c>
      <c r="AN64" s="137">
        <v>2.0</v>
      </c>
    </row>
    <row r="65">
      <c r="A65" s="98"/>
      <c r="B65" s="136" t="s">
        <v>199</v>
      </c>
      <c r="C65" s="137">
        <v>93.0</v>
      </c>
      <c r="D65" s="137">
        <v>10.0</v>
      </c>
      <c r="E65" s="137">
        <v>83.0</v>
      </c>
      <c r="F65" s="137">
        <v>0.0</v>
      </c>
      <c r="G65" s="137">
        <v>2.0</v>
      </c>
      <c r="H65" s="137">
        <v>1.0</v>
      </c>
      <c r="I65" s="137">
        <v>6.0</v>
      </c>
      <c r="J65" s="137">
        <v>2.0</v>
      </c>
      <c r="K65" s="137">
        <v>4.0</v>
      </c>
      <c r="L65" s="137">
        <v>0.0</v>
      </c>
      <c r="M65" s="137">
        <v>3.0</v>
      </c>
      <c r="N65" s="137">
        <v>0.0</v>
      </c>
      <c r="O65" s="137">
        <v>2.0</v>
      </c>
      <c r="P65" s="137">
        <v>0.0</v>
      </c>
      <c r="Q65" s="137">
        <v>4.0</v>
      </c>
      <c r="R65" s="137">
        <v>0.0</v>
      </c>
      <c r="S65" s="137">
        <v>4.0</v>
      </c>
      <c r="T65" s="137">
        <v>0.0</v>
      </c>
      <c r="U65" s="137">
        <v>3.0</v>
      </c>
      <c r="V65" s="137">
        <v>1.0</v>
      </c>
      <c r="W65" s="137">
        <v>7.0</v>
      </c>
      <c r="X65" s="137">
        <v>1.0</v>
      </c>
      <c r="Y65" s="137">
        <v>11.0</v>
      </c>
      <c r="Z65" s="137">
        <v>0.0</v>
      </c>
      <c r="AA65" s="137">
        <v>7.0</v>
      </c>
      <c r="AB65" s="137">
        <v>2.0</v>
      </c>
      <c r="AC65" s="137">
        <v>9.0</v>
      </c>
      <c r="AD65" s="137">
        <v>1.0</v>
      </c>
      <c r="AE65" s="137">
        <v>4.0</v>
      </c>
      <c r="AF65" s="137">
        <v>0.0</v>
      </c>
      <c r="AG65" s="137">
        <v>2.0</v>
      </c>
      <c r="AH65" s="137">
        <v>2.0</v>
      </c>
      <c r="AI65" s="137">
        <v>7.0</v>
      </c>
      <c r="AJ65" s="137">
        <v>0.0</v>
      </c>
      <c r="AK65" s="137">
        <v>5.0</v>
      </c>
      <c r="AL65" s="137">
        <v>0.0</v>
      </c>
      <c r="AM65" s="137">
        <v>3.0</v>
      </c>
      <c r="AN65" s="137">
        <v>92.0</v>
      </c>
    </row>
    <row r="66">
      <c r="A66" s="104"/>
      <c r="B66" s="136" t="s">
        <v>206</v>
      </c>
      <c r="C66" s="137">
        <v>0.0</v>
      </c>
      <c r="D66" s="137">
        <v>0.0</v>
      </c>
      <c r="E66" s="137">
        <v>0.0</v>
      </c>
      <c r="F66" s="137">
        <v>0.0</v>
      </c>
      <c r="G66" s="137">
        <v>0.0</v>
      </c>
      <c r="H66" s="137">
        <v>0.0</v>
      </c>
      <c r="I66" s="137">
        <v>0.0</v>
      </c>
      <c r="J66" s="137">
        <v>0.0</v>
      </c>
      <c r="K66" s="137">
        <v>0.0</v>
      </c>
      <c r="L66" s="137">
        <v>0.0</v>
      </c>
      <c r="M66" s="137">
        <v>0.0</v>
      </c>
      <c r="N66" s="137">
        <v>0.0</v>
      </c>
      <c r="O66" s="137">
        <v>0.0</v>
      </c>
      <c r="P66" s="137">
        <v>0.0</v>
      </c>
      <c r="Q66" s="137">
        <v>0.0</v>
      </c>
      <c r="R66" s="137">
        <v>0.0</v>
      </c>
      <c r="S66" s="137">
        <v>0.0</v>
      </c>
      <c r="T66" s="137">
        <v>0.0</v>
      </c>
      <c r="U66" s="137">
        <v>0.0</v>
      </c>
      <c r="V66" s="137">
        <v>0.0</v>
      </c>
      <c r="W66" s="137">
        <v>0.0</v>
      </c>
      <c r="X66" s="137">
        <v>0.0</v>
      </c>
      <c r="Y66" s="137">
        <v>0.0</v>
      </c>
      <c r="Z66" s="137">
        <v>0.0</v>
      </c>
      <c r="AA66" s="137">
        <v>0.0</v>
      </c>
      <c r="AB66" s="137">
        <v>0.0</v>
      </c>
      <c r="AC66" s="137">
        <v>0.0</v>
      </c>
      <c r="AD66" s="137">
        <v>0.0</v>
      </c>
      <c r="AE66" s="137">
        <v>0.0</v>
      </c>
      <c r="AF66" s="137">
        <v>0.0</v>
      </c>
      <c r="AG66" s="137">
        <v>0.0</v>
      </c>
      <c r="AH66" s="137">
        <v>0.0</v>
      </c>
      <c r="AI66" s="137">
        <v>0.0</v>
      </c>
      <c r="AJ66" s="137">
        <v>0.0</v>
      </c>
      <c r="AK66" s="137">
        <v>0.0</v>
      </c>
      <c r="AL66" s="137">
        <v>0.0</v>
      </c>
      <c r="AM66" s="137">
        <v>0.0</v>
      </c>
      <c r="AN66" s="137">
        <v>0.0</v>
      </c>
    </row>
    <row r="67">
      <c r="A67" s="132" t="s">
        <v>207</v>
      </c>
      <c r="B67" s="136" t="s">
        <v>198</v>
      </c>
      <c r="C67" s="134">
        <v>26562.0</v>
      </c>
      <c r="D67" s="134">
        <v>6552.0</v>
      </c>
      <c r="E67" s="134">
        <v>20010.0</v>
      </c>
      <c r="F67" s="137">
        <v>183.0</v>
      </c>
      <c r="G67" s="137">
        <v>148.0</v>
      </c>
      <c r="H67" s="137">
        <v>109.0</v>
      </c>
      <c r="I67" s="137">
        <v>99.0</v>
      </c>
      <c r="J67" s="137">
        <v>78.0</v>
      </c>
      <c r="K67" s="137">
        <v>96.0</v>
      </c>
      <c r="L67" s="137">
        <v>105.0</v>
      </c>
      <c r="M67" s="137">
        <v>221.0</v>
      </c>
      <c r="N67" s="137">
        <v>61.0</v>
      </c>
      <c r="O67" s="137">
        <v>315.0</v>
      </c>
      <c r="P67" s="137">
        <v>122.0</v>
      </c>
      <c r="Q67" s="137">
        <v>513.0</v>
      </c>
      <c r="R67" s="137">
        <v>147.0</v>
      </c>
      <c r="S67" s="137">
        <v>483.0</v>
      </c>
      <c r="T67" s="137">
        <v>133.0</v>
      </c>
      <c r="U67" s="137">
        <v>561.0</v>
      </c>
      <c r="V67" s="137">
        <v>192.0</v>
      </c>
      <c r="W67" s="137">
        <v>692.0</v>
      </c>
      <c r="X67" s="137">
        <v>214.0</v>
      </c>
      <c r="Y67" s="137">
        <v>965.0</v>
      </c>
      <c r="Z67" s="137">
        <v>285.0</v>
      </c>
      <c r="AA67" s="134">
        <v>1303.0</v>
      </c>
      <c r="AB67" s="137">
        <v>531.0</v>
      </c>
      <c r="AC67" s="134">
        <v>2214.0</v>
      </c>
      <c r="AD67" s="137">
        <v>736.0</v>
      </c>
      <c r="AE67" s="134">
        <v>2688.0</v>
      </c>
      <c r="AF67" s="137">
        <v>916.0</v>
      </c>
      <c r="AG67" s="134">
        <v>2985.0</v>
      </c>
      <c r="AH67" s="137">
        <v>986.0</v>
      </c>
      <c r="AI67" s="134">
        <v>2585.0</v>
      </c>
      <c r="AJ67" s="137">
        <v>846.0</v>
      </c>
      <c r="AK67" s="134">
        <v>1966.0</v>
      </c>
      <c r="AL67" s="137">
        <v>908.0</v>
      </c>
      <c r="AM67" s="134">
        <v>2176.0</v>
      </c>
      <c r="AN67" s="134">
        <v>24157.0</v>
      </c>
    </row>
    <row r="68">
      <c r="A68" s="98"/>
      <c r="B68" s="136" t="s">
        <v>199</v>
      </c>
      <c r="C68" s="134">
        <v>3492.0</v>
      </c>
      <c r="D68" s="134">
        <v>1234.0</v>
      </c>
      <c r="E68" s="134">
        <v>2258.0</v>
      </c>
      <c r="F68" s="137">
        <v>605.0</v>
      </c>
      <c r="G68" s="137">
        <v>576.0</v>
      </c>
      <c r="H68" s="137">
        <v>99.0</v>
      </c>
      <c r="I68" s="137">
        <v>95.0</v>
      </c>
      <c r="J68" s="137">
        <v>2.0</v>
      </c>
      <c r="K68" s="137">
        <v>1.0</v>
      </c>
      <c r="L68" s="137">
        <v>8.0</v>
      </c>
      <c r="M68" s="137">
        <v>24.0</v>
      </c>
      <c r="N68" s="137">
        <v>2.0</v>
      </c>
      <c r="O68" s="137">
        <v>24.0</v>
      </c>
      <c r="P68" s="137">
        <v>11.0</v>
      </c>
      <c r="Q68" s="137">
        <v>65.0</v>
      </c>
      <c r="R68" s="137">
        <v>17.0</v>
      </c>
      <c r="S68" s="137">
        <v>58.0</v>
      </c>
      <c r="T68" s="137">
        <v>12.0</v>
      </c>
      <c r="U68" s="137">
        <v>74.0</v>
      </c>
      <c r="V68" s="137">
        <v>16.0</v>
      </c>
      <c r="W68" s="137">
        <v>83.0</v>
      </c>
      <c r="X68" s="137">
        <v>28.0</v>
      </c>
      <c r="Y68" s="137">
        <v>107.0</v>
      </c>
      <c r="Z68" s="137">
        <v>36.0</v>
      </c>
      <c r="AA68" s="137">
        <v>177.0</v>
      </c>
      <c r="AB68" s="137">
        <v>58.0</v>
      </c>
      <c r="AC68" s="137">
        <v>206.0</v>
      </c>
      <c r="AD68" s="137">
        <v>52.0</v>
      </c>
      <c r="AE68" s="137">
        <v>202.0</v>
      </c>
      <c r="AF68" s="137">
        <v>82.0</v>
      </c>
      <c r="AG68" s="137">
        <v>156.0</v>
      </c>
      <c r="AH68" s="137">
        <v>65.0</v>
      </c>
      <c r="AI68" s="137">
        <v>162.0</v>
      </c>
      <c r="AJ68" s="137">
        <v>64.0</v>
      </c>
      <c r="AK68" s="137">
        <v>115.0</v>
      </c>
      <c r="AL68" s="137">
        <v>77.0</v>
      </c>
      <c r="AM68" s="137">
        <v>133.0</v>
      </c>
      <c r="AN68" s="134">
        <v>2861.0</v>
      </c>
    </row>
    <row r="69">
      <c r="A69" s="98"/>
      <c r="B69" s="136" t="s">
        <v>206</v>
      </c>
      <c r="C69" s="137">
        <v>912.0</v>
      </c>
      <c r="D69" s="137">
        <v>358.0</v>
      </c>
      <c r="E69" s="137">
        <v>554.0</v>
      </c>
      <c r="F69" s="137">
        <v>334.0</v>
      </c>
      <c r="G69" s="137">
        <v>403.0</v>
      </c>
      <c r="H69" s="137">
        <v>14.0</v>
      </c>
      <c r="I69" s="137">
        <v>12.0</v>
      </c>
      <c r="J69" s="137">
        <v>0.0</v>
      </c>
      <c r="K69" s="137">
        <v>3.0</v>
      </c>
      <c r="L69" s="137">
        <v>0.0</v>
      </c>
      <c r="M69" s="137">
        <v>12.0</v>
      </c>
      <c r="N69" s="137">
        <v>1.0</v>
      </c>
      <c r="O69" s="137">
        <v>21.0</v>
      </c>
      <c r="P69" s="137">
        <v>0.0</v>
      </c>
      <c r="Q69" s="137">
        <v>23.0</v>
      </c>
      <c r="R69" s="137">
        <v>0.0</v>
      </c>
      <c r="S69" s="137">
        <v>9.0</v>
      </c>
      <c r="T69" s="137">
        <v>0.0</v>
      </c>
      <c r="U69" s="137">
        <v>7.0</v>
      </c>
      <c r="V69" s="137">
        <v>2.0</v>
      </c>
      <c r="W69" s="137">
        <v>14.0</v>
      </c>
      <c r="X69" s="137">
        <v>1.0</v>
      </c>
      <c r="Y69" s="137">
        <v>9.0</v>
      </c>
      <c r="Z69" s="137">
        <v>0.0</v>
      </c>
      <c r="AA69" s="137">
        <v>10.0</v>
      </c>
      <c r="AB69" s="137">
        <v>2.0</v>
      </c>
      <c r="AC69" s="137">
        <v>10.0</v>
      </c>
      <c r="AD69" s="137">
        <v>2.0</v>
      </c>
      <c r="AE69" s="137">
        <v>5.0</v>
      </c>
      <c r="AF69" s="137">
        <v>1.0</v>
      </c>
      <c r="AG69" s="137">
        <v>7.0</v>
      </c>
      <c r="AH69" s="137">
        <v>1.0</v>
      </c>
      <c r="AI69" s="137">
        <v>5.0</v>
      </c>
      <c r="AJ69" s="137">
        <v>0.0</v>
      </c>
      <c r="AK69" s="137">
        <v>3.0</v>
      </c>
      <c r="AL69" s="137">
        <v>0.0</v>
      </c>
      <c r="AM69" s="137">
        <v>1.0</v>
      </c>
      <c r="AN69" s="137">
        <v>874.0</v>
      </c>
    </row>
    <row r="70">
      <c r="A70" s="98"/>
      <c r="B70" s="136" t="s">
        <v>200</v>
      </c>
      <c r="C70" s="134">
        <v>4682.0</v>
      </c>
      <c r="D70" s="134">
        <v>1824.0</v>
      </c>
      <c r="E70" s="134">
        <v>2858.0</v>
      </c>
      <c r="F70" s="137">
        <v>917.0</v>
      </c>
      <c r="G70" s="137">
        <v>855.0</v>
      </c>
      <c r="H70" s="137">
        <v>196.0</v>
      </c>
      <c r="I70" s="137">
        <v>183.0</v>
      </c>
      <c r="J70" s="137">
        <v>44.0</v>
      </c>
      <c r="K70" s="137">
        <v>49.0</v>
      </c>
      <c r="L70" s="137">
        <v>27.0</v>
      </c>
      <c r="M70" s="137">
        <v>83.0</v>
      </c>
      <c r="N70" s="137">
        <v>14.0</v>
      </c>
      <c r="O70" s="137">
        <v>134.0</v>
      </c>
      <c r="P70" s="137">
        <v>41.0</v>
      </c>
      <c r="Q70" s="137">
        <v>116.0</v>
      </c>
      <c r="R70" s="137">
        <v>36.0</v>
      </c>
      <c r="S70" s="137">
        <v>121.0</v>
      </c>
      <c r="T70" s="137">
        <v>39.0</v>
      </c>
      <c r="U70" s="137">
        <v>132.0</v>
      </c>
      <c r="V70" s="137">
        <v>43.0</v>
      </c>
      <c r="W70" s="137">
        <v>107.0</v>
      </c>
      <c r="X70" s="137">
        <v>42.0</v>
      </c>
      <c r="Y70" s="137">
        <v>160.0</v>
      </c>
      <c r="Z70" s="137">
        <v>58.0</v>
      </c>
      <c r="AA70" s="137">
        <v>147.0</v>
      </c>
      <c r="AB70" s="137">
        <v>87.0</v>
      </c>
      <c r="AC70" s="137">
        <v>199.0</v>
      </c>
      <c r="AD70" s="137">
        <v>71.0</v>
      </c>
      <c r="AE70" s="137">
        <v>166.0</v>
      </c>
      <c r="AF70" s="137">
        <v>61.0</v>
      </c>
      <c r="AG70" s="137">
        <v>136.0</v>
      </c>
      <c r="AH70" s="137">
        <v>65.0</v>
      </c>
      <c r="AI70" s="137">
        <v>106.0</v>
      </c>
      <c r="AJ70" s="137">
        <v>39.0</v>
      </c>
      <c r="AK70" s="137">
        <v>85.0</v>
      </c>
      <c r="AL70" s="137">
        <v>44.0</v>
      </c>
      <c r="AM70" s="137">
        <v>79.0</v>
      </c>
      <c r="AN70" s="134">
        <v>4363.0</v>
      </c>
    </row>
    <row r="71">
      <c r="A71" s="104"/>
      <c r="B71" s="136" t="s">
        <v>201</v>
      </c>
      <c r="C71" s="134">
        <v>1800.0</v>
      </c>
      <c r="D71" s="137">
        <v>793.0</v>
      </c>
      <c r="E71" s="134">
        <v>1007.0</v>
      </c>
      <c r="F71" s="137">
        <v>50.0</v>
      </c>
      <c r="G71" s="137">
        <v>45.0</v>
      </c>
      <c r="H71" s="137">
        <v>33.0</v>
      </c>
      <c r="I71" s="137">
        <v>66.0</v>
      </c>
      <c r="J71" s="137">
        <v>37.0</v>
      </c>
      <c r="K71" s="137">
        <v>46.0</v>
      </c>
      <c r="L71" s="137">
        <v>17.0</v>
      </c>
      <c r="M71" s="137">
        <v>28.0</v>
      </c>
      <c r="N71" s="137">
        <v>20.0</v>
      </c>
      <c r="O71" s="137">
        <v>29.0</v>
      </c>
      <c r="P71" s="137">
        <v>52.0</v>
      </c>
      <c r="Q71" s="137">
        <v>155.0</v>
      </c>
      <c r="R71" s="137">
        <v>47.0</v>
      </c>
      <c r="S71" s="137">
        <v>54.0</v>
      </c>
      <c r="T71" s="137">
        <v>51.0</v>
      </c>
      <c r="U71" s="137">
        <v>81.0</v>
      </c>
      <c r="V71" s="137">
        <v>50.0</v>
      </c>
      <c r="W71" s="137">
        <v>59.0</v>
      </c>
      <c r="X71" s="137">
        <v>54.0</v>
      </c>
      <c r="Y71" s="137">
        <v>57.0</v>
      </c>
      <c r="Z71" s="137">
        <v>47.0</v>
      </c>
      <c r="AA71" s="137">
        <v>44.0</v>
      </c>
      <c r="AB71" s="137">
        <v>53.0</v>
      </c>
      <c r="AC71" s="137">
        <v>65.0</v>
      </c>
      <c r="AD71" s="137">
        <v>52.0</v>
      </c>
      <c r="AE71" s="137">
        <v>39.0</v>
      </c>
      <c r="AF71" s="137">
        <v>52.0</v>
      </c>
      <c r="AG71" s="137">
        <v>77.0</v>
      </c>
      <c r="AH71" s="137">
        <v>69.0</v>
      </c>
      <c r="AI71" s="137">
        <v>59.0</v>
      </c>
      <c r="AJ71" s="137">
        <v>28.0</v>
      </c>
      <c r="AK71" s="137">
        <v>27.0</v>
      </c>
      <c r="AL71" s="137">
        <v>81.0</v>
      </c>
      <c r="AM71" s="137">
        <v>76.0</v>
      </c>
      <c r="AN71" s="134">
        <v>1792.0</v>
      </c>
    </row>
    <row r="72">
      <c r="A72" s="132" t="s">
        <v>208</v>
      </c>
      <c r="B72" s="136" t="s">
        <v>198</v>
      </c>
      <c r="C72" s="137">
        <v>16.0</v>
      </c>
      <c r="D72" s="137">
        <v>9.0</v>
      </c>
      <c r="E72" s="137">
        <v>7.0</v>
      </c>
      <c r="F72" s="137">
        <v>9.0</v>
      </c>
      <c r="G72" s="137">
        <v>7.0</v>
      </c>
      <c r="H72" s="137">
        <v>0.0</v>
      </c>
      <c r="I72" s="137">
        <v>0.0</v>
      </c>
      <c r="J72" s="137">
        <v>0.0</v>
      </c>
      <c r="K72" s="137">
        <v>0.0</v>
      </c>
      <c r="L72" s="137">
        <v>0.0</v>
      </c>
      <c r="M72" s="137">
        <v>0.0</v>
      </c>
      <c r="N72" s="137">
        <v>0.0</v>
      </c>
      <c r="O72" s="137">
        <v>0.0</v>
      </c>
      <c r="P72" s="135">
        <v>0.0</v>
      </c>
      <c r="Q72" s="135">
        <v>0.0</v>
      </c>
      <c r="R72" s="135">
        <v>0.0</v>
      </c>
      <c r="S72" s="135">
        <v>0.0</v>
      </c>
      <c r="T72" s="135">
        <v>0.0</v>
      </c>
      <c r="U72" s="135">
        <v>0.0</v>
      </c>
      <c r="V72" s="135">
        <v>0.0</v>
      </c>
      <c r="W72" s="135">
        <v>0.0</v>
      </c>
      <c r="X72" s="135">
        <v>0.0</v>
      </c>
      <c r="Y72" s="135">
        <v>0.0</v>
      </c>
      <c r="Z72" s="135">
        <v>0.0</v>
      </c>
      <c r="AA72" s="135">
        <v>0.0</v>
      </c>
      <c r="AB72" s="135">
        <v>0.0</v>
      </c>
      <c r="AC72" s="135">
        <v>0.0</v>
      </c>
      <c r="AD72" s="135">
        <v>0.0</v>
      </c>
      <c r="AE72" s="135">
        <v>0.0</v>
      </c>
      <c r="AF72" s="135">
        <v>0.0</v>
      </c>
      <c r="AG72" s="135">
        <v>0.0</v>
      </c>
      <c r="AH72" s="135">
        <v>0.0</v>
      </c>
      <c r="AI72" s="135">
        <v>0.0</v>
      </c>
      <c r="AJ72" s="135">
        <v>0.0</v>
      </c>
      <c r="AK72" s="135">
        <v>0.0</v>
      </c>
      <c r="AL72" s="135">
        <v>0.0</v>
      </c>
      <c r="AM72" s="135">
        <v>0.0</v>
      </c>
      <c r="AN72" s="137">
        <v>10.0</v>
      </c>
    </row>
    <row r="73">
      <c r="A73" s="98"/>
      <c r="B73" s="136" t="s">
        <v>199</v>
      </c>
      <c r="C73" s="137">
        <v>77.0</v>
      </c>
      <c r="D73" s="137">
        <v>45.0</v>
      </c>
      <c r="E73" s="137">
        <v>32.0</v>
      </c>
      <c r="F73" s="137">
        <v>43.0</v>
      </c>
      <c r="G73" s="137">
        <v>29.0</v>
      </c>
      <c r="H73" s="137">
        <v>2.0</v>
      </c>
      <c r="I73" s="137">
        <v>3.0</v>
      </c>
      <c r="J73" s="137">
        <v>0.0</v>
      </c>
      <c r="K73" s="137">
        <v>0.0</v>
      </c>
      <c r="L73" s="137">
        <v>0.0</v>
      </c>
      <c r="M73" s="137">
        <v>0.0</v>
      </c>
      <c r="N73" s="137">
        <v>0.0</v>
      </c>
      <c r="O73" s="137">
        <v>0.0</v>
      </c>
      <c r="P73" s="135">
        <v>0.0</v>
      </c>
      <c r="Q73" s="135">
        <v>0.0</v>
      </c>
      <c r="R73" s="135">
        <v>0.0</v>
      </c>
      <c r="S73" s="135">
        <v>0.0</v>
      </c>
      <c r="T73" s="135">
        <v>0.0</v>
      </c>
      <c r="U73" s="135">
        <v>0.0</v>
      </c>
      <c r="V73" s="135">
        <v>0.0</v>
      </c>
      <c r="W73" s="135">
        <v>0.0</v>
      </c>
      <c r="X73" s="135">
        <v>0.0</v>
      </c>
      <c r="Y73" s="135">
        <v>0.0</v>
      </c>
      <c r="Z73" s="135">
        <v>0.0</v>
      </c>
      <c r="AA73" s="135">
        <v>0.0</v>
      </c>
      <c r="AB73" s="135">
        <v>0.0</v>
      </c>
      <c r="AC73" s="135">
        <v>0.0</v>
      </c>
      <c r="AD73" s="135">
        <v>0.0</v>
      </c>
      <c r="AE73" s="135">
        <v>0.0</v>
      </c>
      <c r="AF73" s="135">
        <v>0.0</v>
      </c>
      <c r="AG73" s="135">
        <v>0.0</v>
      </c>
      <c r="AH73" s="135">
        <v>0.0</v>
      </c>
      <c r="AI73" s="135">
        <v>0.0</v>
      </c>
      <c r="AJ73" s="135">
        <v>0.0</v>
      </c>
      <c r="AK73" s="135">
        <v>0.0</v>
      </c>
      <c r="AL73" s="135">
        <v>0.0</v>
      </c>
      <c r="AM73" s="135">
        <v>0.0</v>
      </c>
      <c r="AN73" s="137">
        <v>63.0</v>
      </c>
    </row>
    <row r="74">
      <c r="A74" s="98"/>
      <c r="B74" s="136" t="s">
        <v>206</v>
      </c>
      <c r="C74" s="137">
        <v>3.0</v>
      </c>
      <c r="D74" s="137">
        <v>0.0</v>
      </c>
      <c r="E74" s="137">
        <v>3.0</v>
      </c>
      <c r="F74" s="137">
        <v>0.0</v>
      </c>
      <c r="G74" s="137">
        <v>3.0</v>
      </c>
      <c r="H74" s="137">
        <v>0.0</v>
      </c>
      <c r="I74" s="137">
        <v>0.0</v>
      </c>
      <c r="J74" s="137">
        <v>0.0</v>
      </c>
      <c r="K74" s="137">
        <v>0.0</v>
      </c>
      <c r="L74" s="137">
        <v>0.0</v>
      </c>
      <c r="M74" s="137">
        <v>0.0</v>
      </c>
      <c r="N74" s="137">
        <v>0.0</v>
      </c>
      <c r="O74" s="137">
        <v>0.0</v>
      </c>
      <c r="P74" s="135">
        <v>0.0</v>
      </c>
      <c r="Q74" s="135">
        <v>0.0</v>
      </c>
      <c r="R74" s="135">
        <v>0.0</v>
      </c>
      <c r="S74" s="135">
        <v>0.0</v>
      </c>
      <c r="T74" s="135">
        <v>0.0</v>
      </c>
      <c r="U74" s="135">
        <v>0.0</v>
      </c>
      <c r="V74" s="135">
        <v>0.0</v>
      </c>
      <c r="W74" s="135">
        <v>0.0</v>
      </c>
      <c r="X74" s="135">
        <v>0.0</v>
      </c>
      <c r="Y74" s="135">
        <v>0.0</v>
      </c>
      <c r="Z74" s="135">
        <v>0.0</v>
      </c>
      <c r="AA74" s="135">
        <v>0.0</v>
      </c>
      <c r="AB74" s="135">
        <v>0.0</v>
      </c>
      <c r="AC74" s="135">
        <v>0.0</v>
      </c>
      <c r="AD74" s="135">
        <v>0.0</v>
      </c>
      <c r="AE74" s="135">
        <v>0.0</v>
      </c>
      <c r="AF74" s="135">
        <v>0.0</v>
      </c>
      <c r="AG74" s="135">
        <v>0.0</v>
      </c>
      <c r="AH74" s="135">
        <v>0.0</v>
      </c>
      <c r="AI74" s="135">
        <v>0.0</v>
      </c>
      <c r="AJ74" s="135">
        <v>0.0</v>
      </c>
      <c r="AK74" s="135">
        <v>0.0</v>
      </c>
      <c r="AL74" s="135">
        <v>0.0</v>
      </c>
      <c r="AM74" s="135">
        <v>0.0</v>
      </c>
      <c r="AN74" s="137">
        <v>3.0</v>
      </c>
    </row>
    <row r="75">
      <c r="A75" s="98"/>
      <c r="B75" s="136" t="s">
        <v>200</v>
      </c>
      <c r="C75" s="137">
        <v>45.0</v>
      </c>
      <c r="D75" s="137">
        <v>27.0</v>
      </c>
      <c r="E75" s="137">
        <v>18.0</v>
      </c>
      <c r="F75" s="137">
        <v>24.0</v>
      </c>
      <c r="G75" s="137">
        <v>13.0</v>
      </c>
      <c r="H75" s="137">
        <v>1.0</v>
      </c>
      <c r="I75" s="137">
        <v>2.0</v>
      </c>
      <c r="J75" s="137">
        <v>0.0</v>
      </c>
      <c r="K75" s="137">
        <v>1.0</v>
      </c>
      <c r="L75" s="137">
        <v>2.0</v>
      </c>
      <c r="M75" s="137">
        <v>2.0</v>
      </c>
      <c r="N75" s="137">
        <v>0.0</v>
      </c>
      <c r="O75" s="137">
        <v>0.0</v>
      </c>
      <c r="P75" s="135">
        <v>0.0</v>
      </c>
      <c r="Q75" s="135">
        <v>0.0</v>
      </c>
      <c r="R75" s="135">
        <v>0.0</v>
      </c>
      <c r="S75" s="135">
        <v>0.0</v>
      </c>
      <c r="T75" s="135">
        <v>0.0</v>
      </c>
      <c r="U75" s="135">
        <v>0.0</v>
      </c>
      <c r="V75" s="135">
        <v>0.0</v>
      </c>
      <c r="W75" s="135">
        <v>0.0</v>
      </c>
      <c r="X75" s="135">
        <v>0.0</v>
      </c>
      <c r="Y75" s="135">
        <v>0.0</v>
      </c>
      <c r="Z75" s="135">
        <v>0.0</v>
      </c>
      <c r="AA75" s="135">
        <v>0.0</v>
      </c>
      <c r="AB75" s="135">
        <v>0.0</v>
      </c>
      <c r="AC75" s="135">
        <v>0.0</v>
      </c>
      <c r="AD75" s="135">
        <v>0.0</v>
      </c>
      <c r="AE75" s="135">
        <v>0.0</v>
      </c>
      <c r="AF75" s="135">
        <v>0.0</v>
      </c>
      <c r="AG75" s="135">
        <v>0.0</v>
      </c>
      <c r="AH75" s="135">
        <v>0.0</v>
      </c>
      <c r="AI75" s="135">
        <v>0.0</v>
      </c>
      <c r="AJ75" s="135">
        <v>0.0</v>
      </c>
      <c r="AK75" s="135">
        <v>0.0</v>
      </c>
      <c r="AL75" s="135">
        <v>0.0</v>
      </c>
      <c r="AM75" s="135">
        <v>0.0</v>
      </c>
      <c r="AN75" s="137">
        <v>41.0</v>
      </c>
    </row>
    <row r="76">
      <c r="A76" s="104"/>
      <c r="B76" s="136" t="s">
        <v>201</v>
      </c>
      <c r="C76" s="137">
        <v>0.0</v>
      </c>
      <c r="D76" s="137">
        <v>0.0</v>
      </c>
      <c r="E76" s="137">
        <v>0.0</v>
      </c>
      <c r="F76" s="137">
        <v>0.0</v>
      </c>
      <c r="G76" s="137">
        <v>0.0</v>
      </c>
      <c r="H76" s="137">
        <v>0.0</v>
      </c>
      <c r="I76" s="137">
        <v>0.0</v>
      </c>
      <c r="J76" s="137">
        <v>0.0</v>
      </c>
      <c r="K76" s="137">
        <v>0.0</v>
      </c>
      <c r="L76" s="137">
        <v>0.0</v>
      </c>
      <c r="M76" s="137">
        <v>0.0</v>
      </c>
      <c r="N76" s="137">
        <v>0.0</v>
      </c>
      <c r="O76" s="137">
        <v>0.0</v>
      </c>
      <c r="P76" s="135">
        <v>0.0</v>
      </c>
      <c r="Q76" s="135">
        <v>0.0</v>
      </c>
      <c r="R76" s="135">
        <v>0.0</v>
      </c>
      <c r="S76" s="135">
        <v>0.0</v>
      </c>
      <c r="T76" s="135">
        <v>0.0</v>
      </c>
      <c r="U76" s="135">
        <v>0.0</v>
      </c>
      <c r="V76" s="135">
        <v>0.0</v>
      </c>
      <c r="W76" s="135">
        <v>0.0</v>
      </c>
      <c r="X76" s="135">
        <v>0.0</v>
      </c>
      <c r="Y76" s="135">
        <v>0.0</v>
      </c>
      <c r="Z76" s="135">
        <v>0.0</v>
      </c>
      <c r="AA76" s="135">
        <v>0.0</v>
      </c>
      <c r="AB76" s="135">
        <v>0.0</v>
      </c>
      <c r="AC76" s="135">
        <v>0.0</v>
      </c>
      <c r="AD76" s="135">
        <v>0.0</v>
      </c>
      <c r="AE76" s="135">
        <v>0.0</v>
      </c>
      <c r="AF76" s="135">
        <v>0.0</v>
      </c>
      <c r="AG76" s="135">
        <v>0.0</v>
      </c>
      <c r="AH76" s="135">
        <v>0.0</v>
      </c>
      <c r="AI76" s="135">
        <v>0.0</v>
      </c>
      <c r="AJ76" s="135">
        <v>0.0</v>
      </c>
      <c r="AK76" s="135">
        <v>0.0</v>
      </c>
      <c r="AL76" s="135">
        <v>0.0</v>
      </c>
      <c r="AM76" s="135">
        <v>0.0</v>
      </c>
      <c r="AN76" s="137">
        <v>0.0</v>
      </c>
    </row>
    <row r="77">
      <c r="A77" s="138" t="s">
        <v>211</v>
      </c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</row>
    <row r="78">
      <c r="A78" s="132" t="s">
        <v>197</v>
      </c>
      <c r="B78" s="133" t="s">
        <v>198</v>
      </c>
      <c r="C78" s="134">
        <v>89251.0</v>
      </c>
      <c r="D78" s="134">
        <v>30164.0</v>
      </c>
      <c r="E78" s="134">
        <v>59087.0</v>
      </c>
      <c r="F78" s="135">
        <v>0.0</v>
      </c>
      <c r="G78" s="135">
        <v>0.0</v>
      </c>
      <c r="H78" s="135">
        <v>0.0</v>
      </c>
      <c r="I78" s="135">
        <v>0.0</v>
      </c>
      <c r="J78" s="135">
        <v>0.0</v>
      </c>
      <c r="K78" s="135">
        <v>0.0</v>
      </c>
      <c r="L78" s="137">
        <v>43.0</v>
      </c>
      <c r="M78" s="137">
        <v>158.0</v>
      </c>
      <c r="N78" s="137">
        <v>122.0</v>
      </c>
      <c r="O78" s="137">
        <v>235.0</v>
      </c>
      <c r="P78" s="137">
        <v>236.0</v>
      </c>
      <c r="Q78" s="137">
        <v>404.0</v>
      </c>
      <c r="R78" s="137">
        <v>258.0</v>
      </c>
      <c r="S78" s="137">
        <v>642.0</v>
      </c>
      <c r="T78" s="137">
        <v>439.0</v>
      </c>
      <c r="U78" s="134">
        <v>1073.0</v>
      </c>
      <c r="V78" s="137">
        <v>792.0</v>
      </c>
      <c r="W78" s="134">
        <v>1958.0</v>
      </c>
      <c r="X78" s="134">
        <v>1411.0</v>
      </c>
      <c r="Y78" s="134">
        <v>3501.0</v>
      </c>
      <c r="Z78" s="134">
        <v>2683.0</v>
      </c>
      <c r="AA78" s="134">
        <v>6142.0</v>
      </c>
      <c r="AB78" s="134">
        <v>3828.0</v>
      </c>
      <c r="AC78" s="134">
        <v>8249.0</v>
      </c>
      <c r="AD78" s="134">
        <v>4839.0</v>
      </c>
      <c r="AE78" s="134">
        <v>8613.0</v>
      </c>
      <c r="AF78" s="134">
        <v>4659.0</v>
      </c>
      <c r="AG78" s="134">
        <v>8317.0</v>
      </c>
      <c r="AH78" s="134">
        <v>4321.0</v>
      </c>
      <c r="AI78" s="134">
        <v>7475.0</v>
      </c>
      <c r="AJ78" s="134">
        <v>3225.0</v>
      </c>
      <c r="AK78" s="134">
        <v>5768.0</v>
      </c>
      <c r="AL78" s="134">
        <v>3308.0</v>
      </c>
      <c r="AM78" s="134">
        <v>6550.0</v>
      </c>
      <c r="AN78" s="134">
        <v>81117.0</v>
      </c>
    </row>
    <row r="79">
      <c r="A79" s="98"/>
      <c r="B79" s="136" t="s">
        <v>199</v>
      </c>
      <c r="C79" s="134">
        <v>26042.0</v>
      </c>
      <c r="D79" s="134">
        <v>9201.0</v>
      </c>
      <c r="E79" s="134">
        <v>16841.0</v>
      </c>
      <c r="F79" s="135">
        <v>0.0</v>
      </c>
      <c r="G79" s="135">
        <v>0.0</v>
      </c>
      <c r="H79" s="135">
        <v>0.0</v>
      </c>
      <c r="I79" s="135">
        <v>0.0</v>
      </c>
      <c r="J79" s="135">
        <v>0.0</v>
      </c>
      <c r="K79" s="135">
        <v>0.0</v>
      </c>
      <c r="L79" s="137">
        <v>8.0</v>
      </c>
      <c r="M79" s="137">
        <v>7.0</v>
      </c>
      <c r="N79" s="137">
        <v>18.0</v>
      </c>
      <c r="O79" s="137">
        <v>23.0</v>
      </c>
      <c r="P79" s="137">
        <v>23.0</v>
      </c>
      <c r="Q79" s="137">
        <v>90.0</v>
      </c>
      <c r="R79" s="137">
        <v>58.0</v>
      </c>
      <c r="S79" s="137">
        <v>150.0</v>
      </c>
      <c r="T79" s="137">
        <v>106.0</v>
      </c>
      <c r="U79" s="137">
        <v>277.0</v>
      </c>
      <c r="V79" s="137">
        <v>183.0</v>
      </c>
      <c r="W79" s="137">
        <v>513.0</v>
      </c>
      <c r="X79" s="137">
        <v>340.0</v>
      </c>
      <c r="Y79" s="137">
        <v>822.0</v>
      </c>
      <c r="Z79" s="137">
        <v>711.0</v>
      </c>
      <c r="AA79" s="134">
        <v>1483.0</v>
      </c>
      <c r="AB79" s="137">
        <v>948.0</v>
      </c>
      <c r="AC79" s="134">
        <v>1901.0</v>
      </c>
      <c r="AD79" s="134">
        <v>1176.0</v>
      </c>
      <c r="AE79" s="134">
        <v>2065.0</v>
      </c>
      <c r="AF79" s="134">
        <v>1577.0</v>
      </c>
      <c r="AG79" s="134">
        <v>2652.0</v>
      </c>
      <c r="AH79" s="134">
        <v>1578.0</v>
      </c>
      <c r="AI79" s="134">
        <v>2556.0</v>
      </c>
      <c r="AJ79" s="134">
        <v>1197.0</v>
      </c>
      <c r="AK79" s="134">
        <v>2031.0</v>
      </c>
      <c r="AL79" s="134">
        <v>1278.0</v>
      </c>
      <c r="AM79" s="134">
        <v>2271.0</v>
      </c>
      <c r="AN79" s="134">
        <v>24623.0</v>
      </c>
    </row>
    <row r="80">
      <c r="A80" s="98"/>
      <c r="B80" s="136" t="s">
        <v>200</v>
      </c>
      <c r="C80" s="134">
        <v>19276.0</v>
      </c>
      <c r="D80" s="134">
        <v>5844.0</v>
      </c>
      <c r="E80" s="134">
        <v>13432.0</v>
      </c>
      <c r="F80" s="135">
        <v>0.0</v>
      </c>
      <c r="G80" s="135">
        <v>0.0</v>
      </c>
      <c r="H80" s="135">
        <v>0.0</v>
      </c>
      <c r="I80" s="135">
        <v>0.0</v>
      </c>
      <c r="J80" s="135">
        <v>0.0</v>
      </c>
      <c r="K80" s="135">
        <v>0.0</v>
      </c>
      <c r="L80" s="137">
        <v>23.0</v>
      </c>
      <c r="M80" s="137">
        <v>53.0</v>
      </c>
      <c r="N80" s="137">
        <v>16.0</v>
      </c>
      <c r="O80" s="137">
        <v>87.0</v>
      </c>
      <c r="P80" s="137">
        <v>24.0</v>
      </c>
      <c r="Q80" s="137">
        <v>171.0</v>
      </c>
      <c r="R80" s="137">
        <v>53.0</v>
      </c>
      <c r="S80" s="137">
        <v>227.0</v>
      </c>
      <c r="T80" s="137">
        <v>108.0</v>
      </c>
      <c r="U80" s="137">
        <v>386.0</v>
      </c>
      <c r="V80" s="137">
        <v>204.0</v>
      </c>
      <c r="W80" s="137">
        <v>561.0</v>
      </c>
      <c r="X80" s="137">
        <v>318.0</v>
      </c>
      <c r="Y80" s="137">
        <v>939.0</v>
      </c>
      <c r="Z80" s="137">
        <v>568.0</v>
      </c>
      <c r="AA80" s="134">
        <v>1660.0</v>
      </c>
      <c r="AB80" s="137">
        <v>756.0</v>
      </c>
      <c r="AC80" s="134">
        <v>1898.0</v>
      </c>
      <c r="AD80" s="137">
        <v>854.0</v>
      </c>
      <c r="AE80" s="134">
        <v>1895.0</v>
      </c>
      <c r="AF80" s="137">
        <v>903.0</v>
      </c>
      <c r="AG80" s="134">
        <v>1722.0</v>
      </c>
      <c r="AH80" s="137">
        <v>895.0</v>
      </c>
      <c r="AI80" s="134">
        <v>1582.0</v>
      </c>
      <c r="AJ80" s="137">
        <v>583.0</v>
      </c>
      <c r="AK80" s="134">
        <v>1152.0</v>
      </c>
      <c r="AL80" s="137">
        <v>539.0</v>
      </c>
      <c r="AM80" s="134">
        <v>1099.0</v>
      </c>
      <c r="AN80" s="134">
        <v>18238.0</v>
      </c>
    </row>
    <row r="81">
      <c r="A81" s="104"/>
      <c r="B81" s="136" t="s">
        <v>201</v>
      </c>
      <c r="C81" s="137">
        <v>72.0</v>
      </c>
      <c r="D81" s="137">
        <v>21.0</v>
      </c>
      <c r="E81" s="137">
        <v>51.0</v>
      </c>
      <c r="F81" s="135">
        <v>0.0</v>
      </c>
      <c r="G81" s="135">
        <v>0.0</v>
      </c>
      <c r="H81" s="135">
        <v>0.0</v>
      </c>
      <c r="I81" s="135">
        <v>0.0</v>
      </c>
      <c r="J81" s="135">
        <v>0.0</v>
      </c>
      <c r="K81" s="135">
        <v>0.0</v>
      </c>
      <c r="L81" s="137">
        <v>0.0</v>
      </c>
      <c r="M81" s="137">
        <v>0.0</v>
      </c>
      <c r="N81" s="137">
        <v>0.0</v>
      </c>
      <c r="O81" s="137">
        <v>0.0</v>
      </c>
      <c r="P81" s="137">
        <v>1.0</v>
      </c>
      <c r="Q81" s="137">
        <v>2.0</v>
      </c>
      <c r="R81" s="137">
        <v>1.0</v>
      </c>
      <c r="S81" s="137">
        <v>0.0</v>
      </c>
      <c r="T81" s="137">
        <v>0.0</v>
      </c>
      <c r="U81" s="137">
        <v>2.0</v>
      </c>
      <c r="V81" s="137">
        <v>0.0</v>
      </c>
      <c r="W81" s="137">
        <v>0.0</v>
      </c>
      <c r="X81" s="137">
        <v>0.0</v>
      </c>
      <c r="Y81" s="137">
        <v>1.0</v>
      </c>
      <c r="Z81" s="137">
        <v>1.0</v>
      </c>
      <c r="AA81" s="137">
        <v>3.0</v>
      </c>
      <c r="AB81" s="137">
        <v>2.0</v>
      </c>
      <c r="AC81" s="137">
        <v>0.0</v>
      </c>
      <c r="AD81" s="137">
        <v>1.0</v>
      </c>
      <c r="AE81" s="137">
        <v>4.0</v>
      </c>
      <c r="AF81" s="137">
        <v>3.0</v>
      </c>
      <c r="AG81" s="137">
        <v>5.0</v>
      </c>
      <c r="AH81" s="137">
        <v>2.0</v>
      </c>
      <c r="AI81" s="137">
        <v>6.0</v>
      </c>
      <c r="AJ81" s="137">
        <v>3.0</v>
      </c>
      <c r="AK81" s="137">
        <v>13.0</v>
      </c>
      <c r="AL81" s="137">
        <v>7.0</v>
      </c>
      <c r="AM81" s="137">
        <v>15.0</v>
      </c>
      <c r="AN81" s="137">
        <v>64.0</v>
      </c>
    </row>
    <row r="82">
      <c r="A82" s="132" t="s">
        <v>202</v>
      </c>
      <c r="B82" s="136" t="s">
        <v>198</v>
      </c>
      <c r="C82" s="137">
        <v>753.0</v>
      </c>
      <c r="D82" s="137">
        <v>428.0</v>
      </c>
      <c r="E82" s="137">
        <v>325.0</v>
      </c>
      <c r="F82" s="137">
        <v>13.0</v>
      </c>
      <c r="G82" s="137">
        <v>8.0</v>
      </c>
      <c r="H82" s="137">
        <v>22.0</v>
      </c>
      <c r="I82" s="137">
        <v>9.0</v>
      </c>
      <c r="J82" s="137">
        <v>7.0</v>
      </c>
      <c r="K82" s="137">
        <v>7.0</v>
      </c>
      <c r="L82" s="137">
        <v>12.0</v>
      </c>
      <c r="M82" s="137">
        <v>13.0</v>
      </c>
      <c r="N82" s="137">
        <v>37.0</v>
      </c>
      <c r="O82" s="137">
        <v>30.0</v>
      </c>
      <c r="P82" s="137">
        <v>38.0</v>
      </c>
      <c r="Q82" s="137">
        <v>32.0</v>
      </c>
      <c r="R82" s="137">
        <v>17.0</v>
      </c>
      <c r="S82" s="137">
        <v>21.0</v>
      </c>
      <c r="T82" s="137">
        <v>37.0</v>
      </c>
      <c r="U82" s="137">
        <v>17.0</v>
      </c>
      <c r="V82" s="137">
        <v>26.0</v>
      </c>
      <c r="W82" s="137">
        <v>27.0</v>
      </c>
      <c r="X82" s="137">
        <v>37.0</v>
      </c>
      <c r="Y82" s="137">
        <v>19.0</v>
      </c>
      <c r="Z82" s="137">
        <v>19.0</v>
      </c>
      <c r="AA82" s="137">
        <v>27.0</v>
      </c>
      <c r="AB82" s="137">
        <v>31.0</v>
      </c>
      <c r="AC82" s="137">
        <v>25.0</v>
      </c>
      <c r="AD82" s="137">
        <v>46.0</v>
      </c>
      <c r="AE82" s="137">
        <v>22.0</v>
      </c>
      <c r="AF82" s="137">
        <v>21.0</v>
      </c>
      <c r="AG82" s="137">
        <v>25.0</v>
      </c>
      <c r="AH82" s="137">
        <v>21.0</v>
      </c>
      <c r="AI82" s="137">
        <v>29.0</v>
      </c>
      <c r="AJ82" s="137">
        <v>24.0</v>
      </c>
      <c r="AK82" s="137">
        <v>6.0</v>
      </c>
      <c r="AL82" s="137">
        <v>20.0</v>
      </c>
      <c r="AM82" s="137">
        <v>8.0</v>
      </c>
      <c r="AN82" s="137">
        <v>746.0</v>
      </c>
    </row>
    <row r="83">
      <c r="A83" s="104"/>
      <c r="B83" s="136" t="s">
        <v>199</v>
      </c>
      <c r="C83" s="137">
        <v>253.0</v>
      </c>
      <c r="D83" s="137">
        <v>150.0</v>
      </c>
      <c r="E83" s="137">
        <v>103.0</v>
      </c>
      <c r="F83" s="137">
        <v>5.0</v>
      </c>
      <c r="G83" s="137">
        <v>4.0</v>
      </c>
      <c r="H83" s="137">
        <v>3.0</v>
      </c>
      <c r="I83" s="137">
        <v>2.0</v>
      </c>
      <c r="J83" s="137">
        <v>4.0</v>
      </c>
      <c r="K83" s="137">
        <v>2.0</v>
      </c>
      <c r="L83" s="137">
        <v>4.0</v>
      </c>
      <c r="M83" s="137">
        <v>5.0</v>
      </c>
      <c r="N83" s="137">
        <v>13.0</v>
      </c>
      <c r="O83" s="137">
        <v>7.0</v>
      </c>
      <c r="P83" s="137">
        <v>15.0</v>
      </c>
      <c r="Q83" s="137">
        <v>6.0</v>
      </c>
      <c r="R83" s="137">
        <v>11.0</v>
      </c>
      <c r="S83" s="137">
        <v>16.0</v>
      </c>
      <c r="T83" s="137">
        <v>11.0</v>
      </c>
      <c r="U83" s="137">
        <v>2.0</v>
      </c>
      <c r="V83" s="137">
        <v>14.0</v>
      </c>
      <c r="W83" s="137">
        <v>14.0</v>
      </c>
      <c r="X83" s="137">
        <v>12.0</v>
      </c>
      <c r="Y83" s="137">
        <v>7.0</v>
      </c>
      <c r="Z83" s="137">
        <v>12.0</v>
      </c>
      <c r="AA83" s="137">
        <v>8.0</v>
      </c>
      <c r="AB83" s="137">
        <v>18.0</v>
      </c>
      <c r="AC83" s="137">
        <v>5.0</v>
      </c>
      <c r="AD83" s="137">
        <v>10.0</v>
      </c>
      <c r="AE83" s="137">
        <v>3.0</v>
      </c>
      <c r="AF83" s="137">
        <v>2.0</v>
      </c>
      <c r="AG83" s="137">
        <v>6.0</v>
      </c>
      <c r="AH83" s="137">
        <v>8.0</v>
      </c>
      <c r="AI83" s="137">
        <v>12.0</v>
      </c>
      <c r="AJ83" s="137">
        <v>3.0</v>
      </c>
      <c r="AK83" s="137">
        <v>4.0</v>
      </c>
      <c r="AL83" s="137">
        <v>5.0</v>
      </c>
      <c r="AM83" s="137">
        <v>0.0</v>
      </c>
      <c r="AN83" s="137">
        <v>249.0</v>
      </c>
    </row>
    <row r="84">
      <c r="A84" s="132" t="s">
        <v>203</v>
      </c>
      <c r="B84" s="136" t="s">
        <v>198</v>
      </c>
      <c r="C84" s="137">
        <v>40.0</v>
      </c>
      <c r="D84" s="137">
        <v>27.0</v>
      </c>
      <c r="E84" s="137">
        <v>13.0</v>
      </c>
      <c r="F84" s="135">
        <v>0.0</v>
      </c>
      <c r="G84" s="135">
        <v>0.0</v>
      </c>
      <c r="H84" s="135">
        <v>0.0</v>
      </c>
      <c r="I84" s="135">
        <v>0.0</v>
      </c>
      <c r="J84" s="135">
        <v>0.0</v>
      </c>
      <c r="K84" s="135">
        <v>0.0</v>
      </c>
      <c r="L84" s="135">
        <v>0.0</v>
      </c>
      <c r="M84" s="135">
        <v>0.0</v>
      </c>
      <c r="N84" s="135">
        <v>0.0</v>
      </c>
      <c r="O84" s="135">
        <v>0.0</v>
      </c>
      <c r="P84" s="135">
        <v>0.0</v>
      </c>
      <c r="Q84" s="135">
        <v>0.0</v>
      </c>
      <c r="R84" s="135">
        <v>0.0</v>
      </c>
      <c r="S84" s="135">
        <v>0.0</v>
      </c>
      <c r="T84" s="135">
        <v>0.0</v>
      </c>
      <c r="U84" s="135">
        <v>0.0</v>
      </c>
      <c r="V84" s="135">
        <v>0.0</v>
      </c>
      <c r="W84" s="135">
        <v>0.0</v>
      </c>
      <c r="X84" s="135">
        <v>0.0</v>
      </c>
      <c r="Y84" s="135">
        <v>0.0</v>
      </c>
      <c r="Z84" s="135">
        <v>0.0</v>
      </c>
      <c r="AA84" s="135">
        <v>0.0</v>
      </c>
      <c r="AB84" s="135">
        <v>0.0</v>
      </c>
      <c r="AC84" s="135">
        <v>0.0</v>
      </c>
      <c r="AD84" s="135">
        <v>0.0</v>
      </c>
      <c r="AE84" s="135">
        <v>0.0</v>
      </c>
      <c r="AF84" s="137">
        <v>16.0</v>
      </c>
      <c r="AG84" s="137">
        <v>1.0</v>
      </c>
      <c r="AH84" s="137">
        <v>3.0</v>
      </c>
      <c r="AI84" s="137">
        <v>2.0</v>
      </c>
      <c r="AJ84" s="137">
        <v>4.0</v>
      </c>
      <c r="AK84" s="137">
        <v>3.0</v>
      </c>
      <c r="AL84" s="137">
        <v>4.0</v>
      </c>
      <c r="AM84" s="137">
        <v>7.0</v>
      </c>
      <c r="AN84" s="137">
        <v>40.0</v>
      </c>
    </row>
    <row r="85">
      <c r="A85" s="104"/>
      <c r="B85" s="136" t="s">
        <v>199</v>
      </c>
      <c r="C85" s="134">
        <v>1818.0</v>
      </c>
      <c r="D85" s="137">
        <v>663.0</v>
      </c>
      <c r="E85" s="134">
        <v>1155.0</v>
      </c>
      <c r="F85" s="135">
        <v>0.0</v>
      </c>
      <c r="G85" s="135">
        <v>0.0</v>
      </c>
      <c r="H85" s="135">
        <v>0.0</v>
      </c>
      <c r="I85" s="135">
        <v>0.0</v>
      </c>
      <c r="J85" s="135">
        <v>0.0</v>
      </c>
      <c r="K85" s="135">
        <v>0.0</v>
      </c>
      <c r="L85" s="135">
        <v>0.0</v>
      </c>
      <c r="M85" s="135">
        <v>0.0</v>
      </c>
      <c r="N85" s="135">
        <v>0.0</v>
      </c>
      <c r="O85" s="135">
        <v>0.0</v>
      </c>
      <c r="P85" s="135">
        <v>0.0</v>
      </c>
      <c r="Q85" s="135">
        <v>0.0</v>
      </c>
      <c r="R85" s="135">
        <v>0.0</v>
      </c>
      <c r="S85" s="135">
        <v>0.0</v>
      </c>
      <c r="T85" s="135">
        <v>0.0</v>
      </c>
      <c r="U85" s="135">
        <v>0.0</v>
      </c>
      <c r="V85" s="135">
        <v>0.0</v>
      </c>
      <c r="W85" s="135">
        <v>0.0</v>
      </c>
      <c r="X85" s="135">
        <v>0.0</v>
      </c>
      <c r="Y85" s="135">
        <v>0.0</v>
      </c>
      <c r="Z85" s="135">
        <v>0.0</v>
      </c>
      <c r="AA85" s="135">
        <v>0.0</v>
      </c>
      <c r="AB85" s="135">
        <v>0.0</v>
      </c>
      <c r="AC85" s="135">
        <v>0.0</v>
      </c>
      <c r="AD85" s="135">
        <v>0.0</v>
      </c>
      <c r="AE85" s="135">
        <v>0.0</v>
      </c>
      <c r="AF85" s="137">
        <v>190.0</v>
      </c>
      <c r="AG85" s="137">
        <v>325.0</v>
      </c>
      <c r="AH85" s="137">
        <v>183.0</v>
      </c>
      <c r="AI85" s="137">
        <v>343.0</v>
      </c>
      <c r="AJ85" s="137">
        <v>161.0</v>
      </c>
      <c r="AK85" s="137">
        <v>265.0</v>
      </c>
      <c r="AL85" s="137">
        <v>129.0</v>
      </c>
      <c r="AM85" s="137">
        <v>222.0</v>
      </c>
      <c r="AN85" s="134">
        <v>1782.0</v>
      </c>
    </row>
    <row r="86">
      <c r="A86" s="132" t="s">
        <v>204</v>
      </c>
      <c r="B86" s="136" t="s">
        <v>198</v>
      </c>
      <c r="C86" s="137">
        <v>10.0</v>
      </c>
      <c r="D86" s="137">
        <v>3.0</v>
      </c>
      <c r="E86" s="137">
        <v>7.0</v>
      </c>
      <c r="F86" s="135">
        <v>0.0</v>
      </c>
      <c r="G86" s="135">
        <v>0.0</v>
      </c>
      <c r="H86" s="135">
        <v>0.0</v>
      </c>
      <c r="I86" s="135">
        <v>0.0</v>
      </c>
      <c r="J86" s="135">
        <v>0.0</v>
      </c>
      <c r="K86" s="135">
        <v>0.0</v>
      </c>
      <c r="L86" s="135">
        <v>0.0</v>
      </c>
      <c r="M86" s="135">
        <v>0.0</v>
      </c>
      <c r="N86" s="135">
        <v>0.0</v>
      </c>
      <c r="O86" s="135">
        <v>0.0</v>
      </c>
      <c r="P86" s="135">
        <v>0.0</v>
      </c>
      <c r="Q86" s="135">
        <v>0.0</v>
      </c>
      <c r="R86" s="135">
        <v>0.0</v>
      </c>
      <c r="S86" s="135">
        <v>0.0</v>
      </c>
      <c r="T86" s="135">
        <v>0.0</v>
      </c>
      <c r="U86" s="135">
        <v>0.0</v>
      </c>
      <c r="V86" s="135">
        <v>0.0</v>
      </c>
      <c r="W86" s="135">
        <v>0.0</v>
      </c>
      <c r="X86" s="135">
        <v>0.0</v>
      </c>
      <c r="Y86" s="135">
        <v>0.0</v>
      </c>
      <c r="Z86" s="135">
        <v>0.0</v>
      </c>
      <c r="AA86" s="135">
        <v>0.0</v>
      </c>
      <c r="AB86" s="135">
        <v>0.0</v>
      </c>
      <c r="AC86" s="135">
        <v>0.0</v>
      </c>
      <c r="AD86" s="135">
        <v>0.0</v>
      </c>
      <c r="AE86" s="135">
        <v>0.0</v>
      </c>
      <c r="AF86" s="137">
        <v>1.0</v>
      </c>
      <c r="AG86" s="137">
        <v>0.0</v>
      </c>
      <c r="AH86" s="137">
        <v>1.0</v>
      </c>
      <c r="AI86" s="137">
        <v>0.0</v>
      </c>
      <c r="AJ86" s="137">
        <v>0.0</v>
      </c>
      <c r="AK86" s="137">
        <v>1.0</v>
      </c>
      <c r="AL86" s="137">
        <v>1.0</v>
      </c>
      <c r="AM86" s="137">
        <v>6.0</v>
      </c>
      <c r="AN86" s="137">
        <v>10.0</v>
      </c>
    </row>
    <row r="87">
      <c r="A87" s="104"/>
      <c r="B87" s="136" t="s">
        <v>199</v>
      </c>
      <c r="C87" s="134">
        <v>1089.0</v>
      </c>
      <c r="D87" s="137">
        <v>344.0</v>
      </c>
      <c r="E87" s="137">
        <v>745.0</v>
      </c>
      <c r="F87" s="135">
        <v>0.0</v>
      </c>
      <c r="G87" s="135">
        <v>0.0</v>
      </c>
      <c r="H87" s="135">
        <v>0.0</v>
      </c>
      <c r="I87" s="135">
        <v>0.0</v>
      </c>
      <c r="J87" s="135">
        <v>0.0</v>
      </c>
      <c r="K87" s="135">
        <v>0.0</v>
      </c>
      <c r="L87" s="135">
        <v>0.0</v>
      </c>
      <c r="M87" s="135">
        <v>0.0</v>
      </c>
      <c r="N87" s="135">
        <v>0.0</v>
      </c>
      <c r="O87" s="135">
        <v>0.0</v>
      </c>
      <c r="P87" s="135">
        <v>0.0</v>
      </c>
      <c r="Q87" s="135">
        <v>0.0</v>
      </c>
      <c r="R87" s="135">
        <v>0.0</v>
      </c>
      <c r="S87" s="135">
        <v>0.0</v>
      </c>
      <c r="T87" s="135">
        <v>0.0</v>
      </c>
      <c r="U87" s="135">
        <v>0.0</v>
      </c>
      <c r="V87" s="135">
        <v>0.0</v>
      </c>
      <c r="W87" s="135">
        <v>0.0</v>
      </c>
      <c r="X87" s="135">
        <v>0.0</v>
      </c>
      <c r="Y87" s="135">
        <v>0.0</v>
      </c>
      <c r="Z87" s="135">
        <v>0.0</v>
      </c>
      <c r="AA87" s="135">
        <v>0.0</v>
      </c>
      <c r="AB87" s="135">
        <v>0.0</v>
      </c>
      <c r="AC87" s="135">
        <v>0.0</v>
      </c>
      <c r="AD87" s="135">
        <v>0.0</v>
      </c>
      <c r="AE87" s="135">
        <v>0.0</v>
      </c>
      <c r="AF87" s="137">
        <v>48.0</v>
      </c>
      <c r="AG87" s="137">
        <v>84.0</v>
      </c>
      <c r="AH87" s="137">
        <v>59.0</v>
      </c>
      <c r="AI87" s="137">
        <v>150.0</v>
      </c>
      <c r="AJ87" s="137">
        <v>73.0</v>
      </c>
      <c r="AK87" s="137">
        <v>147.0</v>
      </c>
      <c r="AL87" s="137">
        <v>164.0</v>
      </c>
      <c r="AM87" s="137">
        <v>364.0</v>
      </c>
      <c r="AN87" s="134">
        <v>1068.0</v>
      </c>
    </row>
    <row r="88">
      <c r="A88" s="132" t="s">
        <v>205</v>
      </c>
      <c r="B88" s="136" t="s">
        <v>198</v>
      </c>
      <c r="C88" s="137">
        <v>29.0</v>
      </c>
      <c r="D88" s="137">
        <v>17.0</v>
      </c>
      <c r="E88" s="137">
        <v>12.0</v>
      </c>
      <c r="F88" s="137">
        <v>0.0</v>
      </c>
      <c r="G88" s="137">
        <v>0.0</v>
      </c>
      <c r="H88" s="137">
        <v>1.0</v>
      </c>
      <c r="I88" s="137">
        <v>0.0</v>
      </c>
      <c r="J88" s="137">
        <v>1.0</v>
      </c>
      <c r="K88" s="137">
        <v>1.0</v>
      </c>
      <c r="L88" s="137">
        <v>3.0</v>
      </c>
      <c r="M88" s="137">
        <v>3.0</v>
      </c>
      <c r="N88" s="137">
        <v>3.0</v>
      </c>
      <c r="O88" s="137">
        <v>1.0</v>
      </c>
      <c r="P88" s="137">
        <v>2.0</v>
      </c>
      <c r="Q88" s="137">
        <v>2.0</v>
      </c>
      <c r="R88" s="137">
        <v>3.0</v>
      </c>
      <c r="S88" s="137">
        <v>2.0</v>
      </c>
      <c r="T88" s="137">
        <v>0.0</v>
      </c>
      <c r="U88" s="137">
        <v>1.0</v>
      </c>
      <c r="V88" s="137">
        <v>1.0</v>
      </c>
      <c r="W88" s="137">
        <v>1.0</v>
      </c>
      <c r="X88" s="137">
        <v>0.0</v>
      </c>
      <c r="Y88" s="137">
        <v>1.0</v>
      </c>
      <c r="Z88" s="137">
        <v>1.0</v>
      </c>
      <c r="AA88" s="137">
        <v>0.0</v>
      </c>
      <c r="AB88" s="137">
        <v>1.0</v>
      </c>
      <c r="AC88" s="137">
        <v>0.0</v>
      </c>
      <c r="AD88" s="137">
        <v>0.0</v>
      </c>
      <c r="AE88" s="137">
        <v>0.0</v>
      </c>
      <c r="AF88" s="137">
        <v>0.0</v>
      </c>
      <c r="AG88" s="137">
        <v>0.0</v>
      </c>
      <c r="AH88" s="137">
        <v>0.0</v>
      </c>
      <c r="AI88" s="137">
        <v>0.0</v>
      </c>
      <c r="AJ88" s="137">
        <v>0.0</v>
      </c>
      <c r="AK88" s="137">
        <v>0.0</v>
      </c>
      <c r="AL88" s="137">
        <v>1.0</v>
      </c>
      <c r="AM88" s="137">
        <v>0.0</v>
      </c>
      <c r="AN88" s="137">
        <v>24.0</v>
      </c>
    </row>
    <row r="89">
      <c r="A89" s="98"/>
      <c r="B89" s="136" t="s">
        <v>199</v>
      </c>
      <c r="C89" s="137">
        <v>10.0</v>
      </c>
      <c r="D89" s="137">
        <v>4.0</v>
      </c>
      <c r="E89" s="137">
        <v>6.0</v>
      </c>
      <c r="F89" s="137">
        <v>1.0</v>
      </c>
      <c r="G89" s="137">
        <v>1.0</v>
      </c>
      <c r="H89" s="137">
        <v>0.0</v>
      </c>
      <c r="I89" s="137">
        <v>0.0</v>
      </c>
      <c r="J89" s="137">
        <v>0.0</v>
      </c>
      <c r="K89" s="137">
        <v>1.0</v>
      </c>
      <c r="L89" s="137">
        <v>0.0</v>
      </c>
      <c r="M89" s="137">
        <v>0.0</v>
      </c>
      <c r="N89" s="137">
        <v>0.0</v>
      </c>
      <c r="O89" s="137">
        <v>0.0</v>
      </c>
      <c r="P89" s="137">
        <v>0.0</v>
      </c>
      <c r="Q89" s="137">
        <v>3.0</v>
      </c>
      <c r="R89" s="137">
        <v>0.0</v>
      </c>
      <c r="S89" s="137">
        <v>0.0</v>
      </c>
      <c r="T89" s="137">
        <v>1.0</v>
      </c>
      <c r="U89" s="137">
        <v>0.0</v>
      </c>
      <c r="V89" s="137">
        <v>0.0</v>
      </c>
      <c r="W89" s="137">
        <v>1.0</v>
      </c>
      <c r="X89" s="137">
        <v>0.0</v>
      </c>
      <c r="Y89" s="137">
        <v>0.0</v>
      </c>
      <c r="Z89" s="137">
        <v>0.0</v>
      </c>
      <c r="AA89" s="137">
        <v>0.0</v>
      </c>
      <c r="AB89" s="137">
        <v>0.0</v>
      </c>
      <c r="AC89" s="137">
        <v>0.0</v>
      </c>
      <c r="AD89" s="137">
        <v>0.0</v>
      </c>
      <c r="AE89" s="137">
        <v>0.0</v>
      </c>
      <c r="AF89" s="137">
        <v>0.0</v>
      </c>
      <c r="AG89" s="137">
        <v>0.0</v>
      </c>
      <c r="AH89" s="137">
        <v>0.0</v>
      </c>
      <c r="AI89" s="137">
        <v>0.0</v>
      </c>
      <c r="AJ89" s="137">
        <v>2.0</v>
      </c>
      <c r="AK89" s="137">
        <v>0.0</v>
      </c>
      <c r="AL89" s="137">
        <v>0.0</v>
      </c>
      <c r="AM89" s="137">
        <v>0.0</v>
      </c>
      <c r="AN89" s="137">
        <v>10.0</v>
      </c>
    </row>
    <row r="90">
      <c r="A90" s="104"/>
      <c r="B90" s="136" t="s">
        <v>206</v>
      </c>
      <c r="C90" s="137">
        <v>313.0</v>
      </c>
      <c r="D90" s="137">
        <v>92.0</v>
      </c>
      <c r="E90" s="137">
        <v>221.0</v>
      </c>
      <c r="F90" s="137">
        <v>0.0</v>
      </c>
      <c r="G90" s="137">
        <v>0.0</v>
      </c>
      <c r="H90" s="137">
        <v>0.0</v>
      </c>
      <c r="I90" s="137">
        <v>0.0</v>
      </c>
      <c r="J90" s="137">
        <v>0.0</v>
      </c>
      <c r="K90" s="137">
        <v>2.0</v>
      </c>
      <c r="L90" s="137">
        <v>22.0</v>
      </c>
      <c r="M90" s="137">
        <v>20.0</v>
      </c>
      <c r="N90" s="137">
        <v>15.0</v>
      </c>
      <c r="O90" s="137">
        <v>84.0</v>
      </c>
      <c r="P90" s="137">
        <v>12.0</v>
      </c>
      <c r="Q90" s="137">
        <v>45.0</v>
      </c>
      <c r="R90" s="137">
        <v>3.0</v>
      </c>
      <c r="S90" s="137">
        <v>23.0</v>
      </c>
      <c r="T90" s="137">
        <v>5.0</v>
      </c>
      <c r="U90" s="137">
        <v>14.0</v>
      </c>
      <c r="V90" s="137">
        <v>2.0</v>
      </c>
      <c r="W90" s="137">
        <v>11.0</v>
      </c>
      <c r="X90" s="137">
        <v>3.0</v>
      </c>
      <c r="Y90" s="137">
        <v>9.0</v>
      </c>
      <c r="Z90" s="137">
        <v>2.0</v>
      </c>
      <c r="AA90" s="137">
        <v>1.0</v>
      </c>
      <c r="AB90" s="137">
        <v>18.0</v>
      </c>
      <c r="AC90" s="137">
        <v>3.0</v>
      </c>
      <c r="AD90" s="137">
        <v>2.0</v>
      </c>
      <c r="AE90" s="137">
        <v>6.0</v>
      </c>
      <c r="AF90" s="137">
        <v>0.0</v>
      </c>
      <c r="AG90" s="137">
        <v>0.0</v>
      </c>
      <c r="AH90" s="137">
        <v>2.0</v>
      </c>
      <c r="AI90" s="137">
        <v>1.0</v>
      </c>
      <c r="AJ90" s="137">
        <v>4.0</v>
      </c>
      <c r="AK90" s="137">
        <v>2.0</v>
      </c>
      <c r="AL90" s="137">
        <v>2.0</v>
      </c>
      <c r="AM90" s="137">
        <v>0.0</v>
      </c>
      <c r="AN90" s="137">
        <v>310.0</v>
      </c>
    </row>
    <row r="91">
      <c r="A91" s="132" t="s">
        <v>207</v>
      </c>
      <c r="B91" s="136" t="s">
        <v>198</v>
      </c>
      <c r="C91" s="134">
        <v>44760.0</v>
      </c>
      <c r="D91" s="134">
        <v>11935.0</v>
      </c>
      <c r="E91" s="134">
        <v>32825.0</v>
      </c>
      <c r="F91" s="137">
        <v>198.0</v>
      </c>
      <c r="G91" s="137">
        <v>180.0</v>
      </c>
      <c r="H91" s="137">
        <v>137.0</v>
      </c>
      <c r="I91" s="137">
        <v>159.0</v>
      </c>
      <c r="J91" s="137">
        <v>156.0</v>
      </c>
      <c r="K91" s="137">
        <v>192.0</v>
      </c>
      <c r="L91" s="137">
        <v>165.0</v>
      </c>
      <c r="M91" s="137">
        <v>258.0</v>
      </c>
      <c r="N91" s="137">
        <v>170.0</v>
      </c>
      <c r="O91" s="137">
        <v>443.0</v>
      </c>
      <c r="P91" s="137">
        <v>189.0</v>
      </c>
      <c r="Q91" s="137">
        <v>532.0</v>
      </c>
      <c r="R91" s="137">
        <v>218.0</v>
      </c>
      <c r="S91" s="137">
        <v>677.0</v>
      </c>
      <c r="T91" s="137">
        <v>214.0</v>
      </c>
      <c r="U91" s="137">
        <v>860.0</v>
      </c>
      <c r="V91" s="137">
        <v>267.0</v>
      </c>
      <c r="W91" s="134">
        <v>1157.0</v>
      </c>
      <c r="X91" s="137">
        <v>472.0</v>
      </c>
      <c r="Y91" s="134">
        <v>1796.0</v>
      </c>
      <c r="Z91" s="137">
        <v>849.0</v>
      </c>
      <c r="AA91" s="134">
        <v>2772.0</v>
      </c>
      <c r="AB91" s="134">
        <v>1257.0</v>
      </c>
      <c r="AC91" s="134">
        <v>3601.0</v>
      </c>
      <c r="AD91" s="134">
        <v>1322.0</v>
      </c>
      <c r="AE91" s="134">
        <v>4230.0</v>
      </c>
      <c r="AF91" s="134">
        <v>1542.0</v>
      </c>
      <c r="AG91" s="134">
        <v>4182.0</v>
      </c>
      <c r="AH91" s="134">
        <v>1653.0</v>
      </c>
      <c r="AI91" s="134">
        <v>4232.0</v>
      </c>
      <c r="AJ91" s="134">
        <v>1363.0</v>
      </c>
      <c r="AK91" s="134">
        <v>3456.0</v>
      </c>
      <c r="AL91" s="134">
        <v>1763.0</v>
      </c>
      <c r="AM91" s="134">
        <v>4098.0</v>
      </c>
      <c r="AN91" s="134">
        <v>41777.0</v>
      </c>
    </row>
    <row r="92">
      <c r="A92" s="98"/>
      <c r="B92" s="136" t="s">
        <v>199</v>
      </c>
      <c r="C92" s="134">
        <v>5730.0</v>
      </c>
      <c r="D92" s="134">
        <v>2318.0</v>
      </c>
      <c r="E92" s="134">
        <v>3412.0</v>
      </c>
      <c r="F92" s="137">
        <v>1.0</v>
      </c>
      <c r="G92" s="137">
        <v>0.0</v>
      </c>
      <c r="H92" s="137">
        <v>4.0</v>
      </c>
      <c r="I92" s="137">
        <v>3.0</v>
      </c>
      <c r="J92" s="137">
        <v>6.0</v>
      </c>
      <c r="K92" s="137">
        <v>2.0</v>
      </c>
      <c r="L92" s="137">
        <v>16.0</v>
      </c>
      <c r="M92" s="137">
        <v>7.0</v>
      </c>
      <c r="N92" s="137">
        <v>22.0</v>
      </c>
      <c r="O92" s="137">
        <v>54.0</v>
      </c>
      <c r="P92" s="137">
        <v>5.0</v>
      </c>
      <c r="Q92" s="137">
        <v>38.0</v>
      </c>
      <c r="R92" s="137">
        <v>44.0</v>
      </c>
      <c r="S92" s="137">
        <v>65.0</v>
      </c>
      <c r="T92" s="137">
        <v>8.0</v>
      </c>
      <c r="U92" s="137">
        <v>73.0</v>
      </c>
      <c r="V92" s="137">
        <v>43.0</v>
      </c>
      <c r="W92" s="137">
        <v>65.0</v>
      </c>
      <c r="X92" s="137">
        <v>132.0</v>
      </c>
      <c r="Y92" s="137">
        <v>239.0</v>
      </c>
      <c r="Z92" s="137">
        <v>256.0</v>
      </c>
      <c r="AA92" s="137">
        <v>366.0</v>
      </c>
      <c r="AB92" s="137">
        <v>449.0</v>
      </c>
      <c r="AC92" s="137">
        <v>249.0</v>
      </c>
      <c r="AD92" s="137">
        <v>213.0</v>
      </c>
      <c r="AE92" s="137">
        <v>372.0</v>
      </c>
      <c r="AF92" s="137">
        <v>293.0</v>
      </c>
      <c r="AG92" s="137">
        <v>440.0</v>
      </c>
      <c r="AH92" s="137">
        <v>355.0</v>
      </c>
      <c r="AI92" s="137">
        <v>619.0</v>
      </c>
      <c r="AJ92" s="137">
        <v>142.0</v>
      </c>
      <c r="AK92" s="137">
        <v>436.0</v>
      </c>
      <c r="AL92" s="137">
        <v>329.0</v>
      </c>
      <c r="AM92" s="137">
        <v>384.0</v>
      </c>
      <c r="AN92" s="134">
        <v>5520.0</v>
      </c>
    </row>
    <row r="93">
      <c r="A93" s="98"/>
      <c r="B93" s="136" t="s">
        <v>206</v>
      </c>
      <c r="C93" s="137">
        <v>151.0</v>
      </c>
      <c r="D93" s="137">
        <v>20.0</v>
      </c>
      <c r="E93" s="137">
        <v>131.0</v>
      </c>
      <c r="F93" s="137">
        <v>14.0</v>
      </c>
      <c r="G93" s="137">
        <v>17.0</v>
      </c>
      <c r="H93" s="137">
        <v>2.0</v>
      </c>
      <c r="I93" s="137">
        <v>3.0</v>
      </c>
      <c r="J93" s="137">
        <v>1.0</v>
      </c>
      <c r="K93" s="137">
        <v>4.0</v>
      </c>
      <c r="L93" s="137">
        <v>0.0</v>
      </c>
      <c r="M93" s="137">
        <v>13.0</v>
      </c>
      <c r="N93" s="137">
        <v>0.0</v>
      </c>
      <c r="O93" s="137">
        <v>28.0</v>
      </c>
      <c r="P93" s="137">
        <v>0.0</v>
      </c>
      <c r="Q93" s="137">
        <v>17.0</v>
      </c>
      <c r="R93" s="137">
        <v>1.0</v>
      </c>
      <c r="S93" s="137">
        <v>27.0</v>
      </c>
      <c r="T93" s="137">
        <v>1.0</v>
      </c>
      <c r="U93" s="137">
        <v>14.0</v>
      </c>
      <c r="V93" s="137">
        <v>0.0</v>
      </c>
      <c r="W93" s="137">
        <v>1.0</v>
      </c>
      <c r="X93" s="137">
        <v>0.0</v>
      </c>
      <c r="Y93" s="137">
        <v>0.0</v>
      </c>
      <c r="Z93" s="137">
        <v>1.0</v>
      </c>
      <c r="AA93" s="137">
        <v>2.0</v>
      </c>
      <c r="AB93" s="137">
        <v>0.0</v>
      </c>
      <c r="AC93" s="137">
        <v>0.0</v>
      </c>
      <c r="AD93" s="137">
        <v>0.0</v>
      </c>
      <c r="AE93" s="137">
        <v>2.0</v>
      </c>
      <c r="AF93" s="137">
        <v>0.0</v>
      </c>
      <c r="AG93" s="137">
        <v>1.0</v>
      </c>
      <c r="AH93" s="137">
        <v>0.0</v>
      </c>
      <c r="AI93" s="137">
        <v>1.0</v>
      </c>
      <c r="AJ93" s="137">
        <v>0.0</v>
      </c>
      <c r="AK93" s="137">
        <v>1.0</v>
      </c>
      <c r="AL93" s="137">
        <v>0.0</v>
      </c>
      <c r="AM93" s="137">
        <v>0.0</v>
      </c>
      <c r="AN93" s="137">
        <v>151.0</v>
      </c>
    </row>
    <row r="94">
      <c r="A94" s="98"/>
      <c r="B94" s="136" t="s">
        <v>200</v>
      </c>
      <c r="C94" s="134">
        <v>8616.0</v>
      </c>
      <c r="D94" s="134">
        <v>3171.0</v>
      </c>
      <c r="E94" s="134">
        <v>5445.0</v>
      </c>
      <c r="F94" s="134">
        <v>1860.0</v>
      </c>
      <c r="G94" s="134">
        <v>1693.0</v>
      </c>
      <c r="H94" s="137">
        <v>485.0</v>
      </c>
      <c r="I94" s="137">
        <v>495.0</v>
      </c>
      <c r="J94" s="137">
        <v>121.0</v>
      </c>
      <c r="K94" s="137">
        <v>135.0</v>
      </c>
      <c r="L94" s="137">
        <v>39.0</v>
      </c>
      <c r="M94" s="137">
        <v>192.0</v>
      </c>
      <c r="N94" s="137">
        <v>24.0</v>
      </c>
      <c r="O94" s="137">
        <v>281.0</v>
      </c>
      <c r="P94" s="137">
        <v>21.0</v>
      </c>
      <c r="Q94" s="137">
        <v>345.0</v>
      </c>
      <c r="R94" s="137">
        <v>34.0</v>
      </c>
      <c r="S94" s="137">
        <v>279.0</v>
      </c>
      <c r="T94" s="137">
        <v>24.0</v>
      </c>
      <c r="U94" s="137">
        <v>234.0</v>
      </c>
      <c r="V94" s="137">
        <v>29.0</v>
      </c>
      <c r="W94" s="137">
        <v>210.0</v>
      </c>
      <c r="X94" s="137">
        <v>37.0</v>
      </c>
      <c r="Y94" s="137">
        <v>223.0</v>
      </c>
      <c r="Z94" s="137">
        <v>57.0</v>
      </c>
      <c r="AA94" s="137">
        <v>238.0</v>
      </c>
      <c r="AB94" s="137">
        <v>97.0</v>
      </c>
      <c r="AC94" s="137">
        <v>262.0</v>
      </c>
      <c r="AD94" s="137">
        <v>69.0</v>
      </c>
      <c r="AE94" s="137">
        <v>225.0</v>
      </c>
      <c r="AF94" s="137">
        <v>55.0</v>
      </c>
      <c r="AG94" s="137">
        <v>193.0</v>
      </c>
      <c r="AH94" s="137">
        <v>76.0</v>
      </c>
      <c r="AI94" s="137">
        <v>170.0</v>
      </c>
      <c r="AJ94" s="137">
        <v>66.0</v>
      </c>
      <c r="AK94" s="137">
        <v>133.0</v>
      </c>
      <c r="AL94" s="137">
        <v>77.0</v>
      </c>
      <c r="AM94" s="137">
        <v>137.0</v>
      </c>
      <c r="AN94" s="134">
        <v>8480.0</v>
      </c>
    </row>
    <row r="95">
      <c r="A95" s="104"/>
      <c r="B95" s="136" t="s">
        <v>201</v>
      </c>
      <c r="C95" s="134">
        <v>2538.0</v>
      </c>
      <c r="D95" s="134">
        <v>1410.0</v>
      </c>
      <c r="E95" s="134">
        <v>1128.0</v>
      </c>
      <c r="F95" s="137">
        <v>49.0</v>
      </c>
      <c r="G95" s="137">
        <v>52.0</v>
      </c>
      <c r="H95" s="137">
        <v>25.0</v>
      </c>
      <c r="I95" s="137">
        <v>79.0</v>
      </c>
      <c r="J95" s="137">
        <v>29.0</v>
      </c>
      <c r="K95" s="137">
        <v>25.0</v>
      </c>
      <c r="L95" s="137">
        <v>23.0</v>
      </c>
      <c r="M95" s="137">
        <v>31.0</v>
      </c>
      <c r="N95" s="137">
        <v>26.0</v>
      </c>
      <c r="O95" s="137">
        <v>66.0</v>
      </c>
      <c r="P95" s="137">
        <v>16.0</v>
      </c>
      <c r="Q95" s="137">
        <v>18.0</v>
      </c>
      <c r="R95" s="137">
        <v>14.0</v>
      </c>
      <c r="S95" s="137">
        <v>42.0</v>
      </c>
      <c r="T95" s="137">
        <v>14.0</v>
      </c>
      <c r="U95" s="137">
        <v>42.0</v>
      </c>
      <c r="V95" s="137">
        <v>47.0</v>
      </c>
      <c r="W95" s="137">
        <v>21.0</v>
      </c>
      <c r="X95" s="137">
        <v>122.0</v>
      </c>
      <c r="Y95" s="137">
        <v>125.0</v>
      </c>
      <c r="Z95" s="137">
        <v>228.0</v>
      </c>
      <c r="AA95" s="137">
        <v>192.0</v>
      </c>
      <c r="AB95" s="137">
        <v>228.0</v>
      </c>
      <c r="AC95" s="137">
        <v>20.0</v>
      </c>
      <c r="AD95" s="137">
        <v>129.0</v>
      </c>
      <c r="AE95" s="137">
        <v>123.0</v>
      </c>
      <c r="AF95" s="137">
        <v>152.0</v>
      </c>
      <c r="AG95" s="137">
        <v>45.0</v>
      </c>
      <c r="AH95" s="137">
        <v>166.0</v>
      </c>
      <c r="AI95" s="137">
        <v>165.0</v>
      </c>
      <c r="AJ95" s="137">
        <v>9.0</v>
      </c>
      <c r="AK95" s="137">
        <v>58.0</v>
      </c>
      <c r="AL95" s="137">
        <v>133.0</v>
      </c>
      <c r="AM95" s="137">
        <v>24.0</v>
      </c>
      <c r="AN95" s="134">
        <v>2497.0</v>
      </c>
    </row>
    <row r="96">
      <c r="A96" s="132" t="s">
        <v>208</v>
      </c>
      <c r="B96" s="136" t="s">
        <v>198</v>
      </c>
      <c r="C96" s="137">
        <v>468.0</v>
      </c>
      <c r="D96" s="137">
        <v>316.0</v>
      </c>
      <c r="E96" s="137">
        <v>152.0</v>
      </c>
      <c r="F96" s="137">
        <v>200.0</v>
      </c>
      <c r="G96" s="137">
        <v>78.0</v>
      </c>
      <c r="H96" s="137">
        <v>83.0</v>
      </c>
      <c r="I96" s="137">
        <v>44.0</v>
      </c>
      <c r="J96" s="137">
        <v>20.0</v>
      </c>
      <c r="K96" s="137">
        <v>18.0</v>
      </c>
      <c r="L96" s="137">
        <v>13.0</v>
      </c>
      <c r="M96" s="137">
        <v>10.0</v>
      </c>
      <c r="N96" s="137">
        <v>0.0</v>
      </c>
      <c r="O96" s="137">
        <v>2.0</v>
      </c>
      <c r="P96" s="135">
        <v>0.0</v>
      </c>
      <c r="Q96" s="135">
        <v>0.0</v>
      </c>
      <c r="R96" s="135">
        <v>0.0</v>
      </c>
      <c r="S96" s="135">
        <v>0.0</v>
      </c>
      <c r="T96" s="135">
        <v>0.0</v>
      </c>
      <c r="U96" s="135">
        <v>0.0</v>
      </c>
      <c r="V96" s="135">
        <v>0.0</v>
      </c>
      <c r="W96" s="135">
        <v>0.0</v>
      </c>
      <c r="X96" s="135">
        <v>0.0</v>
      </c>
      <c r="Y96" s="135">
        <v>0.0</v>
      </c>
      <c r="Z96" s="135">
        <v>0.0</v>
      </c>
      <c r="AA96" s="135">
        <v>0.0</v>
      </c>
      <c r="AB96" s="135">
        <v>0.0</v>
      </c>
      <c r="AC96" s="135">
        <v>0.0</v>
      </c>
      <c r="AD96" s="135">
        <v>0.0</v>
      </c>
      <c r="AE96" s="135">
        <v>0.0</v>
      </c>
      <c r="AF96" s="135">
        <v>0.0</v>
      </c>
      <c r="AG96" s="135">
        <v>0.0</v>
      </c>
      <c r="AH96" s="135">
        <v>0.0</v>
      </c>
      <c r="AI96" s="135">
        <v>0.0</v>
      </c>
      <c r="AJ96" s="135">
        <v>0.0</v>
      </c>
      <c r="AK96" s="135">
        <v>0.0</v>
      </c>
      <c r="AL96" s="135">
        <v>0.0</v>
      </c>
      <c r="AM96" s="135">
        <v>0.0</v>
      </c>
      <c r="AN96" s="137">
        <v>340.0</v>
      </c>
    </row>
    <row r="97">
      <c r="A97" s="98"/>
      <c r="B97" s="136" t="s">
        <v>199</v>
      </c>
      <c r="C97" s="137">
        <v>119.0</v>
      </c>
      <c r="D97" s="137">
        <v>75.0</v>
      </c>
      <c r="E97" s="137">
        <v>44.0</v>
      </c>
      <c r="F97" s="137">
        <v>58.0</v>
      </c>
      <c r="G97" s="137">
        <v>35.0</v>
      </c>
      <c r="H97" s="137">
        <v>13.0</v>
      </c>
      <c r="I97" s="137">
        <v>5.0</v>
      </c>
      <c r="J97" s="137">
        <v>1.0</v>
      </c>
      <c r="K97" s="137">
        <v>3.0</v>
      </c>
      <c r="L97" s="137">
        <v>1.0</v>
      </c>
      <c r="M97" s="137">
        <v>0.0</v>
      </c>
      <c r="N97" s="137">
        <v>2.0</v>
      </c>
      <c r="O97" s="137">
        <v>1.0</v>
      </c>
      <c r="P97" s="135">
        <v>0.0</v>
      </c>
      <c r="Q97" s="135">
        <v>0.0</v>
      </c>
      <c r="R97" s="135">
        <v>0.0</v>
      </c>
      <c r="S97" s="135">
        <v>0.0</v>
      </c>
      <c r="T97" s="135">
        <v>0.0</v>
      </c>
      <c r="U97" s="135">
        <v>0.0</v>
      </c>
      <c r="V97" s="135">
        <v>0.0</v>
      </c>
      <c r="W97" s="135">
        <v>0.0</v>
      </c>
      <c r="X97" s="135">
        <v>0.0</v>
      </c>
      <c r="Y97" s="135">
        <v>0.0</v>
      </c>
      <c r="Z97" s="135">
        <v>0.0</v>
      </c>
      <c r="AA97" s="135">
        <v>0.0</v>
      </c>
      <c r="AB97" s="135">
        <v>0.0</v>
      </c>
      <c r="AC97" s="135">
        <v>0.0</v>
      </c>
      <c r="AD97" s="135">
        <v>0.0</v>
      </c>
      <c r="AE97" s="135">
        <v>0.0</v>
      </c>
      <c r="AF97" s="135">
        <v>0.0</v>
      </c>
      <c r="AG97" s="135">
        <v>0.0</v>
      </c>
      <c r="AH97" s="135">
        <v>0.0</v>
      </c>
      <c r="AI97" s="135">
        <v>0.0</v>
      </c>
      <c r="AJ97" s="135">
        <v>0.0</v>
      </c>
      <c r="AK97" s="135">
        <v>0.0</v>
      </c>
      <c r="AL97" s="135">
        <v>0.0</v>
      </c>
      <c r="AM97" s="135">
        <v>0.0</v>
      </c>
      <c r="AN97" s="137">
        <v>108.0</v>
      </c>
    </row>
    <row r="98">
      <c r="A98" s="98"/>
      <c r="B98" s="136" t="s">
        <v>206</v>
      </c>
      <c r="C98" s="137">
        <v>0.0</v>
      </c>
      <c r="D98" s="137">
        <v>0.0</v>
      </c>
      <c r="E98" s="137">
        <v>0.0</v>
      </c>
      <c r="F98" s="137">
        <v>0.0</v>
      </c>
      <c r="G98" s="137">
        <v>0.0</v>
      </c>
      <c r="H98" s="137">
        <v>0.0</v>
      </c>
      <c r="I98" s="137">
        <v>0.0</v>
      </c>
      <c r="J98" s="137">
        <v>0.0</v>
      </c>
      <c r="K98" s="137">
        <v>0.0</v>
      </c>
      <c r="L98" s="137">
        <v>0.0</v>
      </c>
      <c r="M98" s="137">
        <v>0.0</v>
      </c>
      <c r="N98" s="137">
        <v>0.0</v>
      </c>
      <c r="O98" s="137">
        <v>0.0</v>
      </c>
      <c r="P98" s="135">
        <v>0.0</v>
      </c>
      <c r="Q98" s="135">
        <v>0.0</v>
      </c>
      <c r="R98" s="135">
        <v>0.0</v>
      </c>
      <c r="S98" s="135">
        <v>0.0</v>
      </c>
      <c r="T98" s="135">
        <v>0.0</v>
      </c>
      <c r="U98" s="135">
        <v>0.0</v>
      </c>
      <c r="V98" s="135">
        <v>0.0</v>
      </c>
      <c r="W98" s="135">
        <v>0.0</v>
      </c>
      <c r="X98" s="135">
        <v>0.0</v>
      </c>
      <c r="Y98" s="135">
        <v>0.0</v>
      </c>
      <c r="Z98" s="135">
        <v>0.0</v>
      </c>
      <c r="AA98" s="135">
        <v>0.0</v>
      </c>
      <c r="AB98" s="135">
        <v>0.0</v>
      </c>
      <c r="AC98" s="135">
        <v>0.0</v>
      </c>
      <c r="AD98" s="135">
        <v>0.0</v>
      </c>
      <c r="AE98" s="135">
        <v>0.0</v>
      </c>
      <c r="AF98" s="135">
        <v>0.0</v>
      </c>
      <c r="AG98" s="135">
        <v>0.0</v>
      </c>
      <c r="AH98" s="135">
        <v>0.0</v>
      </c>
      <c r="AI98" s="135">
        <v>0.0</v>
      </c>
      <c r="AJ98" s="135">
        <v>0.0</v>
      </c>
      <c r="AK98" s="135">
        <v>0.0</v>
      </c>
      <c r="AL98" s="135">
        <v>0.0</v>
      </c>
      <c r="AM98" s="135">
        <v>0.0</v>
      </c>
      <c r="AN98" s="137">
        <v>0.0</v>
      </c>
    </row>
    <row r="99">
      <c r="A99" s="98"/>
      <c r="B99" s="136" t="s">
        <v>200</v>
      </c>
      <c r="C99" s="137">
        <v>60.0</v>
      </c>
      <c r="D99" s="137">
        <v>43.0</v>
      </c>
      <c r="E99" s="137">
        <v>17.0</v>
      </c>
      <c r="F99" s="137">
        <v>35.0</v>
      </c>
      <c r="G99" s="137">
        <v>17.0</v>
      </c>
      <c r="H99" s="137">
        <v>6.0</v>
      </c>
      <c r="I99" s="137">
        <v>0.0</v>
      </c>
      <c r="J99" s="137">
        <v>1.0</v>
      </c>
      <c r="K99" s="137">
        <v>0.0</v>
      </c>
      <c r="L99" s="137">
        <v>1.0</v>
      </c>
      <c r="M99" s="137">
        <v>0.0</v>
      </c>
      <c r="N99" s="137">
        <v>0.0</v>
      </c>
      <c r="O99" s="137">
        <v>0.0</v>
      </c>
      <c r="P99" s="135">
        <v>0.0</v>
      </c>
      <c r="Q99" s="135">
        <v>0.0</v>
      </c>
      <c r="R99" s="135">
        <v>0.0</v>
      </c>
      <c r="S99" s="135">
        <v>0.0</v>
      </c>
      <c r="T99" s="135">
        <v>0.0</v>
      </c>
      <c r="U99" s="135">
        <v>0.0</v>
      </c>
      <c r="V99" s="135">
        <v>0.0</v>
      </c>
      <c r="W99" s="135">
        <v>0.0</v>
      </c>
      <c r="X99" s="135">
        <v>0.0</v>
      </c>
      <c r="Y99" s="135">
        <v>0.0</v>
      </c>
      <c r="Z99" s="135">
        <v>0.0</v>
      </c>
      <c r="AA99" s="135">
        <v>0.0</v>
      </c>
      <c r="AB99" s="135">
        <v>0.0</v>
      </c>
      <c r="AC99" s="135">
        <v>0.0</v>
      </c>
      <c r="AD99" s="135">
        <v>0.0</v>
      </c>
      <c r="AE99" s="135">
        <v>0.0</v>
      </c>
      <c r="AF99" s="135">
        <v>0.0</v>
      </c>
      <c r="AG99" s="135">
        <v>0.0</v>
      </c>
      <c r="AH99" s="135">
        <v>0.0</v>
      </c>
      <c r="AI99" s="135">
        <v>0.0</v>
      </c>
      <c r="AJ99" s="135">
        <v>0.0</v>
      </c>
      <c r="AK99" s="135">
        <v>0.0</v>
      </c>
      <c r="AL99" s="135">
        <v>0.0</v>
      </c>
      <c r="AM99" s="135">
        <v>0.0</v>
      </c>
      <c r="AN99" s="137">
        <v>60.0</v>
      </c>
    </row>
    <row r="100">
      <c r="A100" s="104"/>
      <c r="B100" s="136" t="s">
        <v>201</v>
      </c>
      <c r="C100" s="137">
        <v>3.0</v>
      </c>
      <c r="D100" s="137">
        <v>1.0</v>
      </c>
      <c r="E100" s="137">
        <v>2.0</v>
      </c>
      <c r="F100" s="137">
        <v>0.0</v>
      </c>
      <c r="G100" s="137">
        <v>0.0</v>
      </c>
      <c r="H100" s="137">
        <v>0.0</v>
      </c>
      <c r="I100" s="137">
        <v>0.0</v>
      </c>
      <c r="J100" s="137">
        <v>0.0</v>
      </c>
      <c r="K100" s="137">
        <v>0.0</v>
      </c>
      <c r="L100" s="137">
        <v>1.0</v>
      </c>
      <c r="M100" s="137">
        <v>0.0</v>
      </c>
      <c r="N100" s="137">
        <v>0.0</v>
      </c>
      <c r="O100" s="137">
        <v>2.0</v>
      </c>
      <c r="P100" s="135">
        <v>0.0</v>
      </c>
      <c r="Q100" s="135">
        <v>0.0</v>
      </c>
      <c r="R100" s="135">
        <v>0.0</v>
      </c>
      <c r="S100" s="135">
        <v>0.0</v>
      </c>
      <c r="T100" s="135">
        <v>0.0</v>
      </c>
      <c r="U100" s="135">
        <v>0.0</v>
      </c>
      <c r="V100" s="135">
        <v>0.0</v>
      </c>
      <c r="W100" s="135">
        <v>0.0</v>
      </c>
      <c r="X100" s="135">
        <v>0.0</v>
      </c>
      <c r="Y100" s="135">
        <v>0.0</v>
      </c>
      <c r="Z100" s="135">
        <v>0.0</v>
      </c>
      <c r="AA100" s="135">
        <v>0.0</v>
      </c>
      <c r="AB100" s="135">
        <v>0.0</v>
      </c>
      <c r="AC100" s="135">
        <v>0.0</v>
      </c>
      <c r="AD100" s="135">
        <v>0.0</v>
      </c>
      <c r="AE100" s="135">
        <v>0.0</v>
      </c>
      <c r="AF100" s="135">
        <v>0.0</v>
      </c>
      <c r="AG100" s="135">
        <v>0.0</v>
      </c>
      <c r="AH100" s="135">
        <v>0.0</v>
      </c>
      <c r="AI100" s="135">
        <v>0.0</v>
      </c>
      <c r="AJ100" s="135">
        <v>0.0</v>
      </c>
      <c r="AK100" s="135">
        <v>0.0</v>
      </c>
      <c r="AL100" s="135">
        <v>0.0</v>
      </c>
      <c r="AM100" s="135">
        <v>0.0</v>
      </c>
      <c r="AN100" s="137">
        <v>2.0</v>
      </c>
    </row>
    <row r="101">
      <c r="A101" s="138" t="s">
        <v>212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</row>
    <row r="102">
      <c r="A102" s="132" t="s">
        <v>197</v>
      </c>
      <c r="B102" s="133" t="s">
        <v>198</v>
      </c>
      <c r="C102" s="134">
        <v>50374.0</v>
      </c>
      <c r="D102" s="134">
        <v>17355.0</v>
      </c>
      <c r="E102" s="134">
        <v>33019.0</v>
      </c>
      <c r="F102" s="135">
        <v>0.0</v>
      </c>
      <c r="G102" s="135">
        <v>0.0</v>
      </c>
      <c r="H102" s="135">
        <v>0.0</v>
      </c>
      <c r="I102" s="135">
        <v>0.0</v>
      </c>
      <c r="J102" s="135">
        <v>0.0</v>
      </c>
      <c r="K102" s="135">
        <v>0.0</v>
      </c>
      <c r="L102" s="137">
        <v>41.0</v>
      </c>
      <c r="M102" s="137">
        <v>49.0</v>
      </c>
      <c r="N102" s="137">
        <v>33.0</v>
      </c>
      <c r="O102" s="137">
        <v>92.0</v>
      </c>
      <c r="P102" s="137">
        <v>88.0</v>
      </c>
      <c r="Q102" s="137">
        <v>256.0</v>
      </c>
      <c r="R102" s="137">
        <v>122.0</v>
      </c>
      <c r="S102" s="137">
        <v>389.0</v>
      </c>
      <c r="T102" s="137">
        <v>234.0</v>
      </c>
      <c r="U102" s="137">
        <v>729.0</v>
      </c>
      <c r="V102" s="137">
        <v>425.0</v>
      </c>
      <c r="W102" s="134">
        <v>1186.0</v>
      </c>
      <c r="X102" s="137">
        <v>845.0</v>
      </c>
      <c r="Y102" s="134">
        <v>2276.0</v>
      </c>
      <c r="Z102" s="134">
        <v>1541.0</v>
      </c>
      <c r="AA102" s="134">
        <v>3576.0</v>
      </c>
      <c r="AB102" s="134">
        <v>2060.0</v>
      </c>
      <c r="AC102" s="134">
        <v>4611.0</v>
      </c>
      <c r="AD102" s="134">
        <v>2529.0</v>
      </c>
      <c r="AE102" s="134">
        <v>4479.0</v>
      </c>
      <c r="AF102" s="134">
        <v>2467.0</v>
      </c>
      <c r="AG102" s="134">
        <v>4526.0</v>
      </c>
      <c r="AH102" s="134">
        <v>2572.0</v>
      </c>
      <c r="AI102" s="134">
        <v>4135.0</v>
      </c>
      <c r="AJ102" s="134">
        <v>2136.0</v>
      </c>
      <c r="AK102" s="134">
        <v>3133.0</v>
      </c>
      <c r="AL102" s="134">
        <v>2262.0</v>
      </c>
      <c r="AM102" s="134">
        <v>3582.0</v>
      </c>
      <c r="AN102" s="134">
        <v>49973.0</v>
      </c>
    </row>
    <row r="103">
      <c r="A103" s="98"/>
      <c r="B103" s="136" t="s">
        <v>199</v>
      </c>
      <c r="C103" s="134">
        <v>14715.0</v>
      </c>
      <c r="D103" s="134">
        <v>5041.0</v>
      </c>
      <c r="E103" s="134">
        <v>9674.0</v>
      </c>
      <c r="F103" s="135">
        <v>0.0</v>
      </c>
      <c r="G103" s="135">
        <v>0.0</v>
      </c>
      <c r="H103" s="135">
        <v>0.0</v>
      </c>
      <c r="I103" s="135">
        <v>0.0</v>
      </c>
      <c r="J103" s="135">
        <v>0.0</v>
      </c>
      <c r="K103" s="135">
        <v>0.0</v>
      </c>
      <c r="L103" s="137">
        <v>6.0</v>
      </c>
      <c r="M103" s="137">
        <v>3.0</v>
      </c>
      <c r="N103" s="137">
        <v>7.0</v>
      </c>
      <c r="O103" s="137">
        <v>10.0</v>
      </c>
      <c r="P103" s="137">
        <v>13.0</v>
      </c>
      <c r="Q103" s="137">
        <v>44.0</v>
      </c>
      <c r="R103" s="137">
        <v>28.0</v>
      </c>
      <c r="S103" s="137">
        <v>62.0</v>
      </c>
      <c r="T103" s="137">
        <v>60.0</v>
      </c>
      <c r="U103" s="137">
        <v>140.0</v>
      </c>
      <c r="V103" s="137">
        <v>102.0</v>
      </c>
      <c r="W103" s="137">
        <v>292.0</v>
      </c>
      <c r="X103" s="137">
        <v>195.0</v>
      </c>
      <c r="Y103" s="137">
        <v>589.0</v>
      </c>
      <c r="Z103" s="137">
        <v>435.0</v>
      </c>
      <c r="AA103" s="134">
        <v>1028.0</v>
      </c>
      <c r="AB103" s="137">
        <v>576.0</v>
      </c>
      <c r="AC103" s="134">
        <v>1333.0</v>
      </c>
      <c r="AD103" s="137">
        <v>746.0</v>
      </c>
      <c r="AE103" s="134">
        <v>1390.0</v>
      </c>
      <c r="AF103" s="137">
        <v>738.0</v>
      </c>
      <c r="AG103" s="134">
        <v>1366.0</v>
      </c>
      <c r="AH103" s="137">
        <v>804.0</v>
      </c>
      <c r="AI103" s="134">
        <v>1329.0</v>
      </c>
      <c r="AJ103" s="137">
        <v>650.0</v>
      </c>
      <c r="AK103" s="134">
        <v>1034.0</v>
      </c>
      <c r="AL103" s="137">
        <v>681.0</v>
      </c>
      <c r="AM103" s="134">
        <v>1054.0</v>
      </c>
      <c r="AN103" s="134">
        <v>14438.0</v>
      </c>
    </row>
    <row r="104">
      <c r="A104" s="98"/>
      <c r="B104" s="136" t="s">
        <v>200</v>
      </c>
      <c r="C104" s="134">
        <v>11794.0</v>
      </c>
      <c r="D104" s="134">
        <v>3785.0</v>
      </c>
      <c r="E104" s="134">
        <v>8009.0</v>
      </c>
      <c r="F104" s="135">
        <v>0.0</v>
      </c>
      <c r="G104" s="135">
        <v>0.0</v>
      </c>
      <c r="H104" s="135">
        <v>0.0</v>
      </c>
      <c r="I104" s="135">
        <v>0.0</v>
      </c>
      <c r="J104" s="135">
        <v>0.0</v>
      </c>
      <c r="K104" s="135">
        <v>0.0</v>
      </c>
      <c r="L104" s="137">
        <v>14.0</v>
      </c>
      <c r="M104" s="137">
        <v>21.0</v>
      </c>
      <c r="N104" s="137">
        <v>12.0</v>
      </c>
      <c r="O104" s="137">
        <v>45.0</v>
      </c>
      <c r="P104" s="137">
        <v>20.0</v>
      </c>
      <c r="Q104" s="137">
        <v>79.0</v>
      </c>
      <c r="R104" s="137">
        <v>20.0</v>
      </c>
      <c r="S104" s="137">
        <v>105.0</v>
      </c>
      <c r="T104" s="137">
        <v>58.0</v>
      </c>
      <c r="U104" s="137">
        <v>195.0</v>
      </c>
      <c r="V104" s="137">
        <v>84.0</v>
      </c>
      <c r="W104" s="137">
        <v>322.0</v>
      </c>
      <c r="X104" s="137">
        <v>171.0</v>
      </c>
      <c r="Y104" s="137">
        <v>530.0</v>
      </c>
      <c r="Z104" s="137">
        <v>354.0</v>
      </c>
      <c r="AA104" s="137">
        <v>929.0</v>
      </c>
      <c r="AB104" s="137">
        <v>429.0</v>
      </c>
      <c r="AC104" s="134">
        <v>1143.0</v>
      </c>
      <c r="AD104" s="137">
        <v>555.0</v>
      </c>
      <c r="AE104" s="134">
        <v>1049.0</v>
      </c>
      <c r="AF104" s="137">
        <v>531.0</v>
      </c>
      <c r="AG104" s="134">
        <v>1074.0</v>
      </c>
      <c r="AH104" s="137">
        <v>560.0</v>
      </c>
      <c r="AI104" s="134">
        <v>1016.0</v>
      </c>
      <c r="AJ104" s="137">
        <v>492.0</v>
      </c>
      <c r="AK104" s="137">
        <v>768.0</v>
      </c>
      <c r="AL104" s="137">
        <v>485.0</v>
      </c>
      <c r="AM104" s="137">
        <v>733.0</v>
      </c>
      <c r="AN104" s="134">
        <v>11733.0</v>
      </c>
    </row>
    <row r="105">
      <c r="A105" s="104"/>
      <c r="B105" s="136" t="s">
        <v>201</v>
      </c>
      <c r="C105" s="137">
        <v>301.0</v>
      </c>
      <c r="D105" s="137">
        <v>103.0</v>
      </c>
      <c r="E105" s="137">
        <v>198.0</v>
      </c>
      <c r="F105" s="135">
        <v>0.0</v>
      </c>
      <c r="G105" s="135">
        <v>0.0</v>
      </c>
      <c r="H105" s="135">
        <v>0.0</v>
      </c>
      <c r="I105" s="135">
        <v>0.0</v>
      </c>
      <c r="J105" s="135">
        <v>0.0</v>
      </c>
      <c r="K105" s="135">
        <v>0.0</v>
      </c>
      <c r="L105" s="137">
        <v>0.0</v>
      </c>
      <c r="M105" s="137">
        <v>2.0</v>
      </c>
      <c r="N105" s="137">
        <v>1.0</v>
      </c>
      <c r="O105" s="137">
        <v>1.0</v>
      </c>
      <c r="P105" s="137">
        <v>4.0</v>
      </c>
      <c r="Q105" s="137">
        <v>6.0</v>
      </c>
      <c r="R105" s="137">
        <v>2.0</v>
      </c>
      <c r="S105" s="137">
        <v>5.0</v>
      </c>
      <c r="T105" s="137">
        <v>1.0</v>
      </c>
      <c r="U105" s="137">
        <v>7.0</v>
      </c>
      <c r="V105" s="137">
        <v>5.0</v>
      </c>
      <c r="W105" s="137">
        <v>7.0</v>
      </c>
      <c r="X105" s="137">
        <v>10.0</v>
      </c>
      <c r="Y105" s="137">
        <v>18.0</v>
      </c>
      <c r="Z105" s="137">
        <v>10.0</v>
      </c>
      <c r="AA105" s="137">
        <v>20.0</v>
      </c>
      <c r="AB105" s="137">
        <v>10.0</v>
      </c>
      <c r="AC105" s="137">
        <v>32.0</v>
      </c>
      <c r="AD105" s="137">
        <v>16.0</v>
      </c>
      <c r="AE105" s="137">
        <v>28.0</v>
      </c>
      <c r="AF105" s="137">
        <v>11.0</v>
      </c>
      <c r="AG105" s="137">
        <v>20.0</v>
      </c>
      <c r="AH105" s="137">
        <v>17.0</v>
      </c>
      <c r="AI105" s="137">
        <v>16.0</v>
      </c>
      <c r="AJ105" s="137">
        <v>6.0</v>
      </c>
      <c r="AK105" s="137">
        <v>18.0</v>
      </c>
      <c r="AL105" s="137">
        <v>10.0</v>
      </c>
      <c r="AM105" s="137">
        <v>18.0</v>
      </c>
      <c r="AN105" s="137">
        <v>300.0</v>
      </c>
    </row>
    <row r="106">
      <c r="A106" s="132" t="s">
        <v>202</v>
      </c>
      <c r="B106" s="136" t="s">
        <v>198</v>
      </c>
      <c r="C106" s="137">
        <v>143.0</v>
      </c>
      <c r="D106" s="137">
        <v>62.0</v>
      </c>
      <c r="E106" s="137">
        <v>81.0</v>
      </c>
      <c r="F106" s="137">
        <v>1.0</v>
      </c>
      <c r="G106" s="137">
        <v>1.0</v>
      </c>
      <c r="H106" s="137">
        <v>6.0</v>
      </c>
      <c r="I106" s="137">
        <v>11.0</v>
      </c>
      <c r="J106" s="137">
        <v>1.0</v>
      </c>
      <c r="K106" s="137">
        <v>2.0</v>
      </c>
      <c r="L106" s="137">
        <v>2.0</v>
      </c>
      <c r="M106" s="137">
        <v>4.0</v>
      </c>
      <c r="N106" s="137">
        <v>0.0</v>
      </c>
      <c r="O106" s="137">
        <v>4.0</v>
      </c>
      <c r="P106" s="137">
        <v>1.0</v>
      </c>
      <c r="Q106" s="137">
        <v>16.0</v>
      </c>
      <c r="R106" s="137">
        <v>7.0</v>
      </c>
      <c r="S106" s="137">
        <v>4.0</v>
      </c>
      <c r="T106" s="137">
        <v>7.0</v>
      </c>
      <c r="U106" s="137">
        <v>1.0</v>
      </c>
      <c r="V106" s="137">
        <v>4.0</v>
      </c>
      <c r="W106" s="137">
        <v>1.0</v>
      </c>
      <c r="X106" s="137">
        <v>0.0</v>
      </c>
      <c r="Y106" s="137">
        <v>14.0</v>
      </c>
      <c r="Z106" s="137">
        <v>2.0</v>
      </c>
      <c r="AA106" s="137">
        <v>7.0</v>
      </c>
      <c r="AB106" s="137">
        <v>3.0</v>
      </c>
      <c r="AC106" s="137">
        <v>7.0</v>
      </c>
      <c r="AD106" s="137">
        <v>13.0</v>
      </c>
      <c r="AE106" s="137">
        <v>8.0</v>
      </c>
      <c r="AF106" s="137">
        <v>2.0</v>
      </c>
      <c r="AG106" s="137">
        <v>0.0</v>
      </c>
      <c r="AH106" s="137">
        <v>6.0</v>
      </c>
      <c r="AI106" s="137">
        <v>1.0</v>
      </c>
      <c r="AJ106" s="137">
        <v>2.0</v>
      </c>
      <c r="AK106" s="137">
        <v>0.0</v>
      </c>
      <c r="AL106" s="137">
        <v>5.0</v>
      </c>
      <c r="AM106" s="137">
        <v>0.0</v>
      </c>
      <c r="AN106" s="137">
        <v>136.0</v>
      </c>
    </row>
    <row r="107">
      <c r="A107" s="104"/>
      <c r="B107" s="136" t="s">
        <v>199</v>
      </c>
      <c r="C107" s="137">
        <v>40.0</v>
      </c>
      <c r="D107" s="137">
        <v>24.0</v>
      </c>
      <c r="E107" s="137">
        <v>16.0</v>
      </c>
      <c r="F107" s="137">
        <v>0.0</v>
      </c>
      <c r="G107" s="137">
        <v>4.0</v>
      </c>
      <c r="H107" s="137">
        <v>2.0</v>
      </c>
      <c r="I107" s="137">
        <v>0.0</v>
      </c>
      <c r="J107" s="137">
        <v>0.0</v>
      </c>
      <c r="K107" s="137">
        <v>0.0</v>
      </c>
      <c r="L107" s="137">
        <v>1.0</v>
      </c>
      <c r="M107" s="137">
        <v>1.0</v>
      </c>
      <c r="N107" s="137">
        <v>2.0</v>
      </c>
      <c r="O107" s="137">
        <v>2.0</v>
      </c>
      <c r="P107" s="137">
        <v>0.0</v>
      </c>
      <c r="Q107" s="137">
        <v>1.0</v>
      </c>
      <c r="R107" s="137">
        <v>1.0</v>
      </c>
      <c r="S107" s="137">
        <v>3.0</v>
      </c>
      <c r="T107" s="137">
        <v>4.0</v>
      </c>
      <c r="U107" s="137">
        <v>0.0</v>
      </c>
      <c r="V107" s="137">
        <v>1.0</v>
      </c>
      <c r="W107" s="137">
        <v>0.0</v>
      </c>
      <c r="X107" s="137">
        <v>1.0</v>
      </c>
      <c r="Y107" s="137">
        <v>4.0</v>
      </c>
      <c r="Z107" s="137">
        <v>1.0</v>
      </c>
      <c r="AA107" s="137">
        <v>0.0</v>
      </c>
      <c r="AB107" s="137">
        <v>0.0</v>
      </c>
      <c r="AC107" s="137">
        <v>0.0</v>
      </c>
      <c r="AD107" s="137">
        <v>5.0</v>
      </c>
      <c r="AE107" s="137">
        <v>0.0</v>
      </c>
      <c r="AF107" s="137">
        <v>2.0</v>
      </c>
      <c r="AG107" s="137">
        <v>0.0</v>
      </c>
      <c r="AH107" s="137">
        <v>0.0</v>
      </c>
      <c r="AI107" s="137">
        <v>0.0</v>
      </c>
      <c r="AJ107" s="137">
        <v>1.0</v>
      </c>
      <c r="AK107" s="137">
        <v>1.0</v>
      </c>
      <c r="AL107" s="137">
        <v>3.0</v>
      </c>
      <c r="AM107" s="137">
        <v>0.0</v>
      </c>
      <c r="AN107" s="137">
        <v>38.0</v>
      </c>
    </row>
    <row r="108">
      <c r="A108" s="132" t="s">
        <v>203</v>
      </c>
      <c r="B108" s="136" t="s">
        <v>198</v>
      </c>
      <c r="C108" s="137">
        <v>0.0</v>
      </c>
      <c r="D108" s="137">
        <v>0.0</v>
      </c>
      <c r="E108" s="137">
        <v>0.0</v>
      </c>
      <c r="F108" s="135">
        <v>0.0</v>
      </c>
      <c r="G108" s="135">
        <v>0.0</v>
      </c>
      <c r="H108" s="135">
        <v>0.0</v>
      </c>
      <c r="I108" s="135">
        <v>0.0</v>
      </c>
      <c r="J108" s="135">
        <v>0.0</v>
      </c>
      <c r="K108" s="135">
        <v>0.0</v>
      </c>
      <c r="L108" s="135">
        <v>0.0</v>
      </c>
      <c r="M108" s="135">
        <v>0.0</v>
      </c>
      <c r="N108" s="135">
        <v>0.0</v>
      </c>
      <c r="O108" s="135">
        <v>0.0</v>
      </c>
      <c r="P108" s="135">
        <v>0.0</v>
      </c>
      <c r="Q108" s="135">
        <v>0.0</v>
      </c>
      <c r="R108" s="135">
        <v>0.0</v>
      </c>
      <c r="S108" s="135">
        <v>0.0</v>
      </c>
      <c r="T108" s="135">
        <v>0.0</v>
      </c>
      <c r="U108" s="135">
        <v>0.0</v>
      </c>
      <c r="V108" s="135">
        <v>0.0</v>
      </c>
      <c r="W108" s="135">
        <v>0.0</v>
      </c>
      <c r="X108" s="135">
        <v>0.0</v>
      </c>
      <c r="Y108" s="135">
        <v>0.0</v>
      </c>
      <c r="Z108" s="135">
        <v>0.0</v>
      </c>
      <c r="AA108" s="135">
        <v>0.0</v>
      </c>
      <c r="AB108" s="135">
        <v>0.0</v>
      </c>
      <c r="AC108" s="135">
        <v>0.0</v>
      </c>
      <c r="AD108" s="135">
        <v>0.0</v>
      </c>
      <c r="AE108" s="135">
        <v>0.0</v>
      </c>
      <c r="AF108" s="137">
        <v>0.0</v>
      </c>
      <c r="AG108" s="137">
        <v>0.0</v>
      </c>
      <c r="AH108" s="137">
        <v>0.0</v>
      </c>
      <c r="AI108" s="137">
        <v>0.0</v>
      </c>
      <c r="AJ108" s="137">
        <v>0.0</v>
      </c>
      <c r="AK108" s="137">
        <v>0.0</v>
      </c>
      <c r="AL108" s="137">
        <v>0.0</v>
      </c>
      <c r="AM108" s="137">
        <v>0.0</v>
      </c>
      <c r="AN108" s="137">
        <v>0.0</v>
      </c>
    </row>
    <row r="109">
      <c r="A109" s="104"/>
      <c r="B109" s="136" t="s">
        <v>199</v>
      </c>
      <c r="C109" s="137">
        <v>12.0</v>
      </c>
      <c r="D109" s="137">
        <v>5.0</v>
      </c>
      <c r="E109" s="137">
        <v>7.0</v>
      </c>
      <c r="F109" s="135">
        <v>0.0</v>
      </c>
      <c r="G109" s="135">
        <v>0.0</v>
      </c>
      <c r="H109" s="135">
        <v>0.0</v>
      </c>
      <c r="I109" s="135">
        <v>0.0</v>
      </c>
      <c r="J109" s="135">
        <v>0.0</v>
      </c>
      <c r="K109" s="135">
        <v>0.0</v>
      </c>
      <c r="L109" s="135">
        <v>0.0</v>
      </c>
      <c r="M109" s="135">
        <v>0.0</v>
      </c>
      <c r="N109" s="135">
        <v>0.0</v>
      </c>
      <c r="O109" s="135">
        <v>0.0</v>
      </c>
      <c r="P109" s="135">
        <v>0.0</v>
      </c>
      <c r="Q109" s="135">
        <v>0.0</v>
      </c>
      <c r="R109" s="135">
        <v>0.0</v>
      </c>
      <c r="S109" s="135">
        <v>0.0</v>
      </c>
      <c r="T109" s="135">
        <v>0.0</v>
      </c>
      <c r="U109" s="135">
        <v>0.0</v>
      </c>
      <c r="V109" s="135">
        <v>0.0</v>
      </c>
      <c r="W109" s="135">
        <v>0.0</v>
      </c>
      <c r="X109" s="135">
        <v>0.0</v>
      </c>
      <c r="Y109" s="135">
        <v>0.0</v>
      </c>
      <c r="Z109" s="135">
        <v>0.0</v>
      </c>
      <c r="AA109" s="135">
        <v>0.0</v>
      </c>
      <c r="AB109" s="135">
        <v>0.0</v>
      </c>
      <c r="AC109" s="135">
        <v>0.0</v>
      </c>
      <c r="AD109" s="135">
        <v>0.0</v>
      </c>
      <c r="AE109" s="135">
        <v>0.0</v>
      </c>
      <c r="AF109" s="137">
        <v>1.0</v>
      </c>
      <c r="AG109" s="137">
        <v>2.0</v>
      </c>
      <c r="AH109" s="137">
        <v>0.0</v>
      </c>
      <c r="AI109" s="137">
        <v>0.0</v>
      </c>
      <c r="AJ109" s="137">
        <v>3.0</v>
      </c>
      <c r="AK109" s="137">
        <v>1.0</v>
      </c>
      <c r="AL109" s="137">
        <v>1.0</v>
      </c>
      <c r="AM109" s="137">
        <v>4.0</v>
      </c>
      <c r="AN109" s="137">
        <v>11.0</v>
      </c>
    </row>
    <row r="110">
      <c r="A110" s="132" t="s">
        <v>204</v>
      </c>
      <c r="B110" s="136" t="s">
        <v>198</v>
      </c>
      <c r="C110" s="137">
        <v>1.0</v>
      </c>
      <c r="D110" s="137">
        <v>0.0</v>
      </c>
      <c r="E110" s="137">
        <v>1.0</v>
      </c>
      <c r="F110" s="135">
        <v>0.0</v>
      </c>
      <c r="G110" s="135">
        <v>0.0</v>
      </c>
      <c r="H110" s="135">
        <v>0.0</v>
      </c>
      <c r="I110" s="135">
        <v>0.0</v>
      </c>
      <c r="J110" s="135">
        <v>0.0</v>
      </c>
      <c r="K110" s="135">
        <v>0.0</v>
      </c>
      <c r="L110" s="135">
        <v>0.0</v>
      </c>
      <c r="M110" s="135">
        <v>0.0</v>
      </c>
      <c r="N110" s="135">
        <v>0.0</v>
      </c>
      <c r="O110" s="135">
        <v>0.0</v>
      </c>
      <c r="P110" s="135">
        <v>0.0</v>
      </c>
      <c r="Q110" s="135">
        <v>0.0</v>
      </c>
      <c r="R110" s="135">
        <v>0.0</v>
      </c>
      <c r="S110" s="135">
        <v>0.0</v>
      </c>
      <c r="T110" s="135">
        <v>0.0</v>
      </c>
      <c r="U110" s="135">
        <v>0.0</v>
      </c>
      <c r="V110" s="135">
        <v>0.0</v>
      </c>
      <c r="W110" s="135">
        <v>0.0</v>
      </c>
      <c r="X110" s="135">
        <v>0.0</v>
      </c>
      <c r="Y110" s="135">
        <v>0.0</v>
      </c>
      <c r="Z110" s="135">
        <v>0.0</v>
      </c>
      <c r="AA110" s="135">
        <v>0.0</v>
      </c>
      <c r="AB110" s="135">
        <v>0.0</v>
      </c>
      <c r="AC110" s="135">
        <v>0.0</v>
      </c>
      <c r="AD110" s="135">
        <v>0.0</v>
      </c>
      <c r="AE110" s="135">
        <v>0.0</v>
      </c>
      <c r="AF110" s="137">
        <v>0.0</v>
      </c>
      <c r="AG110" s="137">
        <v>0.0</v>
      </c>
      <c r="AH110" s="137">
        <v>0.0</v>
      </c>
      <c r="AI110" s="137">
        <v>0.0</v>
      </c>
      <c r="AJ110" s="137">
        <v>0.0</v>
      </c>
      <c r="AK110" s="137">
        <v>1.0</v>
      </c>
      <c r="AL110" s="137">
        <v>0.0</v>
      </c>
      <c r="AM110" s="137">
        <v>0.0</v>
      </c>
      <c r="AN110" s="137">
        <v>1.0</v>
      </c>
    </row>
    <row r="111">
      <c r="A111" s="104"/>
      <c r="B111" s="136" t="s">
        <v>199</v>
      </c>
      <c r="C111" s="137">
        <v>6.0</v>
      </c>
      <c r="D111" s="137">
        <v>2.0</v>
      </c>
      <c r="E111" s="137">
        <v>4.0</v>
      </c>
      <c r="F111" s="135">
        <v>0.0</v>
      </c>
      <c r="G111" s="135">
        <v>0.0</v>
      </c>
      <c r="H111" s="135">
        <v>0.0</v>
      </c>
      <c r="I111" s="135">
        <v>0.0</v>
      </c>
      <c r="J111" s="135">
        <v>0.0</v>
      </c>
      <c r="K111" s="135">
        <v>0.0</v>
      </c>
      <c r="L111" s="135">
        <v>0.0</v>
      </c>
      <c r="M111" s="135">
        <v>0.0</v>
      </c>
      <c r="N111" s="135">
        <v>0.0</v>
      </c>
      <c r="O111" s="135">
        <v>0.0</v>
      </c>
      <c r="P111" s="135">
        <v>0.0</v>
      </c>
      <c r="Q111" s="135">
        <v>0.0</v>
      </c>
      <c r="R111" s="135">
        <v>0.0</v>
      </c>
      <c r="S111" s="135">
        <v>0.0</v>
      </c>
      <c r="T111" s="135">
        <v>0.0</v>
      </c>
      <c r="U111" s="135">
        <v>0.0</v>
      </c>
      <c r="V111" s="135">
        <v>0.0</v>
      </c>
      <c r="W111" s="135">
        <v>0.0</v>
      </c>
      <c r="X111" s="135">
        <v>0.0</v>
      </c>
      <c r="Y111" s="135">
        <v>0.0</v>
      </c>
      <c r="Z111" s="135">
        <v>0.0</v>
      </c>
      <c r="AA111" s="135">
        <v>0.0</v>
      </c>
      <c r="AB111" s="135">
        <v>0.0</v>
      </c>
      <c r="AC111" s="135">
        <v>0.0</v>
      </c>
      <c r="AD111" s="135">
        <v>0.0</v>
      </c>
      <c r="AE111" s="135">
        <v>0.0</v>
      </c>
      <c r="AF111" s="137">
        <v>0.0</v>
      </c>
      <c r="AG111" s="137">
        <v>0.0</v>
      </c>
      <c r="AH111" s="137">
        <v>1.0</v>
      </c>
      <c r="AI111" s="137">
        <v>2.0</v>
      </c>
      <c r="AJ111" s="137">
        <v>0.0</v>
      </c>
      <c r="AK111" s="137">
        <v>0.0</v>
      </c>
      <c r="AL111" s="137">
        <v>1.0</v>
      </c>
      <c r="AM111" s="137">
        <v>2.0</v>
      </c>
      <c r="AN111" s="137">
        <v>6.0</v>
      </c>
    </row>
    <row r="112">
      <c r="A112" s="132" t="s">
        <v>205</v>
      </c>
      <c r="B112" s="136" t="s">
        <v>198</v>
      </c>
      <c r="C112" s="137">
        <v>1.0</v>
      </c>
      <c r="D112" s="137">
        <v>1.0</v>
      </c>
      <c r="E112" s="137">
        <v>0.0</v>
      </c>
      <c r="F112" s="137">
        <v>0.0</v>
      </c>
      <c r="G112" s="137">
        <v>0.0</v>
      </c>
      <c r="H112" s="137">
        <v>0.0</v>
      </c>
      <c r="I112" s="137">
        <v>0.0</v>
      </c>
      <c r="J112" s="137">
        <v>0.0</v>
      </c>
      <c r="K112" s="137">
        <v>0.0</v>
      </c>
      <c r="L112" s="137">
        <v>0.0</v>
      </c>
      <c r="M112" s="137">
        <v>0.0</v>
      </c>
      <c r="N112" s="137">
        <v>1.0</v>
      </c>
      <c r="O112" s="137">
        <v>0.0</v>
      </c>
      <c r="P112" s="137">
        <v>0.0</v>
      </c>
      <c r="Q112" s="137">
        <v>0.0</v>
      </c>
      <c r="R112" s="137">
        <v>0.0</v>
      </c>
      <c r="S112" s="137">
        <v>0.0</v>
      </c>
      <c r="T112" s="137">
        <v>0.0</v>
      </c>
      <c r="U112" s="137">
        <v>0.0</v>
      </c>
      <c r="V112" s="137">
        <v>0.0</v>
      </c>
      <c r="W112" s="137">
        <v>0.0</v>
      </c>
      <c r="X112" s="137">
        <v>0.0</v>
      </c>
      <c r="Y112" s="137">
        <v>0.0</v>
      </c>
      <c r="Z112" s="137">
        <v>0.0</v>
      </c>
      <c r="AA112" s="137">
        <v>0.0</v>
      </c>
      <c r="AB112" s="137">
        <v>0.0</v>
      </c>
      <c r="AC112" s="137">
        <v>0.0</v>
      </c>
      <c r="AD112" s="137">
        <v>0.0</v>
      </c>
      <c r="AE112" s="137">
        <v>0.0</v>
      </c>
      <c r="AF112" s="137">
        <v>0.0</v>
      </c>
      <c r="AG112" s="137">
        <v>0.0</v>
      </c>
      <c r="AH112" s="137">
        <v>0.0</v>
      </c>
      <c r="AI112" s="137">
        <v>0.0</v>
      </c>
      <c r="AJ112" s="137">
        <v>0.0</v>
      </c>
      <c r="AK112" s="137">
        <v>0.0</v>
      </c>
      <c r="AL112" s="137">
        <v>0.0</v>
      </c>
      <c r="AM112" s="137">
        <v>0.0</v>
      </c>
      <c r="AN112" s="137">
        <v>1.0</v>
      </c>
    </row>
    <row r="113">
      <c r="A113" s="98"/>
      <c r="B113" s="136" t="s">
        <v>199</v>
      </c>
      <c r="C113" s="137">
        <v>10.0</v>
      </c>
      <c r="D113" s="137">
        <v>5.0</v>
      </c>
      <c r="E113" s="137">
        <v>5.0</v>
      </c>
      <c r="F113" s="137">
        <v>0.0</v>
      </c>
      <c r="G113" s="137">
        <v>0.0</v>
      </c>
      <c r="H113" s="137">
        <v>0.0</v>
      </c>
      <c r="I113" s="137">
        <v>0.0</v>
      </c>
      <c r="J113" s="137">
        <v>0.0</v>
      </c>
      <c r="K113" s="137">
        <v>0.0</v>
      </c>
      <c r="L113" s="137">
        <v>0.0</v>
      </c>
      <c r="M113" s="137">
        <v>0.0</v>
      </c>
      <c r="N113" s="137">
        <v>0.0</v>
      </c>
      <c r="O113" s="137">
        <v>0.0</v>
      </c>
      <c r="P113" s="137">
        <v>0.0</v>
      </c>
      <c r="Q113" s="137">
        <v>0.0</v>
      </c>
      <c r="R113" s="137">
        <v>1.0</v>
      </c>
      <c r="S113" s="137">
        <v>0.0</v>
      </c>
      <c r="T113" s="137">
        <v>0.0</v>
      </c>
      <c r="U113" s="137">
        <v>1.0</v>
      </c>
      <c r="V113" s="137">
        <v>0.0</v>
      </c>
      <c r="W113" s="137">
        <v>1.0</v>
      </c>
      <c r="X113" s="137">
        <v>0.0</v>
      </c>
      <c r="Y113" s="137">
        <v>1.0</v>
      </c>
      <c r="Z113" s="137">
        <v>2.0</v>
      </c>
      <c r="AA113" s="137">
        <v>1.0</v>
      </c>
      <c r="AB113" s="137">
        <v>0.0</v>
      </c>
      <c r="AC113" s="137">
        <v>0.0</v>
      </c>
      <c r="AD113" s="137">
        <v>0.0</v>
      </c>
      <c r="AE113" s="137">
        <v>0.0</v>
      </c>
      <c r="AF113" s="137">
        <v>1.0</v>
      </c>
      <c r="AG113" s="137">
        <v>0.0</v>
      </c>
      <c r="AH113" s="137">
        <v>0.0</v>
      </c>
      <c r="AI113" s="137">
        <v>0.0</v>
      </c>
      <c r="AJ113" s="137">
        <v>0.0</v>
      </c>
      <c r="AK113" s="137">
        <v>1.0</v>
      </c>
      <c r="AL113" s="137">
        <v>1.0</v>
      </c>
      <c r="AM113" s="137">
        <v>0.0</v>
      </c>
      <c r="AN113" s="137">
        <v>10.0</v>
      </c>
    </row>
    <row r="114">
      <c r="A114" s="104"/>
      <c r="B114" s="136" t="s">
        <v>206</v>
      </c>
      <c r="C114" s="137">
        <v>37.0</v>
      </c>
      <c r="D114" s="137">
        <v>3.0</v>
      </c>
      <c r="E114" s="137">
        <v>34.0</v>
      </c>
      <c r="F114" s="137">
        <v>0.0</v>
      </c>
      <c r="G114" s="137">
        <v>0.0</v>
      </c>
      <c r="H114" s="137">
        <v>0.0</v>
      </c>
      <c r="I114" s="137">
        <v>0.0</v>
      </c>
      <c r="J114" s="137">
        <v>0.0</v>
      </c>
      <c r="K114" s="137">
        <v>0.0</v>
      </c>
      <c r="L114" s="137">
        <v>3.0</v>
      </c>
      <c r="M114" s="137">
        <v>2.0</v>
      </c>
      <c r="N114" s="137">
        <v>0.0</v>
      </c>
      <c r="O114" s="137">
        <v>0.0</v>
      </c>
      <c r="P114" s="137">
        <v>0.0</v>
      </c>
      <c r="Q114" s="137">
        <v>14.0</v>
      </c>
      <c r="R114" s="137">
        <v>0.0</v>
      </c>
      <c r="S114" s="137">
        <v>3.0</v>
      </c>
      <c r="T114" s="137">
        <v>0.0</v>
      </c>
      <c r="U114" s="137">
        <v>6.0</v>
      </c>
      <c r="V114" s="137">
        <v>0.0</v>
      </c>
      <c r="W114" s="137">
        <v>3.0</v>
      </c>
      <c r="X114" s="137">
        <v>0.0</v>
      </c>
      <c r="Y114" s="137">
        <v>3.0</v>
      </c>
      <c r="Z114" s="137">
        <v>0.0</v>
      </c>
      <c r="AA114" s="137">
        <v>0.0</v>
      </c>
      <c r="AB114" s="137">
        <v>0.0</v>
      </c>
      <c r="AC114" s="137">
        <v>3.0</v>
      </c>
      <c r="AD114" s="137">
        <v>0.0</v>
      </c>
      <c r="AE114" s="137">
        <v>0.0</v>
      </c>
      <c r="AF114" s="137">
        <v>0.0</v>
      </c>
      <c r="AG114" s="137">
        <v>0.0</v>
      </c>
      <c r="AH114" s="137">
        <v>0.0</v>
      </c>
      <c r="AI114" s="137">
        <v>0.0</v>
      </c>
      <c r="AJ114" s="137">
        <v>0.0</v>
      </c>
      <c r="AK114" s="137">
        <v>0.0</v>
      </c>
      <c r="AL114" s="137">
        <v>0.0</v>
      </c>
      <c r="AM114" s="137">
        <v>0.0</v>
      </c>
      <c r="AN114" s="137">
        <v>24.0</v>
      </c>
    </row>
    <row r="115">
      <c r="A115" s="132" t="s">
        <v>207</v>
      </c>
      <c r="B115" s="136" t="s">
        <v>198</v>
      </c>
      <c r="C115" s="134">
        <v>9003.0</v>
      </c>
      <c r="D115" s="134">
        <v>2234.0</v>
      </c>
      <c r="E115" s="134">
        <v>6769.0</v>
      </c>
      <c r="F115" s="137">
        <v>62.0</v>
      </c>
      <c r="G115" s="137">
        <v>56.0</v>
      </c>
      <c r="H115" s="137">
        <v>63.0</v>
      </c>
      <c r="I115" s="137">
        <v>33.0</v>
      </c>
      <c r="J115" s="137">
        <v>59.0</v>
      </c>
      <c r="K115" s="137">
        <v>58.0</v>
      </c>
      <c r="L115" s="137">
        <v>62.0</v>
      </c>
      <c r="M115" s="137">
        <v>115.0</v>
      </c>
      <c r="N115" s="137">
        <v>34.0</v>
      </c>
      <c r="O115" s="137">
        <v>171.0</v>
      </c>
      <c r="P115" s="137">
        <v>43.0</v>
      </c>
      <c r="Q115" s="137">
        <v>228.0</v>
      </c>
      <c r="R115" s="137">
        <v>37.0</v>
      </c>
      <c r="S115" s="137">
        <v>247.0</v>
      </c>
      <c r="T115" s="137">
        <v>47.0</v>
      </c>
      <c r="U115" s="137">
        <v>331.0</v>
      </c>
      <c r="V115" s="137">
        <v>73.0</v>
      </c>
      <c r="W115" s="137">
        <v>428.0</v>
      </c>
      <c r="X115" s="137">
        <v>113.0</v>
      </c>
      <c r="Y115" s="137">
        <v>563.0</v>
      </c>
      <c r="Z115" s="137">
        <v>193.0</v>
      </c>
      <c r="AA115" s="137">
        <v>717.0</v>
      </c>
      <c r="AB115" s="137">
        <v>192.0</v>
      </c>
      <c r="AC115" s="137">
        <v>746.0</v>
      </c>
      <c r="AD115" s="137">
        <v>227.0</v>
      </c>
      <c r="AE115" s="137">
        <v>741.0</v>
      </c>
      <c r="AF115" s="137">
        <v>243.0</v>
      </c>
      <c r="AG115" s="137">
        <v>653.0</v>
      </c>
      <c r="AH115" s="137">
        <v>230.0</v>
      </c>
      <c r="AI115" s="137">
        <v>597.0</v>
      </c>
      <c r="AJ115" s="137">
        <v>264.0</v>
      </c>
      <c r="AK115" s="137">
        <v>463.0</v>
      </c>
      <c r="AL115" s="137">
        <v>292.0</v>
      </c>
      <c r="AM115" s="137">
        <v>622.0</v>
      </c>
      <c r="AN115" s="134">
        <v>8862.0</v>
      </c>
    </row>
    <row r="116">
      <c r="A116" s="98"/>
      <c r="B116" s="136" t="s">
        <v>199</v>
      </c>
      <c r="C116" s="137">
        <v>390.0</v>
      </c>
      <c r="D116" s="137">
        <v>78.0</v>
      </c>
      <c r="E116" s="137">
        <v>312.0</v>
      </c>
      <c r="F116" s="137">
        <v>0.0</v>
      </c>
      <c r="G116" s="137">
        <v>0.0</v>
      </c>
      <c r="H116" s="137">
        <v>1.0</v>
      </c>
      <c r="I116" s="137">
        <v>0.0</v>
      </c>
      <c r="J116" s="137">
        <v>0.0</v>
      </c>
      <c r="K116" s="137">
        <v>2.0</v>
      </c>
      <c r="L116" s="137">
        <v>0.0</v>
      </c>
      <c r="M116" s="137">
        <v>0.0</v>
      </c>
      <c r="N116" s="137">
        <v>0.0</v>
      </c>
      <c r="O116" s="137">
        <v>1.0</v>
      </c>
      <c r="P116" s="137">
        <v>0.0</v>
      </c>
      <c r="Q116" s="137">
        <v>1.0</v>
      </c>
      <c r="R116" s="137">
        <v>0.0</v>
      </c>
      <c r="S116" s="137">
        <v>2.0</v>
      </c>
      <c r="T116" s="137">
        <v>1.0</v>
      </c>
      <c r="U116" s="137">
        <v>8.0</v>
      </c>
      <c r="V116" s="137">
        <v>1.0</v>
      </c>
      <c r="W116" s="137">
        <v>12.0</v>
      </c>
      <c r="X116" s="137">
        <v>1.0</v>
      </c>
      <c r="Y116" s="137">
        <v>12.0</v>
      </c>
      <c r="Z116" s="137">
        <v>4.0</v>
      </c>
      <c r="AA116" s="137">
        <v>25.0</v>
      </c>
      <c r="AB116" s="137">
        <v>5.0</v>
      </c>
      <c r="AC116" s="137">
        <v>47.0</v>
      </c>
      <c r="AD116" s="137">
        <v>5.0</v>
      </c>
      <c r="AE116" s="137">
        <v>36.0</v>
      </c>
      <c r="AF116" s="137">
        <v>16.0</v>
      </c>
      <c r="AG116" s="137">
        <v>42.0</v>
      </c>
      <c r="AH116" s="137">
        <v>10.0</v>
      </c>
      <c r="AI116" s="137">
        <v>49.0</v>
      </c>
      <c r="AJ116" s="137">
        <v>15.0</v>
      </c>
      <c r="AK116" s="137">
        <v>37.0</v>
      </c>
      <c r="AL116" s="137">
        <v>19.0</v>
      </c>
      <c r="AM116" s="137">
        <v>38.0</v>
      </c>
      <c r="AN116" s="137">
        <v>386.0</v>
      </c>
    </row>
    <row r="117">
      <c r="A117" s="98"/>
      <c r="B117" s="136" t="s">
        <v>206</v>
      </c>
      <c r="C117" s="137">
        <v>3.0</v>
      </c>
      <c r="D117" s="137">
        <v>2.0</v>
      </c>
      <c r="E117" s="137">
        <v>1.0</v>
      </c>
      <c r="F117" s="137">
        <v>1.0</v>
      </c>
      <c r="G117" s="137">
        <v>0.0</v>
      </c>
      <c r="H117" s="137">
        <v>0.0</v>
      </c>
      <c r="I117" s="137">
        <v>0.0</v>
      </c>
      <c r="J117" s="137">
        <v>0.0</v>
      </c>
      <c r="K117" s="137">
        <v>0.0</v>
      </c>
      <c r="L117" s="137">
        <v>0.0</v>
      </c>
      <c r="M117" s="137">
        <v>0.0</v>
      </c>
      <c r="N117" s="137">
        <v>0.0</v>
      </c>
      <c r="O117" s="137">
        <v>0.0</v>
      </c>
      <c r="P117" s="137">
        <v>0.0</v>
      </c>
      <c r="Q117" s="137">
        <v>0.0</v>
      </c>
      <c r="R117" s="137">
        <v>0.0</v>
      </c>
      <c r="S117" s="137">
        <v>0.0</v>
      </c>
      <c r="T117" s="137">
        <v>0.0</v>
      </c>
      <c r="U117" s="137">
        <v>0.0</v>
      </c>
      <c r="V117" s="137">
        <v>0.0</v>
      </c>
      <c r="W117" s="137">
        <v>1.0</v>
      </c>
      <c r="X117" s="137">
        <v>0.0</v>
      </c>
      <c r="Y117" s="137">
        <v>0.0</v>
      </c>
      <c r="Z117" s="137">
        <v>0.0</v>
      </c>
      <c r="AA117" s="137">
        <v>0.0</v>
      </c>
      <c r="AB117" s="137">
        <v>0.0</v>
      </c>
      <c r="AC117" s="137">
        <v>0.0</v>
      </c>
      <c r="AD117" s="137">
        <v>1.0</v>
      </c>
      <c r="AE117" s="137">
        <v>0.0</v>
      </c>
      <c r="AF117" s="137">
        <v>0.0</v>
      </c>
      <c r="AG117" s="137">
        <v>0.0</v>
      </c>
      <c r="AH117" s="137">
        <v>0.0</v>
      </c>
      <c r="AI117" s="137">
        <v>0.0</v>
      </c>
      <c r="AJ117" s="137">
        <v>0.0</v>
      </c>
      <c r="AK117" s="137">
        <v>0.0</v>
      </c>
      <c r="AL117" s="137">
        <v>0.0</v>
      </c>
      <c r="AM117" s="137">
        <v>0.0</v>
      </c>
      <c r="AN117" s="137">
        <v>3.0</v>
      </c>
    </row>
    <row r="118">
      <c r="A118" s="98"/>
      <c r="B118" s="136" t="s">
        <v>200</v>
      </c>
      <c r="C118" s="137">
        <v>342.0</v>
      </c>
      <c r="D118" s="137">
        <v>115.0</v>
      </c>
      <c r="E118" s="137">
        <v>227.0</v>
      </c>
      <c r="F118" s="137">
        <v>71.0</v>
      </c>
      <c r="G118" s="137">
        <v>57.0</v>
      </c>
      <c r="H118" s="137">
        <v>14.0</v>
      </c>
      <c r="I118" s="137">
        <v>6.0</v>
      </c>
      <c r="J118" s="137">
        <v>0.0</v>
      </c>
      <c r="K118" s="137">
        <v>0.0</v>
      </c>
      <c r="L118" s="137">
        <v>0.0</v>
      </c>
      <c r="M118" s="137">
        <v>7.0</v>
      </c>
      <c r="N118" s="137">
        <v>0.0</v>
      </c>
      <c r="O118" s="137">
        <v>7.0</v>
      </c>
      <c r="P118" s="137">
        <v>2.0</v>
      </c>
      <c r="Q118" s="137">
        <v>14.0</v>
      </c>
      <c r="R118" s="137">
        <v>1.0</v>
      </c>
      <c r="S118" s="137">
        <v>8.0</v>
      </c>
      <c r="T118" s="137">
        <v>1.0</v>
      </c>
      <c r="U118" s="137">
        <v>16.0</v>
      </c>
      <c r="V118" s="137">
        <v>0.0</v>
      </c>
      <c r="W118" s="137">
        <v>17.0</v>
      </c>
      <c r="X118" s="137">
        <v>1.0</v>
      </c>
      <c r="Y118" s="137">
        <v>14.0</v>
      </c>
      <c r="Z118" s="137">
        <v>1.0</v>
      </c>
      <c r="AA118" s="137">
        <v>13.0</v>
      </c>
      <c r="AB118" s="137">
        <v>2.0</v>
      </c>
      <c r="AC118" s="137">
        <v>24.0</v>
      </c>
      <c r="AD118" s="137">
        <v>2.0</v>
      </c>
      <c r="AE118" s="137">
        <v>12.0</v>
      </c>
      <c r="AF118" s="137">
        <v>7.0</v>
      </c>
      <c r="AG118" s="137">
        <v>14.0</v>
      </c>
      <c r="AH118" s="137">
        <v>5.0</v>
      </c>
      <c r="AI118" s="137">
        <v>10.0</v>
      </c>
      <c r="AJ118" s="137">
        <v>5.0</v>
      </c>
      <c r="AK118" s="137">
        <v>5.0</v>
      </c>
      <c r="AL118" s="137">
        <v>3.0</v>
      </c>
      <c r="AM118" s="137">
        <v>3.0</v>
      </c>
      <c r="AN118" s="137">
        <v>331.0</v>
      </c>
    </row>
    <row r="119">
      <c r="A119" s="104"/>
      <c r="B119" s="136" t="s">
        <v>201</v>
      </c>
      <c r="C119" s="137">
        <v>733.0</v>
      </c>
      <c r="D119" s="137">
        <v>249.0</v>
      </c>
      <c r="E119" s="137">
        <v>484.0</v>
      </c>
      <c r="F119" s="137">
        <v>10.0</v>
      </c>
      <c r="G119" s="137">
        <v>2.0</v>
      </c>
      <c r="H119" s="137">
        <v>22.0</v>
      </c>
      <c r="I119" s="137">
        <v>7.0</v>
      </c>
      <c r="J119" s="137">
        <v>2.0</v>
      </c>
      <c r="K119" s="137">
        <v>18.0</v>
      </c>
      <c r="L119" s="137">
        <v>8.0</v>
      </c>
      <c r="M119" s="137">
        <v>11.0</v>
      </c>
      <c r="N119" s="137">
        <v>12.0</v>
      </c>
      <c r="O119" s="137">
        <v>12.0</v>
      </c>
      <c r="P119" s="137">
        <v>15.0</v>
      </c>
      <c r="Q119" s="137">
        <v>9.0</v>
      </c>
      <c r="R119" s="137">
        <v>2.0</v>
      </c>
      <c r="S119" s="137">
        <v>31.0</v>
      </c>
      <c r="T119" s="137">
        <v>11.0</v>
      </c>
      <c r="U119" s="137">
        <v>18.0</v>
      </c>
      <c r="V119" s="137">
        <v>8.0</v>
      </c>
      <c r="W119" s="137">
        <v>26.0</v>
      </c>
      <c r="X119" s="137">
        <v>15.0</v>
      </c>
      <c r="Y119" s="137">
        <v>60.0</v>
      </c>
      <c r="Z119" s="137">
        <v>9.0</v>
      </c>
      <c r="AA119" s="137">
        <v>51.0</v>
      </c>
      <c r="AB119" s="137">
        <v>25.0</v>
      </c>
      <c r="AC119" s="137">
        <v>54.0</v>
      </c>
      <c r="AD119" s="137">
        <v>30.0</v>
      </c>
      <c r="AE119" s="137">
        <v>51.0</v>
      </c>
      <c r="AF119" s="137">
        <v>20.0</v>
      </c>
      <c r="AG119" s="137">
        <v>25.0</v>
      </c>
      <c r="AH119" s="137">
        <v>22.0</v>
      </c>
      <c r="AI119" s="137">
        <v>45.0</v>
      </c>
      <c r="AJ119" s="137">
        <v>18.0</v>
      </c>
      <c r="AK119" s="137">
        <v>39.0</v>
      </c>
      <c r="AL119" s="137">
        <v>20.0</v>
      </c>
      <c r="AM119" s="137">
        <v>25.0</v>
      </c>
      <c r="AN119" s="137">
        <v>728.0</v>
      </c>
    </row>
    <row r="120">
      <c r="A120" s="132" t="s">
        <v>208</v>
      </c>
      <c r="B120" s="136" t="s">
        <v>198</v>
      </c>
      <c r="C120" s="137">
        <v>0.0</v>
      </c>
      <c r="D120" s="137">
        <v>0.0</v>
      </c>
      <c r="E120" s="137">
        <v>0.0</v>
      </c>
      <c r="F120" s="137">
        <v>0.0</v>
      </c>
      <c r="G120" s="137">
        <v>0.0</v>
      </c>
      <c r="H120" s="137">
        <v>0.0</v>
      </c>
      <c r="I120" s="137">
        <v>0.0</v>
      </c>
      <c r="J120" s="137">
        <v>0.0</v>
      </c>
      <c r="K120" s="137">
        <v>0.0</v>
      </c>
      <c r="L120" s="137">
        <v>0.0</v>
      </c>
      <c r="M120" s="137">
        <v>0.0</v>
      </c>
      <c r="N120" s="137">
        <v>0.0</v>
      </c>
      <c r="O120" s="137">
        <v>0.0</v>
      </c>
      <c r="P120" s="135">
        <v>0.0</v>
      </c>
      <c r="Q120" s="135">
        <v>0.0</v>
      </c>
      <c r="R120" s="135">
        <v>0.0</v>
      </c>
      <c r="S120" s="135">
        <v>0.0</v>
      </c>
      <c r="T120" s="135">
        <v>0.0</v>
      </c>
      <c r="U120" s="135">
        <v>15.0</v>
      </c>
      <c r="V120" s="135">
        <v>0.0</v>
      </c>
      <c r="W120" s="135">
        <v>0.0</v>
      </c>
      <c r="X120" s="135">
        <v>0.0</v>
      </c>
      <c r="Y120" s="135">
        <v>0.0</v>
      </c>
      <c r="Z120" s="135">
        <v>0.0</v>
      </c>
      <c r="AA120" s="135">
        <v>0.0</v>
      </c>
      <c r="AB120" s="135">
        <v>0.0</v>
      </c>
      <c r="AC120" s="135">
        <v>0.0</v>
      </c>
      <c r="AD120" s="135">
        <v>0.0</v>
      </c>
      <c r="AE120" s="135">
        <v>0.0</v>
      </c>
      <c r="AF120" s="135">
        <v>0.0</v>
      </c>
      <c r="AG120" s="135">
        <v>0.0</v>
      </c>
      <c r="AH120" s="135">
        <v>0.0</v>
      </c>
      <c r="AI120" s="135">
        <v>0.0</v>
      </c>
      <c r="AJ120" s="135">
        <v>0.0</v>
      </c>
      <c r="AK120" s="135">
        <v>0.0</v>
      </c>
      <c r="AL120" s="135">
        <v>0.0</v>
      </c>
      <c r="AM120" s="135">
        <v>0.0</v>
      </c>
      <c r="AN120" s="137">
        <v>0.0</v>
      </c>
    </row>
    <row r="121">
      <c r="A121" s="98"/>
      <c r="B121" s="136" t="s">
        <v>199</v>
      </c>
      <c r="C121" s="137">
        <v>0.0</v>
      </c>
      <c r="D121" s="137">
        <v>0.0</v>
      </c>
      <c r="E121" s="137">
        <v>0.0</v>
      </c>
      <c r="F121" s="137">
        <v>0.0</v>
      </c>
      <c r="G121" s="137">
        <v>0.0</v>
      </c>
      <c r="H121" s="137">
        <v>0.0</v>
      </c>
      <c r="I121" s="137">
        <v>0.0</v>
      </c>
      <c r="J121" s="137">
        <v>0.0</v>
      </c>
      <c r="K121" s="137">
        <v>0.0</v>
      </c>
      <c r="L121" s="137">
        <v>0.0</v>
      </c>
      <c r="M121" s="137">
        <v>0.0</v>
      </c>
      <c r="N121" s="137">
        <v>0.0</v>
      </c>
      <c r="O121" s="137">
        <v>0.0</v>
      </c>
      <c r="P121" s="135">
        <v>0.0</v>
      </c>
      <c r="Q121" s="135">
        <v>0.0</v>
      </c>
      <c r="R121" s="135">
        <v>0.0</v>
      </c>
      <c r="S121" s="135">
        <v>0.0</v>
      </c>
      <c r="T121" s="135">
        <v>0.0</v>
      </c>
      <c r="U121" s="135">
        <v>15.0</v>
      </c>
      <c r="V121" s="135">
        <v>0.0</v>
      </c>
      <c r="W121" s="135">
        <v>0.0</v>
      </c>
      <c r="X121" s="135">
        <v>0.0</v>
      </c>
      <c r="Y121" s="135">
        <v>0.0</v>
      </c>
      <c r="Z121" s="135">
        <v>0.0</v>
      </c>
      <c r="AA121" s="135">
        <v>0.0</v>
      </c>
      <c r="AB121" s="135">
        <v>0.0</v>
      </c>
      <c r="AC121" s="135">
        <v>0.0</v>
      </c>
      <c r="AD121" s="135">
        <v>0.0</v>
      </c>
      <c r="AE121" s="135">
        <v>0.0</v>
      </c>
      <c r="AF121" s="135">
        <v>0.0</v>
      </c>
      <c r="AG121" s="135">
        <v>0.0</v>
      </c>
      <c r="AH121" s="135">
        <v>0.0</v>
      </c>
      <c r="AI121" s="135">
        <v>0.0</v>
      </c>
      <c r="AJ121" s="135">
        <v>0.0</v>
      </c>
      <c r="AK121" s="135">
        <v>0.0</v>
      </c>
      <c r="AL121" s="135">
        <v>0.0</v>
      </c>
      <c r="AM121" s="135">
        <v>0.0</v>
      </c>
      <c r="AN121" s="137">
        <v>0.0</v>
      </c>
    </row>
    <row r="122">
      <c r="A122" s="98"/>
      <c r="B122" s="136" t="s">
        <v>206</v>
      </c>
      <c r="C122" s="137">
        <v>0.0</v>
      </c>
      <c r="D122" s="137">
        <v>0.0</v>
      </c>
      <c r="E122" s="137">
        <v>0.0</v>
      </c>
      <c r="F122" s="137">
        <v>0.0</v>
      </c>
      <c r="G122" s="137">
        <v>0.0</v>
      </c>
      <c r="H122" s="137">
        <v>0.0</v>
      </c>
      <c r="I122" s="137">
        <v>0.0</v>
      </c>
      <c r="J122" s="137">
        <v>0.0</v>
      </c>
      <c r="K122" s="137">
        <v>0.0</v>
      </c>
      <c r="L122" s="137">
        <v>0.0</v>
      </c>
      <c r="M122" s="137">
        <v>0.0</v>
      </c>
      <c r="N122" s="137">
        <v>0.0</v>
      </c>
      <c r="O122" s="137">
        <v>0.0</v>
      </c>
      <c r="P122" s="135">
        <v>0.0</v>
      </c>
      <c r="Q122" s="135">
        <v>0.0</v>
      </c>
      <c r="R122" s="135">
        <v>0.0</v>
      </c>
      <c r="S122" s="135">
        <v>0.0</v>
      </c>
      <c r="T122" s="135">
        <v>0.0</v>
      </c>
      <c r="U122" s="135">
        <v>15.0</v>
      </c>
      <c r="V122" s="135">
        <v>0.0</v>
      </c>
      <c r="W122" s="135">
        <v>0.0</v>
      </c>
      <c r="X122" s="135">
        <v>0.0</v>
      </c>
      <c r="Y122" s="135">
        <v>0.0</v>
      </c>
      <c r="Z122" s="135">
        <v>0.0</v>
      </c>
      <c r="AA122" s="135">
        <v>0.0</v>
      </c>
      <c r="AB122" s="135">
        <v>0.0</v>
      </c>
      <c r="AC122" s="135">
        <v>0.0</v>
      </c>
      <c r="AD122" s="135">
        <v>0.0</v>
      </c>
      <c r="AE122" s="135">
        <v>0.0</v>
      </c>
      <c r="AF122" s="135">
        <v>0.0</v>
      </c>
      <c r="AG122" s="135">
        <v>0.0</v>
      </c>
      <c r="AH122" s="135">
        <v>0.0</v>
      </c>
      <c r="AI122" s="135">
        <v>0.0</v>
      </c>
      <c r="AJ122" s="135">
        <v>0.0</v>
      </c>
      <c r="AK122" s="135">
        <v>0.0</v>
      </c>
      <c r="AL122" s="135">
        <v>0.0</v>
      </c>
      <c r="AM122" s="135">
        <v>0.0</v>
      </c>
      <c r="AN122" s="137">
        <v>0.0</v>
      </c>
    </row>
    <row r="123">
      <c r="A123" s="98"/>
      <c r="B123" s="136" t="s">
        <v>200</v>
      </c>
      <c r="C123" s="137">
        <v>0.0</v>
      </c>
      <c r="D123" s="137">
        <v>0.0</v>
      </c>
      <c r="E123" s="137">
        <v>0.0</v>
      </c>
      <c r="F123" s="137">
        <v>0.0</v>
      </c>
      <c r="G123" s="137">
        <v>0.0</v>
      </c>
      <c r="H123" s="137">
        <v>0.0</v>
      </c>
      <c r="I123" s="137">
        <v>0.0</v>
      </c>
      <c r="J123" s="137">
        <v>0.0</v>
      </c>
      <c r="K123" s="137">
        <v>0.0</v>
      </c>
      <c r="L123" s="137">
        <v>0.0</v>
      </c>
      <c r="M123" s="137">
        <v>0.0</v>
      </c>
      <c r="N123" s="137">
        <v>0.0</v>
      </c>
      <c r="O123" s="137">
        <v>0.0</v>
      </c>
      <c r="P123" s="135">
        <v>0.0</v>
      </c>
      <c r="Q123" s="135">
        <v>0.0</v>
      </c>
      <c r="R123" s="135">
        <v>0.0</v>
      </c>
      <c r="S123" s="135">
        <v>0.0</v>
      </c>
      <c r="T123" s="135">
        <v>0.0</v>
      </c>
      <c r="U123" s="135">
        <v>15.0</v>
      </c>
      <c r="V123" s="135">
        <v>0.0</v>
      </c>
      <c r="W123" s="135">
        <v>0.0</v>
      </c>
      <c r="X123" s="135">
        <v>0.0</v>
      </c>
      <c r="Y123" s="135">
        <v>0.0</v>
      </c>
      <c r="Z123" s="135">
        <v>0.0</v>
      </c>
      <c r="AA123" s="135">
        <v>0.0</v>
      </c>
      <c r="AB123" s="135">
        <v>0.0</v>
      </c>
      <c r="AC123" s="135">
        <v>0.0</v>
      </c>
      <c r="AD123" s="135">
        <v>0.0</v>
      </c>
      <c r="AE123" s="135">
        <v>0.0</v>
      </c>
      <c r="AF123" s="135">
        <v>0.0</v>
      </c>
      <c r="AG123" s="135">
        <v>0.0</v>
      </c>
      <c r="AH123" s="135">
        <v>0.0</v>
      </c>
      <c r="AI123" s="135">
        <v>0.0</v>
      </c>
      <c r="AJ123" s="135">
        <v>0.0</v>
      </c>
      <c r="AK123" s="135">
        <v>0.0</v>
      </c>
      <c r="AL123" s="135">
        <v>0.0</v>
      </c>
      <c r="AM123" s="135">
        <v>0.0</v>
      </c>
      <c r="AN123" s="137">
        <v>0.0</v>
      </c>
    </row>
    <row r="124">
      <c r="A124" s="104"/>
      <c r="B124" s="136" t="s">
        <v>201</v>
      </c>
      <c r="C124" s="137">
        <v>0.0</v>
      </c>
      <c r="D124" s="137">
        <v>0.0</v>
      </c>
      <c r="E124" s="137">
        <v>0.0</v>
      </c>
      <c r="F124" s="137">
        <v>0.0</v>
      </c>
      <c r="G124" s="137">
        <v>0.0</v>
      </c>
      <c r="H124" s="137">
        <v>0.0</v>
      </c>
      <c r="I124" s="137">
        <v>0.0</v>
      </c>
      <c r="J124" s="137">
        <v>0.0</v>
      </c>
      <c r="K124" s="137">
        <v>0.0</v>
      </c>
      <c r="L124" s="137">
        <v>0.0</v>
      </c>
      <c r="M124" s="137">
        <v>0.0</v>
      </c>
      <c r="N124" s="137">
        <v>0.0</v>
      </c>
      <c r="O124" s="137">
        <v>0.0</v>
      </c>
      <c r="P124" s="135">
        <v>0.0</v>
      </c>
      <c r="Q124" s="135">
        <v>0.0</v>
      </c>
      <c r="R124" s="135">
        <v>0.0</v>
      </c>
      <c r="S124" s="135">
        <v>0.0</v>
      </c>
      <c r="T124" s="135">
        <v>0.0</v>
      </c>
      <c r="U124" s="135">
        <v>15.0</v>
      </c>
      <c r="V124" s="135">
        <v>0.0</v>
      </c>
      <c r="W124" s="135">
        <v>0.0</v>
      </c>
      <c r="X124" s="135">
        <v>0.0</v>
      </c>
      <c r="Y124" s="135">
        <v>0.0</v>
      </c>
      <c r="Z124" s="135">
        <v>0.0</v>
      </c>
      <c r="AA124" s="135">
        <v>0.0</v>
      </c>
      <c r="AB124" s="135">
        <v>0.0</v>
      </c>
      <c r="AC124" s="135">
        <v>0.0</v>
      </c>
      <c r="AD124" s="135">
        <v>0.0</v>
      </c>
      <c r="AE124" s="135">
        <v>0.0</v>
      </c>
      <c r="AF124" s="135">
        <v>0.0</v>
      </c>
      <c r="AG124" s="135">
        <v>0.0</v>
      </c>
      <c r="AH124" s="135">
        <v>0.0</v>
      </c>
      <c r="AI124" s="135">
        <v>0.0</v>
      </c>
      <c r="AJ124" s="135">
        <v>0.0</v>
      </c>
      <c r="AK124" s="135">
        <v>0.0</v>
      </c>
      <c r="AL124" s="135">
        <v>0.0</v>
      </c>
      <c r="AM124" s="135">
        <v>0.0</v>
      </c>
      <c r="AN124" s="137">
        <v>0.0</v>
      </c>
    </row>
    <row r="125">
      <c r="A125" s="138" t="s">
        <v>213</v>
      </c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</row>
    <row r="126">
      <c r="A126" s="132" t="s">
        <v>197</v>
      </c>
      <c r="B126" s="133" t="s">
        <v>198</v>
      </c>
      <c r="C126" s="134">
        <v>145342.0</v>
      </c>
      <c r="D126" s="134">
        <v>49778.0</v>
      </c>
      <c r="E126" s="134">
        <v>95564.0</v>
      </c>
      <c r="F126" s="135">
        <v>0.0</v>
      </c>
      <c r="G126" s="135">
        <v>0.0</v>
      </c>
      <c r="H126" s="135">
        <v>0.0</v>
      </c>
      <c r="I126" s="135">
        <v>0.0</v>
      </c>
      <c r="J126" s="135">
        <v>0.0</v>
      </c>
      <c r="K126" s="135">
        <v>0.0</v>
      </c>
      <c r="L126" s="137">
        <v>151.0</v>
      </c>
      <c r="M126" s="137">
        <v>281.0</v>
      </c>
      <c r="N126" s="137">
        <v>144.0</v>
      </c>
      <c r="O126" s="137">
        <v>409.0</v>
      </c>
      <c r="P126" s="137">
        <v>226.0</v>
      </c>
      <c r="Q126" s="137">
        <v>711.0</v>
      </c>
      <c r="R126" s="137">
        <v>398.0</v>
      </c>
      <c r="S126" s="134">
        <v>1197.0</v>
      </c>
      <c r="T126" s="137">
        <v>605.0</v>
      </c>
      <c r="U126" s="134">
        <v>1923.0</v>
      </c>
      <c r="V126" s="134">
        <v>1229.0</v>
      </c>
      <c r="W126" s="134">
        <v>3469.0</v>
      </c>
      <c r="X126" s="134">
        <v>2088.0</v>
      </c>
      <c r="Y126" s="134">
        <v>5716.0</v>
      </c>
      <c r="Z126" s="134">
        <v>3894.0</v>
      </c>
      <c r="AA126" s="134">
        <v>9731.0</v>
      </c>
      <c r="AB126" s="134">
        <v>5323.0</v>
      </c>
      <c r="AC126" s="134">
        <v>11595.0</v>
      </c>
      <c r="AD126" s="134">
        <v>6473.0</v>
      </c>
      <c r="AE126" s="134">
        <v>13129.0</v>
      </c>
      <c r="AF126" s="134">
        <v>7417.0</v>
      </c>
      <c r="AG126" s="134">
        <v>13111.0</v>
      </c>
      <c r="AH126" s="134">
        <v>7767.0</v>
      </c>
      <c r="AI126" s="134">
        <v>12083.0</v>
      </c>
      <c r="AJ126" s="134">
        <v>6759.0</v>
      </c>
      <c r="AK126" s="134">
        <v>10256.0</v>
      </c>
      <c r="AL126" s="134">
        <v>7280.0</v>
      </c>
      <c r="AM126" s="134">
        <v>11977.0</v>
      </c>
      <c r="AN126" s="134">
        <v>142917.0</v>
      </c>
    </row>
    <row r="127">
      <c r="A127" s="98"/>
      <c r="B127" s="136" t="s">
        <v>199</v>
      </c>
      <c r="C127" s="134">
        <v>56201.0</v>
      </c>
      <c r="D127" s="134">
        <v>19732.0</v>
      </c>
      <c r="E127" s="134">
        <v>36469.0</v>
      </c>
      <c r="F127" s="135">
        <v>0.0</v>
      </c>
      <c r="G127" s="135">
        <v>0.0</v>
      </c>
      <c r="H127" s="135">
        <v>0.0</v>
      </c>
      <c r="I127" s="135">
        <v>0.0</v>
      </c>
      <c r="J127" s="135">
        <v>0.0</v>
      </c>
      <c r="K127" s="135">
        <v>0.0</v>
      </c>
      <c r="L127" s="137">
        <v>35.0</v>
      </c>
      <c r="M127" s="137">
        <v>61.0</v>
      </c>
      <c r="N127" s="137">
        <v>36.0</v>
      </c>
      <c r="O127" s="137">
        <v>84.0</v>
      </c>
      <c r="P127" s="137">
        <v>82.0</v>
      </c>
      <c r="Q127" s="137">
        <v>198.0</v>
      </c>
      <c r="R127" s="137">
        <v>143.0</v>
      </c>
      <c r="S127" s="137">
        <v>406.0</v>
      </c>
      <c r="T127" s="137">
        <v>229.0</v>
      </c>
      <c r="U127" s="137">
        <v>705.0</v>
      </c>
      <c r="V127" s="137">
        <v>475.0</v>
      </c>
      <c r="W127" s="134">
        <v>1311.0</v>
      </c>
      <c r="X127" s="137">
        <v>821.0</v>
      </c>
      <c r="Y127" s="134">
        <v>2151.0</v>
      </c>
      <c r="Z127" s="134">
        <v>1486.0</v>
      </c>
      <c r="AA127" s="134">
        <v>3652.0</v>
      </c>
      <c r="AB127" s="134">
        <v>1866.0</v>
      </c>
      <c r="AC127" s="134">
        <v>4176.0</v>
      </c>
      <c r="AD127" s="134">
        <v>2334.0</v>
      </c>
      <c r="AE127" s="134">
        <v>4709.0</v>
      </c>
      <c r="AF127" s="134">
        <v>3267.0</v>
      </c>
      <c r="AG127" s="134">
        <v>5248.0</v>
      </c>
      <c r="AH127" s="134">
        <v>3208.0</v>
      </c>
      <c r="AI127" s="134">
        <v>4964.0</v>
      </c>
      <c r="AJ127" s="134">
        <v>2788.0</v>
      </c>
      <c r="AK127" s="134">
        <v>4109.0</v>
      </c>
      <c r="AL127" s="134">
        <v>2962.0</v>
      </c>
      <c r="AM127" s="134">
        <v>4695.0</v>
      </c>
      <c r="AN127" s="134">
        <v>55027.0</v>
      </c>
    </row>
    <row r="128">
      <c r="A128" s="98"/>
      <c r="B128" s="136" t="s">
        <v>200</v>
      </c>
      <c r="C128" s="134">
        <v>46826.0</v>
      </c>
      <c r="D128" s="134">
        <v>15342.0</v>
      </c>
      <c r="E128" s="134">
        <v>31484.0</v>
      </c>
      <c r="F128" s="135">
        <v>0.0</v>
      </c>
      <c r="G128" s="135">
        <v>0.0</v>
      </c>
      <c r="H128" s="135">
        <v>0.0</v>
      </c>
      <c r="I128" s="135">
        <v>0.0</v>
      </c>
      <c r="J128" s="135">
        <v>0.0</v>
      </c>
      <c r="K128" s="135">
        <v>0.0</v>
      </c>
      <c r="L128" s="137">
        <v>38.0</v>
      </c>
      <c r="M128" s="137">
        <v>112.0</v>
      </c>
      <c r="N128" s="137">
        <v>68.0</v>
      </c>
      <c r="O128" s="137">
        <v>195.0</v>
      </c>
      <c r="P128" s="137">
        <v>106.0</v>
      </c>
      <c r="Q128" s="137">
        <v>291.0</v>
      </c>
      <c r="R128" s="137">
        <v>160.0</v>
      </c>
      <c r="S128" s="137">
        <v>486.0</v>
      </c>
      <c r="T128" s="137">
        <v>231.0</v>
      </c>
      <c r="U128" s="137">
        <v>765.0</v>
      </c>
      <c r="V128" s="137">
        <v>471.0</v>
      </c>
      <c r="W128" s="134">
        <v>1326.0</v>
      </c>
      <c r="X128" s="137">
        <v>752.0</v>
      </c>
      <c r="Y128" s="134">
        <v>2181.0</v>
      </c>
      <c r="Z128" s="134">
        <v>1237.0</v>
      </c>
      <c r="AA128" s="134">
        <v>3527.0</v>
      </c>
      <c r="AB128" s="134">
        <v>1591.0</v>
      </c>
      <c r="AC128" s="134">
        <v>3870.0</v>
      </c>
      <c r="AD128" s="134">
        <v>1914.0</v>
      </c>
      <c r="AE128" s="134">
        <v>4334.0</v>
      </c>
      <c r="AF128" s="134">
        <v>2275.0</v>
      </c>
      <c r="AG128" s="134">
        <v>4269.0</v>
      </c>
      <c r="AH128" s="134">
        <v>2428.0</v>
      </c>
      <c r="AI128" s="134">
        <v>3835.0</v>
      </c>
      <c r="AJ128" s="134">
        <v>2012.0</v>
      </c>
      <c r="AK128" s="134">
        <v>3093.0</v>
      </c>
      <c r="AL128" s="134">
        <v>2059.0</v>
      </c>
      <c r="AM128" s="134">
        <v>3200.0</v>
      </c>
      <c r="AN128" s="134">
        <v>46171.0</v>
      </c>
    </row>
    <row r="129">
      <c r="A129" s="104"/>
      <c r="B129" s="136" t="s">
        <v>201</v>
      </c>
      <c r="C129" s="134">
        <v>4846.0</v>
      </c>
      <c r="D129" s="134">
        <v>1764.0</v>
      </c>
      <c r="E129" s="134">
        <v>3082.0</v>
      </c>
      <c r="F129" s="135">
        <v>0.0</v>
      </c>
      <c r="G129" s="135">
        <v>0.0</v>
      </c>
      <c r="H129" s="135">
        <v>0.0</v>
      </c>
      <c r="I129" s="135">
        <v>0.0</v>
      </c>
      <c r="J129" s="135">
        <v>0.0</v>
      </c>
      <c r="K129" s="135">
        <v>0.0</v>
      </c>
      <c r="L129" s="137">
        <v>2.0</v>
      </c>
      <c r="M129" s="137">
        <v>3.0</v>
      </c>
      <c r="N129" s="137">
        <v>6.0</v>
      </c>
      <c r="O129" s="137">
        <v>21.0</v>
      </c>
      <c r="P129" s="137">
        <v>40.0</v>
      </c>
      <c r="Q129" s="137">
        <v>45.0</v>
      </c>
      <c r="R129" s="137">
        <v>26.0</v>
      </c>
      <c r="S129" s="137">
        <v>69.0</v>
      </c>
      <c r="T129" s="137">
        <v>31.0</v>
      </c>
      <c r="U129" s="137">
        <v>48.0</v>
      </c>
      <c r="V129" s="137">
        <v>81.0</v>
      </c>
      <c r="W129" s="137">
        <v>109.0</v>
      </c>
      <c r="X129" s="137">
        <v>83.0</v>
      </c>
      <c r="Y129" s="137">
        <v>222.0</v>
      </c>
      <c r="Z129" s="137">
        <v>137.0</v>
      </c>
      <c r="AA129" s="137">
        <v>412.0</v>
      </c>
      <c r="AB129" s="137">
        <v>214.0</v>
      </c>
      <c r="AC129" s="137">
        <v>330.0</v>
      </c>
      <c r="AD129" s="137">
        <v>200.0</v>
      </c>
      <c r="AE129" s="137">
        <v>340.0</v>
      </c>
      <c r="AF129" s="137">
        <v>272.0</v>
      </c>
      <c r="AG129" s="137">
        <v>412.0</v>
      </c>
      <c r="AH129" s="137">
        <v>187.0</v>
      </c>
      <c r="AI129" s="137">
        <v>381.0</v>
      </c>
      <c r="AJ129" s="137">
        <v>176.0</v>
      </c>
      <c r="AK129" s="137">
        <v>304.0</v>
      </c>
      <c r="AL129" s="137">
        <v>309.0</v>
      </c>
      <c r="AM129" s="137">
        <v>386.0</v>
      </c>
      <c r="AN129" s="134">
        <v>4831.0</v>
      </c>
    </row>
    <row r="130">
      <c r="A130" s="132" t="s">
        <v>202</v>
      </c>
      <c r="B130" s="136" t="s">
        <v>198</v>
      </c>
      <c r="C130" s="137">
        <v>345.0</v>
      </c>
      <c r="D130" s="137">
        <v>190.0</v>
      </c>
      <c r="E130" s="137">
        <v>155.0</v>
      </c>
      <c r="F130" s="137">
        <v>5.0</v>
      </c>
      <c r="G130" s="137">
        <v>0.0</v>
      </c>
      <c r="H130" s="137">
        <v>1.0</v>
      </c>
      <c r="I130" s="137">
        <v>6.0</v>
      </c>
      <c r="J130" s="137">
        <v>2.0</v>
      </c>
      <c r="K130" s="137">
        <v>3.0</v>
      </c>
      <c r="L130" s="137">
        <v>4.0</v>
      </c>
      <c r="M130" s="137">
        <v>5.0</v>
      </c>
      <c r="N130" s="137">
        <v>12.0</v>
      </c>
      <c r="O130" s="137">
        <v>4.0</v>
      </c>
      <c r="P130" s="137">
        <v>9.0</v>
      </c>
      <c r="Q130" s="137">
        <v>16.0</v>
      </c>
      <c r="R130" s="137">
        <v>12.0</v>
      </c>
      <c r="S130" s="137">
        <v>9.0</v>
      </c>
      <c r="T130" s="137">
        <v>24.0</v>
      </c>
      <c r="U130" s="137">
        <v>8.0</v>
      </c>
      <c r="V130" s="137">
        <v>19.0</v>
      </c>
      <c r="W130" s="137">
        <v>10.0</v>
      </c>
      <c r="X130" s="137">
        <v>14.0</v>
      </c>
      <c r="Y130" s="137">
        <v>14.0</v>
      </c>
      <c r="Z130" s="137">
        <v>16.0</v>
      </c>
      <c r="AA130" s="137">
        <v>10.0</v>
      </c>
      <c r="AB130" s="137">
        <v>7.0</v>
      </c>
      <c r="AC130" s="137">
        <v>30.0</v>
      </c>
      <c r="AD130" s="137">
        <v>27.0</v>
      </c>
      <c r="AE130" s="137">
        <v>13.0</v>
      </c>
      <c r="AF130" s="137">
        <v>20.0</v>
      </c>
      <c r="AG130" s="137">
        <v>17.0</v>
      </c>
      <c r="AH130" s="137">
        <v>10.0</v>
      </c>
      <c r="AI130" s="137">
        <v>2.0</v>
      </c>
      <c r="AJ130" s="137">
        <v>6.0</v>
      </c>
      <c r="AK130" s="137">
        <v>5.0</v>
      </c>
      <c r="AL130" s="137">
        <v>2.0</v>
      </c>
      <c r="AM130" s="137">
        <v>3.0</v>
      </c>
      <c r="AN130" s="137">
        <v>337.0</v>
      </c>
    </row>
    <row r="131">
      <c r="A131" s="104"/>
      <c r="B131" s="136" t="s">
        <v>199</v>
      </c>
      <c r="C131" s="137">
        <v>295.0</v>
      </c>
      <c r="D131" s="137">
        <v>164.0</v>
      </c>
      <c r="E131" s="137">
        <v>131.0</v>
      </c>
      <c r="F131" s="137">
        <v>9.0</v>
      </c>
      <c r="G131" s="137">
        <v>2.0</v>
      </c>
      <c r="H131" s="137">
        <v>6.0</v>
      </c>
      <c r="I131" s="137">
        <v>6.0</v>
      </c>
      <c r="J131" s="137">
        <v>5.0</v>
      </c>
      <c r="K131" s="137">
        <v>2.0</v>
      </c>
      <c r="L131" s="137">
        <v>3.0</v>
      </c>
      <c r="M131" s="137">
        <v>4.0</v>
      </c>
      <c r="N131" s="137">
        <v>7.0</v>
      </c>
      <c r="O131" s="137">
        <v>1.0</v>
      </c>
      <c r="P131" s="137">
        <v>14.0</v>
      </c>
      <c r="Q131" s="137">
        <v>9.0</v>
      </c>
      <c r="R131" s="137">
        <v>16.0</v>
      </c>
      <c r="S131" s="137">
        <v>6.0</v>
      </c>
      <c r="T131" s="137">
        <v>21.0</v>
      </c>
      <c r="U131" s="137">
        <v>11.0</v>
      </c>
      <c r="V131" s="137">
        <v>17.0</v>
      </c>
      <c r="W131" s="137">
        <v>5.0</v>
      </c>
      <c r="X131" s="137">
        <v>7.0</v>
      </c>
      <c r="Y131" s="137">
        <v>7.0</v>
      </c>
      <c r="Z131" s="137">
        <v>7.0</v>
      </c>
      <c r="AA131" s="137">
        <v>15.0</v>
      </c>
      <c r="AB131" s="137">
        <v>5.0</v>
      </c>
      <c r="AC131" s="137">
        <v>31.0</v>
      </c>
      <c r="AD131" s="137">
        <v>32.0</v>
      </c>
      <c r="AE131" s="137">
        <v>18.0</v>
      </c>
      <c r="AF131" s="137">
        <v>9.0</v>
      </c>
      <c r="AG131" s="137">
        <v>4.0</v>
      </c>
      <c r="AH131" s="137">
        <v>2.0</v>
      </c>
      <c r="AI131" s="137">
        <v>1.0</v>
      </c>
      <c r="AJ131" s="137">
        <v>2.0</v>
      </c>
      <c r="AK131" s="137">
        <v>8.0</v>
      </c>
      <c r="AL131" s="137">
        <v>2.0</v>
      </c>
      <c r="AM131" s="137">
        <v>1.0</v>
      </c>
      <c r="AN131" s="137">
        <v>291.0</v>
      </c>
    </row>
    <row r="132">
      <c r="A132" s="132" t="s">
        <v>203</v>
      </c>
      <c r="B132" s="136" t="s">
        <v>198</v>
      </c>
      <c r="C132" s="137">
        <v>9.0</v>
      </c>
      <c r="D132" s="137">
        <v>2.0</v>
      </c>
      <c r="E132" s="137">
        <v>7.0</v>
      </c>
      <c r="F132" s="135">
        <v>0.0</v>
      </c>
      <c r="G132" s="135">
        <v>0.0</v>
      </c>
      <c r="H132" s="135">
        <v>0.0</v>
      </c>
      <c r="I132" s="135">
        <v>0.0</v>
      </c>
      <c r="J132" s="135">
        <v>0.0</v>
      </c>
      <c r="K132" s="135">
        <v>0.0</v>
      </c>
      <c r="L132" s="135">
        <v>0.0</v>
      </c>
      <c r="M132" s="135">
        <v>0.0</v>
      </c>
      <c r="N132" s="135">
        <v>0.0</v>
      </c>
      <c r="O132" s="135">
        <v>0.0</v>
      </c>
      <c r="P132" s="135">
        <v>0.0</v>
      </c>
      <c r="Q132" s="135">
        <v>0.0</v>
      </c>
      <c r="R132" s="135">
        <v>0.0</v>
      </c>
      <c r="S132" s="135">
        <v>0.0</v>
      </c>
      <c r="T132" s="135">
        <v>0.0</v>
      </c>
      <c r="U132" s="135">
        <v>0.0</v>
      </c>
      <c r="V132" s="135">
        <v>0.0</v>
      </c>
      <c r="W132" s="135">
        <v>0.0</v>
      </c>
      <c r="X132" s="135">
        <v>0.0</v>
      </c>
      <c r="Y132" s="135">
        <v>0.0</v>
      </c>
      <c r="Z132" s="135">
        <v>0.0</v>
      </c>
      <c r="AA132" s="135">
        <v>0.0</v>
      </c>
      <c r="AB132" s="135">
        <v>0.0</v>
      </c>
      <c r="AC132" s="135">
        <v>0.0</v>
      </c>
      <c r="AD132" s="135">
        <v>0.0</v>
      </c>
      <c r="AE132" s="135">
        <v>0.0</v>
      </c>
      <c r="AF132" s="137">
        <v>1.0</v>
      </c>
      <c r="AG132" s="137">
        <v>2.0</v>
      </c>
      <c r="AH132" s="137">
        <v>0.0</v>
      </c>
      <c r="AI132" s="137">
        <v>2.0</v>
      </c>
      <c r="AJ132" s="137">
        <v>0.0</v>
      </c>
      <c r="AK132" s="137">
        <v>2.0</v>
      </c>
      <c r="AL132" s="137">
        <v>1.0</v>
      </c>
      <c r="AM132" s="137">
        <v>1.0</v>
      </c>
      <c r="AN132" s="137">
        <v>9.0</v>
      </c>
    </row>
    <row r="133">
      <c r="A133" s="104"/>
      <c r="B133" s="136" t="s">
        <v>199</v>
      </c>
      <c r="C133" s="137">
        <v>493.0</v>
      </c>
      <c r="D133" s="137">
        <v>200.0</v>
      </c>
      <c r="E133" s="137">
        <v>293.0</v>
      </c>
      <c r="F133" s="135">
        <v>0.0</v>
      </c>
      <c r="G133" s="135">
        <v>0.0</v>
      </c>
      <c r="H133" s="135">
        <v>0.0</v>
      </c>
      <c r="I133" s="135">
        <v>0.0</v>
      </c>
      <c r="J133" s="135">
        <v>0.0</v>
      </c>
      <c r="K133" s="135">
        <v>0.0</v>
      </c>
      <c r="L133" s="135">
        <v>0.0</v>
      </c>
      <c r="M133" s="135">
        <v>0.0</v>
      </c>
      <c r="N133" s="135">
        <v>0.0</v>
      </c>
      <c r="O133" s="135">
        <v>0.0</v>
      </c>
      <c r="P133" s="135">
        <v>0.0</v>
      </c>
      <c r="Q133" s="135">
        <v>0.0</v>
      </c>
      <c r="R133" s="135">
        <v>0.0</v>
      </c>
      <c r="S133" s="135">
        <v>0.0</v>
      </c>
      <c r="T133" s="135">
        <v>0.0</v>
      </c>
      <c r="U133" s="135">
        <v>0.0</v>
      </c>
      <c r="V133" s="135">
        <v>0.0</v>
      </c>
      <c r="W133" s="135">
        <v>0.0</v>
      </c>
      <c r="X133" s="135">
        <v>0.0</v>
      </c>
      <c r="Y133" s="135">
        <v>0.0</v>
      </c>
      <c r="Z133" s="135">
        <v>0.0</v>
      </c>
      <c r="AA133" s="135">
        <v>0.0</v>
      </c>
      <c r="AB133" s="135">
        <v>0.0</v>
      </c>
      <c r="AC133" s="135">
        <v>0.0</v>
      </c>
      <c r="AD133" s="135">
        <v>0.0</v>
      </c>
      <c r="AE133" s="135">
        <v>0.0</v>
      </c>
      <c r="AF133" s="137">
        <v>35.0</v>
      </c>
      <c r="AG133" s="137">
        <v>75.0</v>
      </c>
      <c r="AH133" s="137">
        <v>47.0</v>
      </c>
      <c r="AI133" s="137">
        <v>76.0</v>
      </c>
      <c r="AJ133" s="137">
        <v>59.0</v>
      </c>
      <c r="AK133" s="137">
        <v>77.0</v>
      </c>
      <c r="AL133" s="137">
        <v>59.0</v>
      </c>
      <c r="AM133" s="137">
        <v>65.0</v>
      </c>
      <c r="AN133" s="137">
        <v>487.0</v>
      </c>
    </row>
    <row r="134">
      <c r="A134" s="132" t="s">
        <v>204</v>
      </c>
      <c r="B134" s="136" t="s">
        <v>198</v>
      </c>
      <c r="C134" s="137">
        <v>38.0</v>
      </c>
      <c r="D134" s="137">
        <v>11.0</v>
      </c>
      <c r="E134" s="137">
        <v>27.0</v>
      </c>
      <c r="F134" s="135">
        <v>0.0</v>
      </c>
      <c r="G134" s="135">
        <v>0.0</v>
      </c>
      <c r="H134" s="135">
        <v>0.0</v>
      </c>
      <c r="I134" s="135">
        <v>0.0</v>
      </c>
      <c r="J134" s="135">
        <v>0.0</v>
      </c>
      <c r="K134" s="135">
        <v>0.0</v>
      </c>
      <c r="L134" s="135">
        <v>0.0</v>
      </c>
      <c r="M134" s="135">
        <v>0.0</v>
      </c>
      <c r="N134" s="135">
        <v>0.0</v>
      </c>
      <c r="O134" s="135">
        <v>0.0</v>
      </c>
      <c r="P134" s="135">
        <v>0.0</v>
      </c>
      <c r="Q134" s="135">
        <v>0.0</v>
      </c>
      <c r="R134" s="135">
        <v>0.0</v>
      </c>
      <c r="S134" s="135">
        <v>0.0</v>
      </c>
      <c r="T134" s="135">
        <v>0.0</v>
      </c>
      <c r="U134" s="135">
        <v>0.0</v>
      </c>
      <c r="V134" s="135">
        <v>0.0</v>
      </c>
      <c r="W134" s="135">
        <v>0.0</v>
      </c>
      <c r="X134" s="135">
        <v>0.0</v>
      </c>
      <c r="Y134" s="135">
        <v>0.0</v>
      </c>
      <c r="Z134" s="135">
        <v>0.0</v>
      </c>
      <c r="AA134" s="135">
        <v>0.0</v>
      </c>
      <c r="AB134" s="135">
        <v>0.0</v>
      </c>
      <c r="AC134" s="135">
        <v>0.0</v>
      </c>
      <c r="AD134" s="135">
        <v>0.0</v>
      </c>
      <c r="AE134" s="135">
        <v>0.0</v>
      </c>
      <c r="AF134" s="137">
        <v>0.0</v>
      </c>
      <c r="AG134" s="137">
        <v>3.0</v>
      </c>
      <c r="AH134" s="137">
        <v>1.0</v>
      </c>
      <c r="AI134" s="137">
        <v>0.0</v>
      </c>
      <c r="AJ134" s="137">
        <v>4.0</v>
      </c>
      <c r="AK134" s="137">
        <v>4.0</v>
      </c>
      <c r="AL134" s="137">
        <v>6.0</v>
      </c>
      <c r="AM134" s="137">
        <v>20.0</v>
      </c>
      <c r="AN134" s="137">
        <v>38.0</v>
      </c>
    </row>
    <row r="135">
      <c r="A135" s="104"/>
      <c r="B135" s="136" t="s">
        <v>199</v>
      </c>
      <c r="C135" s="137">
        <v>316.0</v>
      </c>
      <c r="D135" s="137">
        <v>115.0</v>
      </c>
      <c r="E135" s="137">
        <v>201.0</v>
      </c>
      <c r="F135" s="135">
        <v>0.0</v>
      </c>
      <c r="G135" s="135">
        <v>0.0</v>
      </c>
      <c r="H135" s="135">
        <v>0.0</v>
      </c>
      <c r="I135" s="135">
        <v>0.0</v>
      </c>
      <c r="J135" s="135">
        <v>0.0</v>
      </c>
      <c r="K135" s="135">
        <v>0.0</v>
      </c>
      <c r="L135" s="135">
        <v>0.0</v>
      </c>
      <c r="M135" s="135">
        <v>0.0</v>
      </c>
      <c r="N135" s="135">
        <v>0.0</v>
      </c>
      <c r="O135" s="135">
        <v>0.0</v>
      </c>
      <c r="P135" s="135">
        <v>0.0</v>
      </c>
      <c r="Q135" s="135">
        <v>0.0</v>
      </c>
      <c r="R135" s="135">
        <v>0.0</v>
      </c>
      <c r="S135" s="135">
        <v>0.0</v>
      </c>
      <c r="T135" s="135">
        <v>0.0</v>
      </c>
      <c r="U135" s="135">
        <v>0.0</v>
      </c>
      <c r="V135" s="135">
        <v>0.0</v>
      </c>
      <c r="W135" s="135">
        <v>0.0</v>
      </c>
      <c r="X135" s="135">
        <v>0.0</v>
      </c>
      <c r="Y135" s="135">
        <v>0.0</v>
      </c>
      <c r="Z135" s="135">
        <v>0.0</v>
      </c>
      <c r="AA135" s="135">
        <v>0.0</v>
      </c>
      <c r="AB135" s="135">
        <v>0.0</v>
      </c>
      <c r="AC135" s="135">
        <v>0.0</v>
      </c>
      <c r="AD135" s="135">
        <v>0.0</v>
      </c>
      <c r="AE135" s="135">
        <v>0.0</v>
      </c>
      <c r="AF135" s="137">
        <v>8.0</v>
      </c>
      <c r="AG135" s="137">
        <v>16.0</v>
      </c>
      <c r="AH135" s="137">
        <v>12.0</v>
      </c>
      <c r="AI135" s="137">
        <v>34.0</v>
      </c>
      <c r="AJ135" s="137">
        <v>30.0</v>
      </c>
      <c r="AK135" s="137">
        <v>41.0</v>
      </c>
      <c r="AL135" s="137">
        <v>65.0</v>
      </c>
      <c r="AM135" s="137">
        <v>110.0</v>
      </c>
      <c r="AN135" s="137">
        <v>314.0</v>
      </c>
    </row>
    <row r="136">
      <c r="A136" s="132" t="s">
        <v>205</v>
      </c>
      <c r="B136" s="136" t="s">
        <v>198</v>
      </c>
      <c r="C136" s="137">
        <v>204.0</v>
      </c>
      <c r="D136" s="137">
        <v>81.0</v>
      </c>
      <c r="E136" s="137">
        <v>123.0</v>
      </c>
      <c r="F136" s="137">
        <v>0.0</v>
      </c>
      <c r="G136" s="137">
        <v>1.0</v>
      </c>
      <c r="H136" s="137">
        <v>0.0</v>
      </c>
      <c r="I136" s="137">
        <v>0.0</v>
      </c>
      <c r="J136" s="137">
        <v>1.0</v>
      </c>
      <c r="K136" s="137">
        <v>0.0</v>
      </c>
      <c r="L136" s="137">
        <v>2.0</v>
      </c>
      <c r="M136" s="137">
        <v>2.0</v>
      </c>
      <c r="N136" s="137">
        <v>21.0</v>
      </c>
      <c r="O136" s="137">
        <v>23.0</v>
      </c>
      <c r="P136" s="137">
        <v>21.0</v>
      </c>
      <c r="Q136" s="137">
        <v>24.0</v>
      </c>
      <c r="R136" s="137">
        <v>6.0</v>
      </c>
      <c r="S136" s="137">
        <v>14.0</v>
      </c>
      <c r="T136" s="137">
        <v>1.0</v>
      </c>
      <c r="U136" s="137">
        <v>12.0</v>
      </c>
      <c r="V136" s="137">
        <v>2.0</v>
      </c>
      <c r="W136" s="137">
        <v>1.0</v>
      </c>
      <c r="X136" s="137">
        <v>1.0</v>
      </c>
      <c r="Y136" s="137">
        <v>4.0</v>
      </c>
      <c r="Z136" s="137">
        <v>6.0</v>
      </c>
      <c r="AA136" s="137">
        <v>2.0</v>
      </c>
      <c r="AB136" s="137">
        <v>2.0</v>
      </c>
      <c r="AC136" s="137">
        <v>7.0</v>
      </c>
      <c r="AD136" s="137">
        <v>1.0</v>
      </c>
      <c r="AE136" s="137">
        <v>10.0</v>
      </c>
      <c r="AF136" s="137">
        <v>7.0</v>
      </c>
      <c r="AG136" s="137">
        <v>11.0</v>
      </c>
      <c r="AH136" s="137">
        <v>4.0</v>
      </c>
      <c r="AI136" s="137">
        <v>8.0</v>
      </c>
      <c r="AJ136" s="137">
        <v>4.0</v>
      </c>
      <c r="AK136" s="137">
        <v>3.0</v>
      </c>
      <c r="AL136" s="137">
        <v>2.0</v>
      </c>
      <c r="AM136" s="137">
        <v>1.0</v>
      </c>
      <c r="AN136" s="137">
        <v>200.0</v>
      </c>
    </row>
    <row r="137">
      <c r="A137" s="98"/>
      <c r="B137" s="136" t="s">
        <v>199</v>
      </c>
      <c r="C137" s="137">
        <v>8.0</v>
      </c>
      <c r="D137" s="137">
        <v>1.0</v>
      </c>
      <c r="E137" s="137">
        <v>7.0</v>
      </c>
      <c r="F137" s="137">
        <v>0.0</v>
      </c>
      <c r="G137" s="137">
        <v>0.0</v>
      </c>
      <c r="H137" s="137">
        <v>0.0</v>
      </c>
      <c r="I137" s="137">
        <v>0.0</v>
      </c>
      <c r="J137" s="137">
        <v>0.0</v>
      </c>
      <c r="K137" s="137">
        <v>0.0</v>
      </c>
      <c r="L137" s="137">
        <v>0.0</v>
      </c>
      <c r="M137" s="137">
        <v>1.0</v>
      </c>
      <c r="N137" s="137">
        <v>0.0</v>
      </c>
      <c r="O137" s="137">
        <v>0.0</v>
      </c>
      <c r="P137" s="137">
        <v>0.0</v>
      </c>
      <c r="Q137" s="137">
        <v>2.0</v>
      </c>
      <c r="R137" s="137">
        <v>1.0</v>
      </c>
      <c r="S137" s="137">
        <v>0.0</v>
      </c>
      <c r="T137" s="137">
        <v>0.0</v>
      </c>
      <c r="U137" s="137">
        <v>2.0</v>
      </c>
      <c r="V137" s="137">
        <v>0.0</v>
      </c>
      <c r="W137" s="137">
        <v>1.0</v>
      </c>
      <c r="X137" s="137">
        <v>0.0</v>
      </c>
      <c r="Y137" s="137">
        <v>1.0</v>
      </c>
      <c r="Z137" s="137">
        <v>0.0</v>
      </c>
      <c r="AA137" s="137">
        <v>0.0</v>
      </c>
      <c r="AB137" s="137">
        <v>0.0</v>
      </c>
      <c r="AC137" s="137">
        <v>0.0</v>
      </c>
      <c r="AD137" s="137">
        <v>0.0</v>
      </c>
      <c r="AE137" s="137">
        <v>0.0</v>
      </c>
      <c r="AF137" s="137">
        <v>0.0</v>
      </c>
      <c r="AG137" s="137">
        <v>0.0</v>
      </c>
      <c r="AH137" s="137">
        <v>0.0</v>
      </c>
      <c r="AI137" s="137">
        <v>0.0</v>
      </c>
      <c r="AJ137" s="137">
        <v>0.0</v>
      </c>
      <c r="AK137" s="137">
        <v>0.0</v>
      </c>
      <c r="AL137" s="137">
        <v>0.0</v>
      </c>
      <c r="AM137" s="137">
        <v>0.0</v>
      </c>
      <c r="AN137" s="137">
        <v>8.0</v>
      </c>
    </row>
    <row r="138">
      <c r="A138" s="104"/>
      <c r="B138" s="136" t="s">
        <v>206</v>
      </c>
      <c r="C138" s="137">
        <v>329.0</v>
      </c>
      <c r="D138" s="137">
        <v>38.0</v>
      </c>
      <c r="E138" s="137">
        <v>291.0</v>
      </c>
      <c r="F138" s="137">
        <v>0.0</v>
      </c>
      <c r="G138" s="137">
        <v>0.0</v>
      </c>
      <c r="H138" s="137">
        <v>1.0</v>
      </c>
      <c r="I138" s="137">
        <v>0.0</v>
      </c>
      <c r="J138" s="137">
        <v>0.0</v>
      </c>
      <c r="K138" s="137">
        <v>8.0</v>
      </c>
      <c r="L138" s="137">
        <v>13.0</v>
      </c>
      <c r="M138" s="137">
        <v>45.0</v>
      </c>
      <c r="N138" s="137">
        <v>5.0</v>
      </c>
      <c r="O138" s="137">
        <v>64.0</v>
      </c>
      <c r="P138" s="137">
        <v>6.0</v>
      </c>
      <c r="Q138" s="137">
        <v>56.0</v>
      </c>
      <c r="R138" s="137">
        <v>2.0</v>
      </c>
      <c r="S138" s="137">
        <v>39.0</v>
      </c>
      <c r="T138" s="137">
        <v>8.0</v>
      </c>
      <c r="U138" s="137">
        <v>27.0</v>
      </c>
      <c r="V138" s="137">
        <v>1.0</v>
      </c>
      <c r="W138" s="137">
        <v>17.0</v>
      </c>
      <c r="X138" s="137">
        <v>0.0</v>
      </c>
      <c r="Y138" s="137">
        <v>10.0</v>
      </c>
      <c r="Z138" s="137">
        <v>1.0</v>
      </c>
      <c r="AA138" s="137">
        <v>7.0</v>
      </c>
      <c r="AB138" s="137">
        <v>0.0</v>
      </c>
      <c r="AC138" s="137">
        <v>9.0</v>
      </c>
      <c r="AD138" s="137">
        <v>0.0</v>
      </c>
      <c r="AE138" s="137">
        <v>2.0</v>
      </c>
      <c r="AF138" s="137">
        <v>0.0</v>
      </c>
      <c r="AG138" s="137">
        <v>0.0</v>
      </c>
      <c r="AH138" s="137">
        <v>1.0</v>
      </c>
      <c r="AI138" s="137">
        <v>1.0</v>
      </c>
      <c r="AJ138" s="137">
        <v>0.0</v>
      </c>
      <c r="AK138" s="137">
        <v>0.0</v>
      </c>
      <c r="AL138" s="137">
        <v>0.0</v>
      </c>
      <c r="AM138" s="137">
        <v>6.0</v>
      </c>
      <c r="AN138" s="137">
        <v>301.0</v>
      </c>
    </row>
    <row r="139">
      <c r="A139" s="132" t="s">
        <v>207</v>
      </c>
      <c r="B139" s="136" t="s">
        <v>198</v>
      </c>
      <c r="C139" s="134">
        <v>34874.0</v>
      </c>
      <c r="D139" s="134">
        <v>10531.0</v>
      </c>
      <c r="E139" s="134">
        <v>24343.0</v>
      </c>
      <c r="F139" s="137">
        <v>178.0</v>
      </c>
      <c r="G139" s="137">
        <v>149.0</v>
      </c>
      <c r="H139" s="137">
        <v>269.0</v>
      </c>
      <c r="I139" s="137">
        <v>163.0</v>
      </c>
      <c r="J139" s="137">
        <v>214.0</v>
      </c>
      <c r="K139" s="137">
        <v>225.0</v>
      </c>
      <c r="L139" s="137">
        <v>226.0</v>
      </c>
      <c r="M139" s="137">
        <v>388.0</v>
      </c>
      <c r="N139" s="137">
        <v>155.0</v>
      </c>
      <c r="O139" s="137">
        <v>504.0</v>
      </c>
      <c r="P139" s="137">
        <v>162.0</v>
      </c>
      <c r="Q139" s="137">
        <v>631.0</v>
      </c>
      <c r="R139" s="137">
        <v>203.0</v>
      </c>
      <c r="S139" s="137">
        <v>869.0</v>
      </c>
      <c r="T139" s="137">
        <v>281.0</v>
      </c>
      <c r="U139" s="137">
        <v>979.0</v>
      </c>
      <c r="V139" s="137">
        <v>288.0</v>
      </c>
      <c r="W139" s="134">
        <v>1375.0</v>
      </c>
      <c r="X139" s="137">
        <v>412.0</v>
      </c>
      <c r="Y139" s="134">
        <v>1721.0</v>
      </c>
      <c r="Z139" s="137">
        <v>728.0</v>
      </c>
      <c r="AA139" s="134">
        <v>2639.0</v>
      </c>
      <c r="AB139" s="137">
        <v>942.0</v>
      </c>
      <c r="AC139" s="134">
        <v>2846.0</v>
      </c>
      <c r="AD139" s="134">
        <v>1223.0</v>
      </c>
      <c r="AE139" s="134">
        <v>2743.0</v>
      </c>
      <c r="AF139" s="134">
        <v>1251.0</v>
      </c>
      <c r="AG139" s="134">
        <v>2780.0</v>
      </c>
      <c r="AH139" s="134">
        <v>1360.0</v>
      </c>
      <c r="AI139" s="134">
        <v>2346.0</v>
      </c>
      <c r="AJ139" s="134">
        <v>1143.0</v>
      </c>
      <c r="AK139" s="134">
        <v>1856.0</v>
      </c>
      <c r="AL139" s="134">
        <v>1496.0</v>
      </c>
      <c r="AM139" s="134">
        <v>2308.0</v>
      </c>
      <c r="AN139" s="134">
        <v>34311.0</v>
      </c>
    </row>
    <row r="140">
      <c r="A140" s="98"/>
      <c r="B140" s="136" t="s">
        <v>199</v>
      </c>
      <c r="C140" s="134">
        <v>3538.0</v>
      </c>
      <c r="D140" s="134">
        <v>1295.0</v>
      </c>
      <c r="E140" s="134">
        <v>2243.0</v>
      </c>
      <c r="F140" s="137">
        <v>7.0</v>
      </c>
      <c r="G140" s="137">
        <v>5.0</v>
      </c>
      <c r="H140" s="137">
        <v>10.0</v>
      </c>
      <c r="I140" s="137">
        <v>13.0</v>
      </c>
      <c r="J140" s="137">
        <v>5.0</v>
      </c>
      <c r="K140" s="137">
        <v>6.0</v>
      </c>
      <c r="L140" s="137">
        <v>18.0</v>
      </c>
      <c r="M140" s="137">
        <v>22.0</v>
      </c>
      <c r="N140" s="137">
        <v>11.0</v>
      </c>
      <c r="O140" s="137">
        <v>36.0</v>
      </c>
      <c r="P140" s="137">
        <v>13.0</v>
      </c>
      <c r="Q140" s="137">
        <v>40.0</v>
      </c>
      <c r="R140" s="137">
        <v>13.0</v>
      </c>
      <c r="S140" s="137">
        <v>56.0</v>
      </c>
      <c r="T140" s="137">
        <v>16.0</v>
      </c>
      <c r="U140" s="137">
        <v>69.0</v>
      </c>
      <c r="V140" s="137">
        <v>23.0</v>
      </c>
      <c r="W140" s="137">
        <v>99.0</v>
      </c>
      <c r="X140" s="137">
        <v>41.0</v>
      </c>
      <c r="Y140" s="137">
        <v>125.0</v>
      </c>
      <c r="Z140" s="137">
        <v>50.0</v>
      </c>
      <c r="AA140" s="137">
        <v>180.0</v>
      </c>
      <c r="AB140" s="137">
        <v>78.0</v>
      </c>
      <c r="AC140" s="137">
        <v>187.0</v>
      </c>
      <c r="AD140" s="137">
        <v>126.0</v>
      </c>
      <c r="AE140" s="137">
        <v>253.0</v>
      </c>
      <c r="AF140" s="137">
        <v>153.0</v>
      </c>
      <c r="AG140" s="137">
        <v>349.0</v>
      </c>
      <c r="AH140" s="137">
        <v>275.0</v>
      </c>
      <c r="AI140" s="137">
        <v>304.0</v>
      </c>
      <c r="AJ140" s="137">
        <v>265.0</v>
      </c>
      <c r="AK140" s="137">
        <v>191.0</v>
      </c>
      <c r="AL140" s="137">
        <v>191.0</v>
      </c>
      <c r="AM140" s="137">
        <v>308.0</v>
      </c>
      <c r="AN140" s="134">
        <v>3481.0</v>
      </c>
    </row>
    <row r="141">
      <c r="A141" s="98"/>
      <c r="B141" s="136" t="s">
        <v>206</v>
      </c>
      <c r="C141" s="137">
        <v>53.0</v>
      </c>
      <c r="D141" s="137">
        <v>5.0</v>
      </c>
      <c r="E141" s="137">
        <v>48.0</v>
      </c>
      <c r="F141" s="137">
        <v>1.0</v>
      </c>
      <c r="G141" s="137">
        <v>0.0</v>
      </c>
      <c r="H141" s="137">
        <v>0.0</v>
      </c>
      <c r="I141" s="137">
        <v>0.0</v>
      </c>
      <c r="J141" s="137">
        <v>0.0</v>
      </c>
      <c r="K141" s="137">
        <v>3.0</v>
      </c>
      <c r="L141" s="137">
        <v>0.0</v>
      </c>
      <c r="M141" s="137">
        <v>14.0</v>
      </c>
      <c r="N141" s="137">
        <v>0.0</v>
      </c>
      <c r="O141" s="137">
        <v>41.0</v>
      </c>
      <c r="P141" s="137">
        <v>0.0</v>
      </c>
      <c r="Q141" s="137">
        <v>56.0</v>
      </c>
      <c r="R141" s="137">
        <v>0.0</v>
      </c>
      <c r="S141" s="137">
        <v>27.0</v>
      </c>
      <c r="T141" s="137">
        <v>2.0</v>
      </c>
      <c r="U141" s="137">
        <v>14.0</v>
      </c>
      <c r="V141" s="137">
        <v>0.0</v>
      </c>
      <c r="W141" s="137">
        <v>14.0</v>
      </c>
      <c r="X141" s="137">
        <v>0.0</v>
      </c>
      <c r="Y141" s="137">
        <v>13.0</v>
      </c>
      <c r="Z141" s="137">
        <v>2.0</v>
      </c>
      <c r="AA141" s="137">
        <v>7.0</v>
      </c>
      <c r="AB141" s="137">
        <v>0.0</v>
      </c>
      <c r="AC141" s="137">
        <v>9.0</v>
      </c>
      <c r="AD141" s="137">
        <v>0.0</v>
      </c>
      <c r="AE141" s="137">
        <v>4.0</v>
      </c>
      <c r="AF141" s="137">
        <v>0.0</v>
      </c>
      <c r="AG141" s="137">
        <v>6.0</v>
      </c>
      <c r="AH141" s="137">
        <v>0.0</v>
      </c>
      <c r="AI141" s="137">
        <v>1.0</v>
      </c>
      <c r="AJ141" s="137">
        <v>0.0</v>
      </c>
      <c r="AK141" s="137">
        <v>0.0</v>
      </c>
      <c r="AL141" s="137">
        <v>0.0</v>
      </c>
      <c r="AM141" s="137">
        <v>1.0</v>
      </c>
      <c r="AN141" s="137">
        <v>215.0</v>
      </c>
    </row>
    <row r="142">
      <c r="A142" s="98"/>
      <c r="B142" s="136" t="s">
        <v>200</v>
      </c>
      <c r="C142" s="134">
        <v>4831.0</v>
      </c>
      <c r="D142" s="134">
        <v>1443.0</v>
      </c>
      <c r="E142" s="134">
        <v>3388.0</v>
      </c>
      <c r="F142" s="137">
        <v>462.0</v>
      </c>
      <c r="G142" s="137">
        <v>500.0</v>
      </c>
      <c r="H142" s="137">
        <v>141.0</v>
      </c>
      <c r="I142" s="137">
        <v>154.0</v>
      </c>
      <c r="J142" s="137">
        <v>66.0</v>
      </c>
      <c r="K142" s="137">
        <v>78.0</v>
      </c>
      <c r="L142" s="137">
        <v>23.0</v>
      </c>
      <c r="M142" s="137">
        <v>142.0</v>
      </c>
      <c r="N142" s="137">
        <v>17.0</v>
      </c>
      <c r="O142" s="137">
        <v>176.0</v>
      </c>
      <c r="P142" s="137">
        <v>12.0</v>
      </c>
      <c r="Q142" s="137">
        <v>225.0</v>
      </c>
      <c r="R142" s="137">
        <v>19.0</v>
      </c>
      <c r="S142" s="137">
        <v>200.0</v>
      </c>
      <c r="T142" s="137">
        <v>23.0</v>
      </c>
      <c r="U142" s="137">
        <v>184.0</v>
      </c>
      <c r="V142" s="137">
        <v>30.0</v>
      </c>
      <c r="W142" s="137">
        <v>209.0</v>
      </c>
      <c r="X142" s="137">
        <v>37.0</v>
      </c>
      <c r="Y142" s="137">
        <v>231.0</v>
      </c>
      <c r="Z142" s="137">
        <v>71.0</v>
      </c>
      <c r="AA142" s="137">
        <v>232.0</v>
      </c>
      <c r="AB142" s="137">
        <v>82.0</v>
      </c>
      <c r="AC142" s="137">
        <v>237.0</v>
      </c>
      <c r="AD142" s="137">
        <v>81.0</v>
      </c>
      <c r="AE142" s="137">
        <v>233.0</v>
      </c>
      <c r="AF142" s="137">
        <v>117.0</v>
      </c>
      <c r="AG142" s="137">
        <v>176.0</v>
      </c>
      <c r="AH142" s="137">
        <v>94.0</v>
      </c>
      <c r="AI142" s="137">
        <v>155.0</v>
      </c>
      <c r="AJ142" s="137">
        <v>78.0</v>
      </c>
      <c r="AK142" s="137">
        <v>133.0</v>
      </c>
      <c r="AL142" s="137">
        <v>90.0</v>
      </c>
      <c r="AM142" s="137">
        <v>123.0</v>
      </c>
      <c r="AN142" s="134">
        <v>4662.0</v>
      </c>
    </row>
    <row r="143">
      <c r="A143" s="104"/>
      <c r="B143" s="136" t="s">
        <v>201</v>
      </c>
      <c r="C143" s="134">
        <v>2465.0</v>
      </c>
      <c r="D143" s="134">
        <v>1180.0</v>
      </c>
      <c r="E143" s="134">
        <v>1285.0</v>
      </c>
      <c r="F143" s="137">
        <v>5.0</v>
      </c>
      <c r="G143" s="137">
        <v>1.0</v>
      </c>
      <c r="H143" s="137">
        <v>4.0</v>
      </c>
      <c r="I143" s="137">
        <v>0.0</v>
      </c>
      <c r="J143" s="137">
        <v>10.0</v>
      </c>
      <c r="K143" s="137">
        <v>5.0</v>
      </c>
      <c r="L143" s="137">
        <v>11.0</v>
      </c>
      <c r="M143" s="137">
        <v>6.0</v>
      </c>
      <c r="N143" s="137">
        <v>4.0</v>
      </c>
      <c r="O143" s="137">
        <v>11.0</v>
      </c>
      <c r="P143" s="137">
        <v>23.0</v>
      </c>
      <c r="Q143" s="137">
        <v>46.0</v>
      </c>
      <c r="R143" s="137">
        <v>25.0</v>
      </c>
      <c r="S143" s="137">
        <v>57.0</v>
      </c>
      <c r="T143" s="137">
        <v>17.0</v>
      </c>
      <c r="U143" s="137">
        <v>40.0</v>
      </c>
      <c r="V143" s="137">
        <v>9.0</v>
      </c>
      <c r="W143" s="137">
        <v>78.0</v>
      </c>
      <c r="X143" s="137">
        <v>98.0</v>
      </c>
      <c r="Y143" s="137">
        <v>83.0</v>
      </c>
      <c r="Z143" s="137">
        <v>34.0</v>
      </c>
      <c r="AA143" s="137">
        <v>120.0</v>
      </c>
      <c r="AB143" s="137">
        <v>34.0</v>
      </c>
      <c r="AC143" s="137">
        <v>139.0</v>
      </c>
      <c r="AD143" s="137">
        <v>69.0</v>
      </c>
      <c r="AE143" s="137">
        <v>126.0</v>
      </c>
      <c r="AF143" s="137">
        <v>59.0</v>
      </c>
      <c r="AG143" s="137">
        <v>72.0</v>
      </c>
      <c r="AH143" s="137">
        <v>146.0</v>
      </c>
      <c r="AI143" s="137">
        <v>74.0</v>
      </c>
      <c r="AJ143" s="137">
        <v>194.0</v>
      </c>
      <c r="AK143" s="137">
        <v>118.0</v>
      </c>
      <c r="AL143" s="137">
        <v>438.0</v>
      </c>
      <c r="AM143" s="137">
        <v>309.0</v>
      </c>
      <c r="AN143" s="134">
        <v>2463.0</v>
      </c>
    </row>
    <row r="144">
      <c r="A144" s="132" t="s">
        <v>208</v>
      </c>
      <c r="B144" s="136" t="s">
        <v>198</v>
      </c>
      <c r="C144" s="137">
        <v>36.0</v>
      </c>
      <c r="D144" s="137">
        <v>17.0</v>
      </c>
      <c r="E144" s="137">
        <v>19.0</v>
      </c>
      <c r="F144" s="137">
        <v>10.0</v>
      </c>
      <c r="G144" s="137">
        <v>12.0</v>
      </c>
      <c r="H144" s="137">
        <v>5.0</v>
      </c>
      <c r="I144" s="137">
        <v>3.0</v>
      </c>
      <c r="J144" s="137">
        <v>2.0</v>
      </c>
      <c r="K144" s="137">
        <v>1.0</v>
      </c>
      <c r="L144" s="137">
        <v>0.0</v>
      </c>
      <c r="M144" s="137">
        <v>3.0</v>
      </c>
      <c r="N144" s="137">
        <v>0.0</v>
      </c>
      <c r="O144" s="137">
        <v>0.0</v>
      </c>
      <c r="P144" s="135">
        <v>0.0</v>
      </c>
      <c r="Q144" s="135">
        <v>0.0</v>
      </c>
      <c r="R144" s="135">
        <v>0.0</v>
      </c>
      <c r="S144" s="135">
        <v>0.0</v>
      </c>
      <c r="T144" s="135">
        <v>0.0</v>
      </c>
      <c r="U144" s="135">
        <v>0.0</v>
      </c>
      <c r="V144" s="135">
        <v>0.0</v>
      </c>
      <c r="W144" s="135">
        <v>0.0</v>
      </c>
      <c r="X144" s="135">
        <v>0.0</v>
      </c>
      <c r="Y144" s="135">
        <v>0.0</v>
      </c>
      <c r="Z144" s="135">
        <v>0.0</v>
      </c>
      <c r="AA144" s="135">
        <v>0.0</v>
      </c>
      <c r="AB144" s="135">
        <v>0.0</v>
      </c>
      <c r="AC144" s="135">
        <v>0.0</v>
      </c>
      <c r="AD144" s="135">
        <v>0.0</v>
      </c>
      <c r="AE144" s="135">
        <v>0.0</v>
      </c>
      <c r="AF144" s="135">
        <v>0.0</v>
      </c>
      <c r="AG144" s="135">
        <v>0.0</v>
      </c>
      <c r="AH144" s="135">
        <v>0.0</v>
      </c>
      <c r="AI144" s="135">
        <v>0.0</v>
      </c>
      <c r="AJ144" s="135">
        <v>0.0</v>
      </c>
      <c r="AK144" s="135">
        <v>0.0</v>
      </c>
      <c r="AL144" s="135">
        <v>0.0</v>
      </c>
      <c r="AM144" s="135">
        <v>0.0</v>
      </c>
      <c r="AN144" s="137">
        <v>36.0</v>
      </c>
    </row>
    <row r="145">
      <c r="A145" s="98"/>
      <c r="B145" s="136" t="s">
        <v>199</v>
      </c>
      <c r="C145" s="137">
        <v>87.0</v>
      </c>
      <c r="D145" s="137">
        <v>49.0</v>
      </c>
      <c r="E145" s="137">
        <v>38.0</v>
      </c>
      <c r="F145" s="137">
        <v>36.0</v>
      </c>
      <c r="G145" s="137">
        <v>32.0</v>
      </c>
      <c r="H145" s="137">
        <v>11.0</v>
      </c>
      <c r="I145" s="137">
        <v>6.0</v>
      </c>
      <c r="J145" s="137">
        <v>2.0</v>
      </c>
      <c r="K145" s="137">
        <v>0.0</v>
      </c>
      <c r="L145" s="137">
        <v>0.0</v>
      </c>
      <c r="M145" s="137">
        <v>0.0</v>
      </c>
      <c r="N145" s="137">
        <v>0.0</v>
      </c>
      <c r="O145" s="137">
        <v>0.0</v>
      </c>
      <c r="P145" s="135">
        <v>0.0</v>
      </c>
      <c r="Q145" s="135">
        <v>0.0</v>
      </c>
      <c r="R145" s="135">
        <v>0.0</v>
      </c>
      <c r="S145" s="135">
        <v>0.0</v>
      </c>
      <c r="T145" s="135">
        <v>0.0</v>
      </c>
      <c r="U145" s="135">
        <v>0.0</v>
      </c>
      <c r="V145" s="135">
        <v>0.0</v>
      </c>
      <c r="W145" s="135">
        <v>0.0</v>
      </c>
      <c r="X145" s="135">
        <v>0.0</v>
      </c>
      <c r="Y145" s="135">
        <v>0.0</v>
      </c>
      <c r="Z145" s="135">
        <v>0.0</v>
      </c>
      <c r="AA145" s="135">
        <v>0.0</v>
      </c>
      <c r="AB145" s="135">
        <v>0.0</v>
      </c>
      <c r="AC145" s="135">
        <v>0.0</v>
      </c>
      <c r="AD145" s="135">
        <v>0.0</v>
      </c>
      <c r="AE145" s="135">
        <v>0.0</v>
      </c>
      <c r="AF145" s="135">
        <v>0.0</v>
      </c>
      <c r="AG145" s="135">
        <v>0.0</v>
      </c>
      <c r="AH145" s="135">
        <v>0.0</v>
      </c>
      <c r="AI145" s="135">
        <v>0.0</v>
      </c>
      <c r="AJ145" s="135">
        <v>0.0</v>
      </c>
      <c r="AK145" s="135">
        <v>0.0</v>
      </c>
      <c r="AL145" s="135">
        <v>0.0</v>
      </c>
      <c r="AM145" s="135">
        <v>0.0</v>
      </c>
      <c r="AN145" s="137">
        <v>77.0</v>
      </c>
    </row>
    <row r="146">
      <c r="A146" s="98"/>
      <c r="B146" s="136" t="s">
        <v>206</v>
      </c>
      <c r="C146" s="137">
        <v>0.0</v>
      </c>
      <c r="D146" s="137">
        <v>0.0</v>
      </c>
      <c r="E146" s="137">
        <v>0.0</v>
      </c>
      <c r="F146" s="137">
        <v>0.0</v>
      </c>
      <c r="G146" s="137">
        <v>0.0</v>
      </c>
      <c r="H146" s="137">
        <v>0.0</v>
      </c>
      <c r="I146" s="137">
        <v>0.0</v>
      </c>
      <c r="J146" s="137">
        <v>0.0</v>
      </c>
      <c r="K146" s="137">
        <v>0.0</v>
      </c>
      <c r="L146" s="137">
        <v>0.0</v>
      </c>
      <c r="M146" s="137">
        <v>0.0</v>
      </c>
      <c r="N146" s="137">
        <v>0.0</v>
      </c>
      <c r="O146" s="137">
        <v>0.0</v>
      </c>
      <c r="P146" s="135">
        <v>0.0</v>
      </c>
      <c r="Q146" s="135">
        <v>0.0</v>
      </c>
      <c r="R146" s="135">
        <v>0.0</v>
      </c>
      <c r="S146" s="135">
        <v>0.0</v>
      </c>
      <c r="T146" s="135">
        <v>0.0</v>
      </c>
      <c r="U146" s="135">
        <v>0.0</v>
      </c>
      <c r="V146" s="135">
        <v>0.0</v>
      </c>
      <c r="W146" s="135">
        <v>0.0</v>
      </c>
      <c r="X146" s="135">
        <v>0.0</v>
      </c>
      <c r="Y146" s="135">
        <v>0.0</v>
      </c>
      <c r="Z146" s="135">
        <v>0.0</v>
      </c>
      <c r="AA146" s="135">
        <v>0.0</v>
      </c>
      <c r="AB146" s="135">
        <v>0.0</v>
      </c>
      <c r="AC146" s="135">
        <v>0.0</v>
      </c>
      <c r="AD146" s="135">
        <v>0.0</v>
      </c>
      <c r="AE146" s="135">
        <v>0.0</v>
      </c>
      <c r="AF146" s="135">
        <v>0.0</v>
      </c>
      <c r="AG146" s="135">
        <v>0.0</v>
      </c>
      <c r="AH146" s="135">
        <v>0.0</v>
      </c>
      <c r="AI146" s="135">
        <v>0.0</v>
      </c>
      <c r="AJ146" s="135">
        <v>0.0</v>
      </c>
      <c r="AK146" s="135">
        <v>0.0</v>
      </c>
      <c r="AL146" s="135">
        <v>0.0</v>
      </c>
      <c r="AM146" s="135">
        <v>0.0</v>
      </c>
      <c r="AN146" s="137">
        <v>0.0</v>
      </c>
    </row>
    <row r="147">
      <c r="A147" s="98"/>
      <c r="B147" s="136" t="s">
        <v>200</v>
      </c>
      <c r="C147" s="137">
        <v>30.0</v>
      </c>
      <c r="D147" s="137">
        <v>22.0</v>
      </c>
      <c r="E147" s="137">
        <v>8.0</v>
      </c>
      <c r="F147" s="137">
        <v>5.0</v>
      </c>
      <c r="G147" s="137">
        <v>3.0</v>
      </c>
      <c r="H147" s="137">
        <v>7.0</v>
      </c>
      <c r="I147" s="137">
        <v>2.0</v>
      </c>
      <c r="J147" s="137">
        <v>7.0</v>
      </c>
      <c r="K147" s="137">
        <v>2.0</v>
      </c>
      <c r="L147" s="137">
        <v>3.0</v>
      </c>
      <c r="M147" s="137">
        <v>1.0</v>
      </c>
      <c r="N147" s="137">
        <v>0.0</v>
      </c>
      <c r="O147" s="137">
        <v>0.0</v>
      </c>
      <c r="P147" s="135">
        <v>0.0</v>
      </c>
      <c r="Q147" s="135">
        <v>0.0</v>
      </c>
      <c r="R147" s="135">
        <v>0.0</v>
      </c>
      <c r="S147" s="135">
        <v>0.0</v>
      </c>
      <c r="T147" s="135">
        <v>0.0</v>
      </c>
      <c r="U147" s="135">
        <v>0.0</v>
      </c>
      <c r="V147" s="135">
        <v>0.0</v>
      </c>
      <c r="W147" s="135">
        <v>0.0</v>
      </c>
      <c r="X147" s="135">
        <v>0.0</v>
      </c>
      <c r="Y147" s="135">
        <v>0.0</v>
      </c>
      <c r="Z147" s="135">
        <v>0.0</v>
      </c>
      <c r="AA147" s="135">
        <v>0.0</v>
      </c>
      <c r="AB147" s="135">
        <v>0.0</v>
      </c>
      <c r="AC147" s="135">
        <v>0.0</v>
      </c>
      <c r="AD147" s="135">
        <v>0.0</v>
      </c>
      <c r="AE147" s="135">
        <v>0.0</v>
      </c>
      <c r="AF147" s="135">
        <v>0.0</v>
      </c>
      <c r="AG147" s="135">
        <v>0.0</v>
      </c>
      <c r="AH147" s="135">
        <v>0.0</v>
      </c>
      <c r="AI147" s="135">
        <v>0.0</v>
      </c>
      <c r="AJ147" s="135">
        <v>0.0</v>
      </c>
      <c r="AK147" s="135">
        <v>0.0</v>
      </c>
      <c r="AL147" s="135">
        <v>0.0</v>
      </c>
      <c r="AM147" s="135">
        <v>0.0</v>
      </c>
      <c r="AN147" s="137">
        <v>26.0</v>
      </c>
    </row>
    <row r="148">
      <c r="A148" s="104"/>
      <c r="B148" s="136" t="s">
        <v>201</v>
      </c>
      <c r="C148" s="137">
        <v>27.0</v>
      </c>
      <c r="D148" s="137">
        <v>17.0</v>
      </c>
      <c r="E148" s="137">
        <v>10.0</v>
      </c>
      <c r="F148" s="137">
        <v>8.0</v>
      </c>
      <c r="G148" s="137">
        <v>7.0</v>
      </c>
      <c r="H148" s="137">
        <v>9.0</v>
      </c>
      <c r="I148" s="137">
        <v>3.0</v>
      </c>
      <c r="J148" s="137">
        <v>0.0</v>
      </c>
      <c r="K148" s="137">
        <v>0.0</v>
      </c>
      <c r="L148" s="137">
        <v>0.0</v>
      </c>
      <c r="M148" s="137">
        <v>0.0</v>
      </c>
      <c r="N148" s="137">
        <v>0.0</v>
      </c>
      <c r="O148" s="137">
        <v>0.0</v>
      </c>
      <c r="P148" s="135">
        <v>0.0</v>
      </c>
      <c r="Q148" s="135">
        <v>0.0</v>
      </c>
      <c r="R148" s="135">
        <v>0.0</v>
      </c>
      <c r="S148" s="135">
        <v>0.0</v>
      </c>
      <c r="T148" s="135">
        <v>0.0</v>
      </c>
      <c r="U148" s="135">
        <v>0.0</v>
      </c>
      <c r="V148" s="135">
        <v>0.0</v>
      </c>
      <c r="W148" s="135">
        <v>0.0</v>
      </c>
      <c r="X148" s="135">
        <v>0.0</v>
      </c>
      <c r="Y148" s="135">
        <v>0.0</v>
      </c>
      <c r="Z148" s="135">
        <v>0.0</v>
      </c>
      <c r="AA148" s="135">
        <v>0.0</v>
      </c>
      <c r="AB148" s="135">
        <v>0.0</v>
      </c>
      <c r="AC148" s="135">
        <v>0.0</v>
      </c>
      <c r="AD148" s="135">
        <v>0.0</v>
      </c>
      <c r="AE148" s="135">
        <v>0.0</v>
      </c>
      <c r="AF148" s="135">
        <v>0.0</v>
      </c>
      <c r="AG148" s="135">
        <v>0.0</v>
      </c>
      <c r="AH148" s="135">
        <v>0.0</v>
      </c>
      <c r="AI148" s="135">
        <v>0.0</v>
      </c>
      <c r="AJ148" s="135">
        <v>0.0</v>
      </c>
      <c r="AK148" s="135">
        <v>0.0</v>
      </c>
      <c r="AL148" s="135">
        <v>0.0</v>
      </c>
      <c r="AM148" s="135">
        <v>0.0</v>
      </c>
      <c r="AN148" s="137">
        <v>27.0</v>
      </c>
    </row>
    <row r="149">
      <c r="A149" s="138" t="s">
        <v>214</v>
      </c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</row>
    <row r="150">
      <c r="A150" s="132" t="s">
        <v>197</v>
      </c>
      <c r="B150" s="133" t="s">
        <v>198</v>
      </c>
      <c r="C150" s="134">
        <v>120306.0</v>
      </c>
      <c r="D150" s="134">
        <v>44226.0</v>
      </c>
      <c r="E150" s="134">
        <v>76080.0</v>
      </c>
      <c r="F150" s="135">
        <v>0.0</v>
      </c>
      <c r="G150" s="135">
        <v>0.0</v>
      </c>
      <c r="H150" s="135">
        <v>0.0</v>
      </c>
      <c r="I150" s="135">
        <v>0.0</v>
      </c>
      <c r="J150" s="135">
        <v>0.0</v>
      </c>
      <c r="K150" s="135">
        <v>0.0</v>
      </c>
      <c r="L150" s="137">
        <v>131.0</v>
      </c>
      <c r="M150" s="137">
        <v>180.0</v>
      </c>
      <c r="N150" s="137">
        <v>153.0</v>
      </c>
      <c r="O150" s="137">
        <v>369.0</v>
      </c>
      <c r="P150" s="137">
        <v>271.0</v>
      </c>
      <c r="Q150" s="137">
        <v>626.0</v>
      </c>
      <c r="R150" s="137">
        <v>492.0</v>
      </c>
      <c r="S150" s="137">
        <v>993.0</v>
      </c>
      <c r="T150" s="137">
        <v>790.0</v>
      </c>
      <c r="U150" s="134">
        <v>1597.0</v>
      </c>
      <c r="V150" s="134">
        <v>1281.0</v>
      </c>
      <c r="W150" s="134">
        <v>2517.0</v>
      </c>
      <c r="X150" s="134">
        <v>2093.0</v>
      </c>
      <c r="Y150" s="134">
        <v>4258.0</v>
      </c>
      <c r="Z150" s="134">
        <v>3558.0</v>
      </c>
      <c r="AA150" s="134">
        <v>7069.0</v>
      </c>
      <c r="AB150" s="134">
        <v>5093.0</v>
      </c>
      <c r="AC150" s="134">
        <v>9249.0</v>
      </c>
      <c r="AD150" s="134">
        <v>6065.0</v>
      </c>
      <c r="AE150" s="134">
        <v>10416.0</v>
      </c>
      <c r="AF150" s="134">
        <v>6819.0</v>
      </c>
      <c r="AG150" s="134">
        <v>10539.0</v>
      </c>
      <c r="AH150" s="134">
        <v>6988.0</v>
      </c>
      <c r="AI150" s="134">
        <v>10516.0</v>
      </c>
      <c r="AJ150" s="134">
        <v>5252.0</v>
      </c>
      <c r="AK150" s="134">
        <v>8329.0</v>
      </c>
      <c r="AL150" s="134">
        <v>5240.0</v>
      </c>
      <c r="AM150" s="134">
        <v>9422.0</v>
      </c>
      <c r="AN150" s="134">
        <v>120006.0</v>
      </c>
    </row>
    <row r="151">
      <c r="A151" s="98"/>
      <c r="B151" s="136" t="s">
        <v>199</v>
      </c>
      <c r="C151" s="134">
        <v>41469.0</v>
      </c>
      <c r="D151" s="134">
        <v>15484.0</v>
      </c>
      <c r="E151" s="134">
        <v>25985.0</v>
      </c>
      <c r="F151" s="135">
        <v>0.0</v>
      </c>
      <c r="G151" s="135">
        <v>0.0</v>
      </c>
      <c r="H151" s="135">
        <v>0.0</v>
      </c>
      <c r="I151" s="135">
        <v>0.0</v>
      </c>
      <c r="J151" s="135">
        <v>0.0</v>
      </c>
      <c r="K151" s="135">
        <v>0.0</v>
      </c>
      <c r="L151" s="137">
        <v>33.0</v>
      </c>
      <c r="M151" s="137">
        <v>35.0</v>
      </c>
      <c r="N151" s="137">
        <v>29.0</v>
      </c>
      <c r="O151" s="137">
        <v>53.0</v>
      </c>
      <c r="P151" s="137">
        <v>47.0</v>
      </c>
      <c r="Q151" s="137">
        <v>118.0</v>
      </c>
      <c r="R151" s="137">
        <v>100.0</v>
      </c>
      <c r="S151" s="137">
        <v>192.0</v>
      </c>
      <c r="T151" s="137">
        <v>200.0</v>
      </c>
      <c r="U151" s="137">
        <v>315.0</v>
      </c>
      <c r="V151" s="137">
        <v>305.0</v>
      </c>
      <c r="W151" s="137">
        <v>573.0</v>
      </c>
      <c r="X151" s="137">
        <v>601.0</v>
      </c>
      <c r="Y151" s="134">
        <v>1131.0</v>
      </c>
      <c r="Z151" s="134">
        <v>1030.0</v>
      </c>
      <c r="AA151" s="134">
        <v>1828.0</v>
      </c>
      <c r="AB151" s="134">
        <v>1440.0</v>
      </c>
      <c r="AC151" s="134">
        <v>2521.0</v>
      </c>
      <c r="AD151" s="134">
        <v>1762.0</v>
      </c>
      <c r="AE151" s="134">
        <v>3140.0</v>
      </c>
      <c r="AF151" s="134">
        <v>2504.0</v>
      </c>
      <c r="AG151" s="134">
        <v>4115.0</v>
      </c>
      <c r="AH151" s="134">
        <v>2876.0</v>
      </c>
      <c r="AI151" s="134">
        <v>4392.0</v>
      </c>
      <c r="AJ151" s="134">
        <v>2232.0</v>
      </c>
      <c r="AK151" s="134">
        <v>3494.0</v>
      </c>
      <c r="AL151" s="134">
        <v>2325.0</v>
      </c>
      <c r="AM151" s="134">
        <v>4078.0</v>
      </c>
      <c r="AN151" s="134">
        <v>41418.0</v>
      </c>
    </row>
    <row r="152">
      <c r="A152" s="98"/>
      <c r="B152" s="136" t="s">
        <v>200</v>
      </c>
      <c r="C152" s="134">
        <v>27797.0</v>
      </c>
      <c r="D152" s="134">
        <v>9413.0</v>
      </c>
      <c r="E152" s="134">
        <v>18384.0</v>
      </c>
      <c r="F152" s="135">
        <v>0.0</v>
      </c>
      <c r="G152" s="135">
        <v>0.0</v>
      </c>
      <c r="H152" s="135">
        <v>0.0</v>
      </c>
      <c r="I152" s="135">
        <v>0.0</v>
      </c>
      <c r="J152" s="135">
        <v>0.0</v>
      </c>
      <c r="K152" s="135">
        <v>0.0</v>
      </c>
      <c r="L152" s="137">
        <v>33.0</v>
      </c>
      <c r="M152" s="137">
        <v>80.0</v>
      </c>
      <c r="N152" s="137">
        <v>51.0</v>
      </c>
      <c r="O152" s="137">
        <v>117.0</v>
      </c>
      <c r="P152" s="137">
        <v>74.0</v>
      </c>
      <c r="Q152" s="137">
        <v>204.0</v>
      </c>
      <c r="R152" s="137">
        <v>123.0</v>
      </c>
      <c r="S152" s="137">
        <v>290.0</v>
      </c>
      <c r="T152" s="137">
        <v>217.0</v>
      </c>
      <c r="U152" s="137">
        <v>487.0</v>
      </c>
      <c r="V152" s="137">
        <v>340.0</v>
      </c>
      <c r="W152" s="137">
        <v>719.0</v>
      </c>
      <c r="X152" s="137">
        <v>542.0</v>
      </c>
      <c r="Y152" s="134">
        <v>1226.0</v>
      </c>
      <c r="Z152" s="137">
        <v>803.0</v>
      </c>
      <c r="AA152" s="134">
        <v>1929.0</v>
      </c>
      <c r="AB152" s="134">
        <v>1070.0</v>
      </c>
      <c r="AC152" s="134">
        <v>2355.0</v>
      </c>
      <c r="AD152" s="134">
        <v>1319.0</v>
      </c>
      <c r="AE152" s="134">
        <v>2695.0</v>
      </c>
      <c r="AF152" s="134">
        <v>1430.0</v>
      </c>
      <c r="AG152" s="134">
        <v>2519.0</v>
      </c>
      <c r="AH152" s="134">
        <v>1512.0</v>
      </c>
      <c r="AI152" s="134">
        <v>2417.0</v>
      </c>
      <c r="AJ152" s="134">
        <v>1032.0</v>
      </c>
      <c r="AK152" s="134">
        <v>1744.0</v>
      </c>
      <c r="AL152" s="137">
        <v>867.0</v>
      </c>
      <c r="AM152" s="134">
        <v>1602.0</v>
      </c>
      <c r="AN152" s="134">
        <v>27671.0</v>
      </c>
    </row>
    <row r="153">
      <c r="A153" s="104"/>
      <c r="B153" s="136" t="s">
        <v>201</v>
      </c>
      <c r="C153" s="134">
        <v>5515.0</v>
      </c>
      <c r="D153" s="134">
        <v>2287.0</v>
      </c>
      <c r="E153" s="134">
        <v>3228.0</v>
      </c>
      <c r="F153" s="135">
        <v>0.0</v>
      </c>
      <c r="G153" s="135">
        <v>0.0</v>
      </c>
      <c r="H153" s="135">
        <v>0.0</v>
      </c>
      <c r="I153" s="135">
        <v>0.0</v>
      </c>
      <c r="J153" s="135">
        <v>0.0</v>
      </c>
      <c r="K153" s="135">
        <v>0.0</v>
      </c>
      <c r="L153" s="137">
        <v>0.0</v>
      </c>
      <c r="M153" s="137">
        <v>9.0</v>
      </c>
      <c r="N153" s="137">
        <v>3.0</v>
      </c>
      <c r="O153" s="137">
        <v>13.0</v>
      </c>
      <c r="P153" s="137">
        <v>5.0</v>
      </c>
      <c r="Q153" s="137">
        <v>28.0</v>
      </c>
      <c r="R153" s="137">
        <v>23.0</v>
      </c>
      <c r="S153" s="137">
        <v>49.0</v>
      </c>
      <c r="T153" s="137">
        <v>37.0</v>
      </c>
      <c r="U153" s="137">
        <v>66.0</v>
      </c>
      <c r="V153" s="137">
        <v>65.0</v>
      </c>
      <c r="W153" s="137">
        <v>103.0</v>
      </c>
      <c r="X153" s="137">
        <v>113.0</v>
      </c>
      <c r="Y153" s="137">
        <v>273.0</v>
      </c>
      <c r="Z153" s="137">
        <v>230.0</v>
      </c>
      <c r="AA153" s="137">
        <v>298.0</v>
      </c>
      <c r="AB153" s="137">
        <v>338.0</v>
      </c>
      <c r="AC153" s="137">
        <v>469.0</v>
      </c>
      <c r="AD153" s="137">
        <v>325.0</v>
      </c>
      <c r="AE153" s="137">
        <v>489.0</v>
      </c>
      <c r="AF153" s="137">
        <v>275.0</v>
      </c>
      <c r="AG153" s="137">
        <v>338.0</v>
      </c>
      <c r="AH153" s="137">
        <v>321.0</v>
      </c>
      <c r="AI153" s="137">
        <v>345.0</v>
      </c>
      <c r="AJ153" s="137">
        <v>152.0</v>
      </c>
      <c r="AK153" s="137">
        <v>376.0</v>
      </c>
      <c r="AL153" s="137">
        <v>400.0</v>
      </c>
      <c r="AM153" s="137">
        <v>372.0</v>
      </c>
      <c r="AN153" s="134">
        <v>5515.0</v>
      </c>
    </row>
    <row r="154">
      <c r="A154" s="132" t="s">
        <v>202</v>
      </c>
      <c r="B154" s="136" t="s">
        <v>198</v>
      </c>
      <c r="C154" s="137">
        <v>271.0</v>
      </c>
      <c r="D154" s="137">
        <v>136.0</v>
      </c>
      <c r="E154" s="137">
        <v>135.0</v>
      </c>
      <c r="F154" s="137">
        <v>1.0</v>
      </c>
      <c r="G154" s="137">
        <v>5.0</v>
      </c>
      <c r="H154" s="137">
        <v>1.0</v>
      </c>
      <c r="I154" s="137">
        <v>7.0</v>
      </c>
      <c r="J154" s="137">
        <v>5.0</v>
      </c>
      <c r="K154" s="137">
        <v>3.0</v>
      </c>
      <c r="L154" s="137">
        <v>0.0</v>
      </c>
      <c r="M154" s="137">
        <v>10.0</v>
      </c>
      <c r="N154" s="137">
        <v>7.0</v>
      </c>
      <c r="O154" s="137">
        <v>6.0</v>
      </c>
      <c r="P154" s="137">
        <v>12.0</v>
      </c>
      <c r="Q154" s="137">
        <v>2.0</v>
      </c>
      <c r="R154" s="137">
        <v>2.0</v>
      </c>
      <c r="S154" s="137">
        <v>19.0</v>
      </c>
      <c r="T154" s="137">
        <v>15.0</v>
      </c>
      <c r="U154" s="137">
        <v>2.0</v>
      </c>
      <c r="V154" s="137">
        <v>11.0</v>
      </c>
      <c r="W154" s="137">
        <v>4.0</v>
      </c>
      <c r="X154" s="137">
        <v>14.0</v>
      </c>
      <c r="Y154" s="137">
        <v>8.0</v>
      </c>
      <c r="Z154" s="137">
        <v>10.0</v>
      </c>
      <c r="AA154" s="137">
        <v>7.0</v>
      </c>
      <c r="AB154" s="137">
        <v>13.0</v>
      </c>
      <c r="AC154" s="137">
        <v>12.0</v>
      </c>
      <c r="AD154" s="137">
        <v>12.0</v>
      </c>
      <c r="AE154" s="137">
        <v>13.0</v>
      </c>
      <c r="AF154" s="137">
        <v>13.0</v>
      </c>
      <c r="AG154" s="137">
        <v>11.0</v>
      </c>
      <c r="AH154" s="137">
        <v>15.0</v>
      </c>
      <c r="AI154" s="137">
        <v>12.0</v>
      </c>
      <c r="AJ154" s="137">
        <v>2.0</v>
      </c>
      <c r="AK154" s="137">
        <v>3.0</v>
      </c>
      <c r="AL154" s="137">
        <v>3.0</v>
      </c>
      <c r="AM154" s="137">
        <v>11.0</v>
      </c>
      <c r="AN154" s="137">
        <v>271.0</v>
      </c>
    </row>
    <row r="155">
      <c r="A155" s="104"/>
      <c r="B155" s="136" t="s">
        <v>199</v>
      </c>
      <c r="C155" s="137">
        <v>220.0</v>
      </c>
      <c r="D155" s="137">
        <v>95.0</v>
      </c>
      <c r="E155" s="137">
        <v>125.0</v>
      </c>
      <c r="F155" s="137">
        <v>2.0</v>
      </c>
      <c r="G155" s="137">
        <v>52.0</v>
      </c>
      <c r="H155" s="137">
        <v>3.0</v>
      </c>
      <c r="I155" s="137">
        <v>19.0</v>
      </c>
      <c r="J155" s="137">
        <v>7.0</v>
      </c>
      <c r="K155" s="137">
        <v>3.0</v>
      </c>
      <c r="L155" s="137">
        <v>3.0</v>
      </c>
      <c r="M155" s="137">
        <v>2.0</v>
      </c>
      <c r="N155" s="137">
        <v>5.0</v>
      </c>
      <c r="O155" s="137">
        <v>1.0</v>
      </c>
      <c r="P155" s="137">
        <v>12.0</v>
      </c>
      <c r="Q155" s="137">
        <v>3.0</v>
      </c>
      <c r="R155" s="137">
        <v>0.0</v>
      </c>
      <c r="S155" s="137">
        <v>5.0</v>
      </c>
      <c r="T155" s="137">
        <v>7.0</v>
      </c>
      <c r="U155" s="137">
        <v>3.0</v>
      </c>
      <c r="V155" s="137">
        <v>7.0</v>
      </c>
      <c r="W155" s="137">
        <v>1.0</v>
      </c>
      <c r="X155" s="137">
        <v>5.0</v>
      </c>
      <c r="Y155" s="137">
        <v>4.0</v>
      </c>
      <c r="Z155" s="137">
        <v>4.0</v>
      </c>
      <c r="AA155" s="137">
        <v>9.0</v>
      </c>
      <c r="AB155" s="137">
        <v>15.0</v>
      </c>
      <c r="AC155" s="137">
        <v>3.0</v>
      </c>
      <c r="AD155" s="137">
        <v>6.0</v>
      </c>
      <c r="AE155" s="137">
        <v>6.0</v>
      </c>
      <c r="AF155" s="137">
        <v>3.0</v>
      </c>
      <c r="AG155" s="137">
        <v>9.0</v>
      </c>
      <c r="AH155" s="137">
        <v>2.0</v>
      </c>
      <c r="AI155" s="137">
        <v>2.0</v>
      </c>
      <c r="AJ155" s="137">
        <v>10.0</v>
      </c>
      <c r="AK155" s="137">
        <v>1.0</v>
      </c>
      <c r="AL155" s="137">
        <v>4.0</v>
      </c>
      <c r="AM155" s="137">
        <v>2.0</v>
      </c>
      <c r="AN155" s="137">
        <v>220.0</v>
      </c>
    </row>
    <row r="156">
      <c r="A156" s="132" t="s">
        <v>203</v>
      </c>
      <c r="B156" s="136" t="s">
        <v>198</v>
      </c>
      <c r="C156" s="137">
        <v>20.0</v>
      </c>
      <c r="D156" s="137">
        <v>6.0</v>
      </c>
      <c r="E156" s="137">
        <v>14.0</v>
      </c>
      <c r="F156" s="135">
        <v>0.0</v>
      </c>
      <c r="G156" s="135">
        <v>0.0</v>
      </c>
      <c r="H156" s="135">
        <v>0.0</v>
      </c>
      <c r="I156" s="135">
        <v>0.0</v>
      </c>
      <c r="J156" s="135">
        <v>0.0</v>
      </c>
      <c r="K156" s="135">
        <v>0.0</v>
      </c>
      <c r="L156" s="135">
        <v>0.0</v>
      </c>
      <c r="M156" s="135">
        <v>0.0</v>
      </c>
      <c r="N156" s="135">
        <v>0.0</v>
      </c>
      <c r="O156" s="135">
        <v>0.0</v>
      </c>
      <c r="P156" s="135">
        <v>0.0</v>
      </c>
      <c r="Q156" s="135">
        <v>0.0</v>
      </c>
      <c r="R156" s="135">
        <v>0.0</v>
      </c>
      <c r="S156" s="135">
        <v>0.0</v>
      </c>
      <c r="T156" s="135">
        <v>0.0</v>
      </c>
      <c r="U156" s="135">
        <v>0.0</v>
      </c>
      <c r="V156" s="135">
        <v>0.0</v>
      </c>
      <c r="W156" s="135">
        <v>0.0</v>
      </c>
      <c r="X156" s="135">
        <v>0.0</v>
      </c>
      <c r="Y156" s="135">
        <v>0.0</v>
      </c>
      <c r="Z156" s="135">
        <v>0.0</v>
      </c>
      <c r="AA156" s="135">
        <v>0.0</v>
      </c>
      <c r="AB156" s="135">
        <v>0.0</v>
      </c>
      <c r="AC156" s="135">
        <v>0.0</v>
      </c>
      <c r="AD156" s="135">
        <v>0.0</v>
      </c>
      <c r="AE156" s="135">
        <v>0.0</v>
      </c>
      <c r="AF156" s="137">
        <v>0.0</v>
      </c>
      <c r="AG156" s="137">
        <v>5.0</v>
      </c>
      <c r="AH156" s="137">
        <v>1.0</v>
      </c>
      <c r="AI156" s="137">
        <v>4.0</v>
      </c>
      <c r="AJ156" s="137">
        <v>5.0</v>
      </c>
      <c r="AK156" s="137">
        <v>2.0</v>
      </c>
      <c r="AL156" s="137">
        <v>0.0</v>
      </c>
      <c r="AM156" s="137">
        <v>3.0</v>
      </c>
      <c r="AN156" s="137">
        <v>20.0</v>
      </c>
    </row>
    <row r="157">
      <c r="A157" s="104"/>
      <c r="B157" s="136" t="s">
        <v>199</v>
      </c>
      <c r="C157" s="137">
        <v>442.0</v>
      </c>
      <c r="D157" s="137">
        <v>154.0</v>
      </c>
      <c r="E157" s="137">
        <v>288.0</v>
      </c>
      <c r="F157" s="135">
        <v>0.0</v>
      </c>
      <c r="G157" s="135">
        <v>0.0</v>
      </c>
      <c r="H157" s="135">
        <v>0.0</v>
      </c>
      <c r="I157" s="135">
        <v>0.0</v>
      </c>
      <c r="J157" s="135">
        <v>0.0</v>
      </c>
      <c r="K157" s="135">
        <v>0.0</v>
      </c>
      <c r="L157" s="135">
        <v>0.0</v>
      </c>
      <c r="M157" s="135">
        <v>0.0</v>
      </c>
      <c r="N157" s="135">
        <v>0.0</v>
      </c>
      <c r="O157" s="135">
        <v>0.0</v>
      </c>
      <c r="P157" s="135">
        <v>0.0</v>
      </c>
      <c r="Q157" s="135">
        <v>0.0</v>
      </c>
      <c r="R157" s="135">
        <v>0.0</v>
      </c>
      <c r="S157" s="135">
        <v>0.0</v>
      </c>
      <c r="T157" s="135">
        <v>0.0</v>
      </c>
      <c r="U157" s="135">
        <v>0.0</v>
      </c>
      <c r="V157" s="135">
        <v>0.0</v>
      </c>
      <c r="W157" s="135">
        <v>0.0</v>
      </c>
      <c r="X157" s="135">
        <v>0.0</v>
      </c>
      <c r="Y157" s="135">
        <v>0.0</v>
      </c>
      <c r="Z157" s="135">
        <v>0.0</v>
      </c>
      <c r="AA157" s="135">
        <v>0.0</v>
      </c>
      <c r="AB157" s="135">
        <v>0.0</v>
      </c>
      <c r="AC157" s="135">
        <v>0.0</v>
      </c>
      <c r="AD157" s="135">
        <v>0.0</v>
      </c>
      <c r="AE157" s="135">
        <v>0.0</v>
      </c>
      <c r="AF157" s="137">
        <v>30.0</v>
      </c>
      <c r="AG157" s="137">
        <v>58.0</v>
      </c>
      <c r="AH157" s="137">
        <v>54.0</v>
      </c>
      <c r="AI157" s="137">
        <v>92.0</v>
      </c>
      <c r="AJ157" s="137">
        <v>39.0</v>
      </c>
      <c r="AK157" s="137">
        <v>60.0</v>
      </c>
      <c r="AL157" s="137">
        <v>31.0</v>
      </c>
      <c r="AM157" s="137">
        <v>78.0</v>
      </c>
      <c r="AN157" s="137">
        <v>436.0</v>
      </c>
    </row>
    <row r="158">
      <c r="A158" s="132" t="s">
        <v>204</v>
      </c>
      <c r="B158" s="136" t="s">
        <v>198</v>
      </c>
      <c r="C158" s="137">
        <v>21.0</v>
      </c>
      <c r="D158" s="137">
        <v>9.0</v>
      </c>
      <c r="E158" s="137">
        <v>12.0</v>
      </c>
      <c r="F158" s="135">
        <v>0.0</v>
      </c>
      <c r="G158" s="135">
        <v>0.0</v>
      </c>
      <c r="H158" s="135">
        <v>0.0</v>
      </c>
      <c r="I158" s="135">
        <v>0.0</v>
      </c>
      <c r="J158" s="135">
        <v>0.0</v>
      </c>
      <c r="K158" s="135">
        <v>0.0</v>
      </c>
      <c r="L158" s="135">
        <v>0.0</v>
      </c>
      <c r="M158" s="135">
        <v>0.0</v>
      </c>
      <c r="N158" s="135">
        <v>0.0</v>
      </c>
      <c r="O158" s="135">
        <v>0.0</v>
      </c>
      <c r="P158" s="135">
        <v>0.0</v>
      </c>
      <c r="Q158" s="135">
        <v>0.0</v>
      </c>
      <c r="R158" s="135">
        <v>0.0</v>
      </c>
      <c r="S158" s="135">
        <v>0.0</v>
      </c>
      <c r="T158" s="135">
        <v>0.0</v>
      </c>
      <c r="U158" s="135">
        <v>0.0</v>
      </c>
      <c r="V158" s="135">
        <v>0.0</v>
      </c>
      <c r="W158" s="135">
        <v>0.0</v>
      </c>
      <c r="X158" s="135">
        <v>0.0</v>
      </c>
      <c r="Y158" s="135">
        <v>0.0</v>
      </c>
      <c r="Z158" s="135">
        <v>0.0</v>
      </c>
      <c r="AA158" s="135">
        <v>0.0</v>
      </c>
      <c r="AB158" s="135">
        <v>0.0</v>
      </c>
      <c r="AC158" s="135">
        <v>0.0</v>
      </c>
      <c r="AD158" s="135">
        <v>0.0</v>
      </c>
      <c r="AE158" s="135">
        <v>0.0</v>
      </c>
      <c r="AF158" s="137">
        <v>1.0</v>
      </c>
      <c r="AG158" s="137">
        <v>1.0</v>
      </c>
      <c r="AH158" s="137">
        <v>0.0</v>
      </c>
      <c r="AI158" s="137">
        <v>1.0</v>
      </c>
      <c r="AJ158" s="137">
        <v>3.0</v>
      </c>
      <c r="AK158" s="137">
        <v>4.0</v>
      </c>
      <c r="AL158" s="137">
        <v>5.0</v>
      </c>
      <c r="AM158" s="137">
        <v>6.0</v>
      </c>
      <c r="AN158" s="137">
        <v>21.0</v>
      </c>
    </row>
    <row r="159">
      <c r="A159" s="104"/>
      <c r="B159" s="136" t="s">
        <v>199</v>
      </c>
      <c r="C159" s="137">
        <v>315.0</v>
      </c>
      <c r="D159" s="137">
        <v>99.0</v>
      </c>
      <c r="E159" s="137">
        <v>216.0</v>
      </c>
      <c r="F159" s="135">
        <v>0.0</v>
      </c>
      <c r="G159" s="135">
        <v>0.0</v>
      </c>
      <c r="H159" s="135">
        <v>0.0</v>
      </c>
      <c r="I159" s="135">
        <v>0.0</v>
      </c>
      <c r="J159" s="135">
        <v>0.0</v>
      </c>
      <c r="K159" s="135">
        <v>0.0</v>
      </c>
      <c r="L159" s="135">
        <v>0.0</v>
      </c>
      <c r="M159" s="135">
        <v>0.0</v>
      </c>
      <c r="N159" s="135">
        <v>0.0</v>
      </c>
      <c r="O159" s="135">
        <v>0.0</v>
      </c>
      <c r="P159" s="135">
        <v>0.0</v>
      </c>
      <c r="Q159" s="135">
        <v>0.0</v>
      </c>
      <c r="R159" s="135">
        <v>0.0</v>
      </c>
      <c r="S159" s="135">
        <v>0.0</v>
      </c>
      <c r="T159" s="135">
        <v>0.0</v>
      </c>
      <c r="U159" s="135">
        <v>0.0</v>
      </c>
      <c r="V159" s="135">
        <v>0.0</v>
      </c>
      <c r="W159" s="135">
        <v>0.0</v>
      </c>
      <c r="X159" s="135">
        <v>0.0</v>
      </c>
      <c r="Y159" s="135">
        <v>0.0</v>
      </c>
      <c r="Z159" s="135">
        <v>0.0</v>
      </c>
      <c r="AA159" s="135">
        <v>0.0</v>
      </c>
      <c r="AB159" s="135">
        <v>0.0</v>
      </c>
      <c r="AC159" s="135">
        <v>0.0</v>
      </c>
      <c r="AD159" s="135">
        <v>0.0</v>
      </c>
      <c r="AE159" s="135">
        <v>0.0</v>
      </c>
      <c r="AF159" s="137">
        <v>8.0</v>
      </c>
      <c r="AG159" s="137">
        <v>23.0</v>
      </c>
      <c r="AH159" s="137">
        <v>24.0</v>
      </c>
      <c r="AI159" s="137">
        <v>46.0</v>
      </c>
      <c r="AJ159" s="137">
        <v>31.0</v>
      </c>
      <c r="AK159" s="137">
        <v>57.0</v>
      </c>
      <c r="AL159" s="137">
        <v>36.0</v>
      </c>
      <c r="AM159" s="137">
        <v>90.0</v>
      </c>
      <c r="AN159" s="137">
        <v>310.0</v>
      </c>
    </row>
    <row r="160">
      <c r="A160" s="132" t="s">
        <v>205</v>
      </c>
      <c r="B160" s="136" t="s">
        <v>198</v>
      </c>
      <c r="C160" s="137">
        <v>6.0</v>
      </c>
      <c r="D160" s="137">
        <v>3.0</v>
      </c>
      <c r="E160" s="137">
        <v>3.0</v>
      </c>
      <c r="F160" s="137">
        <v>0.0</v>
      </c>
      <c r="G160" s="137">
        <v>0.0</v>
      </c>
      <c r="H160" s="137">
        <v>0.0</v>
      </c>
      <c r="I160" s="137">
        <v>0.0</v>
      </c>
      <c r="J160" s="137">
        <v>0.0</v>
      </c>
      <c r="K160" s="137">
        <v>0.0</v>
      </c>
      <c r="L160" s="137">
        <v>0.0</v>
      </c>
      <c r="M160" s="137">
        <v>0.0</v>
      </c>
      <c r="N160" s="137">
        <v>2.0</v>
      </c>
      <c r="O160" s="137">
        <v>1.0</v>
      </c>
      <c r="P160" s="137">
        <v>0.0</v>
      </c>
      <c r="Q160" s="137">
        <v>0.0</v>
      </c>
      <c r="R160" s="137">
        <v>0.0</v>
      </c>
      <c r="S160" s="137">
        <v>1.0</v>
      </c>
      <c r="T160" s="137">
        <v>0.0</v>
      </c>
      <c r="U160" s="137">
        <v>0.0</v>
      </c>
      <c r="V160" s="137">
        <v>0.0</v>
      </c>
      <c r="W160" s="137">
        <v>0.0</v>
      </c>
      <c r="X160" s="137">
        <v>0.0</v>
      </c>
      <c r="Y160" s="137">
        <v>1.0</v>
      </c>
      <c r="Z160" s="137">
        <v>0.0</v>
      </c>
      <c r="AA160" s="137">
        <v>0.0</v>
      </c>
      <c r="AB160" s="137">
        <v>0.0</v>
      </c>
      <c r="AC160" s="137">
        <v>0.0</v>
      </c>
      <c r="AD160" s="137">
        <v>0.0</v>
      </c>
      <c r="AE160" s="137">
        <v>0.0</v>
      </c>
      <c r="AF160" s="137">
        <v>0.0</v>
      </c>
      <c r="AG160" s="137">
        <v>0.0</v>
      </c>
      <c r="AH160" s="137">
        <v>0.0</v>
      </c>
      <c r="AI160" s="137">
        <v>0.0</v>
      </c>
      <c r="AJ160" s="137">
        <v>1.0</v>
      </c>
      <c r="AK160" s="137">
        <v>0.0</v>
      </c>
      <c r="AL160" s="137">
        <v>0.0</v>
      </c>
      <c r="AM160" s="137">
        <v>0.0</v>
      </c>
      <c r="AN160" s="137">
        <v>6.0</v>
      </c>
    </row>
    <row r="161">
      <c r="A161" s="98"/>
      <c r="B161" s="136" t="s">
        <v>199</v>
      </c>
      <c r="C161" s="137">
        <v>5.0</v>
      </c>
      <c r="D161" s="137">
        <v>1.0</v>
      </c>
      <c r="E161" s="137">
        <v>4.0</v>
      </c>
      <c r="F161" s="137">
        <v>0.0</v>
      </c>
      <c r="G161" s="137">
        <v>0.0</v>
      </c>
      <c r="H161" s="137">
        <v>0.0</v>
      </c>
      <c r="I161" s="137">
        <v>0.0</v>
      </c>
      <c r="J161" s="137">
        <v>0.0</v>
      </c>
      <c r="K161" s="137">
        <v>0.0</v>
      </c>
      <c r="L161" s="137">
        <v>0.0</v>
      </c>
      <c r="M161" s="137">
        <v>0.0</v>
      </c>
      <c r="N161" s="137">
        <v>0.0</v>
      </c>
      <c r="O161" s="137">
        <v>0.0</v>
      </c>
      <c r="P161" s="137">
        <v>0.0</v>
      </c>
      <c r="Q161" s="137">
        <v>0.0</v>
      </c>
      <c r="R161" s="137">
        <v>0.0</v>
      </c>
      <c r="S161" s="137">
        <v>0.0</v>
      </c>
      <c r="T161" s="137">
        <v>0.0</v>
      </c>
      <c r="U161" s="137">
        <v>0.0</v>
      </c>
      <c r="V161" s="137">
        <v>0.0</v>
      </c>
      <c r="W161" s="137">
        <v>0.0</v>
      </c>
      <c r="X161" s="137">
        <v>0.0</v>
      </c>
      <c r="Y161" s="137">
        <v>0.0</v>
      </c>
      <c r="Z161" s="137">
        <v>0.0</v>
      </c>
      <c r="AA161" s="137">
        <v>0.0</v>
      </c>
      <c r="AB161" s="137">
        <v>0.0</v>
      </c>
      <c r="AC161" s="137">
        <v>0.0</v>
      </c>
      <c r="AD161" s="137">
        <v>0.0</v>
      </c>
      <c r="AE161" s="137">
        <v>0.0</v>
      </c>
      <c r="AF161" s="137">
        <v>1.0</v>
      </c>
      <c r="AG161" s="137">
        <v>4.0</v>
      </c>
      <c r="AH161" s="137">
        <v>0.0</v>
      </c>
      <c r="AI161" s="137">
        <v>0.0</v>
      </c>
      <c r="AJ161" s="137">
        <v>0.0</v>
      </c>
      <c r="AK161" s="137">
        <v>0.0</v>
      </c>
      <c r="AL161" s="137">
        <v>0.0</v>
      </c>
      <c r="AM161" s="137">
        <v>0.0</v>
      </c>
      <c r="AN161" s="137">
        <v>5.0</v>
      </c>
    </row>
    <row r="162">
      <c r="A162" s="104"/>
      <c r="B162" s="136" t="s">
        <v>206</v>
      </c>
      <c r="C162" s="137">
        <v>13.0</v>
      </c>
      <c r="D162" s="137">
        <v>2.0</v>
      </c>
      <c r="E162" s="137">
        <v>11.0</v>
      </c>
      <c r="F162" s="137">
        <v>0.0</v>
      </c>
      <c r="G162" s="137">
        <v>0.0</v>
      </c>
      <c r="H162" s="137">
        <v>0.0</v>
      </c>
      <c r="I162" s="137">
        <v>0.0</v>
      </c>
      <c r="J162" s="137">
        <v>0.0</v>
      </c>
      <c r="K162" s="137">
        <v>0.0</v>
      </c>
      <c r="L162" s="137">
        <v>0.0</v>
      </c>
      <c r="M162" s="137">
        <v>4.0</v>
      </c>
      <c r="N162" s="137">
        <v>0.0</v>
      </c>
      <c r="O162" s="137">
        <v>0.0</v>
      </c>
      <c r="P162" s="137">
        <v>0.0</v>
      </c>
      <c r="Q162" s="137">
        <v>0.0</v>
      </c>
      <c r="R162" s="137">
        <v>0.0</v>
      </c>
      <c r="S162" s="137">
        <v>1.0</v>
      </c>
      <c r="T162" s="137">
        <v>0.0</v>
      </c>
      <c r="U162" s="137">
        <v>1.0</v>
      </c>
      <c r="V162" s="137">
        <v>1.0</v>
      </c>
      <c r="W162" s="137">
        <v>1.0</v>
      </c>
      <c r="X162" s="137">
        <v>0.0</v>
      </c>
      <c r="Y162" s="137">
        <v>2.0</v>
      </c>
      <c r="Z162" s="137">
        <v>0.0</v>
      </c>
      <c r="AA162" s="137">
        <v>0.0</v>
      </c>
      <c r="AB162" s="137">
        <v>0.0</v>
      </c>
      <c r="AC162" s="137">
        <v>1.0</v>
      </c>
      <c r="AD162" s="137">
        <v>0.0</v>
      </c>
      <c r="AE162" s="137">
        <v>0.0</v>
      </c>
      <c r="AF162" s="137">
        <v>0.0</v>
      </c>
      <c r="AG162" s="137">
        <v>0.0</v>
      </c>
      <c r="AH162" s="137">
        <v>0.0</v>
      </c>
      <c r="AI162" s="137">
        <v>0.0</v>
      </c>
      <c r="AJ162" s="137">
        <v>1.0</v>
      </c>
      <c r="AK162" s="137">
        <v>1.0</v>
      </c>
      <c r="AL162" s="137">
        <v>0.0</v>
      </c>
      <c r="AM162" s="137">
        <v>0.0</v>
      </c>
      <c r="AN162" s="137">
        <v>13.0</v>
      </c>
    </row>
    <row r="163">
      <c r="A163" s="132" t="s">
        <v>207</v>
      </c>
      <c r="B163" s="136" t="s">
        <v>198</v>
      </c>
      <c r="C163" s="134">
        <v>23457.0</v>
      </c>
      <c r="D163" s="134">
        <v>6839.0</v>
      </c>
      <c r="E163" s="134">
        <v>16618.0</v>
      </c>
      <c r="F163" s="137">
        <v>458.0</v>
      </c>
      <c r="G163" s="137">
        <v>355.0</v>
      </c>
      <c r="H163" s="137">
        <v>283.0</v>
      </c>
      <c r="I163" s="137">
        <v>252.0</v>
      </c>
      <c r="J163" s="137">
        <v>277.0</v>
      </c>
      <c r="K163" s="137">
        <v>239.0</v>
      </c>
      <c r="L163" s="137">
        <v>340.0</v>
      </c>
      <c r="M163" s="137">
        <v>381.0</v>
      </c>
      <c r="N163" s="137">
        <v>179.0</v>
      </c>
      <c r="O163" s="137">
        <v>474.0</v>
      </c>
      <c r="P163" s="137">
        <v>224.0</v>
      </c>
      <c r="Q163" s="137">
        <v>765.0</v>
      </c>
      <c r="R163" s="137">
        <v>233.0</v>
      </c>
      <c r="S163" s="137">
        <v>866.0</v>
      </c>
      <c r="T163" s="137">
        <v>222.0</v>
      </c>
      <c r="U163" s="137">
        <v>881.0</v>
      </c>
      <c r="V163" s="137">
        <v>238.0</v>
      </c>
      <c r="W163" s="137">
        <v>890.0</v>
      </c>
      <c r="X163" s="137">
        <v>298.0</v>
      </c>
      <c r="Y163" s="134">
        <v>1146.0</v>
      </c>
      <c r="Z163" s="137">
        <v>484.0</v>
      </c>
      <c r="AA163" s="134">
        <v>1553.0</v>
      </c>
      <c r="AB163" s="137">
        <v>613.0</v>
      </c>
      <c r="AC163" s="134">
        <v>1739.0</v>
      </c>
      <c r="AD163" s="137">
        <v>605.0</v>
      </c>
      <c r="AE163" s="134">
        <v>1697.0</v>
      </c>
      <c r="AF163" s="137">
        <v>607.0</v>
      </c>
      <c r="AG163" s="134">
        <v>1630.0</v>
      </c>
      <c r="AH163" s="137">
        <v>667.0</v>
      </c>
      <c r="AI163" s="134">
        <v>1437.0</v>
      </c>
      <c r="AJ163" s="137">
        <v>540.0</v>
      </c>
      <c r="AK163" s="134">
        <v>1109.0</v>
      </c>
      <c r="AL163" s="137">
        <v>571.0</v>
      </c>
      <c r="AM163" s="134">
        <v>1204.0</v>
      </c>
      <c r="AN163" s="134">
        <v>23405.0</v>
      </c>
    </row>
    <row r="164">
      <c r="A164" s="98"/>
      <c r="B164" s="136" t="s">
        <v>199</v>
      </c>
      <c r="C164" s="134">
        <v>2695.0</v>
      </c>
      <c r="D164" s="137">
        <v>959.0</v>
      </c>
      <c r="E164" s="134">
        <v>1736.0</v>
      </c>
      <c r="F164" s="137">
        <v>69.0</v>
      </c>
      <c r="G164" s="137">
        <v>65.0</v>
      </c>
      <c r="H164" s="137">
        <v>22.0</v>
      </c>
      <c r="I164" s="137">
        <v>16.0</v>
      </c>
      <c r="J164" s="137">
        <v>22.0</v>
      </c>
      <c r="K164" s="137">
        <v>20.0</v>
      </c>
      <c r="L164" s="137">
        <v>4.0</v>
      </c>
      <c r="M164" s="137">
        <v>12.0</v>
      </c>
      <c r="N164" s="137">
        <v>4.0</v>
      </c>
      <c r="O164" s="137">
        <v>10.0</v>
      </c>
      <c r="P164" s="137">
        <v>49.0</v>
      </c>
      <c r="Q164" s="137">
        <v>91.0</v>
      </c>
      <c r="R164" s="137">
        <v>51.0</v>
      </c>
      <c r="S164" s="137">
        <v>114.0</v>
      </c>
      <c r="T164" s="137">
        <v>46.0</v>
      </c>
      <c r="U164" s="137">
        <v>116.0</v>
      </c>
      <c r="V164" s="137">
        <v>17.0</v>
      </c>
      <c r="W164" s="137">
        <v>53.0</v>
      </c>
      <c r="X164" s="137">
        <v>16.0</v>
      </c>
      <c r="Y164" s="137">
        <v>72.0</v>
      </c>
      <c r="Z164" s="137">
        <v>31.0</v>
      </c>
      <c r="AA164" s="137">
        <v>127.0</v>
      </c>
      <c r="AB164" s="137">
        <v>55.0</v>
      </c>
      <c r="AC164" s="137">
        <v>116.0</v>
      </c>
      <c r="AD164" s="137">
        <v>92.0</v>
      </c>
      <c r="AE164" s="137">
        <v>158.0</v>
      </c>
      <c r="AF164" s="137">
        <v>114.0</v>
      </c>
      <c r="AG164" s="137">
        <v>196.0</v>
      </c>
      <c r="AH164" s="137">
        <v>209.0</v>
      </c>
      <c r="AI164" s="137">
        <v>181.0</v>
      </c>
      <c r="AJ164" s="137">
        <v>98.0</v>
      </c>
      <c r="AK164" s="137">
        <v>152.0</v>
      </c>
      <c r="AL164" s="137">
        <v>60.0</v>
      </c>
      <c r="AM164" s="137">
        <v>237.0</v>
      </c>
      <c r="AN164" s="134">
        <v>2684.0</v>
      </c>
    </row>
    <row r="165">
      <c r="A165" s="98"/>
      <c r="B165" s="136" t="s">
        <v>206</v>
      </c>
      <c r="C165" s="137">
        <v>495.0</v>
      </c>
      <c r="D165" s="137">
        <v>171.0</v>
      </c>
      <c r="E165" s="137">
        <v>324.0</v>
      </c>
      <c r="F165" s="137">
        <v>113.0</v>
      </c>
      <c r="G165" s="137">
        <v>132.0</v>
      </c>
      <c r="H165" s="137">
        <v>0.0</v>
      </c>
      <c r="I165" s="137">
        <v>1.0</v>
      </c>
      <c r="J165" s="137">
        <v>21.0</v>
      </c>
      <c r="K165" s="137">
        <v>47.0</v>
      </c>
      <c r="L165" s="137">
        <v>5.0</v>
      </c>
      <c r="M165" s="137">
        <v>21.0</v>
      </c>
      <c r="N165" s="137">
        <v>8.0</v>
      </c>
      <c r="O165" s="137">
        <v>11.0</v>
      </c>
      <c r="P165" s="137">
        <v>8.0</v>
      </c>
      <c r="Q165" s="137">
        <v>28.0</v>
      </c>
      <c r="R165" s="137">
        <v>4.0</v>
      </c>
      <c r="S165" s="137">
        <v>17.0</v>
      </c>
      <c r="T165" s="137">
        <v>3.0</v>
      </c>
      <c r="U165" s="137">
        <v>22.0</v>
      </c>
      <c r="V165" s="137">
        <v>1.0</v>
      </c>
      <c r="W165" s="137">
        <v>14.0</v>
      </c>
      <c r="X165" s="137">
        <v>2.0</v>
      </c>
      <c r="Y165" s="137">
        <v>9.0</v>
      </c>
      <c r="Z165" s="137">
        <v>2.0</v>
      </c>
      <c r="AA165" s="137">
        <v>8.0</v>
      </c>
      <c r="AB165" s="137">
        <v>1.0</v>
      </c>
      <c r="AC165" s="137">
        <v>5.0</v>
      </c>
      <c r="AD165" s="137">
        <v>1.0</v>
      </c>
      <c r="AE165" s="137">
        <v>7.0</v>
      </c>
      <c r="AF165" s="137">
        <v>2.0</v>
      </c>
      <c r="AG165" s="137">
        <v>1.0</v>
      </c>
      <c r="AH165" s="137">
        <v>0.0</v>
      </c>
      <c r="AI165" s="137">
        <v>1.0</v>
      </c>
      <c r="AJ165" s="137">
        <v>0.0</v>
      </c>
      <c r="AK165" s="137">
        <v>0.0</v>
      </c>
      <c r="AL165" s="137">
        <v>0.0</v>
      </c>
      <c r="AM165" s="137">
        <v>0.0</v>
      </c>
      <c r="AN165" s="137">
        <v>495.0</v>
      </c>
    </row>
    <row r="166">
      <c r="A166" s="98"/>
      <c r="B166" s="136" t="s">
        <v>200</v>
      </c>
      <c r="C166" s="134">
        <v>4217.0</v>
      </c>
      <c r="D166" s="134">
        <v>1513.0</v>
      </c>
      <c r="E166" s="134">
        <v>2704.0</v>
      </c>
      <c r="F166" s="137">
        <v>765.0</v>
      </c>
      <c r="G166" s="137">
        <v>721.0</v>
      </c>
      <c r="H166" s="137">
        <v>126.0</v>
      </c>
      <c r="I166" s="137">
        <v>156.0</v>
      </c>
      <c r="J166" s="137">
        <v>100.0</v>
      </c>
      <c r="K166" s="137">
        <v>150.0</v>
      </c>
      <c r="L166" s="137">
        <v>17.0</v>
      </c>
      <c r="M166" s="137">
        <v>108.0</v>
      </c>
      <c r="N166" s="137">
        <v>16.0</v>
      </c>
      <c r="O166" s="137">
        <v>112.0</v>
      </c>
      <c r="P166" s="137">
        <v>30.0</v>
      </c>
      <c r="Q166" s="137">
        <v>129.0</v>
      </c>
      <c r="R166" s="137">
        <v>41.0</v>
      </c>
      <c r="S166" s="137">
        <v>155.0</v>
      </c>
      <c r="T166" s="137">
        <v>24.0</v>
      </c>
      <c r="U166" s="137">
        <v>124.0</v>
      </c>
      <c r="V166" s="137">
        <v>34.0</v>
      </c>
      <c r="W166" s="137">
        <v>75.0</v>
      </c>
      <c r="X166" s="137">
        <v>19.0</v>
      </c>
      <c r="Y166" s="137">
        <v>150.0</v>
      </c>
      <c r="Z166" s="137">
        <v>33.0</v>
      </c>
      <c r="AA166" s="137">
        <v>156.0</v>
      </c>
      <c r="AB166" s="137">
        <v>47.0</v>
      </c>
      <c r="AC166" s="137">
        <v>98.0</v>
      </c>
      <c r="AD166" s="137">
        <v>55.0</v>
      </c>
      <c r="AE166" s="137">
        <v>101.0</v>
      </c>
      <c r="AF166" s="137">
        <v>43.0</v>
      </c>
      <c r="AG166" s="137">
        <v>116.0</v>
      </c>
      <c r="AH166" s="137">
        <v>61.0</v>
      </c>
      <c r="AI166" s="137">
        <v>108.0</v>
      </c>
      <c r="AJ166" s="137">
        <v>49.0</v>
      </c>
      <c r="AK166" s="137">
        <v>98.0</v>
      </c>
      <c r="AL166" s="137">
        <v>53.0</v>
      </c>
      <c r="AM166" s="137">
        <v>147.0</v>
      </c>
      <c r="AN166" s="134">
        <v>4157.0</v>
      </c>
    </row>
    <row r="167">
      <c r="A167" s="104"/>
      <c r="B167" s="136" t="s">
        <v>201</v>
      </c>
      <c r="C167" s="134">
        <v>4569.0</v>
      </c>
      <c r="D167" s="134">
        <v>1397.0</v>
      </c>
      <c r="E167" s="134">
        <v>3172.0</v>
      </c>
      <c r="F167" s="137">
        <v>70.0</v>
      </c>
      <c r="G167" s="137">
        <v>52.0</v>
      </c>
      <c r="H167" s="137">
        <v>59.0</v>
      </c>
      <c r="I167" s="137">
        <v>42.0</v>
      </c>
      <c r="J167" s="137">
        <v>42.0</v>
      </c>
      <c r="K167" s="137">
        <v>76.0</v>
      </c>
      <c r="L167" s="137">
        <v>30.0</v>
      </c>
      <c r="M167" s="137">
        <v>197.0</v>
      </c>
      <c r="N167" s="137">
        <v>29.0</v>
      </c>
      <c r="O167" s="137">
        <v>106.0</v>
      </c>
      <c r="P167" s="137">
        <v>20.0</v>
      </c>
      <c r="Q167" s="137">
        <v>158.0</v>
      </c>
      <c r="R167" s="137">
        <v>39.0</v>
      </c>
      <c r="S167" s="137">
        <v>258.0</v>
      </c>
      <c r="T167" s="137">
        <v>18.0</v>
      </c>
      <c r="U167" s="137">
        <v>171.0</v>
      </c>
      <c r="V167" s="137">
        <v>30.0</v>
      </c>
      <c r="W167" s="137">
        <v>216.0</v>
      </c>
      <c r="X167" s="137">
        <v>74.0</v>
      </c>
      <c r="Y167" s="137">
        <v>216.0</v>
      </c>
      <c r="Z167" s="137">
        <v>102.0</v>
      </c>
      <c r="AA167" s="137">
        <v>260.0</v>
      </c>
      <c r="AB167" s="137">
        <v>153.0</v>
      </c>
      <c r="AC167" s="137">
        <v>295.0</v>
      </c>
      <c r="AD167" s="137">
        <v>139.0</v>
      </c>
      <c r="AE167" s="137">
        <v>249.0</v>
      </c>
      <c r="AF167" s="137">
        <v>156.0</v>
      </c>
      <c r="AG167" s="137">
        <v>257.0</v>
      </c>
      <c r="AH167" s="137">
        <v>139.0</v>
      </c>
      <c r="AI167" s="137">
        <v>165.0</v>
      </c>
      <c r="AJ167" s="137">
        <v>127.0</v>
      </c>
      <c r="AK167" s="137">
        <v>239.0</v>
      </c>
      <c r="AL167" s="137">
        <v>170.0</v>
      </c>
      <c r="AM167" s="137">
        <v>215.0</v>
      </c>
      <c r="AN167" s="134">
        <v>4569.0</v>
      </c>
    </row>
    <row r="168">
      <c r="A168" s="132" t="s">
        <v>208</v>
      </c>
      <c r="B168" s="136" t="s">
        <v>198</v>
      </c>
      <c r="C168" s="137">
        <v>13.0</v>
      </c>
      <c r="D168" s="137">
        <v>10.0</v>
      </c>
      <c r="E168" s="137">
        <v>3.0</v>
      </c>
      <c r="F168" s="137">
        <v>7.0</v>
      </c>
      <c r="G168" s="137">
        <v>3.0</v>
      </c>
      <c r="H168" s="137">
        <v>1.0</v>
      </c>
      <c r="I168" s="137">
        <v>0.0</v>
      </c>
      <c r="J168" s="137">
        <v>1.0</v>
      </c>
      <c r="K168" s="137">
        <v>0.0</v>
      </c>
      <c r="L168" s="137">
        <v>0.0</v>
      </c>
      <c r="M168" s="137">
        <v>0.0</v>
      </c>
      <c r="N168" s="137">
        <v>1.0</v>
      </c>
      <c r="O168" s="137">
        <v>0.0</v>
      </c>
      <c r="P168" s="135">
        <v>0.0</v>
      </c>
      <c r="Q168" s="135">
        <v>0.0</v>
      </c>
      <c r="R168" s="135">
        <v>0.0</v>
      </c>
      <c r="S168" s="135">
        <v>0.0</v>
      </c>
      <c r="T168" s="135">
        <v>0.0</v>
      </c>
      <c r="U168" s="135">
        <v>0.0</v>
      </c>
      <c r="V168" s="135">
        <v>0.0</v>
      </c>
      <c r="W168" s="135">
        <v>0.0</v>
      </c>
      <c r="X168" s="135">
        <v>0.0</v>
      </c>
      <c r="Y168" s="135">
        <v>0.0</v>
      </c>
      <c r="Z168" s="135">
        <v>0.0</v>
      </c>
      <c r="AA168" s="135">
        <v>0.0</v>
      </c>
      <c r="AB168" s="135">
        <v>0.0</v>
      </c>
      <c r="AC168" s="135">
        <v>0.0</v>
      </c>
      <c r="AD168" s="135">
        <v>0.0</v>
      </c>
      <c r="AE168" s="135">
        <v>0.0</v>
      </c>
      <c r="AF168" s="135">
        <v>0.0</v>
      </c>
      <c r="AG168" s="135">
        <v>0.0</v>
      </c>
      <c r="AH168" s="135">
        <v>0.0</v>
      </c>
      <c r="AI168" s="135">
        <v>0.0</v>
      </c>
      <c r="AJ168" s="135">
        <v>0.0</v>
      </c>
      <c r="AK168" s="135">
        <v>0.0</v>
      </c>
      <c r="AL168" s="135">
        <v>0.0</v>
      </c>
      <c r="AM168" s="135">
        <v>0.0</v>
      </c>
      <c r="AN168" s="137">
        <v>13.0</v>
      </c>
    </row>
    <row r="169">
      <c r="A169" s="98"/>
      <c r="B169" s="136" t="s">
        <v>199</v>
      </c>
      <c r="C169" s="137">
        <v>65.0</v>
      </c>
      <c r="D169" s="137">
        <v>41.0</v>
      </c>
      <c r="E169" s="137">
        <v>24.0</v>
      </c>
      <c r="F169" s="137">
        <v>25.0</v>
      </c>
      <c r="G169" s="137">
        <v>15.0</v>
      </c>
      <c r="H169" s="137">
        <v>12.0</v>
      </c>
      <c r="I169" s="137">
        <v>5.0</v>
      </c>
      <c r="J169" s="137">
        <v>3.0</v>
      </c>
      <c r="K169" s="137">
        <v>1.0</v>
      </c>
      <c r="L169" s="137">
        <v>0.0</v>
      </c>
      <c r="M169" s="137">
        <v>2.0</v>
      </c>
      <c r="N169" s="137">
        <v>1.0</v>
      </c>
      <c r="O169" s="137">
        <v>1.0</v>
      </c>
      <c r="P169" s="135">
        <v>0.0</v>
      </c>
      <c r="Q169" s="135">
        <v>0.0</v>
      </c>
      <c r="R169" s="135">
        <v>0.0</v>
      </c>
      <c r="S169" s="135">
        <v>0.0</v>
      </c>
      <c r="T169" s="135">
        <v>0.0</v>
      </c>
      <c r="U169" s="135">
        <v>0.0</v>
      </c>
      <c r="V169" s="135">
        <v>0.0</v>
      </c>
      <c r="W169" s="135">
        <v>0.0</v>
      </c>
      <c r="X169" s="135">
        <v>0.0</v>
      </c>
      <c r="Y169" s="135">
        <v>0.0</v>
      </c>
      <c r="Z169" s="135">
        <v>0.0</v>
      </c>
      <c r="AA169" s="135">
        <v>0.0</v>
      </c>
      <c r="AB169" s="135">
        <v>0.0</v>
      </c>
      <c r="AC169" s="135">
        <v>0.0</v>
      </c>
      <c r="AD169" s="135">
        <v>0.0</v>
      </c>
      <c r="AE169" s="135">
        <v>0.0</v>
      </c>
      <c r="AF169" s="135">
        <v>0.0</v>
      </c>
      <c r="AG169" s="135">
        <v>0.0</v>
      </c>
      <c r="AH169" s="135">
        <v>0.0</v>
      </c>
      <c r="AI169" s="135">
        <v>0.0</v>
      </c>
      <c r="AJ169" s="135">
        <v>0.0</v>
      </c>
      <c r="AK169" s="135">
        <v>0.0</v>
      </c>
      <c r="AL169" s="135">
        <v>0.0</v>
      </c>
      <c r="AM169" s="135">
        <v>0.0</v>
      </c>
      <c r="AN169" s="137">
        <v>63.0</v>
      </c>
    </row>
    <row r="170">
      <c r="A170" s="98"/>
      <c r="B170" s="136" t="s">
        <v>206</v>
      </c>
      <c r="C170" s="137">
        <v>3.0</v>
      </c>
      <c r="D170" s="137">
        <v>3.0</v>
      </c>
      <c r="E170" s="137">
        <v>0.0</v>
      </c>
      <c r="F170" s="137">
        <v>3.0</v>
      </c>
      <c r="G170" s="137">
        <v>0.0</v>
      </c>
      <c r="H170" s="137">
        <v>0.0</v>
      </c>
      <c r="I170" s="137">
        <v>0.0</v>
      </c>
      <c r="J170" s="137">
        <v>0.0</v>
      </c>
      <c r="K170" s="137">
        <v>0.0</v>
      </c>
      <c r="L170" s="137">
        <v>0.0</v>
      </c>
      <c r="M170" s="137">
        <v>0.0</v>
      </c>
      <c r="N170" s="137">
        <v>0.0</v>
      </c>
      <c r="O170" s="137">
        <v>0.0</v>
      </c>
      <c r="P170" s="135">
        <v>0.0</v>
      </c>
      <c r="Q170" s="135">
        <v>0.0</v>
      </c>
      <c r="R170" s="135">
        <v>0.0</v>
      </c>
      <c r="S170" s="135">
        <v>0.0</v>
      </c>
      <c r="T170" s="135">
        <v>0.0</v>
      </c>
      <c r="U170" s="135">
        <v>0.0</v>
      </c>
      <c r="V170" s="135">
        <v>0.0</v>
      </c>
      <c r="W170" s="135">
        <v>0.0</v>
      </c>
      <c r="X170" s="135">
        <v>0.0</v>
      </c>
      <c r="Y170" s="135">
        <v>0.0</v>
      </c>
      <c r="Z170" s="135">
        <v>0.0</v>
      </c>
      <c r="AA170" s="135">
        <v>0.0</v>
      </c>
      <c r="AB170" s="135">
        <v>0.0</v>
      </c>
      <c r="AC170" s="135">
        <v>0.0</v>
      </c>
      <c r="AD170" s="135">
        <v>0.0</v>
      </c>
      <c r="AE170" s="135">
        <v>0.0</v>
      </c>
      <c r="AF170" s="135">
        <v>0.0</v>
      </c>
      <c r="AG170" s="135">
        <v>0.0</v>
      </c>
      <c r="AH170" s="135">
        <v>0.0</v>
      </c>
      <c r="AI170" s="135">
        <v>0.0</v>
      </c>
      <c r="AJ170" s="135">
        <v>0.0</v>
      </c>
      <c r="AK170" s="135">
        <v>0.0</v>
      </c>
      <c r="AL170" s="135">
        <v>0.0</v>
      </c>
      <c r="AM170" s="135">
        <v>0.0</v>
      </c>
      <c r="AN170" s="137">
        <v>3.0</v>
      </c>
    </row>
    <row r="171">
      <c r="A171" s="98"/>
      <c r="B171" s="136" t="s">
        <v>200</v>
      </c>
      <c r="C171" s="137">
        <v>88.0</v>
      </c>
      <c r="D171" s="137">
        <v>54.0</v>
      </c>
      <c r="E171" s="137">
        <v>34.0</v>
      </c>
      <c r="F171" s="137">
        <v>45.0</v>
      </c>
      <c r="G171" s="137">
        <v>19.0</v>
      </c>
      <c r="H171" s="137">
        <v>6.0</v>
      </c>
      <c r="I171" s="137">
        <v>5.0</v>
      </c>
      <c r="J171" s="137">
        <v>3.0</v>
      </c>
      <c r="K171" s="137">
        <v>5.0</v>
      </c>
      <c r="L171" s="137">
        <v>0.0</v>
      </c>
      <c r="M171" s="137">
        <v>1.0</v>
      </c>
      <c r="N171" s="137">
        <v>0.0</v>
      </c>
      <c r="O171" s="137">
        <v>4.0</v>
      </c>
      <c r="P171" s="135">
        <v>0.0</v>
      </c>
      <c r="Q171" s="135">
        <v>0.0</v>
      </c>
      <c r="R171" s="135">
        <v>0.0</v>
      </c>
      <c r="S171" s="135">
        <v>0.0</v>
      </c>
      <c r="T171" s="135">
        <v>0.0</v>
      </c>
      <c r="U171" s="135">
        <v>0.0</v>
      </c>
      <c r="V171" s="135">
        <v>0.0</v>
      </c>
      <c r="W171" s="135">
        <v>0.0</v>
      </c>
      <c r="X171" s="135">
        <v>0.0</v>
      </c>
      <c r="Y171" s="135">
        <v>0.0</v>
      </c>
      <c r="Z171" s="135">
        <v>0.0</v>
      </c>
      <c r="AA171" s="135">
        <v>0.0</v>
      </c>
      <c r="AB171" s="135">
        <v>0.0</v>
      </c>
      <c r="AC171" s="135">
        <v>0.0</v>
      </c>
      <c r="AD171" s="135">
        <v>0.0</v>
      </c>
      <c r="AE171" s="135">
        <v>0.0</v>
      </c>
      <c r="AF171" s="135">
        <v>0.0</v>
      </c>
      <c r="AG171" s="135">
        <v>0.0</v>
      </c>
      <c r="AH171" s="135">
        <v>0.0</v>
      </c>
      <c r="AI171" s="135">
        <v>0.0</v>
      </c>
      <c r="AJ171" s="135">
        <v>0.0</v>
      </c>
      <c r="AK171" s="135">
        <v>0.0</v>
      </c>
      <c r="AL171" s="135">
        <v>0.0</v>
      </c>
      <c r="AM171" s="135">
        <v>0.0</v>
      </c>
      <c r="AN171" s="137">
        <v>84.0</v>
      </c>
    </row>
    <row r="172">
      <c r="A172" s="104"/>
      <c r="B172" s="136" t="s">
        <v>201</v>
      </c>
      <c r="C172" s="137">
        <v>0.0</v>
      </c>
      <c r="D172" s="137">
        <v>0.0</v>
      </c>
      <c r="E172" s="137">
        <v>0.0</v>
      </c>
      <c r="F172" s="137">
        <v>0.0</v>
      </c>
      <c r="G172" s="137">
        <v>0.0</v>
      </c>
      <c r="H172" s="137">
        <v>0.0</v>
      </c>
      <c r="I172" s="137">
        <v>0.0</v>
      </c>
      <c r="J172" s="137">
        <v>0.0</v>
      </c>
      <c r="K172" s="137">
        <v>0.0</v>
      </c>
      <c r="L172" s="137">
        <v>0.0</v>
      </c>
      <c r="M172" s="137">
        <v>0.0</v>
      </c>
      <c r="N172" s="137">
        <v>0.0</v>
      </c>
      <c r="O172" s="137">
        <v>0.0</v>
      </c>
      <c r="P172" s="135">
        <v>0.0</v>
      </c>
      <c r="Q172" s="135">
        <v>0.0</v>
      </c>
      <c r="R172" s="135">
        <v>0.0</v>
      </c>
      <c r="S172" s="135">
        <v>0.0</v>
      </c>
      <c r="T172" s="135">
        <v>0.0</v>
      </c>
      <c r="U172" s="135">
        <v>0.0</v>
      </c>
      <c r="V172" s="135">
        <v>0.0</v>
      </c>
      <c r="W172" s="135">
        <v>0.0</v>
      </c>
      <c r="X172" s="135">
        <v>0.0</v>
      </c>
      <c r="Y172" s="135">
        <v>0.0</v>
      </c>
      <c r="Z172" s="135">
        <v>0.0</v>
      </c>
      <c r="AA172" s="135">
        <v>0.0</v>
      </c>
      <c r="AB172" s="135">
        <v>0.0</v>
      </c>
      <c r="AC172" s="135">
        <v>0.0</v>
      </c>
      <c r="AD172" s="135">
        <v>0.0</v>
      </c>
      <c r="AE172" s="135">
        <v>0.0</v>
      </c>
      <c r="AF172" s="135">
        <v>0.0</v>
      </c>
      <c r="AG172" s="135">
        <v>0.0</v>
      </c>
      <c r="AH172" s="135">
        <v>0.0</v>
      </c>
      <c r="AI172" s="135">
        <v>0.0</v>
      </c>
      <c r="AJ172" s="135">
        <v>0.0</v>
      </c>
      <c r="AK172" s="135">
        <v>0.0</v>
      </c>
      <c r="AL172" s="135">
        <v>0.0</v>
      </c>
      <c r="AM172" s="135">
        <v>0.0</v>
      </c>
      <c r="AN172" s="137">
        <v>0.0</v>
      </c>
    </row>
    <row r="173">
      <c r="A173" s="138" t="s">
        <v>215</v>
      </c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</row>
    <row r="174">
      <c r="A174" s="132" t="s">
        <v>197</v>
      </c>
      <c r="B174" s="133" t="s">
        <v>198</v>
      </c>
      <c r="C174" s="134">
        <v>165245.0</v>
      </c>
      <c r="D174" s="134">
        <v>58676.0</v>
      </c>
      <c r="E174" s="134">
        <v>106569.0</v>
      </c>
      <c r="F174" s="135">
        <v>0.0</v>
      </c>
      <c r="G174" s="135">
        <v>0.0</v>
      </c>
      <c r="H174" s="135">
        <v>0.0</v>
      </c>
      <c r="I174" s="135">
        <v>0.0</v>
      </c>
      <c r="J174" s="135">
        <v>0.0</v>
      </c>
      <c r="K174" s="135">
        <v>0.0</v>
      </c>
      <c r="L174" s="137">
        <v>142.0</v>
      </c>
      <c r="M174" s="137">
        <v>270.0</v>
      </c>
      <c r="N174" s="137">
        <v>171.0</v>
      </c>
      <c r="O174" s="137">
        <v>428.0</v>
      </c>
      <c r="P174" s="137">
        <v>329.0</v>
      </c>
      <c r="Q174" s="137">
        <v>821.0</v>
      </c>
      <c r="R174" s="137">
        <v>473.0</v>
      </c>
      <c r="S174" s="134">
        <v>1353.0</v>
      </c>
      <c r="T174" s="137">
        <v>931.0</v>
      </c>
      <c r="U174" s="134">
        <v>2123.0</v>
      </c>
      <c r="V174" s="134">
        <v>1480.0</v>
      </c>
      <c r="W174" s="134">
        <v>3604.0</v>
      </c>
      <c r="X174" s="134">
        <v>2539.0</v>
      </c>
      <c r="Y174" s="134">
        <v>5740.0</v>
      </c>
      <c r="Z174" s="134">
        <v>4512.0</v>
      </c>
      <c r="AA174" s="134">
        <v>10043.0</v>
      </c>
      <c r="AB174" s="134">
        <v>6400.0</v>
      </c>
      <c r="AC174" s="134">
        <v>13137.0</v>
      </c>
      <c r="AD174" s="134">
        <v>7857.0</v>
      </c>
      <c r="AE174" s="134">
        <v>14462.0</v>
      </c>
      <c r="AF174" s="134">
        <v>8960.0</v>
      </c>
      <c r="AG174" s="134">
        <v>14253.0</v>
      </c>
      <c r="AH174" s="134">
        <v>9348.0</v>
      </c>
      <c r="AI174" s="134">
        <v>14452.0</v>
      </c>
      <c r="AJ174" s="134">
        <v>7496.0</v>
      </c>
      <c r="AK174" s="134">
        <v>11778.0</v>
      </c>
      <c r="AL174" s="134">
        <v>8038.0</v>
      </c>
      <c r="AM174" s="134">
        <v>14105.0</v>
      </c>
      <c r="AN174" s="134">
        <v>164130.0</v>
      </c>
    </row>
    <row r="175">
      <c r="A175" s="98"/>
      <c r="B175" s="136" t="s">
        <v>199</v>
      </c>
      <c r="C175" s="134">
        <v>58381.0</v>
      </c>
      <c r="D175" s="134">
        <v>20190.0</v>
      </c>
      <c r="E175" s="134">
        <v>38191.0</v>
      </c>
      <c r="F175" s="135">
        <v>0.0</v>
      </c>
      <c r="G175" s="135">
        <v>0.0</v>
      </c>
      <c r="H175" s="135">
        <v>0.0</v>
      </c>
      <c r="I175" s="135">
        <v>0.0</v>
      </c>
      <c r="J175" s="135">
        <v>0.0</v>
      </c>
      <c r="K175" s="135">
        <v>0.0</v>
      </c>
      <c r="L175" s="137">
        <v>28.0</v>
      </c>
      <c r="M175" s="137">
        <v>41.0</v>
      </c>
      <c r="N175" s="137">
        <v>121.0</v>
      </c>
      <c r="O175" s="137">
        <v>93.0</v>
      </c>
      <c r="P175" s="137">
        <v>169.0</v>
      </c>
      <c r="Q175" s="137">
        <v>203.0</v>
      </c>
      <c r="R175" s="137">
        <v>186.0</v>
      </c>
      <c r="S175" s="137">
        <v>360.0</v>
      </c>
      <c r="T175" s="137">
        <v>287.0</v>
      </c>
      <c r="U175" s="137">
        <v>589.0</v>
      </c>
      <c r="V175" s="137">
        <v>437.0</v>
      </c>
      <c r="W175" s="134">
        <v>1093.0</v>
      </c>
      <c r="X175" s="137">
        <v>755.0</v>
      </c>
      <c r="Y175" s="134">
        <v>1866.0</v>
      </c>
      <c r="Z175" s="134">
        <v>1358.0</v>
      </c>
      <c r="AA175" s="134">
        <v>3156.0</v>
      </c>
      <c r="AB175" s="134">
        <v>1865.0</v>
      </c>
      <c r="AC175" s="134">
        <v>4386.0</v>
      </c>
      <c r="AD175" s="134">
        <v>2359.0</v>
      </c>
      <c r="AE175" s="134">
        <v>4939.0</v>
      </c>
      <c r="AF175" s="134">
        <v>3145.0</v>
      </c>
      <c r="AG175" s="134">
        <v>5598.0</v>
      </c>
      <c r="AH175" s="134">
        <v>3483.0</v>
      </c>
      <c r="AI175" s="134">
        <v>5798.0</v>
      </c>
      <c r="AJ175" s="134">
        <v>2911.0</v>
      </c>
      <c r="AK175" s="134">
        <v>4745.0</v>
      </c>
      <c r="AL175" s="134">
        <v>3086.0</v>
      </c>
      <c r="AM175" s="134">
        <v>5324.0</v>
      </c>
      <c r="AN175" s="134">
        <v>57787.0</v>
      </c>
    </row>
    <row r="176">
      <c r="A176" s="98"/>
      <c r="B176" s="136" t="s">
        <v>200</v>
      </c>
      <c r="C176" s="134">
        <v>51818.0</v>
      </c>
      <c r="D176" s="134">
        <v>17067.0</v>
      </c>
      <c r="E176" s="134">
        <v>34751.0</v>
      </c>
      <c r="F176" s="135">
        <v>0.0</v>
      </c>
      <c r="G176" s="135">
        <v>0.0</v>
      </c>
      <c r="H176" s="135">
        <v>0.0</v>
      </c>
      <c r="I176" s="135">
        <v>0.0</v>
      </c>
      <c r="J176" s="135">
        <v>0.0</v>
      </c>
      <c r="K176" s="135">
        <v>0.0</v>
      </c>
      <c r="L176" s="137">
        <v>44.0</v>
      </c>
      <c r="M176" s="137">
        <v>121.0</v>
      </c>
      <c r="N176" s="137">
        <v>67.0</v>
      </c>
      <c r="O176" s="137">
        <v>179.0</v>
      </c>
      <c r="P176" s="137">
        <v>130.0</v>
      </c>
      <c r="Q176" s="137">
        <v>307.0</v>
      </c>
      <c r="R176" s="137">
        <v>150.0</v>
      </c>
      <c r="S176" s="137">
        <v>456.0</v>
      </c>
      <c r="T176" s="137">
        <v>258.0</v>
      </c>
      <c r="U176" s="137">
        <v>738.0</v>
      </c>
      <c r="V176" s="137">
        <v>475.0</v>
      </c>
      <c r="W176" s="134">
        <v>1309.0</v>
      </c>
      <c r="X176" s="137">
        <v>767.0</v>
      </c>
      <c r="Y176" s="134">
        <v>2101.0</v>
      </c>
      <c r="Z176" s="134">
        <v>1350.0</v>
      </c>
      <c r="AA176" s="134">
        <v>3537.0</v>
      </c>
      <c r="AB176" s="134">
        <v>1902.0</v>
      </c>
      <c r="AC176" s="134">
        <v>4420.0</v>
      </c>
      <c r="AD176" s="134">
        <v>2235.0</v>
      </c>
      <c r="AE176" s="134">
        <v>4662.0</v>
      </c>
      <c r="AF176" s="134">
        <v>2662.0</v>
      </c>
      <c r="AG176" s="134">
        <v>4675.0</v>
      </c>
      <c r="AH176" s="134">
        <v>2721.0</v>
      </c>
      <c r="AI176" s="134">
        <v>4757.0</v>
      </c>
      <c r="AJ176" s="134">
        <v>2248.0</v>
      </c>
      <c r="AK176" s="134">
        <v>3759.0</v>
      </c>
      <c r="AL176" s="134">
        <v>2058.0</v>
      </c>
      <c r="AM176" s="134">
        <v>3730.0</v>
      </c>
      <c r="AN176" s="134">
        <v>50824.0</v>
      </c>
    </row>
    <row r="177">
      <c r="A177" s="104"/>
      <c r="B177" s="136" t="s">
        <v>201</v>
      </c>
      <c r="C177" s="134">
        <v>1777.0</v>
      </c>
      <c r="D177" s="137">
        <v>661.0</v>
      </c>
      <c r="E177" s="134">
        <v>1116.0</v>
      </c>
      <c r="F177" s="135">
        <v>0.0</v>
      </c>
      <c r="G177" s="135">
        <v>0.0</v>
      </c>
      <c r="H177" s="135">
        <v>0.0</v>
      </c>
      <c r="I177" s="135">
        <v>0.0</v>
      </c>
      <c r="J177" s="135">
        <v>0.0</v>
      </c>
      <c r="K177" s="135">
        <v>0.0</v>
      </c>
      <c r="L177" s="137">
        <v>0.0</v>
      </c>
      <c r="M177" s="137">
        <v>1.0</v>
      </c>
      <c r="N177" s="137">
        <v>3.0</v>
      </c>
      <c r="O177" s="137">
        <v>2.0</v>
      </c>
      <c r="P177" s="137">
        <v>13.0</v>
      </c>
      <c r="Q177" s="137">
        <v>17.0</v>
      </c>
      <c r="R177" s="137">
        <v>9.0</v>
      </c>
      <c r="S177" s="137">
        <v>40.0</v>
      </c>
      <c r="T177" s="137">
        <v>12.0</v>
      </c>
      <c r="U177" s="137">
        <v>29.0</v>
      </c>
      <c r="V177" s="137">
        <v>18.0</v>
      </c>
      <c r="W177" s="137">
        <v>39.0</v>
      </c>
      <c r="X177" s="137">
        <v>23.0</v>
      </c>
      <c r="Y177" s="137">
        <v>62.0</v>
      </c>
      <c r="Z177" s="137">
        <v>43.0</v>
      </c>
      <c r="AA177" s="137">
        <v>94.0</v>
      </c>
      <c r="AB177" s="137">
        <v>73.0</v>
      </c>
      <c r="AC177" s="137">
        <v>128.0</v>
      </c>
      <c r="AD177" s="137">
        <v>104.0</v>
      </c>
      <c r="AE177" s="137">
        <v>151.0</v>
      </c>
      <c r="AF177" s="137">
        <v>111.0</v>
      </c>
      <c r="AG177" s="137">
        <v>125.0</v>
      </c>
      <c r="AH177" s="137">
        <v>104.0</v>
      </c>
      <c r="AI177" s="137">
        <v>116.0</v>
      </c>
      <c r="AJ177" s="137">
        <v>71.0</v>
      </c>
      <c r="AK177" s="137">
        <v>111.0</v>
      </c>
      <c r="AL177" s="137">
        <v>77.0</v>
      </c>
      <c r="AM177" s="137">
        <v>201.0</v>
      </c>
      <c r="AN177" s="134">
        <v>1776.0</v>
      </c>
    </row>
    <row r="178">
      <c r="A178" s="132" t="s">
        <v>202</v>
      </c>
      <c r="B178" s="136" t="s">
        <v>198</v>
      </c>
      <c r="C178" s="137">
        <v>237.0</v>
      </c>
      <c r="D178" s="137">
        <v>139.0</v>
      </c>
      <c r="E178" s="137">
        <v>98.0</v>
      </c>
      <c r="F178" s="137">
        <v>1.0</v>
      </c>
      <c r="G178" s="137">
        <v>5.0</v>
      </c>
      <c r="H178" s="137">
        <v>4.0</v>
      </c>
      <c r="I178" s="137">
        <v>2.0</v>
      </c>
      <c r="J178" s="137">
        <v>6.0</v>
      </c>
      <c r="K178" s="137">
        <v>3.0</v>
      </c>
      <c r="L178" s="137">
        <v>4.0</v>
      </c>
      <c r="M178" s="137">
        <v>4.0</v>
      </c>
      <c r="N178" s="137">
        <v>14.0</v>
      </c>
      <c r="O178" s="137">
        <v>7.0</v>
      </c>
      <c r="P178" s="137">
        <v>23.0</v>
      </c>
      <c r="Q178" s="137">
        <v>6.0</v>
      </c>
      <c r="R178" s="137">
        <v>10.0</v>
      </c>
      <c r="S178" s="137">
        <v>6.0</v>
      </c>
      <c r="T178" s="137">
        <v>8.0</v>
      </c>
      <c r="U178" s="137">
        <v>9.0</v>
      </c>
      <c r="V178" s="137">
        <v>5.0</v>
      </c>
      <c r="W178" s="137">
        <v>11.0</v>
      </c>
      <c r="X178" s="137">
        <v>6.0</v>
      </c>
      <c r="Y178" s="137">
        <v>4.0</v>
      </c>
      <c r="Z178" s="137">
        <v>8.0</v>
      </c>
      <c r="AA178" s="137">
        <v>12.0</v>
      </c>
      <c r="AB178" s="137">
        <v>17.0</v>
      </c>
      <c r="AC178" s="137">
        <v>15.0</v>
      </c>
      <c r="AD178" s="137">
        <v>9.0</v>
      </c>
      <c r="AE178" s="137">
        <v>1.0</v>
      </c>
      <c r="AF178" s="137">
        <v>6.0</v>
      </c>
      <c r="AG178" s="137">
        <v>3.0</v>
      </c>
      <c r="AH178" s="137">
        <v>5.0</v>
      </c>
      <c r="AI178" s="137">
        <v>6.0</v>
      </c>
      <c r="AJ178" s="137">
        <v>6.0</v>
      </c>
      <c r="AK178" s="137">
        <v>2.0</v>
      </c>
      <c r="AL178" s="137">
        <v>7.0</v>
      </c>
      <c r="AM178" s="137">
        <v>2.0</v>
      </c>
      <c r="AN178" s="137">
        <v>234.0</v>
      </c>
    </row>
    <row r="179">
      <c r="A179" s="104"/>
      <c r="B179" s="136" t="s">
        <v>199</v>
      </c>
      <c r="C179" s="137">
        <v>272.0</v>
      </c>
      <c r="D179" s="137">
        <v>167.0</v>
      </c>
      <c r="E179" s="137">
        <v>105.0</v>
      </c>
      <c r="F179" s="137">
        <v>7.0</v>
      </c>
      <c r="G179" s="137">
        <v>3.0</v>
      </c>
      <c r="H179" s="137">
        <v>4.0</v>
      </c>
      <c r="I179" s="137">
        <v>3.0</v>
      </c>
      <c r="J179" s="137">
        <v>9.0</v>
      </c>
      <c r="K179" s="137">
        <v>6.0</v>
      </c>
      <c r="L179" s="137">
        <v>1.0</v>
      </c>
      <c r="M179" s="137">
        <v>3.0</v>
      </c>
      <c r="N179" s="137">
        <v>12.0</v>
      </c>
      <c r="O179" s="137">
        <v>4.0</v>
      </c>
      <c r="P179" s="137">
        <v>34.0</v>
      </c>
      <c r="Q179" s="137">
        <v>12.0</v>
      </c>
      <c r="R179" s="137">
        <v>18.0</v>
      </c>
      <c r="S179" s="137">
        <v>6.0</v>
      </c>
      <c r="T179" s="137">
        <v>7.0</v>
      </c>
      <c r="U179" s="137">
        <v>4.0</v>
      </c>
      <c r="V179" s="137">
        <v>12.0</v>
      </c>
      <c r="W179" s="137">
        <v>6.0</v>
      </c>
      <c r="X179" s="137">
        <v>10.0</v>
      </c>
      <c r="Y179" s="137">
        <v>2.0</v>
      </c>
      <c r="Z179" s="137">
        <v>10.0</v>
      </c>
      <c r="AA179" s="137">
        <v>20.0</v>
      </c>
      <c r="AB179" s="137">
        <v>12.0</v>
      </c>
      <c r="AC179" s="137">
        <v>10.0</v>
      </c>
      <c r="AD179" s="137">
        <v>4.0</v>
      </c>
      <c r="AE179" s="137">
        <v>5.0</v>
      </c>
      <c r="AF179" s="137">
        <v>6.0</v>
      </c>
      <c r="AG179" s="137">
        <v>5.0</v>
      </c>
      <c r="AH179" s="137">
        <v>6.0</v>
      </c>
      <c r="AI179" s="137">
        <v>12.0</v>
      </c>
      <c r="AJ179" s="137">
        <v>9.0</v>
      </c>
      <c r="AK179" s="137">
        <v>3.0</v>
      </c>
      <c r="AL179" s="137">
        <v>6.0</v>
      </c>
      <c r="AM179" s="137">
        <v>1.0</v>
      </c>
      <c r="AN179" s="137">
        <v>265.0</v>
      </c>
    </row>
    <row r="180">
      <c r="A180" s="132" t="s">
        <v>203</v>
      </c>
      <c r="B180" s="136" t="s">
        <v>198</v>
      </c>
      <c r="C180" s="137">
        <v>385.0</v>
      </c>
      <c r="D180" s="137">
        <v>148.0</v>
      </c>
      <c r="E180" s="137">
        <v>237.0</v>
      </c>
      <c r="F180" s="135">
        <v>0.0</v>
      </c>
      <c r="G180" s="135">
        <v>0.0</v>
      </c>
      <c r="H180" s="135">
        <v>0.0</v>
      </c>
      <c r="I180" s="135">
        <v>0.0</v>
      </c>
      <c r="J180" s="135">
        <v>0.0</v>
      </c>
      <c r="K180" s="135">
        <v>0.0</v>
      </c>
      <c r="L180" s="135">
        <v>0.0</v>
      </c>
      <c r="M180" s="135">
        <v>0.0</v>
      </c>
      <c r="N180" s="135">
        <v>0.0</v>
      </c>
      <c r="O180" s="135">
        <v>0.0</v>
      </c>
      <c r="P180" s="135">
        <v>0.0</v>
      </c>
      <c r="Q180" s="135">
        <v>0.0</v>
      </c>
      <c r="R180" s="135">
        <v>0.0</v>
      </c>
      <c r="S180" s="135">
        <v>0.0</v>
      </c>
      <c r="T180" s="135">
        <v>0.0</v>
      </c>
      <c r="U180" s="135">
        <v>0.0</v>
      </c>
      <c r="V180" s="135">
        <v>0.0</v>
      </c>
      <c r="W180" s="135">
        <v>0.0</v>
      </c>
      <c r="X180" s="135">
        <v>0.0</v>
      </c>
      <c r="Y180" s="135">
        <v>0.0</v>
      </c>
      <c r="Z180" s="135">
        <v>0.0</v>
      </c>
      <c r="AA180" s="135">
        <v>0.0</v>
      </c>
      <c r="AB180" s="135">
        <v>0.0</v>
      </c>
      <c r="AC180" s="135">
        <v>0.0</v>
      </c>
      <c r="AD180" s="135">
        <v>0.0</v>
      </c>
      <c r="AE180" s="135">
        <v>0.0</v>
      </c>
      <c r="AF180" s="137">
        <v>35.0</v>
      </c>
      <c r="AG180" s="137">
        <v>50.0</v>
      </c>
      <c r="AH180" s="137">
        <v>36.0</v>
      </c>
      <c r="AI180" s="137">
        <v>53.0</v>
      </c>
      <c r="AJ180" s="137">
        <v>41.0</v>
      </c>
      <c r="AK180" s="137">
        <v>51.0</v>
      </c>
      <c r="AL180" s="137">
        <v>36.0</v>
      </c>
      <c r="AM180" s="137">
        <v>83.0</v>
      </c>
      <c r="AN180" s="137">
        <v>385.0</v>
      </c>
    </row>
    <row r="181">
      <c r="A181" s="104"/>
      <c r="B181" s="136" t="s">
        <v>199</v>
      </c>
      <c r="C181" s="134">
        <v>1360.0</v>
      </c>
      <c r="D181" s="137">
        <v>472.0</v>
      </c>
      <c r="E181" s="137">
        <v>888.0</v>
      </c>
      <c r="F181" s="135">
        <v>0.0</v>
      </c>
      <c r="G181" s="135">
        <v>0.0</v>
      </c>
      <c r="H181" s="135">
        <v>0.0</v>
      </c>
      <c r="I181" s="135">
        <v>0.0</v>
      </c>
      <c r="J181" s="135">
        <v>0.0</v>
      </c>
      <c r="K181" s="135">
        <v>0.0</v>
      </c>
      <c r="L181" s="135">
        <v>0.0</v>
      </c>
      <c r="M181" s="135">
        <v>0.0</v>
      </c>
      <c r="N181" s="135">
        <v>0.0</v>
      </c>
      <c r="O181" s="135">
        <v>0.0</v>
      </c>
      <c r="P181" s="135">
        <v>0.0</v>
      </c>
      <c r="Q181" s="135">
        <v>0.0</v>
      </c>
      <c r="R181" s="135">
        <v>0.0</v>
      </c>
      <c r="S181" s="135">
        <v>0.0</v>
      </c>
      <c r="T181" s="135">
        <v>0.0</v>
      </c>
      <c r="U181" s="135">
        <v>0.0</v>
      </c>
      <c r="V181" s="135">
        <v>0.0</v>
      </c>
      <c r="W181" s="135">
        <v>0.0</v>
      </c>
      <c r="X181" s="135">
        <v>0.0</v>
      </c>
      <c r="Y181" s="135">
        <v>0.0</v>
      </c>
      <c r="Z181" s="135">
        <v>0.0</v>
      </c>
      <c r="AA181" s="135">
        <v>0.0</v>
      </c>
      <c r="AB181" s="135">
        <v>0.0</v>
      </c>
      <c r="AC181" s="135">
        <v>0.0</v>
      </c>
      <c r="AD181" s="135">
        <v>0.0</v>
      </c>
      <c r="AE181" s="135">
        <v>0.0</v>
      </c>
      <c r="AF181" s="137">
        <v>94.0</v>
      </c>
      <c r="AG181" s="137">
        <v>208.0</v>
      </c>
      <c r="AH181" s="137">
        <v>138.0</v>
      </c>
      <c r="AI181" s="137">
        <v>192.0</v>
      </c>
      <c r="AJ181" s="137">
        <v>124.0</v>
      </c>
      <c r="AK181" s="137">
        <v>201.0</v>
      </c>
      <c r="AL181" s="137">
        <v>116.0</v>
      </c>
      <c r="AM181" s="137">
        <v>287.0</v>
      </c>
      <c r="AN181" s="134">
        <v>1358.0</v>
      </c>
    </row>
    <row r="182">
      <c r="A182" s="132" t="s">
        <v>204</v>
      </c>
      <c r="B182" s="136" t="s">
        <v>198</v>
      </c>
      <c r="C182" s="137">
        <v>85.0</v>
      </c>
      <c r="D182" s="137">
        <v>31.0</v>
      </c>
      <c r="E182" s="137">
        <v>54.0</v>
      </c>
      <c r="F182" s="135">
        <v>0.0</v>
      </c>
      <c r="G182" s="135">
        <v>0.0</v>
      </c>
      <c r="H182" s="135">
        <v>0.0</v>
      </c>
      <c r="I182" s="135">
        <v>0.0</v>
      </c>
      <c r="J182" s="135">
        <v>0.0</v>
      </c>
      <c r="K182" s="135">
        <v>0.0</v>
      </c>
      <c r="L182" s="135">
        <v>0.0</v>
      </c>
      <c r="M182" s="135">
        <v>0.0</v>
      </c>
      <c r="N182" s="135">
        <v>0.0</v>
      </c>
      <c r="O182" s="135">
        <v>0.0</v>
      </c>
      <c r="P182" s="135">
        <v>0.0</v>
      </c>
      <c r="Q182" s="135">
        <v>0.0</v>
      </c>
      <c r="R182" s="135">
        <v>0.0</v>
      </c>
      <c r="S182" s="135">
        <v>0.0</v>
      </c>
      <c r="T182" s="135">
        <v>0.0</v>
      </c>
      <c r="U182" s="135">
        <v>0.0</v>
      </c>
      <c r="V182" s="135">
        <v>0.0</v>
      </c>
      <c r="W182" s="135">
        <v>0.0</v>
      </c>
      <c r="X182" s="135">
        <v>0.0</v>
      </c>
      <c r="Y182" s="135">
        <v>0.0</v>
      </c>
      <c r="Z182" s="135">
        <v>0.0</v>
      </c>
      <c r="AA182" s="135">
        <v>0.0</v>
      </c>
      <c r="AB182" s="135">
        <v>0.0</v>
      </c>
      <c r="AC182" s="135">
        <v>0.0</v>
      </c>
      <c r="AD182" s="135">
        <v>0.0</v>
      </c>
      <c r="AE182" s="135">
        <v>0.0</v>
      </c>
      <c r="AF182" s="137">
        <v>5.0</v>
      </c>
      <c r="AG182" s="137">
        <v>7.0</v>
      </c>
      <c r="AH182" s="137">
        <v>7.0</v>
      </c>
      <c r="AI182" s="137">
        <v>11.0</v>
      </c>
      <c r="AJ182" s="137">
        <v>8.0</v>
      </c>
      <c r="AK182" s="137">
        <v>12.0</v>
      </c>
      <c r="AL182" s="137">
        <v>11.0</v>
      </c>
      <c r="AM182" s="137">
        <v>24.0</v>
      </c>
      <c r="AN182" s="137">
        <v>85.0</v>
      </c>
    </row>
    <row r="183">
      <c r="A183" s="104"/>
      <c r="B183" s="136" t="s">
        <v>199</v>
      </c>
      <c r="C183" s="137">
        <v>343.0</v>
      </c>
      <c r="D183" s="137">
        <v>118.0</v>
      </c>
      <c r="E183" s="137">
        <v>225.0</v>
      </c>
      <c r="F183" s="135">
        <v>0.0</v>
      </c>
      <c r="G183" s="135">
        <v>0.0</v>
      </c>
      <c r="H183" s="135">
        <v>0.0</v>
      </c>
      <c r="I183" s="135">
        <v>0.0</v>
      </c>
      <c r="J183" s="135">
        <v>0.0</v>
      </c>
      <c r="K183" s="135">
        <v>0.0</v>
      </c>
      <c r="L183" s="135">
        <v>0.0</v>
      </c>
      <c r="M183" s="135">
        <v>0.0</v>
      </c>
      <c r="N183" s="135">
        <v>0.0</v>
      </c>
      <c r="O183" s="135">
        <v>0.0</v>
      </c>
      <c r="P183" s="135">
        <v>0.0</v>
      </c>
      <c r="Q183" s="135">
        <v>0.0</v>
      </c>
      <c r="R183" s="135">
        <v>0.0</v>
      </c>
      <c r="S183" s="135">
        <v>0.0</v>
      </c>
      <c r="T183" s="135">
        <v>0.0</v>
      </c>
      <c r="U183" s="135">
        <v>0.0</v>
      </c>
      <c r="V183" s="135">
        <v>0.0</v>
      </c>
      <c r="W183" s="135">
        <v>0.0</v>
      </c>
      <c r="X183" s="135">
        <v>0.0</v>
      </c>
      <c r="Y183" s="135">
        <v>0.0</v>
      </c>
      <c r="Z183" s="135">
        <v>0.0</v>
      </c>
      <c r="AA183" s="135">
        <v>0.0</v>
      </c>
      <c r="AB183" s="135">
        <v>0.0</v>
      </c>
      <c r="AC183" s="135">
        <v>0.0</v>
      </c>
      <c r="AD183" s="135">
        <v>0.0</v>
      </c>
      <c r="AE183" s="135">
        <v>0.0</v>
      </c>
      <c r="AF183" s="137">
        <v>11.0</v>
      </c>
      <c r="AG183" s="137">
        <v>29.0</v>
      </c>
      <c r="AH183" s="137">
        <v>21.0</v>
      </c>
      <c r="AI183" s="137">
        <v>46.0</v>
      </c>
      <c r="AJ183" s="137">
        <v>37.0</v>
      </c>
      <c r="AK183" s="137">
        <v>53.0</v>
      </c>
      <c r="AL183" s="137">
        <v>49.0</v>
      </c>
      <c r="AM183" s="137">
        <v>97.0</v>
      </c>
      <c r="AN183" s="137">
        <v>340.0</v>
      </c>
    </row>
    <row r="184">
      <c r="A184" s="132" t="s">
        <v>205</v>
      </c>
      <c r="B184" s="136" t="s">
        <v>198</v>
      </c>
      <c r="C184" s="137">
        <v>440.0</v>
      </c>
      <c r="D184" s="137">
        <v>228.0</v>
      </c>
      <c r="E184" s="137">
        <v>212.0</v>
      </c>
      <c r="F184" s="137">
        <v>0.0</v>
      </c>
      <c r="G184" s="137">
        <v>8.0</v>
      </c>
      <c r="H184" s="137">
        <v>0.0</v>
      </c>
      <c r="I184" s="137">
        <v>0.0</v>
      </c>
      <c r="J184" s="137">
        <v>0.0</v>
      </c>
      <c r="K184" s="137">
        <v>0.0</v>
      </c>
      <c r="L184" s="137">
        <v>3.0</v>
      </c>
      <c r="M184" s="137">
        <v>18.0</v>
      </c>
      <c r="N184" s="137">
        <v>34.0</v>
      </c>
      <c r="O184" s="137">
        <v>29.0</v>
      </c>
      <c r="P184" s="137">
        <v>12.0</v>
      </c>
      <c r="Q184" s="137">
        <v>16.0</v>
      </c>
      <c r="R184" s="137">
        <v>42.0</v>
      </c>
      <c r="S184" s="137">
        <v>30.0</v>
      </c>
      <c r="T184" s="137">
        <v>15.0</v>
      </c>
      <c r="U184" s="137">
        <v>11.0</v>
      </c>
      <c r="V184" s="137">
        <v>8.0</v>
      </c>
      <c r="W184" s="137">
        <v>6.0</v>
      </c>
      <c r="X184" s="137">
        <v>8.0</v>
      </c>
      <c r="Y184" s="137">
        <v>10.0</v>
      </c>
      <c r="Z184" s="137">
        <v>21.0</v>
      </c>
      <c r="AA184" s="137">
        <v>11.0</v>
      </c>
      <c r="AB184" s="137">
        <v>12.0</v>
      </c>
      <c r="AC184" s="137">
        <v>11.0</v>
      </c>
      <c r="AD184" s="137">
        <v>16.0</v>
      </c>
      <c r="AE184" s="137">
        <v>11.0</v>
      </c>
      <c r="AF184" s="137">
        <v>5.0</v>
      </c>
      <c r="AG184" s="137">
        <v>12.0</v>
      </c>
      <c r="AH184" s="137">
        <v>22.0</v>
      </c>
      <c r="AI184" s="137">
        <v>13.0</v>
      </c>
      <c r="AJ184" s="137">
        <v>19.0</v>
      </c>
      <c r="AK184" s="137">
        <v>14.0</v>
      </c>
      <c r="AL184" s="137">
        <v>11.0</v>
      </c>
      <c r="AM184" s="137">
        <v>12.0</v>
      </c>
      <c r="AN184" s="137">
        <v>440.0</v>
      </c>
    </row>
    <row r="185">
      <c r="A185" s="98"/>
      <c r="B185" s="136" t="s">
        <v>199</v>
      </c>
      <c r="C185" s="137">
        <v>141.0</v>
      </c>
      <c r="D185" s="137">
        <v>68.0</v>
      </c>
      <c r="E185" s="137">
        <v>73.0</v>
      </c>
      <c r="F185" s="137">
        <v>1.0</v>
      </c>
      <c r="G185" s="137">
        <v>0.0</v>
      </c>
      <c r="H185" s="137">
        <v>0.0</v>
      </c>
      <c r="I185" s="137">
        <v>0.0</v>
      </c>
      <c r="J185" s="137">
        <v>0.0</v>
      </c>
      <c r="K185" s="137">
        <v>0.0</v>
      </c>
      <c r="L185" s="137">
        <v>8.0</v>
      </c>
      <c r="M185" s="137">
        <v>1.0</v>
      </c>
      <c r="N185" s="137">
        <v>8.0</v>
      </c>
      <c r="O185" s="137">
        <v>4.0</v>
      </c>
      <c r="P185" s="137">
        <v>8.0</v>
      </c>
      <c r="Q185" s="137">
        <v>6.0</v>
      </c>
      <c r="R185" s="137">
        <v>4.0</v>
      </c>
      <c r="S185" s="137">
        <v>5.0</v>
      </c>
      <c r="T185" s="137">
        <v>3.0</v>
      </c>
      <c r="U185" s="137">
        <v>8.0</v>
      </c>
      <c r="V185" s="137">
        <v>10.0</v>
      </c>
      <c r="W185" s="137">
        <v>3.0</v>
      </c>
      <c r="X185" s="137">
        <v>1.0</v>
      </c>
      <c r="Y185" s="137">
        <v>9.0</v>
      </c>
      <c r="Z185" s="137">
        <v>1.0</v>
      </c>
      <c r="AA185" s="137">
        <v>9.0</v>
      </c>
      <c r="AB185" s="137">
        <v>2.0</v>
      </c>
      <c r="AC185" s="137">
        <v>8.0</v>
      </c>
      <c r="AD185" s="137">
        <v>4.0</v>
      </c>
      <c r="AE185" s="137">
        <v>3.0</v>
      </c>
      <c r="AF185" s="137">
        <v>4.0</v>
      </c>
      <c r="AG185" s="137">
        <v>2.0</v>
      </c>
      <c r="AH185" s="137">
        <v>6.0</v>
      </c>
      <c r="AI185" s="137">
        <v>4.0</v>
      </c>
      <c r="AJ185" s="137">
        <v>5.0</v>
      </c>
      <c r="AK185" s="137">
        <v>9.0</v>
      </c>
      <c r="AL185" s="137">
        <v>3.0</v>
      </c>
      <c r="AM185" s="137">
        <v>2.0</v>
      </c>
      <c r="AN185" s="137">
        <v>141.0</v>
      </c>
    </row>
    <row r="186">
      <c r="A186" s="104"/>
      <c r="B186" s="136" t="s">
        <v>206</v>
      </c>
      <c r="C186" s="134">
        <v>1251.0</v>
      </c>
      <c r="D186" s="137">
        <v>313.0</v>
      </c>
      <c r="E186" s="137">
        <v>938.0</v>
      </c>
      <c r="F186" s="137">
        <v>0.0</v>
      </c>
      <c r="G186" s="137">
        <v>0.0</v>
      </c>
      <c r="H186" s="137">
        <v>1.0</v>
      </c>
      <c r="I186" s="137">
        <v>0.0</v>
      </c>
      <c r="J186" s="137">
        <v>2.0</v>
      </c>
      <c r="K186" s="137">
        <v>1.0</v>
      </c>
      <c r="L186" s="137">
        <v>65.0</v>
      </c>
      <c r="M186" s="137">
        <v>163.0</v>
      </c>
      <c r="N186" s="137">
        <v>91.0</v>
      </c>
      <c r="O186" s="137">
        <v>212.0</v>
      </c>
      <c r="P186" s="137">
        <v>43.0</v>
      </c>
      <c r="Q186" s="137">
        <v>161.0</v>
      </c>
      <c r="R186" s="137">
        <v>32.0</v>
      </c>
      <c r="S186" s="137">
        <v>107.0</v>
      </c>
      <c r="T186" s="137">
        <v>22.0</v>
      </c>
      <c r="U186" s="137">
        <v>84.0</v>
      </c>
      <c r="V186" s="137">
        <v>14.0</v>
      </c>
      <c r="W186" s="137">
        <v>34.0</v>
      </c>
      <c r="X186" s="137">
        <v>3.0</v>
      </c>
      <c r="Y186" s="137">
        <v>42.0</v>
      </c>
      <c r="Z186" s="137">
        <v>13.0</v>
      </c>
      <c r="AA186" s="137">
        <v>53.0</v>
      </c>
      <c r="AB186" s="137">
        <v>8.0</v>
      </c>
      <c r="AC186" s="137">
        <v>34.0</v>
      </c>
      <c r="AD186" s="137">
        <v>3.0</v>
      </c>
      <c r="AE186" s="137">
        <v>21.0</v>
      </c>
      <c r="AF186" s="137">
        <v>7.0</v>
      </c>
      <c r="AG186" s="137">
        <v>6.0</v>
      </c>
      <c r="AH186" s="137">
        <v>6.0</v>
      </c>
      <c r="AI186" s="137">
        <v>8.0</v>
      </c>
      <c r="AJ186" s="137">
        <v>3.0</v>
      </c>
      <c r="AK186" s="137">
        <v>6.0</v>
      </c>
      <c r="AL186" s="137">
        <v>0.0</v>
      </c>
      <c r="AM186" s="137">
        <v>6.0</v>
      </c>
      <c r="AN186" s="134">
        <v>1234.0</v>
      </c>
    </row>
    <row r="187">
      <c r="A187" s="132" t="s">
        <v>207</v>
      </c>
      <c r="B187" s="136" t="s">
        <v>198</v>
      </c>
      <c r="C187" s="134">
        <v>26209.0</v>
      </c>
      <c r="D187" s="134">
        <v>6726.0</v>
      </c>
      <c r="E187" s="134">
        <v>19483.0</v>
      </c>
      <c r="F187" s="137">
        <v>247.0</v>
      </c>
      <c r="G187" s="137">
        <v>156.0</v>
      </c>
      <c r="H187" s="137">
        <v>128.0</v>
      </c>
      <c r="I187" s="137">
        <v>115.0</v>
      </c>
      <c r="J187" s="137">
        <v>121.0</v>
      </c>
      <c r="K187" s="137">
        <v>116.0</v>
      </c>
      <c r="L187" s="137">
        <v>141.0</v>
      </c>
      <c r="M187" s="137">
        <v>233.0</v>
      </c>
      <c r="N187" s="137">
        <v>142.0</v>
      </c>
      <c r="O187" s="137">
        <v>329.0</v>
      </c>
      <c r="P187" s="137">
        <v>185.0</v>
      </c>
      <c r="Q187" s="137">
        <v>532.0</v>
      </c>
      <c r="R187" s="137">
        <v>134.0</v>
      </c>
      <c r="S187" s="137">
        <v>627.0</v>
      </c>
      <c r="T187" s="137">
        <v>158.0</v>
      </c>
      <c r="U187" s="137">
        <v>739.0</v>
      </c>
      <c r="V187" s="137">
        <v>190.0</v>
      </c>
      <c r="W187" s="137">
        <v>900.0</v>
      </c>
      <c r="X187" s="137">
        <v>245.0</v>
      </c>
      <c r="Y187" s="134">
        <v>1031.0</v>
      </c>
      <c r="Z187" s="137">
        <v>393.0</v>
      </c>
      <c r="AA187" s="134">
        <v>1567.0</v>
      </c>
      <c r="AB187" s="137">
        <v>547.0</v>
      </c>
      <c r="AC187" s="134">
        <v>2062.0</v>
      </c>
      <c r="AD187" s="137">
        <v>662.0</v>
      </c>
      <c r="AE187" s="134">
        <v>2367.0</v>
      </c>
      <c r="AF187" s="137">
        <v>801.0</v>
      </c>
      <c r="AG187" s="134">
        <v>2331.0</v>
      </c>
      <c r="AH187" s="137">
        <v>913.0</v>
      </c>
      <c r="AI187" s="134">
        <v>2302.0</v>
      </c>
      <c r="AJ187" s="137">
        <v>780.0</v>
      </c>
      <c r="AK187" s="134">
        <v>1829.0</v>
      </c>
      <c r="AL187" s="137">
        <v>939.0</v>
      </c>
      <c r="AM187" s="134">
        <v>2247.0</v>
      </c>
      <c r="AN187" s="134">
        <v>25685.0</v>
      </c>
    </row>
    <row r="188">
      <c r="A188" s="98"/>
      <c r="B188" s="136" t="s">
        <v>199</v>
      </c>
      <c r="C188" s="134">
        <v>7256.0</v>
      </c>
      <c r="D188" s="134">
        <v>2332.0</v>
      </c>
      <c r="E188" s="134">
        <v>4924.0</v>
      </c>
      <c r="F188" s="137">
        <v>68.0</v>
      </c>
      <c r="G188" s="137">
        <v>49.0</v>
      </c>
      <c r="H188" s="137">
        <v>2.0</v>
      </c>
      <c r="I188" s="137">
        <v>19.0</v>
      </c>
      <c r="J188" s="137">
        <v>6.0</v>
      </c>
      <c r="K188" s="137">
        <v>4.0</v>
      </c>
      <c r="L188" s="137">
        <v>14.0</v>
      </c>
      <c r="M188" s="137">
        <v>25.0</v>
      </c>
      <c r="N188" s="137">
        <v>36.0</v>
      </c>
      <c r="O188" s="137">
        <v>27.0</v>
      </c>
      <c r="P188" s="137">
        <v>32.0</v>
      </c>
      <c r="Q188" s="137">
        <v>31.0</v>
      </c>
      <c r="R188" s="137">
        <v>37.0</v>
      </c>
      <c r="S188" s="137">
        <v>73.0</v>
      </c>
      <c r="T188" s="137">
        <v>53.0</v>
      </c>
      <c r="U188" s="137">
        <v>118.0</v>
      </c>
      <c r="V188" s="137">
        <v>45.0</v>
      </c>
      <c r="W188" s="137">
        <v>139.0</v>
      </c>
      <c r="X188" s="137">
        <v>105.0</v>
      </c>
      <c r="Y188" s="137">
        <v>209.0</v>
      </c>
      <c r="Z188" s="137">
        <v>106.0</v>
      </c>
      <c r="AA188" s="137">
        <v>313.0</v>
      </c>
      <c r="AB188" s="137">
        <v>139.0</v>
      </c>
      <c r="AC188" s="137">
        <v>483.0</v>
      </c>
      <c r="AD188" s="137">
        <v>240.0</v>
      </c>
      <c r="AE188" s="137">
        <v>581.0</v>
      </c>
      <c r="AF188" s="137">
        <v>302.0</v>
      </c>
      <c r="AG188" s="137">
        <v>677.0</v>
      </c>
      <c r="AH188" s="137">
        <v>404.0</v>
      </c>
      <c r="AI188" s="137">
        <v>731.0</v>
      </c>
      <c r="AJ188" s="137">
        <v>379.0</v>
      </c>
      <c r="AK188" s="137">
        <v>669.0</v>
      </c>
      <c r="AL188" s="137">
        <v>364.0</v>
      </c>
      <c r="AM188" s="137">
        <v>776.0</v>
      </c>
      <c r="AN188" s="134">
        <v>7052.0</v>
      </c>
    </row>
    <row r="189">
      <c r="A189" s="98"/>
      <c r="B189" s="136" t="s">
        <v>206</v>
      </c>
      <c r="C189" s="137">
        <v>371.0</v>
      </c>
      <c r="D189" s="137">
        <v>52.0</v>
      </c>
      <c r="E189" s="137">
        <v>319.0</v>
      </c>
      <c r="F189" s="137">
        <v>23.0</v>
      </c>
      <c r="G189" s="137">
        <v>18.0</v>
      </c>
      <c r="H189" s="137">
        <v>3.0</v>
      </c>
      <c r="I189" s="137">
        <v>8.0</v>
      </c>
      <c r="J189" s="137">
        <v>2.0</v>
      </c>
      <c r="K189" s="137">
        <v>10.0</v>
      </c>
      <c r="L189" s="137">
        <v>0.0</v>
      </c>
      <c r="M189" s="137">
        <v>14.0</v>
      </c>
      <c r="N189" s="137">
        <v>3.0</v>
      </c>
      <c r="O189" s="137">
        <v>23.0</v>
      </c>
      <c r="P189" s="137">
        <v>1.0</v>
      </c>
      <c r="Q189" s="137">
        <v>33.0</v>
      </c>
      <c r="R189" s="137">
        <v>0.0</v>
      </c>
      <c r="S189" s="137">
        <v>38.0</v>
      </c>
      <c r="T189" s="137">
        <v>3.0</v>
      </c>
      <c r="U189" s="137">
        <v>28.0</v>
      </c>
      <c r="V189" s="137">
        <v>1.0</v>
      </c>
      <c r="W189" s="137">
        <v>24.0</v>
      </c>
      <c r="X189" s="137">
        <v>1.0</v>
      </c>
      <c r="Y189" s="137">
        <v>12.0</v>
      </c>
      <c r="Z189" s="137">
        <v>1.0</v>
      </c>
      <c r="AA189" s="137">
        <v>15.0</v>
      </c>
      <c r="AB189" s="137">
        <v>1.0</v>
      </c>
      <c r="AC189" s="137">
        <v>14.0</v>
      </c>
      <c r="AD189" s="137">
        <v>1.0</v>
      </c>
      <c r="AE189" s="137">
        <v>20.0</v>
      </c>
      <c r="AF189" s="137">
        <v>3.0</v>
      </c>
      <c r="AG189" s="137">
        <v>24.0</v>
      </c>
      <c r="AH189" s="137">
        <v>3.0</v>
      </c>
      <c r="AI189" s="137">
        <v>20.0</v>
      </c>
      <c r="AJ189" s="137">
        <v>2.0</v>
      </c>
      <c r="AK189" s="137">
        <v>9.0</v>
      </c>
      <c r="AL189" s="137">
        <v>4.0</v>
      </c>
      <c r="AM189" s="137">
        <v>9.0</v>
      </c>
      <c r="AN189" s="137">
        <v>366.0</v>
      </c>
    </row>
    <row r="190">
      <c r="A190" s="98"/>
      <c r="B190" s="136" t="s">
        <v>200</v>
      </c>
      <c r="C190" s="134">
        <v>13207.0</v>
      </c>
      <c r="D190" s="134">
        <v>4511.0</v>
      </c>
      <c r="E190" s="134">
        <v>8696.0</v>
      </c>
      <c r="F190" s="134">
        <v>2397.0</v>
      </c>
      <c r="G190" s="134">
        <v>2391.0</v>
      </c>
      <c r="H190" s="137">
        <v>463.0</v>
      </c>
      <c r="I190" s="137">
        <v>522.0</v>
      </c>
      <c r="J190" s="137">
        <v>192.0</v>
      </c>
      <c r="K190" s="137">
        <v>298.0</v>
      </c>
      <c r="L190" s="137">
        <v>79.0</v>
      </c>
      <c r="M190" s="137">
        <v>379.0</v>
      </c>
      <c r="N190" s="137">
        <v>57.0</v>
      </c>
      <c r="O190" s="137">
        <v>428.0</v>
      </c>
      <c r="P190" s="137">
        <v>67.0</v>
      </c>
      <c r="Q190" s="137">
        <v>562.0</v>
      </c>
      <c r="R190" s="137">
        <v>55.0</v>
      </c>
      <c r="S190" s="137">
        <v>486.0</v>
      </c>
      <c r="T190" s="137">
        <v>65.0</v>
      </c>
      <c r="U190" s="137">
        <v>426.0</v>
      </c>
      <c r="V190" s="137">
        <v>72.0</v>
      </c>
      <c r="W190" s="137">
        <v>331.0</v>
      </c>
      <c r="X190" s="137">
        <v>87.0</v>
      </c>
      <c r="Y190" s="137">
        <v>336.0</v>
      </c>
      <c r="Z190" s="137">
        <v>105.0</v>
      </c>
      <c r="AA190" s="137">
        <v>434.0</v>
      </c>
      <c r="AB190" s="137">
        <v>159.0</v>
      </c>
      <c r="AC190" s="137">
        <v>472.0</v>
      </c>
      <c r="AD190" s="137">
        <v>157.0</v>
      </c>
      <c r="AE190" s="137">
        <v>431.0</v>
      </c>
      <c r="AF190" s="137">
        <v>165.0</v>
      </c>
      <c r="AG190" s="137">
        <v>381.0</v>
      </c>
      <c r="AH190" s="137">
        <v>171.0</v>
      </c>
      <c r="AI190" s="137">
        <v>321.0</v>
      </c>
      <c r="AJ190" s="137">
        <v>106.0</v>
      </c>
      <c r="AK190" s="137">
        <v>248.0</v>
      </c>
      <c r="AL190" s="137">
        <v>114.0</v>
      </c>
      <c r="AM190" s="137">
        <v>250.0</v>
      </c>
      <c r="AN190" s="134">
        <v>12928.0</v>
      </c>
    </row>
    <row r="191">
      <c r="A191" s="104"/>
      <c r="B191" s="136" t="s">
        <v>201</v>
      </c>
      <c r="C191" s="134">
        <v>1875.0</v>
      </c>
      <c r="D191" s="137">
        <v>876.0</v>
      </c>
      <c r="E191" s="137">
        <v>999.0</v>
      </c>
      <c r="F191" s="137">
        <v>415.0</v>
      </c>
      <c r="G191" s="137">
        <v>410.0</v>
      </c>
      <c r="H191" s="137">
        <v>29.0</v>
      </c>
      <c r="I191" s="137">
        <v>23.0</v>
      </c>
      <c r="J191" s="137">
        <v>40.0</v>
      </c>
      <c r="K191" s="137">
        <v>29.0</v>
      </c>
      <c r="L191" s="137">
        <v>18.0</v>
      </c>
      <c r="M191" s="137">
        <v>24.0</v>
      </c>
      <c r="N191" s="137">
        <v>20.0</v>
      </c>
      <c r="O191" s="137">
        <v>42.0</v>
      </c>
      <c r="P191" s="137">
        <v>18.0</v>
      </c>
      <c r="Q191" s="137">
        <v>35.0</v>
      </c>
      <c r="R191" s="137">
        <v>18.0</v>
      </c>
      <c r="S191" s="137">
        <v>17.0</v>
      </c>
      <c r="T191" s="137">
        <v>9.0</v>
      </c>
      <c r="U191" s="137">
        <v>42.0</v>
      </c>
      <c r="V191" s="137">
        <v>18.0</v>
      </c>
      <c r="W191" s="137">
        <v>28.0</v>
      </c>
      <c r="X191" s="137">
        <v>18.0</v>
      </c>
      <c r="Y191" s="137">
        <v>23.0</v>
      </c>
      <c r="Z191" s="137">
        <v>23.0</v>
      </c>
      <c r="AA191" s="137">
        <v>35.0</v>
      </c>
      <c r="AB191" s="137">
        <v>28.0</v>
      </c>
      <c r="AC191" s="137">
        <v>35.0</v>
      </c>
      <c r="AD191" s="137">
        <v>34.0</v>
      </c>
      <c r="AE191" s="137">
        <v>38.0</v>
      </c>
      <c r="AF191" s="137">
        <v>50.0</v>
      </c>
      <c r="AG191" s="137">
        <v>58.0</v>
      </c>
      <c r="AH191" s="137">
        <v>54.0</v>
      </c>
      <c r="AI191" s="137">
        <v>40.0</v>
      </c>
      <c r="AJ191" s="137">
        <v>43.0</v>
      </c>
      <c r="AK191" s="137">
        <v>55.0</v>
      </c>
      <c r="AL191" s="137">
        <v>41.0</v>
      </c>
      <c r="AM191" s="137">
        <v>65.0</v>
      </c>
      <c r="AN191" s="134">
        <v>1836.0</v>
      </c>
    </row>
    <row r="192">
      <c r="A192" s="132" t="s">
        <v>208</v>
      </c>
      <c r="B192" s="136" t="s">
        <v>198</v>
      </c>
      <c r="C192" s="137">
        <v>35.0</v>
      </c>
      <c r="D192" s="137">
        <v>20.0</v>
      </c>
      <c r="E192" s="137">
        <v>15.0</v>
      </c>
      <c r="F192" s="137">
        <v>14.0</v>
      </c>
      <c r="G192" s="137">
        <v>13.0</v>
      </c>
      <c r="H192" s="137">
        <v>0.0</v>
      </c>
      <c r="I192" s="137">
        <v>0.0</v>
      </c>
      <c r="J192" s="137">
        <v>3.0</v>
      </c>
      <c r="K192" s="137">
        <v>2.0</v>
      </c>
      <c r="L192" s="137">
        <v>2.0</v>
      </c>
      <c r="M192" s="137">
        <v>0.0</v>
      </c>
      <c r="N192" s="137">
        <v>1.0</v>
      </c>
      <c r="O192" s="137">
        <v>0.0</v>
      </c>
      <c r="P192" s="135">
        <v>0.0</v>
      </c>
      <c r="Q192" s="135">
        <v>0.0</v>
      </c>
      <c r="R192" s="135">
        <v>0.0</v>
      </c>
      <c r="S192" s="135">
        <v>0.0</v>
      </c>
      <c r="T192" s="135">
        <v>0.0</v>
      </c>
      <c r="U192" s="135">
        <v>0.0</v>
      </c>
      <c r="V192" s="135">
        <v>0.0</v>
      </c>
      <c r="W192" s="135">
        <v>0.0</v>
      </c>
      <c r="X192" s="135">
        <v>0.0</v>
      </c>
      <c r="Y192" s="135">
        <v>0.0</v>
      </c>
      <c r="Z192" s="135">
        <v>0.0</v>
      </c>
      <c r="AA192" s="135">
        <v>0.0</v>
      </c>
      <c r="AB192" s="135">
        <v>0.0</v>
      </c>
      <c r="AC192" s="135">
        <v>0.0</v>
      </c>
      <c r="AD192" s="135">
        <v>0.0</v>
      </c>
      <c r="AE192" s="135">
        <v>0.0</v>
      </c>
      <c r="AF192" s="135">
        <v>0.0</v>
      </c>
      <c r="AG192" s="135">
        <v>0.0</v>
      </c>
      <c r="AH192" s="135">
        <v>0.0</v>
      </c>
      <c r="AI192" s="135">
        <v>0.0</v>
      </c>
      <c r="AJ192" s="135">
        <v>0.0</v>
      </c>
      <c r="AK192" s="135">
        <v>0.0</v>
      </c>
      <c r="AL192" s="135">
        <v>0.0</v>
      </c>
      <c r="AM192" s="135">
        <v>0.0</v>
      </c>
      <c r="AN192" s="137">
        <v>33.0</v>
      </c>
    </row>
    <row r="193">
      <c r="A193" s="98"/>
      <c r="B193" s="136" t="s">
        <v>199</v>
      </c>
      <c r="C193" s="137">
        <v>55.0</v>
      </c>
      <c r="D193" s="137">
        <v>30.0</v>
      </c>
      <c r="E193" s="137">
        <v>25.0</v>
      </c>
      <c r="F193" s="137">
        <v>21.0</v>
      </c>
      <c r="G193" s="137">
        <v>21.0</v>
      </c>
      <c r="H193" s="137">
        <v>4.0</v>
      </c>
      <c r="I193" s="137">
        <v>3.0</v>
      </c>
      <c r="J193" s="137">
        <v>2.0</v>
      </c>
      <c r="K193" s="137">
        <v>0.0</v>
      </c>
      <c r="L193" s="137">
        <v>0.0</v>
      </c>
      <c r="M193" s="137">
        <v>0.0</v>
      </c>
      <c r="N193" s="137">
        <v>3.0</v>
      </c>
      <c r="O193" s="137">
        <v>1.0</v>
      </c>
      <c r="P193" s="135">
        <v>0.0</v>
      </c>
      <c r="Q193" s="135">
        <v>0.0</v>
      </c>
      <c r="R193" s="135">
        <v>0.0</v>
      </c>
      <c r="S193" s="135">
        <v>0.0</v>
      </c>
      <c r="T193" s="135">
        <v>0.0</v>
      </c>
      <c r="U193" s="135">
        <v>0.0</v>
      </c>
      <c r="V193" s="135">
        <v>0.0</v>
      </c>
      <c r="W193" s="135">
        <v>0.0</v>
      </c>
      <c r="X193" s="135">
        <v>0.0</v>
      </c>
      <c r="Y193" s="135">
        <v>0.0</v>
      </c>
      <c r="Z193" s="135">
        <v>0.0</v>
      </c>
      <c r="AA193" s="135">
        <v>0.0</v>
      </c>
      <c r="AB193" s="135">
        <v>0.0</v>
      </c>
      <c r="AC193" s="135">
        <v>0.0</v>
      </c>
      <c r="AD193" s="135">
        <v>0.0</v>
      </c>
      <c r="AE193" s="135">
        <v>0.0</v>
      </c>
      <c r="AF193" s="135">
        <v>0.0</v>
      </c>
      <c r="AG193" s="135">
        <v>0.0</v>
      </c>
      <c r="AH193" s="135">
        <v>0.0</v>
      </c>
      <c r="AI193" s="135">
        <v>0.0</v>
      </c>
      <c r="AJ193" s="135">
        <v>0.0</v>
      </c>
      <c r="AK193" s="135">
        <v>0.0</v>
      </c>
      <c r="AL193" s="135">
        <v>0.0</v>
      </c>
      <c r="AM193" s="135">
        <v>0.0</v>
      </c>
      <c r="AN193" s="137">
        <v>53.0</v>
      </c>
    </row>
    <row r="194">
      <c r="A194" s="98"/>
      <c r="B194" s="136" t="s">
        <v>206</v>
      </c>
      <c r="C194" s="137">
        <v>2.0</v>
      </c>
      <c r="D194" s="137">
        <v>1.0</v>
      </c>
      <c r="E194" s="137">
        <v>1.0</v>
      </c>
      <c r="F194" s="137">
        <v>1.0</v>
      </c>
      <c r="G194" s="137">
        <v>0.0</v>
      </c>
      <c r="H194" s="137">
        <v>0.0</v>
      </c>
      <c r="I194" s="137">
        <v>0.0</v>
      </c>
      <c r="J194" s="137">
        <v>0.0</v>
      </c>
      <c r="K194" s="137">
        <v>1.0</v>
      </c>
      <c r="L194" s="137">
        <v>0.0</v>
      </c>
      <c r="M194" s="137">
        <v>0.0</v>
      </c>
      <c r="N194" s="137">
        <v>0.0</v>
      </c>
      <c r="O194" s="137">
        <v>0.0</v>
      </c>
      <c r="P194" s="135">
        <v>0.0</v>
      </c>
      <c r="Q194" s="135">
        <v>0.0</v>
      </c>
      <c r="R194" s="135">
        <v>0.0</v>
      </c>
      <c r="S194" s="135">
        <v>0.0</v>
      </c>
      <c r="T194" s="135">
        <v>0.0</v>
      </c>
      <c r="U194" s="135">
        <v>0.0</v>
      </c>
      <c r="V194" s="135">
        <v>0.0</v>
      </c>
      <c r="W194" s="135">
        <v>0.0</v>
      </c>
      <c r="X194" s="135">
        <v>0.0</v>
      </c>
      <c r="Y194" s="135">
        <v>0.0</v>
      </c>
      <c r="Z194" s="135">
        <v>0.0</v>
      </c>
      <c r="AA194" s="135">
        <v>0.0</v>
      </c>
      <c r="AB194" s="135">
        <v>0.0</v>
      </c>
      <c r="AC194" s="135">
        <v>0.0</v>
      </c>
      <c r="AD194" s="135">
        <v>0.0</v>
      </c>
      <c r="AE194" s="135">
        <v>0.0</v>
      </c>
      <c r="AF194" s="135">
        <v>0.0</v>
      </c>
      <c r="AG194" s="135">
        <v>0.0</v>
      </c>
      <c r="AH194" s="135">
        <v>0.0</v>
      </c>
      <c r="AI194" s="135">
        <v>0.0</v>
      </c>
      <c r="AJ194" s="135">
        <v>0.0</v>
      </c>
      <c r="AK194" s="135">
        <v>0.0</v>
      </c>
      <c r="AL194" s="135">
        <v>0.0</v>
      </c>
      <c r="AM194" s="135">
        <v>0.0</v>
      </c>
      <c r="AN194" s="137">
        <v>2.0</v>
      </c>
    </row>
    <row r="195">
      <c r="A195" s="98"/>
      <c r="B195" s="136" t="s">
        <v>200</v>
      </c>
      <c r="C195" s="137">
        <v>495.0</v>
      </c>
      <c r="D195" s="137">
        <v>233.0</v>
      </c>
      <c r="E195" s="137">
        <v>262.0</v>
      </c>
      <c r="F195" s="137">
        <v>189.0</v>
      </c>
      <c r="G195" s="137">
        <v>206.0</v>
      </c>
      <c r="H195" s="137">
        <v>26.0</v>
      </c>
      <c r="I195" s="137">
        <v>31.0</v>
      </c>
      <c r="J195" s="137">
        <v>13.0</v>
      </c>
      <c r="K195" s="137">
        <v>12.0</v>
      </c>
      <c r="L195" s="137">
        <v>3.0</v>
      </c>
      <c r="M195" s="137">
        <v>7.0</v>
      </c>
      <c r="N195" s="137">
        <v>2.0</v>
      </c>
      <c r="O195" s="137">
        <v>6.0</v>
      </c>
      <c r="P195" s="135">
        <v>0.0</v>
      </c>
      <c r="Q195" s="135">
        <v>0.0</v>
      </c>
      <c r="R195" s="135">
        <v>0.0</v>
      </c>
      <c r="S195" s="135">
        <v>0.0</v>
      </c>
      <c r="T195" s="135">
        <v>0.0</v>
      </c>
      <c r="U195" s="135">
        <v>0.0</v>
      </c>
      <c r="V195" s="135">
        <v>0.0</v>
      </c>
      <c r="W195" s="135">
        <v>0.0</v>
      </c>
      <c r="X195" s="135">
        <v>0.0</v>
      </c>
      <c r="Y195" s="135">
        <v>0.0</v>
      </c>
      <c r="Z195" s="135">
        <v>0.0</v>
      </c>
      <c r="AA195" s="135">
        <v>0.0</v>
      </c>
      <c r="AB195" s="135">
        <v>0.0</v>
      </c>
      <c r="AC195" s="135">
        <v>0.0</v>
      </c>
      <c r="AD195" s="135">
        <v>0.0</v>
      </c>
      <c r="AE195" s="135">
        <v>0.0</v>
      </c>
      <c r="AF195" s="135">
        <v>0.0</v>
      </c>
      <c r="AG195" s="135">
        <v>0.0</v>
      </c>
      <c r="AH195" s="135">
        <v>0.0</v>
      </c>
      <c r="AI195" s="135">
        <v>0.0</v>
      </c>
      <c r="AJ195" s="135">
        <v>0.0</v>
      </c>
      <c r="AK195" s="135">
        <v>0.0</v>
      </c>
      <c r="AL195" s="135">
        <v>0.0</v>
      </c>
      <c r="AM195" s="135">
        <v>0.0</v>
      </c>
      <c r="AN195" s="137">
        <v>448.0</v>
      </c>
    </row>
    <row r="196">
      <c r="A196" s="104"/>
      <c r="B196" s="136" t="s">
        <v>201</v>
      </c>
      <c r="C196" s="137">
        <v>16.0</v>
      </c>
      <c r="D196" s="137">
        <v>5.0</v>
      </c>
      <c r="E196" s="137">
        <v>11.0</v>
      </c>
      <c r="F196" s="137">
        <v>2.0</v>
      </c>
      <c r="G196" s="137">
        <v>4.0</v>
      </c>
      <c r="H196" s="137">
        <v>0.0</v>
      </c>
      <c r="I196" s="137">
        <v>0.0</v>
      </c>
      <c r="J196" s="137">
        <v>1.0</v>
      </c>
      <c r="K196" s="137">
        <v>2.0</v>
      </c>
      <c r="L196" s="137">
        <v>1.0</v>
      </c>
      <c r="M196" s="137">
        <v>1.0</v>
      </c>
      <c r="N196" s="137">
        <v>1.0</v>
      </c>
      <c r="O196" s="137">
        <v>4.0</v>
      </c>
      <c r="P196" s="135">
        <v>0.0</v>
      </c>
      <c r="Q196" s="135">
        <v>0.0</v>
      </c>
      <c r="R196" s="135">
        <v>0.0</v>
      </c>
      <c r="S196" s="135">
        <v>0.0</v>
      </c>
      <c r="T196" s="135">
        <v>0.0</v>
      </c>
      <c r="U196" s="135">
        <v>0.0</v>
      </c>
      <c r="V196" s="135">
        <v>0.0</v>
      </c>
      <c r="W196" s="135">
        <v>0.0</v>
      </c>
      <c r="X196" s="135">
        <v>0.0</v>
      </c>
      <c r="Y196" s="135">
        <v>0.0</v>
      </c>
      <c r="Z196" s="135">
        <v>0.0</v>
      </c>
      <c r="AA196" s="135">
        <v>0.0</v>
      </c>
      <c r="AB196" s="135">
        <v>0.0</v>
      </c>
      <c r="AC196" s="135">
        <v>0.0</v>
      </c>
      <c r="AD196" s="135">
        <v>0.0</v>
      </c>
      <c r="AE196" s="135">
        <v>0.0</v>
      </c>
      <c r="AF196" s="135">
        <v>0.0</v>
      </c>
      <c r="AG196" s="135">
        <v>0.0</v>
      </c>
      <c r="AH196" s="135">
        <v>0.0</v>
      </c>
      <c r="AI196" s="135">
        <v>0.0</v>
      </c>
      <c r="AJ196" s="135">
        <v>0.0</v>
      </c>
      <c r="AK196" s="135">
        <v>0.0</v>
      </c>
      <c r="AL196" s="135">
        <v>0.0</v>
      </c>
      <c r="AM196" s="135">
        <v>0.0</v>
      </c>
      <c r="AN196" s="137">
        <v>15.0</v>
      </c>
    </row>
    <row r="197">
      <c r="A197" s="138" t="s">
        <v>216</v>
      </c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</row>
    <row r="198">
      <c r="A198" s="132" t="s">
        <v>197</v>
      </c>
      <c r="B198" s="133" t="s">
        <v>198</v>
      </c>
      <c r="C198" s="134">
        <v>35862.0</v>
      </c>
      <c r="D198" s="134">
        <v>13123.0</v>
      </c>
      <c r="E198" s="134">
        <v>22739.0</v>
      </c>
      <c r="F198" s="135">
        <v>0.0</v>
      </c>
      <c r="G198" s="135">
        <v>0.0</v>
      </c>
      <c r="H198" s="135">
        <v>0.0</v>
      </c>
      <c r="I198" s="135">
        <v>0.0</v>
      </c>
      <c r="J198" s="135">
        <v>0.0</v>
      </c>
      <c r="K198" s="135">
        <v>0.0</v>
      </c>
      <c r="L198" s="137">
        <v>10.0</v>
      </c>
      <c r="M198" s="137">
        <v>26.0</v>
      </c>
      <c r="N198" s="137">
        <v>28.0</v>
      </c>
      <c r="O198" s="137">
        <v>82.0</v>
      </c>
      <c r="P198" s="137">
        <v>49.0</v>
      </c>
      <c r="Q198" s="137">
        <v>134.0</v>
      </c>
      <c r="R198" s="137">
        <v>115.0</v>
      </c>
      <c r="S198" s="137">
        <v>271.0</v>
      </c>
      <c r="T198" s="137">
        <v>219.0</v>
      </c>
      <c r="U198" s="137">
        <v>431.0</v>
      </c>
      <c r="V198" s="137">
        <v>359.0</v>
      </c>
      <c r="W198" s="137">
        <v>856.0</v>
      </c>
      <c r="X198" s="137">
        <v>679.0</v>
      </c>
      <c r="Y198" s="134">
        <v>1294.0</v>
      </c>
      <c r="Z198" s="134">
        <v>1134.0</v>
      </c>
      <c r="AA198" s="134">
        <v>2333.0</v>
      </c>
      <c r="AB198" s="134">
        <v>1376.0</v>
      </c>
      <c r="AC198" s="134">
        <v>3030.0</v>
      </c>
      <c r="AD198" s="134">
        <v>1791.0</v>
      </c>
      <c r="AE198" s="134">
        <v>3074.0</v>
      </c>
      <c r="AF198" s="134">
        <v>1992.0</v>
      </c>
      <c r="AG198" s="134">
        <v>3271.0</v>
      </c>
      <c r="AH198" s="134">
        <v>2130.0</v>
      </c>
      <c r="AI198" s="134">
        <v>3046.0</v>
      </c>
      <c r="AJ198" s="134">
        <v>1552.0</v>
      </c>
      <c r="AK198" s="134">
        <v>2288.0</v>
      </c>
      <c r="AL198" s="134">
        <v>1689.0</v>
      </c>
      <c r="AM198" s="134">
        <v>2603.0</v>
      </c>
      <c r="AN198" s="134">
        <v>35763.0</v>
      </c>
    </row>
    <row r="199">
      <c r="A199" s="98"/>
      <c r="B199" s="136" t="s">
        <v>199</v>
      </c>
      <c r="C199" s="134">
        <v>18286.0</v>
      </c>
      <c r="D199" s="134">
        <v>6636.0</v>
      </c>
      <c r="E199" s="134">
        <v>11650.0</v>
      </c>
      <c r="F199" s="135">
        <v>0.0</v>
      </c>
      <c r="G199" s="135">
        <v>0.0</v>
      </c>
      <c r="H199" s="135">
        <v>0.0</v>
      </c>
      <c r="I199" s="135">
        <v>0.0</v>
      </c>
      <c r="J199" s="135">
        <v>0.0</v>
      </c>
      <c r="K199" s="135">
        <v>0.0</v>
      </c>
      <c r="L199" s="137">
        <v>2.0</v>
      </c>
      <c r="M199" s="137">
        <v>12.0</v>
      </c>
      <c r="N199" s="137">
        <v>10.0</v>
      </c>
      <c r="O199" s="137">
        <v>25.0</v>
      </c>
      <c r="P199" s="137">
        <v>20.0</v>
      </c>
      <c r="Q199" s="137">
        <v>38.0</v>
      </c>
      <c r="R199" s="137">
        <v>43.0</v>
      </c>
      <c r="S199" s="137">
        <v>110.0</v>
      </c>
      <c r="T199" s="137">
        <v>95.0</v>
      </c>
      <c r="U199" s="137">
        <v>190.0</v>
      </c>
      <c r="V199" s="137">
        <v>160.0</v>
      </c>
      <c r="W199" s="137">
        <v>364.0</v>
      </c>
      <c r="X199" s="137">
        <v>284.0</v>
      </c>
      <c r="Y199" s="137">
        <v>592.0</v>
      </c>
      <c r="Z199" s="137">
        <v>529.0</v>
      </c>
      <c r="AA199" s="134">
        <v>1098.0</v>
      </c>
      <c r="AB199" s="137">
        <v>728.0</v>
      </c>
      <c r="AC199" s="134">
        <v>1521.0</v>
      </c>
      <c r="AD199" s="137">
        <v>876.0</v>
      </c>
      <c r="AE199" s="134">
        <v>1568.0</v>
      </c>
      <c r="AF199" s="134">
        <v>1089.0</v>
      </c>
      <c r="AG199" s="134">
        <v>1706.0</v>
      </c>
      <c r="AH199" s="134">
        <v>1058.0</v>
      </c>
      <c r="AI199" s="134">
        <v>1694.0</v>
      </c>
      <c r="AJ199" s="137">
        <v>835.0</v>
      </c>
      <c r="AK199" s="134">
        <v>1322.0</v>
      </c>
      <c r="AL199" s="137">
        <v>907.0</v>
      </c>
      <c r="AM199" s="134">
        <v>1410.0</v>
      </c>
      <c r="AN199" s="134">
        <v>18210.0</v>
      </c>
    </row>
    <row r="200">
      <c r="A200" s="98"/>
      <c r="B200" s="136" t="s">
        <v>200</v>
      </c>
      <c r="C200" s="134">
        <v>21188.0</v>
      </c>
      <c r="D200" s="134">
        <v>7351.0</v>
      </c>
      <c r="E200" s="134">
        <v>13837.0</v>
      </c>
      <c r="F200" s="135">
        <v>0.0</v>
      </c>
      <c r="G200" s="135">
        <v>0.0</v>
      </c>
      <c r="H200" s="135">
        <v>0.0</v>
      </c>
      <c r="I200" s="135">
        <v>0.0</v>
      </c>
      <c r="J200" s="135">
        <v>0.0</v>
      </c>
      <c r="K200" s="135">
        <v>0.0</v>
      </c>
      <c r="L200" s="137">
        <v>6.0</v>
      </c>
      <c r="M200" s="137">
        <v>15.0</v>
      </c>
      <c r="N200" s="137">
        <v>14.0</v>
      </c>
      <c r="O200" s="137">
        <v>39.0</v>
      </c>
      <c r="P200" s="137">
        <v>26.0</v>
      </c>
      <c r="Q200" s="137">
        <v>94.0</v>
      </c>
      <c r="R200" s="137">
        <v>59.0</v>
      </c>
      <c r="S200" s="137">
        <v>137.0</v>
      </c>
      <c r="T200" s="137">
        <v>125.0</v>
      </c>
      <c r="U200" s="137">
        <v>268.0</v>
      </c>
      <c r="V200" s="137">
        <v>197.0</v>
      </c>
      <c r="W200" s="137">
        <v>501.0</v>
      </c>
      <c r="X200" s="137">
        <v>374.0</v>
      </c>
      <c r="Y200" s="137">
        <v>810.0</v>
      </c>
      <c r="Z200" s="137">
        <v>568.0</v>
      </c>
      <c r="AA200" s="134">
        <v>1457.0</v>
      </c>
      <c r="AB200" s="137">
        <v>822.0</v>
      </c>
      <c r="AC200" s="134">
        <v>1860.0</v>
      </c>
      <c r="AD200" s="134">
        <v>1011.0</v>
      </c>
      <c r="AE200" s="134">
        <v>1880.0</v>
      </c>
      <c r="AF200" s="134">
        <v>1135.0</v>
      </c>
      <c r="AG200" s="134">
        <v>2000.0</v>
      </c>
      <c r="AH200" s="134">
        <v>1155.0</v>
      </c>
      <c r="AI200" s="134">
        <v>1811.0</v>
      </c>
      <c r="AJ200" s="137">
        <v>908.0</v>
      </c>
      <c r="AK200" s="134">
        <v>1406.0</v>
      </c>
      <c r="AL200" s="137">
        <v>951.0</v>
      </c>
      <c r="AM200" s="134">
        <v>1559.0</v>
      </c>
      <c r="AN200" s="134">
        <v>20961.0</v>
      </c>
    </row>
    <row r="201">
      <c r="A201" s="104"/>
      <c r="B201" s="136" t="s">
        <v>201</v>
      </c>
      <c r="C201" s="137">
        <v>5.0</v>
      </c>
      <c r="D201" s="137">
        <v>3.0</v>
      </c>
      <c r="E201" s="137">
        <v>2.0</v>
      </c>
      <c r="F201" s="135">
        <v>0.0</v>
      </c>
      <c r="G201" s="135">
        <v>0.0</v>
      </c>
      <c r="H201" s="135">
        <v>0.0</v>
      </c>
      <c r="I201" s="135">
        <v>0.0</v>
      </c>
      <c r="J201" s="135">
        <v>0.0</v>
      </c>
      <c r="K201" s="135">
        <v>0.0</v>
      </c>
      <c r="L201" s="137">
        <v>0.0</v>
      </c>
      <c r="M201" s="137">
        <v>0.0</v>
      </c>
      <c r="N201" s="137">
        <v>0.0</v>
      </c>
      <c r="O201" s="137">
        <v>0.0</v>
      </c>
      <c r="P201" s="137">
        <v>0.0</v>
      </c>
      <c r="Q201" s="137">
        <v>0.0</v>
      </c>
      <c r="R201" s="137">
        <v>0.0</v>
      </c>
      <c r="S201" s="137">
        <v>0.0</v>
      </c>
      <c r="T201" s="137">
        <v>0.0</v>
      </c>
      <c r="U201" s="137">
        <v>0.0</v>
      </c>
      <c r="V201" s="137">
        <v>0.0</v>
      </c>
      <c r="W201" s="137">
        <v>0.0</v>
      </c>
      <c r="X201" s="137">
        <v>1.0</v>
      </c>
      <c r="Y201" s="137">
        <v>1.0</v>
      </c>
      <c r="Z201" s="137">
        <v>0.0</v>
      </c>
      <c r="AA201" s="137">
        <v>0.0</v>
      </c>
      <c r="AB201" s="137">
        <v>0.0</v>
      </c>
      <c r="AC201" s="137">
        <v>0.0</v>
      </c>
      <c r="AD201" s="137">
        <v>0.0</v>
      </c>
      <c r="AE201" s="137">
        <v>0.0</v>
      </c>
      <c r="AF201" s="137">
        <v>1.0</v>
      </c>
      <c r="AG201" s="137">
        <v>0.0</v>
      </c>
      <c r="AH201" s="137">
        <v>1.0</v>
      </c>
      <c r="AI201" s="137">
        <v>0.0</v>
      </c>
      <c r="AJ201" s="137">
        <v>0.0</v>
      </c>
      <c r="AK201" s="137">
        <v>1.0</v>
      </c>
      <c r="AL201" s="137">
        <v>0.0</v>
      </c>
      <c r="AM201" s="137">
        <v>0.0</v>
      </c>
      <c r="AN201" s="137">
        <v>5.0</v>
      </c>
    </row>
    <row r="202">
      <c r="A202" s="132" t="s">
        <v>202</v>
      </c>
      <c r="B202" s="136" t="s">
        <v>198</v>
      </c>
      <c r="C202" s="137">
        <v>142.0</v>
      </c>
      <c r="D202" s="137">
        <v>86.0</v>
      </c>
      <c r="E202" s="137">
        <v>56.0</v>
      </c>
      <c r="F202" s="137">
        <v>1.0</v>
      </c>
      <c r="G202" s="137">
        <v>0.0</v>
      </c>
      <c r="H202" s="137">
        <v>2.0</v>
      </c>
      <c r="I202" s="137">
        <v>0.0</v>
      </c>
      <c r="J202" s="137">
        <v>0.0</v>
      </c>
      <c r="K202" s="137">
        <v>2.0</v>
      </c>
      <c r="L202" s="137">
        <v>3.0</v>
      </c>
      <c r="M202" s="137">
        <v>0.0</v>
      </c>
      <c r="N202" s="137">
        <v>8.0</v>
      </c>
      <c r="O202" s="137">
        <v>2.0</v>
      </c>
      <c r="P202" s="137">
        <v>11.0</v>
      </c>
      <c r="Q202" s="137">
        <v>13.0</v>
      </c>
      <c r="R202" s="137">
        <v>2.0</v>
      </c>
      <c r="S202" s="137">
        <v>3.0</v>
      </c>
      <c r="T202" s="137">
        <v>7.0</v>
      </c>
      <c r="U202" s="137">
        <v>7.0</v>
      </c>
      <c r="V202" s="137">
        <v>4.0</v>
      </c>
      <c r="W202" s="137">
        <v>4.0</v>
      </c>
      <c r="X202" s="137">
        <v>2.0</v>
      </c>
      <c r="Y202" s="137">
        <v>0.0</v>
      </c>
      <c r="Z202" s="137">
        <v>10.0</v>
      </c>
      <c r="AA202" s="137">
        <v>2.0</v>
      </c>
      <c r="AB202" s="137">
        <v>5.0</v>
      </c>
      <c r="AC202" s="137">
        <v>1.0</v>
      </c>
      <c r="AD202" s="137">
        <v>3.0</v>
      </c>
      <c r="AE202" s="137">
        <v>3.0</v>
      </c>
      <c r="AF202" s="137">
        <v>9.0</v>
      </c>
      <c r="AG202" s="137">
        <v>3.0</v>
      </c>
      <c r="AH202" s="137">
        <v>1.0</v>
      </c>
      <c r="AI202" s="137">
        <v>16.0</v>
      </c>
      <c r="AJ202" s="137">
        <v>9.0</v>
      </c>
      <c r="AK202" s="137">
        <v>0.0</v>
      </c>
      <c r="AL202" s="137">
        <v>9.0</v>
      </c>
      <c r="AM202" s="137">
        <v>0.0</v>
      </c>
      <c r="AN202" s="137">
        <v>136.0</v>
      </c>
    </row>
    <row r="203">
      <c r="A203" s="104"/>
      <c r="B203" s="136" t="s">
        <v>199</v>
      </c>
      <c r="C203" s="137">
        <v>15.0</v>
      </c>
      <c r="D203" s="137">
        <v>10.0</v>
      </c>
      <c r="E203" s="137">
        <v>5.0</v>
      </c>
      <c r="F203" s="137">
        <v>0.0</v>
      </c>
      <c r="G203" s="137">
        <v>0.0</v>
      </c>
      <c r="H203" s="137">
        <v>0.0</v>
      </c>
      <c r="I203" s="137">
        <v>0.0</v>
      </c>
      <c r="J203" s="137">
        <v>0.0</v>
      </c>
      <c r="K203" s="137">
        <v>0.0</v>
      </c>
      <c r="L203" s="137">
        <v>0.0</v>
      </c>
      <c r="M203" s="137">
        <v>0.0</v>
      </c>
      <c r="N203" s="137">
        <v>0.0</v>
      </c>
      <c r="O203" s="137">
        <v>2.0</v>
      </c>
      <c r="P203" s="137">
        <v>2.0</v>
      </c>
      <c r="Q203" s="137">
        <v>0.0</v>
      </c>
      <c r="R203" s="137">
        <v>0.0</v>
      </c>
      <c r="S203" s="137">
        <v>0.0</v>
      </c>
      <c r="T203" s="137">
        <v>0.0</v>
      </c>
      <c r="U203" s="137">
        <v>0.0</v>
      </c>
      <c r="V203" s="137">
        <v>0.0</v>
      </c>
      <c r="W203" s="137">
        <v>0.0</v>
      </c>
      <c r="X203" s="137">
        <v>1.0</v>
      </c>
      <c r="Y203" s="137">
        <v>0.0</v>
      </c>
      <c r="Z203" s="137">
        <v>3.0</v>
      </c>
      <c r="AA203" s="137">
        <v>0.0</v>
      </c>
      <c r="AB203" s="137">
        <v>1.0</v>
      </c>
      <c r="AC203" s="137">
        <v>1.0</v>
      </c>
      <c r="AD203" s="137">
        <v>0.0</v>
      </c>
      <c r="AE203" s="137">
        <v>1.0</v>
      </c>
      <c r="AF203" s="137">
        <v>0.0</v>
      </c>
      <c r="AG203" s="137">
        <v>0.0</v>
      </c>
      <c r="AH203" s="137">
        <v>0.0</v>
      </c>
      <c r="AI203" s="137">
        <v>0.0</v>
      </c>
      <c r="AJ203" s="137">
        <v>1.0</v>
      </c>
      <c r="AK203" s="137">
        <v>0.0</v>
      </c>
      <c r="AL203" s="137">
        <v>2.0</v>
      </c>
      <c r="AM203" s="137">
        <v>1.0</v>
      </c>
      <c r="AN203" s="137">
        <v>15.0</v>
      </c>
    </row>
    <row r="204">
      <c r="A204" s="132" t="s">
        <v>203</v>
      </c>
      <c r="B204" s="136" t="s">
        <v>198</v>
      </c>
      <c r="C204" s="137">
        <v>34.0</v>
      </c>
      <c r="D204" s="137">
        <v>13.0</v>
      </c>
      <c r="E204" s="137">
        <v>21.0</v>
      </c>
      <c r="F204" s="135">
        <v>0.0</v>
      </c>
      <c r="G204" s="135">
        <v>0.0</v>
      </c>
      <c r="H204" s="135">
        <v>0.0</v>
      </c>
      <c r="I204" s="135">
        <v>0.0</v>
      </c>
      <c r="J204" s="135">
        <v>0.0</v>
      </c>
      <c r="K204" s="135">
        <v>0.0</v>
      </c>
      <c r="L204" s="135">
        <v>0.0</v>
      </c>
      <c r="M204" s="135">
        <v>0.0</v>
      </c>
      <c r="N204" s="135">
        <v>0.0</v>
      </c>
      <c r="O204" s="135">
        <v>0.0</v>
      </c>
      <c r="P204" s="135">
        <v>0.0</v>
      </c>
      <c r="Q204" s="135">
        <v>0.0</v>
      </c>
      <c r="R204" s="135">
        <v>0.0</v>
      </c>
      <c r="S204" s="135">
        <v>0.0</v>
      </c>
      <c r="T204" s="135">
        <v>0.0</v>
      </c>
      <c r="U204" s="135">
        <v>0.0</v>
      </c>
      <c r="V204" s="135">
        <v>0.0</v>
      </c>
      <c r="W204" s="135">
        <v>0.0</v>
      </c>
      <c r="X204" s="135">
        <v>0.0</v>
      </c>
      <c r="Y204" s="135">
        <v>0.0</v>
      </c>
      <c r="Z204" s="135">
        <v>0.0</v>
      </c>
      <c r="AA204" s="135">
        <v>0.0</v>
      </c>
      <c r="AB204" s="135">
        <v>0.0</v>
      </c>
      <c r="AC204" s="135">
        <v>0.0</v>
      </c>
      <c r="AD204" s="135">
        <v>0.0</v>
      </c>
      <c r="AE204" s="135">
        <v>0.0</v>
      </c>
      <c r="AF204" s="137">
        <v>4.0</v>
      </c>
      <c r="AG204" s="137">
        <v>6.0</v>
      </c>
      <c r="AH204" s="137">
        <v>5.0</v>
      </c>
      <c r="AI204" s="137">
        <v>4.0</v>
      </c>
      <c r="AJ204" s="137">
        <v>3.0</v>
      </c>
      <c r="AK204" s="137">
        <v>3.0</v>
      </c>
      <c r="AL204" s="137">
        <v>1.0</v>
      </c>
      <c r="AM204" s="137">
        <v>8.0</v>
      </c>
      <c r="AN204" s="137">
        <v>34.0</v>
      </c>
    </row>
    <row r="205">
      <c r="A205" s="104"/>
      <c r="B205" s="136" t="s">
        <v>199</v>
      </c>
      <c r="C205" s="137">
        <v>35.0</v>
      </c>
      <c r="D205" s="137">
        <v>9.0</v>
      </c>
      <c r="E205" s="137">
        <v>26.0</v>
      </c>
      <c r="F205" s="135">
        <v>0.0</v>
      </c>
      <c r="G205" s="135">
        <v>0.0</v>
      </c>
      <c r="H205" s="135">
        <v>0.0</v>
      </c>
      <c r="I205" s="135">
        <v>0.0</v>
      </c>
      <c r="J205" s="135">
        <v>0.0</v>
      </c>
      <c r="K205" s="135">
        <v>0.0</v>
      </c>
      <c r="L205" s="135">
        <v>0.0</v>
      </c>
      <c r="M205" s="135">
        <v>0.0</v>
      </c>
      <c r="N205" s="135">
        <v>0.0</v>
      </c>
      <c r="O205" s="135">
        <v>0.0</v>
      </c>
      <c r="P205" s="135">
        <v>0.0</v>
      </c>
      <c r="Q205" s="135">
        <v>0.0</v>
      </c>
      <c r="R205" s="135">
        <v>0.0</v>
      </c>
      <c r="S205" s="135">
        <v>0.0</v>
      </c>
      <c r="T205" s="135">
        <v>0.0</v>
      </c>
      <c r="U205" s="135">
        <v>0.0</v>
      </c>
      <c r="V205" s="135">
        <v>0.0</v>
      </c>
      <c r="W205" s="135">
        <v>0.0</v>
      </c>
      <c r="X205" s="135">
        <v>0.0</v>
      </c>
      <c r="Y205" s="135">
        <v>0.0</v>
      </c>
      <c r="Z205" s="135">
        <v>0.0</v>
      </c>
      <c r="AA205" s="135">
        <v>0.0</v>
      </c>
      <c r="AB205" s="135">
        <v>0.0</v>
      </c>
      <c r="AC205" s="135">
        <v>0.0</v>
      </c>
      <c r="AD205" s="135">
        <v>0.0</v>
      </c>
      <c r="AE205" s="135">
        <v>0.0</v>
      </c>
      <c r="AF205" s="137">
        <v>3.0</v>
      </c>
      <c r="AG205" s="137">
        <v>8.0</v>
      </c>
      <c r="AH205" s="137">
        <v>3.0</v>
      </c>
      <c r="AI205" s="137">
        <v>3.0</v>
      </c>
      <c r="AJ205" s="137">
        <v>2.0</v>
      </c>
      <c r="AK205" s="137">
        <v>2.0</v>
      </c>
      <c r="AL205" s="137">
        <v>1.0</v>
      </c>
      <c r="AM205" s="137">
        <v>13.0</v>
      </c>
      <c r="AN205" s="137">
        <v>35.0</v>
      </c>
    </row>
    <row r="206">
      <c r="A206" s="132" t="s">
        <v>204</v>
      </c>
      <c r="B206" s="136" t="s">
        <v>198</v>
      </c>
      <c r="C206" s="137">
        <v>46.0</v>
      </c>
      <c r="D206" s="137">
        <v>18.0</v>
      </c>
      <c r="E206" s="137">
        <v>28.0</v>
      </c>
      <c r="F206" s="135">
        <v>0.0</v>
      </c>
      <c r="G206" s="135">
        <v>0.0</v>
      </c>
      <c r="H206" s="135">
        <v>0.0</v>
      </c>
      <c r="I206" s="135">
        <v>0.0</v>
      </c>
      <c r="J206" s="135">
        <v>0.0</v>
      </c>
      <c r="K206" s="135">
        <v>0.0</v>
      </c>
      <c r="L206" s="135">
        <v>0.0</v>
      </c>
      <c r="M206" s="135">
        <v>0.0</v>
      </c>
      <c r="N206" s="135">
        <v>0.0</v>
      </c>
      <c r="O206" s="135">
        <v>0.0</v>
      </c>
      <c r="P206" s="135">
        <v>0.0</v>
      </c>
      <c r="Q206" s="135">
        <v>0.0</v>
      </c>
      <c r="R206" s="135">
        <v>0.0</v>
      </c>
      <c r="S206" s="135">
        <v>0.0</v>
      </c>
      <c r="T206" s="135">
        <v>0.0</v>
      </c>
      <c r="U206" s="135">
        <v>0.0</v>
      </c>
      <c r="V206" s="135">
        <v>0.0</v>
      </c>
      <c r="W206" s="135">
        <v>0.0</v>
      </c>
      <c r="X206" s="135">
        <v>0.0</v>
      </c>
      <c r="Y206" s="135">
        <v>0.0</v>
      </c>
      <c r="Z206" s="135">
        <v>0.0</v>
      </c>
      <c r="AA206" s="135">
        <v>0.0</v>
      </c>
      <c r="AB206" s="135">
        <v>0.0</v>
      </c>
      <c r="AC206" s="135">
        <v>0.0</v>
      </c>
      <c r="AD206" s="135">
        <v>0.0</v>
      </c>
      <c r="AE206" s="135">
        <v>0.0</v>
      </c>
      <c r="AF206" s="137">
        <v>3.0</v>
      </c>
      <c r="AG206" s="137">
        <v>4.0</v>
      </c>
      <c r="AH206" s="137">
        <v>1.0</v>
      </c>
      <c r="AI206" s="137">
        <v>2.0</v>
      </c>
      <c r="AJ206" s="137">
        <v>5.0</v>
      </c>
      <c r="AK206" s="137">
        <v>9.0</v>
      </c>
      <c r="AL206" s="137">
        <v>9.0</v>
      </c>
      <c r="AM206" s="137">
        <v>13.0</v>
      </c>
      <c r="AN206" s="137">
        <v>46.0</v>
      </c>
    </row>
    <row r="207">
      <c r="A207" s="104"/>
      <c r="B207" s="136" t="s">
        <v>199</v>
      </c>
      <c r="C207" s="137">
        <v>26.0</v>
      </c>
      <c r="D207" s="137">
        <v>7.0</v>
      </c>
      <c r="E207" s="137">
        <v>19.0</v>
      </c>
      <c r="F207" s="135">
        <v>0.0</v>
      </c>
      <c r="G207" s="135">
        <v>0.0</v>
      </c>
      <c r="H207" s="135">
        <v>0.0</v>
      </c>
      <c r="I207" s="135">
        <v>0.0</v>
      </c>
      <c r="J207" s="135">
        <v>0.0</v>
      </c>
      <c r="K207" s="135">
        <v>0.0</v>
      </c>
      <c r="L207" s="135">
        <v>0.0</v>
      </c>
      <c r="M207" s="135">
        <v>0.0</v>
      </c>
      <c r="N207" s="135">
        <v>0.0</v>
      </c>
      <c r="O207" s="135">
        <v>0.0</v>
      </c>
      <c r="P207" s="135">
        <v>0.0</v>
      </c>
      <c r="Q207" s="135">
        <v>0.0</v>
      </c>
      <c r="R207" s="135">
        <v>0.0</v>
      </c>
      <c r="S207" s="135">
        <v>0.0</v>
      </c>
      <c r="T207" s="135">
        <v>0.0</v>
      </c>
      <c r="U207" s="135">
        <v>0.0</v>
      </c>
      <c r="V207" s="135">
        <v>0.0</v>
      </c>
      <c r="W207" s="135">
        <v>0.0</v>
      </c>
      <c r="X207" s="135">
        <v>0.0</v>
      </c>
      <c r="Y207" s="135">
        <v>0.0</v>
      </c>
      <c r="Z207" s="135">
        <v>0.0</v>
      </c>
      <c r="AA207" s="135">
        <v>0.0</v>
      </c>
      <c r="AB207" s="135">
        <v>0.0</v>
      </c>
      <c r="AC207" s="135">
        <v>0.0</v>
      </c>
      <c r="AD207" s="135">
        <v>0.0</v>
      </c>
      <c r="AE207" s="135">
        <v>0.0</v>
      </c>
      <c r="AF207" s="137">
        <v>0.0</v>
      </c>
      <c r="AG207" s="137">
        <v>1.0</v>
      </c>
      <c r="AH207" s="137">
        <v>1.0</v>
      </c>
      <c r="AI207" s="137">
        <v>5.0</v>
      </c>
      <c r="AJ207" s="137">
        <v>2.0</v>
      </c>
      <c r="AK207" s="137">
        <v>6.0</v>
      </c>
      <c r="AL207" s="137">
        <v>4.0</v>
      </c>
      <c r="AM207" s="137">
        <v>7.0</v>
      </c>
      <c r="AN207" s="137">
        <v>26.0</v>
      </c>
    </row>
    <row r="208">
      <c r="A208" s="132" t="s">
        <v>205</v>
      </c>
      <c r="B208" s="136" t="s">
        <v>198</v>
      </c>
      <c r="C208" s="137">
        <v>345.0</v>
      </c>
      <c r="D208" s="137">
        <v>141.0</v>
      </c>
      <c r="E208" s="137">
        <v>204.0</v>
      </c>
      <c r="F208" s="137">
        <v>0.0</v>
      </c>
      <c r="G208" s="137">
        <v>0.0</v>
      </c>
      <c r="H208" s="137">
        <v>0.0</v>
      </c>
      <c r="I208" s="137">
        <v>0.0</v>
      </c>
      <c r="J208" s="137">
        <v>0.0</v>
      </c>
      <c r="K208" s="137">
        <v>0.0</v>
      </c>
      <c r="L208" s="137">
        <v>19.0</v>
      </c>
      <c r="M208" s="137">
        <v>16.0</v>
      </c>
      <c r="N208" s="137">
        <v>38.0</v>
      </c>
      <c r="O208" s="137">
        <v>54.0</v>
      </c>
      <c r="P208" s="137">
        <v>23.0</v>
      </c>
      <c r="Q208" s="137">
        <v>36.0</v>
      </c>
      <c r="R208" s="137">
        <v>10.0</v>
      </c>
      <c r="S208" s="137">
        <v>17.0</v>
      </c>
      <c r="T208" s="137">
        <v>10.0</v>
      </c>
      <c r="U208" s="137">
        <v>14.0</v>
      </c>
      <c r="V208" s="137">
        <v>16.0</v>
      </c>
      <c r="W208" s="137">
        <v>27.0</v>
      </c>
      <c r="X208" s="137">
        <v>10.0</v>
      </c>
      <c r="Y208" s="137">
        <v>24.0</v>
      </c>
      <c r="Z208" s="137">
        <v>1.0</v>
      </c>
      <c r="AA208" s="137">
        <v>4.0</v>
      </c>
      <c r="AB208" s="137">
        <v>1.0</v>
      </c>
      <c r="AC208" s="137">
        <v>0.0</v>
      </c>
      <c r="AD208" s="137">
        <v>11.0</v>
      </c>
      <c r="AE208" s="137">
        <v>3.0</v>
      </c>
      <c r="AF208" s="137">
        <v>1.0</v>
      </c>
      <c r="AG208" s="137">
        <v>0.0</v>
      </c>
      <c r="AH208" s="137">
        <v>0.0</v>
      </c>
      <c r="AI208" s="137">
        <v>3.0</v>
      </c>
      <c r="AJ208" s="137">
        <v>0.0</v>
      </c>
      <c r="AK208" s="137">
        <v>4.0</v>
      </c>
      <c r="AL208" s="137">
        <v>1.0</v>
      </c>
      <c r="AM208" s="137">
        <v>2.0</v>
      </c>
      <c r="AN208" s="137">
        <v>345.0</v>
      </c>
    </row>
    <row r="209">
      <c r="A209" s="98"/>
      <c r="B209" s="136" t="s">
        <v>199</v>
      </c>
      <c r="C209" s="137">
        <v>1.0</v>
      </c>
      <c r="D209" s="137">
        <v>1.0</v>
      </c>
      <c r="E209" s="137">
        <v>0.0</v>
      </c>
      <c r="F209" s="137">
        <v>0.0</v>
      </c>
      <c r="G209" s="137">
        <v>0.0</v>
      </c>
      <c r="H209" s="137">
        <v>0.0</v>
      </c>
      <c r="I209" s="137">
        <v>0.0</v>
      </c>
      <c r="J209" s="137">
        <v>0.0</v>
      </c>
      <c r="K209" s="137">
        <v>0.0</v>
      </c>
      <c r="L209" s="137">
        <v>0.0</v>
      </c>
      <c r="M209" s="137">
        <v>0.0</v>
      </c>
      <c r="N209" s="137">
        <v>1.0</v>
      </c>
      <c r="O209" s="137">
        <v>0.0</v>
      </c>
      <c r="P209" s="137">
        <v>0.0</v>
      </c>
      <c r="Q209" s="137">
        <v>0.0</v>
      </c>
      <c r="R209" s="137">
        <v>0.0</v>
      </c>
      <c r="S209" s="137">
        <v>0.0</v>
      </c>
      <c r="T209" s="137">
        <v>0.0</v>
      </c>
      <c r="U209" s="137">
        <v>0.0</v>
      </c>
      <c r="V209" s="137">
        <v>0.0</v>
      </c>
      <c r="W209" s="137">
        <v>0.0</v>
      </c>
      <c r="X209" s="137">
        <v>0.0</v>
      </c>
      <c r="Y209" s="137">
        <v>0.0</v>
      </c>
      <c r="Z209" s="137">
        <v>0.0</v>
      </c>
      <c r="AA209" s="137">
        <v>0.0</v>
      </c>
      <c r="AB209" s="137">
        <v>0.0</v>
      </c>
      <c r="AC209" s="137">
        <v>0.0</v>
      </c>
      <c r="AD209" s="137">
        <v>0.0</v>
      </c>
      <c r="AE209" s="137">
        <v>0.0</v>
      </c>
      <c r="AF209" s="137">
        <v>0.0</v>
      </c>
      <c r="AG209" s="137">
        <v>0.0</v>
      </c>
      <c r="AH209" s="137">
        <v>0.0</v>
      </c>
      <c r="AI209" s="137">
        <v>0.0</v>
      </c>
      <c r="AJ209" s="137">
        <v>0.0</v>
      </c>
      <c r="AK209" s="137">
        <v>0.0</v>
      </c>
      <c r="AL209" s="137">
        <v>0.0</v>
      </c>
      <c r="AM209" s="137">
        <v>0.0</v>
      </c>
      <c r="AN209" s="137">
        <v>1.0</v>
      </c>
    </row>
    <row r="210">
      <c r="A210" s="104"/>
      <c r="B210" s="136" t="s">
        <v>206</v>
      </c>
      <c r="C210" s="137">
        <v>95.0</v>
      </c>
      <c r="D210" s="137">
        <v>25.0</v>
      </c>
      <c r="E210" s="137">
        <v>70.0</v>
      </c>
      <c r="F210" s="137">
        <v>0.0</v>
      </c>
      <c r="G210" s="137">
        <v>0.0</v>
      </c>
      <c r="H210" s="137">
        <v>0.0</v>
      </c>
      <c r="I210" s="137">
        <v>1.0</v>
      </c>
      <c r="J210" s="137">
        <v>0.0</v>
      </c>
      <c r="K210" s="137">
        <v>0.0</v>
      </c>
      <c r="L210" s="137">
        <v>4.0</v>
      </c>
      <c r="M210" s="137">
        <v>13.0</v>
      </c>
      <c r="N210" s="137">
        <v>5.0</v>
      </c>
      <c r="O210" s="137">
        <v>15.0</v>
      </c>
      <c r="P210" s="137">
        <v>1.0</v>
      </c>
      <c r="Q210" s="137">
        <v>16.0</v>
      </c>
      <c r="R210" s="137">
        <v>7.0</v>
      </c>
      <c r="S210" s="137">
        <v>13.0</v>
      </c>
      <c r="T210" s="137">
        <v>3.0</v>
      </c>
      <c r="U210" s="137">
        <v>5.0</v>
      </c>
      <c r="V210" s="137">
        <v>3.0</v>
      </c>
      <c r="W210" s="137">
        <v>3.0</v>
      </c>
      <c r="X210" s="137">
        <v>1.0</v>
      </c>
      <c r="Y210" s="137">
        <v>0.0</v>
      </c>
      <c r="Z210" s="137">
        <v>0.0</v>
      </c>
      <c r="AA210" s="137">
        <v>0.0</v>
      </c>
      <c r="AB210" s="137">
        <v>0.0</v>
      </c>
      <c r="AC210" s="137">
        <v>3.0</v>
      </c>
      <c r="AD210" s="137">
        <v>1.0</v>
      </c>
      <c r="AE210" s="137">
        <v>0.0</v>
      </c>
      <c r="AF210" s="137">
        <v>0.0</v>
      </c>
      <c r="AG210" s="137">
        <v>1.0</v>
      </c>
      <c r="AH210" s="137">
        <v>0.0</v>
      </c>
      <c r="AI210" s="137">
        <v>0.0</v>
      </c>
      <c r="AJ210" s="137">
        <v>0.0</v>
      </c>
      <c r="AK210" s="137">
        <v>0.0</v>
      </c>
      <c r="AL210" s="137">
        <v>0.0</v>
      </c>
      <c r="AM210" s="137">
        <v>0.0</v>
      </c>
      <c r="AN210" s="137">
        <v>94.0</v>
      </c>
    </row>
    <row r="211">
      <c r="A211" s="132" t="s">
        <v>207</v>
      </c>
      <c r="B211" s="136" t="s">
        <v>198</v>
      </c>
      <c r="C211" s="134">
        <v>12192.0</v>
      </c>
      <c r="D211" s="134">
        <v>2808.0</v>
      </c>
      <c r="E211" s="134">
        <v>9384.0</v>
      </c>
      <c r="F211" s="137">
        <v>73.0</v>
      </c>
      <c r="G211" s="137">
        <v>41.0</v>
      </c>
      <c r="H211" s="137">
        <v>48.0</v>
      </c>
      <c r="I211" s="137">
        <v>28.0</v>
      </c>
      <c r="J211" s="137">
        <v>50.0</v>
      </c>
      <c r="K211" s="137">
        <v>32.0</v>
      </c>
      <c r="L211" s="137">
        <v>56.0</v>
      </c>
      <c r="M211" s="137">
        <v>119.0</v>
      </c>
      <c r="N211" s="137">
        <v>59.0</v>
      </c>
      <c r="O211" s="137">
        <v>185.0</v>
      </c>
      <c r="P211" s="137">
        <v>63.0</v>
      </c>
      <c r="Q211" s="137">
        <v>271.0</v>
      </c>
      <c r="R211" s="137">
        <v>67.0</v>
      </c>
      <c r="S211" s="137">
        <v>331.0</v>
      </c>
      <c r="T211" s="137">
        <v>76.0</v>
      </c>
      <c r="U211" s="137">
        <v>383.0</v>
      </c>
      <c r="V211" s="137">
        <v>80.0</v>
      </c>
      <c r="W211" s="137">
        <v>455.0</v>
      </c>
      <c r="X211" s="137">
        <v>142.0</v>
      </c>
      <c r="Y211" s="137">
        <v>626.0</v>
      </c>
      <c r="Z211" s="137">
        <v>210.0</v>
      </c>
      <c r="AA211" s="137">
        <v>982.0</v>
      </c>
      <c r="AB211" s="137">
        <v>273.0</v>
      </c>
      <c r="AC211" s="134">
        <v>1092.0</v>
      </c>
      <c r="AD211" s="137">
        <v>273.0</v>
      </c>
      <c r="AE211" s="134">
        <v>1229.0</v>
      </c>
      <c r="AF211" s="137">
        <v>316.0</v>
      </c>
      <c r="AG211" s="134">
        <v>1180.0</v>
      </c>
      <c r="AH211" s="137">
        <v>361.0</v>
      </c>
      <c r="AI211" s="137">
        <v>970.0</v>
      </c>
      <c r="AJ211" s="137">
        <v>325.0</v>
      </c>
      <c r="AK211" s="137">
        <v>723.0</v>
      </c>
      <c r="AL211" s="137">
        <v>336.0</v>
      </c>
      <c r="AM211" s="137">
        <v>737.0</v>
      </c>
      <c r="AN211" s="134">
        <v>12055.0</v>
      </c>
    </row>
    <row r="212">
      <c r="A212" s="98"/>
      <c r="B212" s="136" t="s">
        <v>199</v>
      </c>
      <c r="C212" s="134">
        <v>1009.0</v>
      </c>
      <c r="D212" s="137">
        <v>256.0</v>
      </c>
      <c r="E212" s="137">
        <v>753.0</v>
      </c>
      <c r="F212" s="137">
        <v>17.0</v>
      </c>
      <c r="G212" s="137">
        <v>15.0</v>
      </c>
      <c r="H212" s="137">
        <v>1.0</v>
      </c>
      <c r="I212" s="137">
        <v>1.0</v>
      </c>
      <c r="J212" s="137">
        <v>0.0</v>
      </c>
      <c r="K212" s="137">
        <v>0.0</v>
      </c>
      <c r="L212" s="137">
        <v>0.0</v>
      </c>
      <c r="M212" s="137">
        <v>1.0</v>
      </c>
      <c r="N212" s="137">
        <v>0.0</v>
      </c>
      <c r="O212" s="137">
        <v>1.0</v>
      </c>
      <c r="P212" s="137">
        <v>1.0</v>
      </c>
      <c r="Q212" s="137">
        <v>1.0</v>
      </c>
      <c r="R212" s="137">
        <v>4.0</v>
      </c>
      <c r="S212" s="137">
        <v>8.0</v>
      </c>
      <c r="T212" s="137">
        <v>5.0</v>
      </c>
      <c r="U212" s="137">
        <v>10.0</v>
      </c>
      <c r="V212" s="137">
        <v>1.0</v>
      </c>
      <c r="W212" s="137">
        <v>15.0</v>
      </c>
      <c r="X212" s="137">
        <v>5.0</v>
      </c>
      <c r="Y212" s="137">
        <v>24.0</v>
      </c>
      <c r="Z212" s="137">
        <v>11.0</v>
      </c>
      <c r="AA212" s="137">
        <v>55.0</v>
      </c>
      <c r="AB212" s="137">
        <v>24.0</v>
      </c>
      <c r="AC212" s="137">
        <v>85.0</v>
      </c>
      <c r="AD212" s="137">
        <v>27.0</v>
      </c>
      <c r="AE212" s="137">
        <v>90.0</v>
      </c>
      <c r="AF212" s="137">
        <v>41.0</v>
      </c>
      <c r="AG212" s="137">
        <v>133.0</v>
      </c>
      <c r="AH212" s="137">
        <v>34.0</v>
      </c>
      <c r="AI212" s="137">
        <v>111.0</v>
      </c>
      <c r="AJ212" s="137">
        <v>44.0</v>
      </c>
      <c r="AK212" s="137">
        <v>91.0</v>
      </c>
      <c r="AL212" s="137">
        <v>41.0</v>
      </c>
      <c r="AM212" s="137">
        <v>112.0</v>
      </c>
      <c r="AN212" s="134">
        <v>1006.0</v>
      </c>
    </row>
    <row r="213">
      <c r="A213" s="98"/>
      <c r="B213" s="136" t="s">
        <v>206</v>
      </c>
      <c r="C213" s="137">
        <v>46.0</v>
      </c>
      <c r="D213" s="137">
        <v>10.0</v>
      </c>
      <c r="E213" s="137">
        <v>36.0</v>
      </c>
      <c r="F213" s="137">
        <v>0.0</v>
      </c>
      <c r="G213" s="137">
        <v>0.0</v>
      </c>
      <c r="H213" s="137">
        <v>0.0</v>
      </c>
      <c r="I213" s="137">
        <v>0.0</v>
      </c>
      <c r="J213" s="137">
        <v>0.0</v>
      </c>
      <c r="K213" s="137">
        <v>0.0</v>
      </c>
      <c r="L213" s="137">
        <v>0.0</v>
      </c>
      <c r="M213" s="137">
        <v>0.0</v>
      </c>
      <c r="N213" s="137">
        <v>1.0</v>
      </c>
      <c r="O213" s="137">
        <v>1.0</v>
      </c>
      <c r="P213" s="137">
        <v>1.0</v>
      </c>
      <c r="Q213" s="137">
        <v>5.0</v>
      </c>
      <c r="R213" s="137">
        <v>0.0</v>
      </c>
      <c r="S213" s="137">
        <v>1.0</v>
      </c>
      <c r="T213" s="137">
        <v>3.0</v>
      </c>
      <c r="U213" s="137">
        <v>5.0</v>
      </c>
      <c r="V213" s="137">
        <v>2.0</v>
      </c>
      <c r="W213" s="137">
        <v>9.0</v>
      </c>
      <c r="X213" s="137">
        <v>0.0</v>
      </c>
      <c r="Y213" s="137">
        <v>13.0</v>
      </c>
      <c r="Z213" s="137">
        <v>0.0</v>
      </c>
      <c r="AA213" s="137">
        <v>2.0</v>
      </c>
      <c r="AB213" s="137">
        <v>0.0</v>
      </c>
      <c r="AC213" s="137">
        <v>0.0</v>
      </c>
      <c r="AD213" s="137">
        <v>0.0</v>
      </c>
      <c r="AE213" s="137">
        <v>0.0</v>
      </c>
      <c r="AF213" s="137">
        <v>0.0</v>
      </c>
      <c r="AG213" s="137">
        <v>0.0</v>
      </c>
      <c r="AH213" s="137">
        <v>0.0</v>
      </c>
      <c r="AI213" s="137">
        <v>0.0</v>
      </c>
      <c r="AJ213" s="137">
        <v>2.0</v>
      </c>
      <c r="AK213" s="137">
        <v>0.0</v>
      </c>
      <c r="AL213" s="137">
        <v>1.0</v>
      </c>
      <c r="AM213" s="137">
        <v>0.0</v>
      </c>
      <c r="AN213" s="137">
        <v>44.0</v>
      </c>
    </row>
    <row r="214">
      <c r="A214" s="98"/>
      <c r="B214" s="136" t="s">
        <v>200</v>
      </c>
      <c r="C214" s="134">
        <v>1469.0</v>
      </c>
      <c r="D214" s="137">
        <v>388.0</v>
      </c>
      <c r="E214" s="134">
        <v>1081.0</v>
      </c>
      <c r="F214" s="137">
        <v>154.0</v>
      </c>
      <c r="G214" s="137">
        <v>124.0</v>
      </c>
      <c r="H214" s="137">
        <v>6.0</v>
      </c>
      <c r="I214" s="137">
        <v>10.0</v>
      </c>
      <c r="J214" s="137">
        <v>0.0</v>
      </c>
      <c r="K214" s="137">
        <v>2.0</v>
      </c>
      <c r="L214" s="137">
        <v>5.0</v>
      </c>
      <c r="M214" s="137">
        <v>23.0</v>
      </c>
      <c r="N214" s="137">
        <v>9.0</v>
      </c>
      <c r="O214" s="137">
        <v>51.0</v>
      </c>
      <c r="P214" s="137">
        <v>9.0</v>
      </c>
      <c r="Q214" s="137">
        <v>58.0</v>
      </c>
      <c r="R214" s="137">
        <v>11.0</v>
      </c>
      <c r="S214" s="137">
        <v>58.0</v>
      </c>
      <c r="T214" s="137">
        <v>12.0</v>
      </c>
      <c r="U214" s="137">
        <v>48.0</v>
      </c>
      <c r="V214" s="137">
        <v>8.0</v>
      </c>
      <c r="W214" s="137">
        <v>55.0</v>
      </c>
      <c r="X214" s="137">
        <v>10.0</v>
      </c>
      <c r="Y214" s="137">
        <v>49.0</v>
      </c>
      <c r="Z214" s="137">
        <v>16.0</v>
      </c>
      <c r="AA214" s="137">
        <v>80.0</v>
      </c>
      <c r="AB214" s="137">
        <v>15.0</v>
      </c>
      <c r="AC214" s="137">
        <v>90.0</v>
      </c>
      <c r="AD214" s="137">
        <v>21.0</v>
      </c>
      <c r="AE214" s="137">
        <v>99.0</v>
      </c>
      <c r="AF214" s="137">
        <v>22.0</v>
      </c>
      <c r="AG214" s="137">
        <v>97.0</v>
      </c>
      <c r="AH214" s="137">
        <v>28.0</v>
      </c>
      <c r="AI214" s="137">
        <v>83.0</v>
      </c>
      <c r="AJ214" s="137">
        <v>26.0</v>
      </c>
      <c r="AK214" s="137">
        <v>68.0</v>
      </c>
      <c r="AL214" s="137">
        <v>36.0</v>
      </c>
      <c r="AM214" s="137">
        <v>86.0</v>
      </c>
      <c r="AN214" s="134">
        <v>1432.0</v>
      </c>
    </row>
    <row r="215">
      <c r="A215" s="104"/>
      <c r="B215" s="136" t="s">
        <v>201</v>
      </c>
      <c r="C215" s="137">
        <v>8.0</v>
      </c>
      <c r="D215" s="137">
        <v>4.0</v>
      </c>
      <c r="E215" s="137">
        <v>4.0</v>
      </c>
      <c r="F215" s="137">
        <v>0.0</v>
      </c>
      <c r="G215" s="137">
        <v>0.0</v>
      </c>
      <c r="H215" s="137">
        <v>0.0</v>
      </c>
      <c r="I215" s="137">
        <v>0.0</v>
      </c>
      <c r="J215" s="137">
        <v>0.0</v>
      </c>
      <c r="K215" s="137">
        <v>0.0</v>
      </c>
      <c r="L215" s="137">
        <v>0.0</v>
      </c>
      <c r="M215" s="137">
        <v>0.0</v>
      </c>
      <c r="N215" s="137">
        <v>0.0</v>
      </c>
      <c r="O215" s="137">
        <v>0.0</v>
      </c>
      <c r="P215" s="137">
        <v>0.0</v>
      </c>
      <c r="Q215" s="137">
        <v>0.0</v>
      </c>
      <c r="R215" s="137">
        <v>0.0</v>
      </c>
      <c r="S215" s="137">
        <v>0.0</v>
      </c>
      <c r="T215" s="137">
        <v>0.0</v>
      </c>
      <c r="U215" s="137">
        <v>1.0</v>
      </c>
      <c r="V215" s="137">
        <v>0.0</v>
      </c>
      <c r="W215" s="137">
        <v>0.0</v>
      </c>
      <c r="X215" s="137">
        <v>0.0</v>
      </c>
      <c r="Y215" s="137">
        <v>0.0</v>
      </c>
      <c r="Z215" s="137">
        <v>0.0</v>
      </c>
      <c r="AA215" s="137">
        <v>1.0</v>
      </c>
      <c r="AB215" s="137">
        <v>2.0</v>
      </c>
      <c r="AC215" s="137">
        <v>0.0</v>
      </c>
      <c r="AD215" s="137">
        <v>0.0</v>
      </c>
      <c r="AE215" s="137">
        <v>0.0</v>
      </c>
      <c r="AF215" s="137">
        <v>1.0</v>
      </c>
      <c r="AG215" s="137">
        <v>0.0</v>
      </c>
      <c r="AH215" s="137">
        <v>0.0</v>
      </c>
      <c r="AI215" s="137">
        <v>0.0</v>
      </c>
      <c r="AJ215" s="137">
        <v>1.0</v>
      </c>
      <c r="AK215" s="137">
        <v>0.0</v>
      </c>
      <c r="AL215" s="137">
        <v>0.0</v>
      </c>
      <c r="AM215" s="137">
        <v>2.0</v>
      </c>
      <c r="AN215" s="137">
        <v>13.0</v>
      </c>
    </row>
    <row r="216">
      <c r="A216" s="132" t="s">
        <v>208</v>
      </c>
      <c r="B216" s="136" t="s">
        <v>198</v>
      </c>
      <c r="C216" s="137">
        <v>17.0</v>
      </c>
      <c r="D216" s="137">
        <v>11.0</v>
      </c>
      <c r="E216" s="137">
        <v>6.0</v>
      </c>
      <c r="F216" s="137">
        <v>11.0</v>
      </c>
      <c r="G216" s="137">
        <v>6.0</v>
      </c>
      <c r="H216" s="137">
        <v>0.0</v>
      </c>
      <c r="I216" s="137">
        <v>0.0</v>
      </c>
      <c r="J216" s="137">
        <v>0.0</v>
      </c>
      <c r="K216" s="137">
        <v>0.0</v>
      </c>
      <c r="L216" s="137">
        <v>0.0</v>
      </c>
      <c r="M216" s="137">
        <v>0.0</v>
      </c>
      <c r="N216" s="137">
        <v>0.0</v>
      </c>
      <c r="O216" s="137">
        <v>0.0</v>
      </c>
      <c r="P216" s="135">
        <v>0.0</v>
      </c>
      <c r="Q216" s="135">
        <v>0.0</v>
      </c>
      <c r="R216" s="135">
        <v>0.0</v>
      </c>
      <c r="S216" s="135">
        <v>0.0</v>
      </c>
      <c r="T216" s="135">
        <v>0.0</v>
      </c>
      <c r="U216" s="135">
        <v>0.0</v>
      </c>
      <c r="V216" s="135">
        <v>0.0</v>
      </c>
      <c r="W216" s="135">
        <v>0.0</v>
      </c>
      <c r="X216" s="135">
        <v>0.0</v>
      </c>
      <c r="Y216" s="135">
        <v>0.0</v>
      </c>
      <c r="Z216" s="135">
        <v>0.0</v>
      </c>
      <c r="AA216" s="135">
        <v>0.0</v>
      </c>
      <c r="AB216" s="135">
        <v>0.0</v>
      </c>
      <c r="AC216" s="135">
        <v>0.0</v>
      </c>
      <c r="AD216" s="135">
        <v>0.0</v>
      </c>
      <c r="AE216" s="135">
        <v>0.0</v>
      </c>
      <c r="AF216" s="135">
        <v>0.0</v>
      </c>
      <c r="AG216" s="135">
        <v>0.0</v>
      </c>
      <c r="AH216" s="135">
        <v>0.0</v>
      </c>
      <c r="AI216" s="135">
        <v>0.0</v>
      </c>
      <c r="AJ216" s="135">
        <v>0.0</v>
      </c>
      <c r="AK216" s="135">
        <v>0.0</v>
      </c>
      <c r="AL216" s="135">
        <v>0.0</v>
      </c>
      <c r="AM216" s="135">
        <v>0.0</v>
      </c>
      <c r="AN216" s="137">
        <v>17.0</v>
      </c>
    </row>
    <row r="217">
      <c r="A217" s="98"/>
      <c r="B217" s="136" t="s">
        <v>199</v>
      </c>
      <c r="C217" s="137">
        <v>18.0</v>
      </c>
      <c r="D217" s="137">
        <v>13.0</v>
      </c>
      <c r="E217" s="137">
        <v>5.0</v>
      </c>
      <c r="F217" s="137">
        <v>13.0</v>
      </c>
      <c r="G217" s="137">
        <v>5.0</v>
      </c>
      <c r="H217" s="137">
        <v>0.0</v>
      </c>
      <c r="I217" s="137">
        <v>0.0</v>
      </c>
      <c r="J217" s="137">
        <v>0.0</v>
      </c>
      <c r="K217" s="137">
        <v>0.0</v>
      </c>
      <c r="L217" s="137">
        <v>0.0</v>
      </c>
      <c r="M217" s="137">
        <v>0.0</v>
      </c>
      <c r="N217" s="137">
        <v>0.0</v>
      </c>
      <c r="O217" s="137">
        <v>0.0</v>
      </c>
      <c r="P217" s="135">
        <v>0.0</v>
      </c>
      <c r="Q217" s="135">
        <v>0.0</v>
      </c>
      <c r="R217" s="135">
        <v>0.0</v>
      </c>
      <c r="S217" s="135">
        <v>0.0</v>
      </c>
      <c r="T217" s="135">
        <v>0.0</v>
      </c>
      <c r="U217" s="135">
        <v>0.0</v>
      </c>
      <c r="V217" s="135">
        <v>0.0</v>
      </c>
      <c r="W217" s="135">
        <v>0.0</v>
      </c>
      <c r="X217" s="135">
        <v>0.0</v>
      </c>
      <c r="Y217" s="135">
        <v>0.0</v>
      </c>
      <c r="Z217" s="135">
        <v>0.0</v>
      </c>
      <c r="AA217" s="135">
        <v>0.0</v>
      </c>
      <c r="AB217" s="135">
        <v>0.0</v>
      </c>
      <c r="AC217" s="135">
        <v>0.0</v>
      </c>
      <c r="AD217" s="135">
        <v>0.0</v>
      </c>
      <c r="AE217" s="135">
        <v>0.0</v>
      </c>
      <c r="AF217" s="135">
        <v>0.0</v>
      </c>
      <c r="AG217" s="135">
        <v>0.0</v>
      </c>
      <c r="AH217" s="135">
        <v>0.0</v>
      </c>
      <c r="AI217" s="135">
        <v>0.0</v>
      </c>
      <c r="AJ217" s="135">
        <v>0.0</v>
      </c>
      <c r="AK217" s="135">
        <v>0.0</v>
      </c>
      <c r="AL217" s="135">
        <v>0.0</v>
      </c>
      <c r="AM217" s="135">
        <v>0.0</v>
      </c>
      <c r="AN217" s="137">
        <v>18.0</v>
      </c>
    </row>
    <row r="218">
      <c r="A218" s="98"/>
      <c r="B218" s="136" t="s">
        <v>206</v>
      </c>
      <c r="C218" s="137">
        <v>2.0</v>
      </c>
      <c r="D218" s="137">
        <v>2.0</v>
      </c>
      <c r="E218" s="137">
        <v>0.0</v>
      </c>
      <c r="F218" s="137">
        <v>2.0</v>
      </c>
      <c r="G218" s="137">
        <v>0.0</v>
      </c>
      <c r="H218" s="137">
        <v>0.0</v>
      </c>
      <c r="I218" s="137">
        <v>0.0</v>
      </c>
      <c r="J218" s="137">
        <v>0.0</v>
      </c>
      <c r="K218" s="137">
        <v>0.0</v>
      </c>
      <c r="L218" s="137">
        <v>0.0</v>
      </c>
      <c r="M218" s="137">
        <v>0.0</v>
      </c>
      <c r="N218" s="137">
        <v>0.0</v>
      </c>
      <c r="O218" s="137">
        <v>0.0</v>
      </c>
      <c r="P218" s="135">
        <v>0.0</v>
      </c>
      <c r="Q218" s="135">
        <v>0.0</v>
      </c>
      <c r="R218" s="135">
        <v>0.0</v>
      </c>
      <c r="S218" s="135">
        <v>0.0</v>
      </c>
      <c r="T218" s="135">
        <v>0.0</v>
      </c>
      <c r="U218" s="135">
        <v>0.0</v>
      </c>
      <c r="V218" s="135">
        <v>0.0</v>
      </c>
      <c r="W218" s="135">
        <v>0.0</v>
      </c>
      <c r="X218" s="135">
        <v>0.0</v>
      </c>
      <c r="Y218" s="135">
        <v>0.0</v>
      </c>
      <c r="Z218" s="135">
        <v>0.0</v>
      </c>
      <c r="AA218" s="135">
        <v>0.0</v>
      </c>
      <c r="AB218" s="135">
        <v>0.0</v>
      </c>
      <c r="AC218" s="135">
        <v>0.0</v>
      </c>
      <c r="AD218" s="135">
        <v>0.0</v>
      </c>
      <c r="AE218" s="135">
        <v>0.0</v>
      </c>
      <c r="AF218" s="135">
        <v>0.0</v>
      </c>
      <c r="AG218" s="135">
        <v>0.0</v>
      </c>
      <c r="AH218" s="135">
        <v>0.0</v>
      </c>
      <c r="AI218" s="135">
        <v>0.0</v>
      </c>
      <c r="AJ218" s="135">
        <v>0.0</v>
      </c>
      <c r="AK218" s="135">
        <v>0.0</v>
      </c>
      <c r="AL218" s="135">
        <v>0.0</v>
      </c>
      <c r="AM218" s="135">
        <v>0.0</v>
      </c>
      <c r="AN218" s="137">
        <v>2.0</v>
      </c>
    </row>
    <row r="219">
      <c r="A219" s="98"/>
      <c r="B219" s="136" t="s">
        <v>200</v>
      </c>
      <c r="C219" s="137">
        <v>6.0</v>
      </c>
      <c r="D219" s="137">
        <v>5.0</v>
      </c>
      <c r="E219" s="137">
        <v>1.0</v>
      </c>
      <c r="F219" s="137">
        <v>5.0</v>
      </c>
      <c r="G219" s="137">
        <v>1.0</v>
      </c>
      <c r="H219" s="137">
        <v>0.0</v>
      </c>
      <c r="I219" s="137">
        <v>0.0</v>
      </c>
      <c r="J219" s="137">
        <v>0.0</v>
      </c>
      <c r="K219" s="137">
        <v>0.0</v>
      </c>
      <c r="L219" s="137">
        <v>0.0</v>
      </c>
      <c r="M219" s="137">
        <v>0.0</v>
      </c>
      <c r="N219" s="137">
        <v>0.0</v>
      </c>
      <c r="O219" s="137">
        <v>0.0</v>
      </c>
      <c r="P219" s="135">
        <v>0.0</v>
      </c>
      <c r="Q219" s="135">
        <v>0.0</v>
      </c>
      <c r="R219" s="135">
        <v>0.0</v>
      </c>
      <c r="S219" s="135">
        <v>0.0</v>
      </c>
      <c r="T219" s="135">
        <v>0.0</v>
      </c>
      <c r="U219" s="135">
        <v>0.0</v>
      </c>
      <c r="V219" s="135">
        <v>0.0</v>
      </c>
      <c r="W219" s="135">
        <v>0.0</v>
      </c>
      <c r="X219" s="135">
        <v>0.0</v>
      </c>
      <c r="Y219" s="135">
        <v>0.0</v>
      </c>
      <c r="Z219" s="135">
        <v>0.0</v>
      </c>
      <c r="AA219" s="135">
        <v>0.0</v>
      </c>
      <c r="AB219" s="135">
        <v>0.0</v>
      </c>
      <c r="AC219" s="135">
        <v>0.0</v>
      </c>
      <c r="AD219" s="135">
        <v>0.0</v>
      </c>
      <c r="AE219" s="135">
        <v>0.0</v>
      </c>
      <c r="AF219" s="135">
        <v>0.0</v>
      </c>
      <c r="AG219" s="135">
        <v>0.0</v>
      </c>
      <c r="AH219" s="135">
        <v>0.0</v>
      </c>
      <c r="AI219" s="135">
        <v>0.0</v>
      </c>
      <c r="AJ219" s="135">
        <v>0.0</v>
      </c>
      <c r="AK219" s="135">
        <v>0.0</v>
      </c>
      <c r="AL219" s="135">
        <v>0.0</v>
      </c>
      <c r="AM219" s="135">
        <v>0.0</v>
      </c>
      <c r="AN219" s="137">
        <v>6.0</v>
      </c>
    </row>
    <row r="220">
      <c r="A220" s="104"/>
      <c r="B220" s="136" t="s">
        <v>201</v>
      </c>
      <c r="C220" s="137">
        <v>0.0</v>
      </c>
      <c r="D220" s="137">
        <v>0.0</v>
      </c>
      <c r="E220" s="137">
        <v>0.0</v>
      </c>
      <c r="F220" s="137">
        <v>0.0</v>
      </c>
      <c r="G220" s="137">
        <v>0.0</v>
      </c>
      <c r="H220" s="137">
        <v>0.0</v>
      </c>
      <c r="I220" s="137">
        <v>0.0</v>
      </c>
      <c r="J220" s="137">
        <v>0.0</v>
      </c>
      <c r="K220" s="137">
        <v>0.0</v>
      </c>
      <c r="L220" s="137">
        <v>0.0</v>
      </c>
      <c r="M220" s="137">
        <v>0.0</v>
      </c>
      <c r="N220" s="137">
        <v>0.0</v>
      </c>
      <c r="O220" s="137">
        <v>0.0</v>
      </c>
      <c r="P220" s="135">
        <v>0.0</v>
      </c>
      <c r="Q220" s="135">
        <v>0.0</v>
      </c>
      <c r="R220" s="135">
        <v>0.0</v>
      </c>
      <c r="S220" s="135">
        <v>0.0</v>
      </c>
      <c r="T220" s="135">
        <v>0.0</v>
      </c>
      <c r="U220" s="135">
        <v>0.0</v>
      </c>
      <c r="V220" s="135">
        <v>0.0</v>
      </c>
      <c r="W220" s="135">
        <v>0.0</v>
      </c>
      <c r="X220" s="135">
        <v>0.0</v>
      </c>
      <c r="Y220" s="135">
        <v>0.0</v>
      </c>
      <c r="Z220" s="135">
        <v>0.0</v>
      </c>
      <c r="AA220" s="135">
        <v>0.0</v>
      </c>
      <c r="AB220" s="135">
        <v>0.0</v>
      </c>
      <c r="AC220" s="135">
        <v>0.0</v>
      </c>
      <c r="AD220" s="135">
        <v>0.0</v>
      </c>
      <c r="AE220" s="135">
        <v>0.0</v>
      </c>
      <c r="AF220" s="135">
        <v>0.0</v>
      </c>
      <c r="AG220" s="135">
        <v>0.0</v>
      </c>
      <c r="AH220" s="135">
        <v>0.0</v>
      </c>
      <c r="AI220" s="135">
        <v>0.0</v>
      </c>
      <c r="AJ220" s="135">
        <v>0.0</v>
      </c>
      <c r="AK220" s="135">
        <v>0.0</v>
      </c>
      <c r="AL220" s="135">
        <v>0.0</v>
      </c>
      <c r="AM220" s="135">
        <v>0.0</v>
      </c>
      <c r="AN220" s="137">
        <v>0.0</v>
      </c>
    </row>
    <row r="221">
      <c r="A221" s="138" t="s">
        <v>217</v>
      </c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</row>
    <row r="222">
      <c r="A222" s="132" t="s">
        <v>197</v>
      </c>
      <c r="B222" s="133" t="s">
        <v>198</v>
      </c>
      <c r="C222" s="134">
        <v>117207.0</v>
      </c>
      <c r="D222" s="134">
        <v>42394.0</v>
      </c>
      <c r="E222" s="134">
        <v>74813.0</v>
      </c>
      <c r="F222" s="135">
        <v>0.0</v>
      </c>
      <c r="G222" s="135">
        <v>0.0</v>
      </c>
      <c r="H222" s="135">
        <v>0.0</v>
      </c>
      <c r="I222" s="135">
        <v>0.0</v>
      </c>
      <c r="J222" s="135">
        <v>0.0</v>
      </c>
      <c r="K222" s="135">
        <v>0.0</v>
      </c>
      <c r="L222" s="137">
        <v>88.0</v>
      </c>
      <c r="M222" s="137">
        <v>138.0</v>
      </c>
      <c r="N222" s="137">
        <v>119.0</v>
      </c>
      <c r="O222" s="137">
        <v>304.0</v>
      </c>
      <c r="P222" s="137">
        <v>270.0</v>
      </c>
      <c r="Q222" s="137">
        <v>586.0</v>
      </c>
      <c r="R222" s="137">
        <v>399.0</v>
      </c>
      <c r="S222" s="137">
        <v>909.0</v>
      </c>
      <c r="T222" s="137">
        <v>860.0</v>
      </c>
      <c r="U222" s="134">
        <v>1538.0</v>
      </c>
      <c r="V222" s="134">
        <v>1507.0</v>
      </c>
      <c r="W222" s="134">
        <v>2946.0</v>
      </c>
      <c r="X222" s="134">
        <v>2652.0</v>
      </c>
      <c r="Y222" s="134">
        <v>5136.0</v>
      </c>
      <c r="Z222" s="134">
        <v>4150.0</v>
      </c>
      <c r="AA222" s="134">
        <v>8197.0</v>
      </c>
      <c r="AB222" s="134">
        <v>5142.0</v>
      </c>
      <c r="AC222" s="134">
        <v>9632.0</v>
      </c>
      <c r="AD222" s="134">
        <v>5812.0</v>
      </c>
      <c r="AE222" s="134">
        <v>9644.0</v>
      </c>
      <c r="AF222" s="134">
        <v>6009.0</v>
      </c>
      <c r="AG222" s="134">
        <v>9762.0</v>
      </c>
      <c r="AH222" s="134">
        <v>6162.0</v>
      </c>
      <c r="AI222" s="134">
        <v>9561.0</v>
      </c>
      <c r="AJ222" s="134">
        <v>4715.0</v>
      </c>
      <c r="AK222" s="134">
        <v>7545.0</v>
      </c>
      <c r="AL222" s="134">
        <v>4509.0</v>
      </c>
      <c r="AM222" s="134">
        <v>8915.0</v>
      </c>
      <c r="AN222" s="134">
        <v>117055.0</v>
      </c>
    </row>
    <row r="223">
      <c r="A223" s="98"/>
      <c r="B223" s="136" t="s">
        <v>199</v>
      </c>
      <c r="C223" s="134">
        <v>64468.0</v>
      </c>
      <c r="D223" s="134">
        <v>23094.0</v>
      </c>
      <c r="E223" s="134">
        <v>41374.0</v>
      </c>
      <c r="F223" s="135">
        <v>0.0</v>
      </c>
      <c r="G223" s="135">
        <v>0.0</v>
      </c>
      <c r="H223" s="135">
        <v>0.0</v>
      </c>
      <c r="I223" s="135">
        <v>0.0</v>
      </c>
      <c r="J223" s="135">
        <v>0.0</v>
      </c>
      <c r="K223" s="135">
        <v>0.0</v>
      </c>
      <c r="L223" s="137">
        <v>62.0</v>
      </c>
      <c r="M223" s="137">
        <v>67.0</v>
      </c>
      <c r="N223" s="137">
        <v>88.0</v>
      </c>
      <c r="O223" s="137">
        <v>155.0</v>
      </c>
      <c r="P223" s="137">
        <v>126.0</v>
      </c>
      <c r="Q223" s="137">
        <v>341.0</v>
      </c>
      <c r="R223" s="137">
        <v>255.0</v>
      </c>
      <c r="S223" s="137">
        <v>436.0</v>
      </c>
      <c r="T223" s="137">
        <v>396.0</v>
      </c>
      <c r="U223" s="137">
        <v>817.0</v>
      </c>
      <c r="V223" s="137">
        <v>831.0</v>
      </c>
      <c r="W223" s="134">
        <v>1706.0</v>
      </c>
      <c r="X223" s="134">
        <v>1380.0</v>
      </c>
      <c r="Y223" s="134">
        <v>2777.0</v>
      </c>
      <c r="Z223" s="134">
        <v>2306.0</v>
      </c>
      <c r="AA223" s="134">
        <v>4523.0</v>
      </c>
      <c r="AB223" s="134">
        <v>2890.0</v>
      </c>
      <c r="AC223" s="134">
        <v>5449.0</v>
      </c>
      <c r="AD223" s="134">
        <v>3293.0</v>
      </c>
      <c r="AE223" s="134">
        <v>5587.0</v>
      </c>
      <c r="AF223" s="134">
        <v>3183.0</v>
      </c>
      <c r="AG223" s="134">
        <v>5425.0</v>
      </c>
      <c r="AH223" s="134">
        <v>3367.0</v>
      </c>
      <c r="AI223" s="134">
        <v>5185.0</v>
      </c>
      <c r="AJ223" s="134">
        <v>2489.0</v>
      </c>
      <c r="AK223" s="134">
        <v>4123.0</v>
      </c>
      <c r="AL223" s="134">
        <v>2428.0</v>
      </c>
      <c r="AM223" s="134">
        <v>4783.0</v>
      </c>
      <c r="AN223" s="134">
        <v>64225.0</v>
      </c>
    </row>
    <row r="224">
      <c r="A224" s="98"/>
      <c r="B224" s="136" t="s">
        <v>200</v>
      </c>
      <c r="C224" s="134">
        <v>59831.0</v>
      </c>
      <c r="D224" s="134">
        <v>21307.0</v>
      </c>
      <c r="E224" s="134">
        <v>38524.0</v>
      </c>
      <c r="F224" s="135">
        <v>0.0</v>
      </c>
      <c r="G224" s="135">
        <v>0.0</v>
      </c>
      <c r="H224" s="135">
        <v>0.0</v>
      </c>
      <c r="I224" s="135">
        <v>0.0</v>
      </c>
      <c r="J224" s="135">
        <v>0.0</v>
      </c>
      <c r="K224" s="135">
        <v>0.0</v>
      </c>
      <c r="L224" s="137">
        <v>36.0</v>
      </c>
      <c r="M224" s="137">
        <v>98.0</v>
      </c>
      <c r="N224" s="137">
        <v>54.0</v>
      </c>
      <c r="O224" s="137">
        <v>173.0</v>
      </c>
      <c r="P224" s="137">
        <v>128.0</v>
      </c>
      <c r="Q224" s="137">
        <v>326.0</v>
      </c>
      <c r="R224" s="137">
        <v>235.0</v>
      </c>
      <c r="S224" s="137">
        <v>461.0</v>
      </c>
      <c r="T224" s="137">
        <v>406.0</v>
      </c>
      <c r="U224" s="137">
        <v>809.0</v>
      </c>
      <c r="V224" s="137">
        <v>707.0</v>
      </c>
      <c r="W224" s="134">
        <v>1466.0</v>
      </c>
      <c r="X224" s="134">
        <v>1376.0</v>
      </c>
      <c r="Y224" s="134">
        <v>2733.0</v>
      </c>
      <c r="Z224" s="134">
        <v>1997.0</v>
      </c>
      <c r="AA224" s="134">
        <v>4373.0</v>
      </c>
      <c r="AB224" s="134">
        <v>2634.0</v>
      </c>
      <c r="AC224" s="134">
        <v>5189.0</v>
      </c>
      <c r="AD224" s="134">
        <v>3135.0</v>
      </c>
      <c r="AE224" s="134">
        <v>5248.0</v>
      </c>
      <c r="AF224" s="134">
        <v>3036.0</v>
      </c>
      <c r="AG224" s="134">
        <v>5059.0</v>
      </c>
      <c r="AH224" s="134">
        <v>3116.0</v>
      </c>
      <c r="AI224" s="134">
        <v>4778.0</v>
      </c>
      <c r="AJ224" s="134">
        <v>2308.0</v>
      </c>
      <c r="AK224" s="134">
        <v>3660.0</v>
      </c>
      <c r="AL224" s="134">
        <v>2139.0</v>
      </c>
      <c r="AM224" s="134">
        <v>4151.0</v>
      </c>
      <c r="AN224" s="134">
        <v>59512.0</v>
      </c>
    </row>
    <row r="225">
      <c r="A225" s="104"/>
      <c r="B225" s="136" t="s">
        <v>201</v>
      </c>
      <c r="C225" s="137">
        <v>953.0</v>
      </c>
      <c r="D225" s="137">
        <v>306.0</v>
      </c>
      <c r="E225" s="137">
        <v>647.0</v>
      </c>
      <c r="F225" s="135">
        <v>0.0</v>
      </c>
      <c r="G225" s="135">
        <v>0.0</v>
      </c>
      <c r="H225" s="135">
        <v>0.0</v>
      </c>
      <c r="I225" s="135">
        <v>0.0</v>
      </c>
      <c r="J225" s="135">
        <v>0.0</v>
      </c>
      <c r="K225" s="135">
        <v>0.0</v>
      </c>
      <c r="L225" s="137">
        <v>0.0</v>
      </c>
      <c r="M225" s="137">
        <v>0.0</v>
      </c>
      <c r="N225" s="137">
        <v>1.0</v>
      </c>
      <c r="O225" s="137">
        <v>5.0</v>
      </c>
      <c r="P225" s="137">
        <v>0.0</v>
      </c>
      <c r="Q225" s="137">
        <v>2.0</v>
      </c>
      <c r="R225" s="137">
        <v>2.0</v>
      </c>
      <c r="S225" s="137">
        <v>4.0</v>
      </c>
      <c r="T225" s="137">
        <v>11.0</v>
      </c>
      <c r="U225" s="137">
        <v>16.0</v>
      </c>
      <c r="V225" s="137">
        <v>9.0</v>
      </c>
      <c r="W225" s="137">
        <v>21.0</v>
      </c>
      <c r="X225" s="137">
        <v>29.0</v>
      </c>
      <c r="Y225" s="137">
        <v>51.0</v>
      </c>
      <c r="Z225" s="137">
        <v>17.0</v>
      </c>
      <c r="AA225" s="137">
        <v>71.0</v>
      </c>
      <c r="AB225" s="137">
        <v>38.0</v>
      </c>
      <c r="AC225" s="137">
        <v>75.0</v>
      </c>
      <c r="AD225" s="137">
        <v>30.0</v>
      </c>
      <c r="AE225" s="137">
        <v>76.0</v>
      </c>
      <c r="AF225" s="137">
        <v>34.0</v>
      </c>
      <c r="AG225" s="137">
        <v>71.0</v>
      </c>
      <c r="AH225" s="137">
        <v>51.0</v>
      </c>
      <c r="AI225" s="137">
        <v>94.0</v>
      </c>
      <c r="AJ225" s="137">
        <v>53.0</v>
      </c>
      <c r="AK225" s="137">
        <v>78.0</v>
      </c>
      <c r="AL225" s="137">
        <v>31.0</v>
      </c>
      <c r="AM225" s="137">
        <v>83.0</v>
      </c>
      <c r="AN225" s="137">
        <v>952.0</v>
      </c>
    </row>
    <row r="226">
      <c r="A226" s="132" t="s">
        <v>202</v>
      </c>
      <c r="B226" s="136" t="s">
        <v>198</v>
      </c>
      <c r="C226" s="137">
        <v>588.0</v>
      </c>
      <c r="D226" s="137">
        <v>362.0</v>
      </c>
      <c r="E226" s="137">
        <v>226.0</v>
      </c>
      <c r="F226" s="137">
        <v>0.0</v>
      </c>
      <c r="G226" s="137">
        <v>1.0</v>
      </c>
      <c r="H226" s="137">
        <v>1.0</v>
      </c>
      <c r="I226" s="137">
        <v>0.0</v>
      </c>
      <c r="J226" s="137">
        <v>2.0</v>
      </c>
      <c r="K226" s="137">
        <v>1.0</v>
      </c>
      <c r="L226" s="137">
        <v>25.0</v>
      </c>
      <c r="M226" s="137">
        <v>12.0</v>
      </c>
      <c r="N226" s="137">
        <v>33.0</v>
      </c>
      <c r="O226" s="137">
        <v>14.0</v>
      </c>
      <c r="P226" s="137">
        <v>37.0</v>
      </c>
      <c r="Q226" s="137">
        <v>35.0</v>
      </c>
      <c r="R226" s="137">
        <v>24.0</v>
      </c>
      <c r="S226" s="137">
        <v>23.0</v>
      </c>
      <c r="T226" s="137">
        <v>54.0</v>
      </c>
      <c r="U226" s="137">
        <v>32.0</v>
      </c>
      <c r="V226" s="137">
        <v>42.0</v>
      </c>
      <c r="W226" s="137">
        <v>13.0</v>
      </c>
      <c r="X226" s="137">
        <v>20.0</v>
      </c>
      <c r="Y226" s="137">
        <v>16.0</v>
      </c>
      <c r="Z226" s="137">
        <v>36.0</v>
      </c>
      <c r="AA226" s="137">
        <v>8.0</v>
      </c>
      <c r="AB226" s="137">
        <v>29.0</v>
      </c>
      <c r="AC226" s="137">
        <v>8.0</v>
      </c>
      <c r="AD226" s="137">
        <v>22.0</v>
      </c>
      <c r="AE226" s="137">
        <v>9.0</v>
      </c>
      <c r="AF226" s="137">
        <v>10.0</v>
      </c>
      <c r="AG226" s="137">
        <v>12.0</v>
      </c>
      <c r="AH226" s="137">
        <v>17.0</v>
      </c>
      <c r="AI226" s="137">
        <v>22.0</v>
      </c>
      <c r="AJ226" s="137">
        <v>6.0</v>
      </c>
      <c r="AK226" s="137">
        <v>3.0</v>
      </c>
      <c r="AL226" s="137">
        <v>4.0</v>
      </c>
      <c r="AM226" s="137">
        <v>17.0</v>
      </c>
      <c r="AN226" s="137">
        <v>572.0</v>
      </c>
    </row>
    <row r="227">
      <c r="A227" s="104"/>
      <c r="B227" s="136" t="s">
        <v>199</v>
      </c>
      <c r="C227" s="137">
        <v>377.0</v>
      </c>
      <c r="D227" s="137">
        <v>218.0</v>
      </c>
      <c r="E227" s="137">
        <v>159.0</v>
      </c>
      <c r="F227" s="137">
        <v>24.0</v>
      </c>
      <c r="G227" s="137">
        <v>6.0</v>
      </c>
      <c r="H227" s="137">
        <v>8.0</v>
      </c>
      <c r="I227" s="137">
        <v>11.0</v>
      </c>
      <c r="J227" s="137">
        <v>12.0</v>
      </c>
      <c r="K227" s="137">
        <v>5.0</v>
      </c>
      <c r="L227" s="137">
        <v>17.0</v>
      </c>
      <c r="M227" s="137">
        <v>11.0</v>
      </c>
      <c r="N227" s="137">
        <v>11.0</v>
      </c>
      <c r="O227" s="137">
        <v>13.0</v>
      </c>
      <c r="P227" s="137">
        <v>10.0</v>
      </c>
      <c r="Q227" s="137">
        <v>26.0</v>
      </c>
      <c r="R227" s="137">
        <v>17.0</v>
      </c>
      <c r="S227" s="137">
        <v>18.0</v>
      </c>
      <c r="T227" s="137">
        <v>36.0</v>
      </c>
      <c r="U227" s="137">
        <v>12.0</v>
      </c>
      <c r="V227" s="137">
        <v>15.0</v>
      </c>
      <c r="W227" s="137">
        <v>7.0</v>
      </c>
      <c r="X227" s="137">
        <v>10.0</v>
      </c>
      <c r="Y227" s="137">
        <v>3.0</v>
      </c>
      <c r="Z227" s="137">
        <v>21.0</v>
      </c>
      <c r="AA227" s="137">
        <v>5.0</v>
      </c>
      <c r="AB227" s="137">
        <v>10.0</v>
      </c>
      <c r="AC227" s="137">
        <v>4.0</v>
      </c>
      <c r="AD227" s="137">
        <v>9.0</v>
      </c>
      <c r="AE227" s="137">
        <v>5.0</v>
      </c>
      <c r="AF227" s="137">
        <v>4.0</v>
      </c>
      <c r="AG227" s="137">
        <v>14.0</v>
      </c>
      <c r="AH227" s="137">
        <v>3.0</v>
      </c>
      <c r="AI227" s="137">
        <v>16.0</v>
      </c>
      <c r="AJ227" s="137">
        <v>3.0</v>
      </c>
      <c r="AK227" s="137">
        <v>0.0</v>
      </c>
      <c r="AL227" s="137">
        <v>8.0</v>
      </c>
      <c r="AM227" s="137">
        <v>3.0</v>
      </c>
      <c r="AN227" s="137">
        <v>364.0</v>
      </c>
    </row>
    <row r="228">
      <c r="A228" s="132" t="s">
        <v>203</v>
      </c>
      <c r="B228" s="136" t="s">
        <v>198</v>
      </c>
      <c r="C228" s="137">
        <v>187.0</v>
      </c>
      <c r="D228" s="137">
        <v>77.0</v>
      </c>
      <c r="E228" s="137">
        <v>110.0</v>
      </c>
      <c r="F228" s="135">
        <v>0.0</v>
      </c>
      <c r="G228" s="135">
        <v>0.0</v>
      </c>
      <c r="H228" s="135">
        <v>0.0</v>
      </c>
      <c r="I228" s="135">
        <v>0.0</v>
      </c>
      <c r="J228" s="135">
        <v>0.0</v>
      </c>
      <c r="K228" s="135">
        <v>0.0</v>
      </c>
      <c r="L228" s="135">
        <v>0.0</v>
      </c>
      <c r="M228" s="135">
        <v>0.0</v>
      </c>
      <c r="N228" s="135">
        <v>0.0</v>
      </c>
      <c r="O228" s="135">
        <v>0.0</v>
      </c>
      <c r="P228" s="135">
        <v>0.0</v>
      </c>
      <c r="Q228" s="135">
        <v>0.0</v>
      </c>
      <c r="R228" s="135">
        <v>0.0</v>
      </c>
      <c r="S228" s="135">
        <v>0.0</v>
      </c>
      <c r="T228" s="135">
        <v>0.0</v>
      </c>
      <c r="U228" s="135">
        <v>0.0</v>
      </c>
      <c r="V228" s="135">
        <v>0.0</v>
      </c>
      <c r="W228" s="135">
        <v>0.0</v>
      </c>
      <c r="X228" s="135">
        <v>0.0</v>
      </c>
      <c r="Y228" s="135">
        <v>0.0</v>
      </c>
      <c r="Z228" s="135">
        <v>0.0</v>
      </c>
      <c r="AA228" s="135">
        <v>0.0</v>
      </c>
      <c r="AB228" s="135">
        <v>0.0</v>
      </c>
      <c r="AC228" s="135">
        <v>0.0</v>
      </c>
      <c r="AD228" s="135">
        <v>0.0</v>
      </c>
      <c r="AE228" s="135">
        <v>0.0</v>
      </c>
      <c r="AF228" s="137">
        <v>16.0</v>
      </c>
      <c r="AG228" s="137">
        <v>19.0</v>
      </c>
      <c r="AH228" s="137">
        <v>12.0</v>
      </c>
      <c r="AI228" s="137">
        <v>25.0</v>
      </c>
      <c r="AJ228" s="137">
        <v>28.0</v>
      </c>
      <c r="AK228" s="137">
        <v>36.0</v>
      </c>
      <c r="AL228" s="137">
        <v>21.0</v>
      </c>
      <c r="AM228" s="137">
        <v>30.0</v>
      </c>
      <c r="AN228" s="137">
        <v>187.0</v>
      </c>
    </row>
    <row r="229">
      <c r="A229" s="104"/>
      <c r="B229" s="136" t="s">
        <v>199</v>
      </c>
      <c r="C229" s="134">
        <v>1394.0</v>
      </c>
      <c r="D229" s="137">
        <v>497.0</v>
      </c>
      <c r="E229" s="137">
        <v>897.0</v>
      </c>
      <c r="F229" s="135">
        <v>0.0</v>
      </c>
      <c r="G229" s="135">
        <v>0.0</v>
      </c>
      <c r="H229" s="135">
        <v>0.0</v>
      </c>
      <c r="I229" s="135">
        <v>0.0</v>
      </c>
      <c r="J229" s="135">
        <v>0.0</v>
      </c>
      <c r="K229" s="135">
        <v>0.0</v>
      </c>
      <c r="L229" s="135">
        <v>0.0</v>
      </c>
      <c r="M229" s="135">
        <v>0.0</v>
      </c>
      <c r="N229" s="135">
        <v>0.0</v>
      </c>
      <c r="O229" s="135">
        <v>0.0</v>
      </c>
      <c r="P229" s="135">
        <v>0.0</v>
      </c>
      <c r="Q229" s="135">
        <v>0.0</v>
      </c>
      <c r="R229" s="135">
        <v>0.0</v>
      </c>
      <c r="S229" s="135">
        <v>0.0</v>
      </c>
      <c r="T229" s="135">
        <v>0.0</v>
      </c>
      <c r="U229" s="135">
        <v>0.0</v>
      </c>
      <c r="V229" s="135">
        <v>0.0</v>
      </c>
      <c r="W229" s="135">
        <v>0.0</v>
      </c>
      <c r="X229" s="135">
        <v>0.0</v>
      </c>
      <c r="Y229" s="135">
        <v>0.0</v>
      </c>
      <c r="Z229" s="135">
        <v>0.0</v>
      </c>
      <c r="AA229" s="135">
        <v>0.0</v>
      </c>
      <c r="AB229" s="135">
        <v>0.0</v>
      </c>
      <c r="AC229" s="135">
        <v>0.0</v>
      </c>
      <c r="AD229" s="135">
        <v>0.0</v>
      </c>
      <c r="AE229" s="135">
        <v>0.0</v>
      </c>
      <c r="AF229" s="137">
        <v>137.0</v>
      </c>
      <c r="AG229" s="137">
        <v>255.0</v>
      </c>
      <c r="AH229" s="137">
        <v>156.0</v>
      </c>
      <c r="AI229" s="137">
        <v>248.0</v>
      </c>
      <c r="AJ229" s="137">
        <v>123.0</v>
      </c>
      <c r="AK229" s="137">
        <v>219.0</v>
      </c>
      <c r="AL229" s="137">
        <v>81.0</v>
      </c>
      <c r="AM229" s="137">
        <v>175.0</v>
      </c>
      <c r="AN229" s="134">
        <v>1394.0</v>
      </c>
    </row>
    <row r="230">
      <c r="A230" s="132" t="s">
        <v>204</v>
      </c>
      <c r="B230" s="136" t="s">
        <v>198</v>
      </c>
      <c r="C230" s="137">
        <v>121.0</v>
      </c>
      <c r="D230" s="137">
        <v>49.0</v>
      </c>
      <c r="E230" s="137">
        <v>72.0</v>
      </c>
      <c r="F230" s="135">
        <v>0.0</v>
      </c>
      <c r="G230" s="135">
        <v>0.0</v>
      </c>
      <c r="H230" s="135">
        <v>0.0</v>
      </c>
      <c r="I230" s="135">
        <v>0.0</v>
      </c>
      <c r="J230" s="135">
        <v>0.0</v>
      </c>
      <c r="K230" s="135">
        <v>0.0</v>
      </c>
      <c r="L230" s="135">
        <v>0.0</v>
      </c>
      <c r="M230" s="135">
        <v>0.0</v>
      </c>
      <c r="N230" s="135">
        <v>0.0</v>
      </c>
      <c r="O230" s="135">
        <v>0.0</v>
      </c>
      <c r="P230" s="135">
        <v>0.0</v>
      </c>
      <c r="Q230" s="135">
        <v>0.0</v>
      </c>
      <c r="R230" s="135">
        <v>0.0</v>
      </c>
      <c r="S230" s="135">
        <v>0.0</v>
      </c>
      <c r="T230" s="135">
        <v>0.0</v>
      </c>
      <c r="U230" s="135">
        <v>0.0</v>
      </c>
      <c r="V230" s="135">
        <v>0.0</v>
      </c>
      <c r="W230" s="135">
        <v>0.0</v>
      </c>
      <c r="X230" s="135">
        <v>0.0</v>
      </c>
      <c r="Y230" s="135">
        <v>0.0</v>
      </c>
      <c r="Z230" s="135">
        <v>0.0</v>
      </c>
      <c r="AA230" s="135">
        <v>0.0</v>
      </c>
      <c r="AB230" s="135">
        <v>0.0</v>
      </c>
      <c r="AC230" s="135">
        <v>0.0</v>
      </c>
      <c r="AD230" s="135">
        <v>0.0</v>
      </c>
      <c r="AE230" s="135">
        <v>0.0</v>
      </c>
      <c r="AF230" s="137">
        <v>7.0</v>
      </c>
      <c r="AG230" s="137">
        <v>15.0</v>
      </c>
      <c r="AH230" s="137">
        <v>6.0</v>
      </c>
      <c r="AI230" s="137">
        <v>16.0</v>
      </c>
      <c r="AJ230" s="137">
        <v>15.0</v>
      </c>
      <c r="AK230" s="137">
        <v>22.0</v>
      </c>
      <c r="AL230" s="137">
        <v>21.0</v>
      </c>
      <c r="AM230" s="137">
        <v>19.0</v>
      </c>
      <c r="AN230" s="137">
        <v>121.0</v>
      </c>
    </row>
    <row r="231">
      <c r="A231" s="104"/>
      <c r="B231" s="136" t="s">
        <v>199</v>
      </c>
      <c r="C231" s="137">
        <v>884.0</v>
      </c>
      <c r="D231" s="137">
        <v>295.0</v>
      </c>
      <c r="E231" s="137">
        <v>589.0</v>
      </c>
      <c r="F231" s="135">
        <v>0.0</v>
      </c>
      <c r="G231" s="135">
        <v>0.0</v>
      </c>
      <c r="H231" s="135">
        <v>0.0</v>
      </c>
      <c r="I231" s="135">
        <v>0.0</v>
      </c>
      <c r="J231" s="135">
        <v>0.0</v>
      </c>
      <c r="K231" s="135">
        <v>0.0</v>
      </c>
      <c r="L231" s="135">
        <v>0.0</v>
      </c>
      <c r="M231" s="135">
        <v>0.0</v>
      </c>
      <c r="N231" s="135">
        <v>0.0</v>
      </c>
      <c r="O231" s="135">
        <v>0.0</v>
      </c>
      <c r="P231" s="135">
        <v>0.0</v>
      </c>
      <c r="Q231" s="135">
        <v>0.0</v>
      </c>
      <c r="R231" s="135">
        <v>0.0</v>
      </c>
      <c r="S231" s="135">
        <v>0.0</v>
      </c>
      <c r="T231" s="135">
        <v>0.0</v>
      </c>
      <c r="U231" s="135">
        <v>0.0</v>
      </c>
      <c r="V231" s="135">
        <v>0.0</v>
      </c>
      <c r="W231" s="135">
        <v>0.0</v>
      </c>
      <c r="X231" s="135">
        <v>0.0</v>
      </c>
      <c r="Y231" s="135">
        <v>0.0</v>
      </c>
      <c r="Z231" s="135">
        <v>0.0</v>
      </c>
      <c r="AA231" s="135">
        <v>0.0</v>
      </c>
      <c r="AB231" s="135">
        <v>0.0</v>
      </c>
      <c r="AC231" s="135">
        <v>0.0</v>
      </c>
      <c r="AD231" s="135">
        <v>0.0</v>
      </c>
      <c r="AE231" s="135">
        <v>0.0</v>
      </c>
      <c r="AF231" s="137">
        <v>39.0</v>
      </c>
      <c r="AG231" s="137">
        <v>58.0</v>
      </c>
      <c r="AH231" s="137">
        <v>47.0</v>
      </c>
      <c r="AI231" s="137">
        <v>85.0</v>
      </c>
      <c r="AJ231" s="137">
        <v>59.0</v>
      </c>
      <c r="AK231" s="137">
        <v>126.0</v>
      </c>
      <c r="AL231" s="137">
        <v>150.0</v>
      </c>
      <c r="AM231" s="137">
        <v>320.0</v>
      </c>
      <c r="AN231" s="137">
        <v>884.0</v>
      </c>
    </row>
    <row r="232">
      <c r="A232" s="132" t="s">
        <v>205</v>
      </c>
      <c r="B232" s="136" t="s">
        <v>198</v>
      </c>
      <c r="C232" s="137">
        <v>28.0</v>
      </c>
      <c r="D232" s="137">
        <v>7.0</v>
      </c>
      <c r="E232" s="137">
        <v>21.0</v>
      </c>
      <c r="F232" s="137">
        <v>0.0</v>
      </c>
      <c r="G232" s="137">
        <v>0.0</v>
      </c>
      <c r="H232" s="137">
        <v>0.0</v>
      </c>
      <c r="I232" s="137">
        <v>0.0</v>
      </c>
      <c r="J232" s="137">
        <v>0.0</v>
      </c>
      <c r="K232" s="137">
        <v>0.0</v>
      </c>
      <c r="L232" s="137">
        <v>1.0</v>
      </c>
      <c r="M232" s="137">
        <v>0.0</v>
      </c>
      <c r="N232" s="137">
        <v>1.0</v>
      </c>
      <c r="O232" s="137">
        <v>2.0</v>
      </c>
      <c r="P232" s="137">
        <v>0.0</v>
      </c>
      <c r="Q232" s="137">
        <v>2.0</v>
      </c>
      <c r="R232" s="137">
        <v>0.0</v>
      </c>
      <c r="S232" s="137">
        <v>2.0</v>
      </c>
      <c r="T232" s="137">
        <v>0.0</v>
      </c>
      <c r="U232" s="137">
        <v>0.0</v>
      </c>
      <c r="V232" s="137">
        <v>0.0</v>
      </c>
      <c r="W232" s="137">
        <v>0.0</v>
      </c>
      <c r="X232" s="137">
        <v>0.0</v>
      </c>
      <c r="Y232" s="137">
        <v>0.0</v>
      </c>
      <c r="Z232" s="137">
        <v>1.0</v>
      </c>
      <c r="AA232" s="137">
        <v>1.0</v>
      </c>
      <c r="AB232" s="137">
        <v>2.0</v>
      </c>
      <c r="AC232" s="137">
        <v>3.0</v>
      </c>
      <c r="AD232" s="137">
        <v>0.0</v>
      </c>
      <c r="AE232" s="137">
        <v>3.0</v>
      </c>
      <c r="AF232" s="137">
        <v>0.0</v>
      </c>
      <c r="AG232" s="137">
        <v>2.0</v>
      </c>
      <c r="AH232" s="137">
        <v>0.0</v>
      </c>
      <c r="AI232" s="137">
        <v>1.0</v>
      </c>
      <c r="AJ232" s="137">
        <v>1.0</v>
      </c>
      <c r="AK232" s="137">
        <v>1.0</v>
      </c>
      <c r="AL232" s="137">
        <v>1.0</v>
      </c>
      <c r="AM232" s="137">
        <v>4.0</v>
      </c>
      <c r="AN232" s="137">
        <v>28.0</v>
      </c>
    </row>
    <row r="233">
      <c r="A233" s="98"/>
      <c r="B233" s="136" t="s">
        <v>199</v>
      </c>
      <c r="C233" s="137">
        <v>8.0</v>
      </c>
      <c r="D233" s="137">
        <v>1.0</v>
      </c>
      <c r="E233" s="137">
        <v>7.0</v>
      </c>
      <c r="F233" s="137">
        <v>1.0</v>
      </c>
      <c r="G233" s="137">
        <v>0.0</v>
      </c>
      <c r="H233" s="137">
        <v>0.0</v>
      </c>
      <c r="I233" s="137">
        <v>0.0</v>
      </c>
      <c r="J233" s="137">
        <v>0.0</v>
      </c>
      <c r="K233" s="137">
        <v>0.0</v>
      </c>
      <c r="L233" s="137">
        <v>0.0</v>
      </c>
      <c r="M233" s="137">
        <v>0.0</v>
      </c>
      <c r="N233" s="137">
        <v>0.0</v>
      </c>
      <c r="O233" s="137">
        <v>3.0</v>
      </c>
      <c r="P233" s="137">
        <v>0.0</v>
      </c>
      <c r="Q233" s="137">
        <v>1.0</v>
      </c>
      <c r="R233" s="137">
        <v>0.0</v>
      </c>
      <c r="S233" s="137">
        <v>0.0</v>
      </c>
      <c r="T233" s="137">
        <v>0.0</v>
      </c>
      <c r="U233" s="137">
        <v>1.0</v>
      </c>
      <c r="V233" s="137">
        <v>0.0</v>
      </c>
      <c r="W233" s="137">
        <v>0.0</v>
      </c>
      <c r="X233" s="137">
        <v>0.0</v>
      </c>
      <c r="Y233" s="137">
        <v>1.0</v>
      </c>
      <c r="Z233" s="137">
        <v>0.0</v>
      </c>
      <c r="AA233" s="137">
        <v>1.0</v>
      </c>
      <c r="AB233" s="137">
        <v>0.0</v>
      </c>
      <c r="AC233" s="137">
        <v>0.0</v>
      </c>
      <c r="AD233" s="137">
        <v>0.0</v>
      </c>
      <c r="AE233" s="137">
        <v>0.0</v>
      </c>
      <c r="AF233" s="137">
        <v>0.0</v>
      </c>
      <c r="AG233" s="137">
        <v>0.0</v>
      </c>
      <c r="AH233" s="137">
        <v>0.0</v>
      </c>
      <c r="AI233" s="137">
        <v>0.0</v>
      </c>
      <c r="AJ233" s="137">
        <v>0.0</v>
      </c>
      <c r="AK233" s="137">
        <v>0.0</v>
      </c>
      <c r="AL233" s="137">
        <v>0.0</v>
      </c>
      <c r="AM233" s="137">
        <v>0.0</v>
      </c>
      <c r="AN233" s="137">
        <v>8.0</v>
      </c>
    </row>
    <row r="234">
      <c r="A234" s="104"/>
      <c r="B234" s="136" t="s">
        <v>206</v>
      </c>
      <c r="C234" s="137">
        <v>32.0</v>
      </c>
      <c r="D234" s="137">
        <v>9.0</v>
      </c>
      <c r="E234" s="137">
        <v>23.0</v>
      </c>
      <c r="F234" s="137">
        <v>0.0</v>
      </c>
      <c r="G234" s="137">
        <v>0.0</v>
      </c>
      <c r="H234" s="137">
        <v>0.0</v>
      </c>
      <c r="I234" s="137">
        <v>0.0</v>
      </c>
      <c r="J234" s="137">
        <v>0.0</v>
      </c>
      <c r="K234" s="137">
        <v>0.0</v>
      </c>
      <c r="L234" s="137">
        <v>3.0</v>
      </c>
      <c r="M234" s="137">
        <v>4.0</v>
      </c>
      <c r="N234" s="137">
        <v>3.0</v>
      </c>
      <c r="O234" s="137">
        <v>6.0</v>
      </c>
      <c r="P234" s="137">
        <v>1.0</v>
      </c>
      <c r="Q234" s="137">
        <v>4.0</v>
      </c>
      <c r="R234" s="137">
        <v>0.0</v>
      </c>
      <c r="S234" s="137">
        <v>2.0</v>
      </c>
      <c r="T234" s="137">
        <v>1.0</v>
      </c>
      <c r="U234" s="137">
        <v>2.0</v>
      </c>
      <c r="V234" s="137">
        <v>0.0</v>
      </c>
      <c r="W234" s="137">
        <v>3.0</v>
      </c>
      <c r="X234" s="137">
        <v>0.0</v>
      </c>
      <c r="Y234" s="137">
        <v>2.0</v>
      </c>
      <c r="Z234" s="137">
        <v>1.0</v>
      </c>
      <c r="AA234" s="137">
        <v>0.0</v>
      </c>
      <c r="AB234" s="137">
        <v>0.0</v>
      </c>
      <c r="AC234" s="137">
        <v>0.0</v>
      </c>
      <c r="AD234" s="137">
        <v>0.0</v>
      </c>
      <c r="AE234" s="137">
        <v>0.0</v>
      </c>
      <c r="AF234" s="137">
        <v>0.0</v>
      </c>
      <c r="AG234" s="137">
        <v>0.0</v>
      </c>
      <c r="AH234" s="137">
        <v>0.0</v>
      </c>
      <c r="AI234" s="137">
        <v>0.0</v>
      </c>
      <c r="AJ234" s="137">
        <v>0.0</v>
      </c>
      <c r="AK234" s="137">
        <v>0.0</v>
      </c>
      <c r="AL234" s="137">
        <v>0.0</v>
      </c>
      <c r="AM234" s="137">
        <v>0.0</v>
      </c>
      <c r="AN234" s="137">
        <v>32.0</v>
      </c>
    </row>
    <row r="235">
      <c r="A235" s="132" t="s">
        <v>207</v>
      </c>
      <c r="B235" s="136" t="s">
        <v>198</v>
      </c>
      <c r="C235" s="134">
        <v>31510.0</v>
      </c>
      <c r="D235" s="134">
        <v>7730.0</v>
      </c>
      <c r="E235" s="134">
        <v>23780.0</v>
      </c>
      <c r="F235" s="137">
        <v>881.0</v>
      </c>
      <c r="G235" s="137">
        <v>749.0</v>
      </c>
      <c r="H235" s="137">
        <v>368.0</v>
      </c>
      <c r="I235" s="137">
        <v>222.0</v>
      </c>
      <c r="J235" s="137">
        <v>350.0</v>
      </c>
      <c r="K235" s="137">
        <v>248.0</v>
      </c>
      <c r="L235" s="137">
        <v>186.0</v>
      </c>
      <c r="M235" s="137">
        <v>290.0</v>
      </c>
      <c r="N235" s="137">
        <v>224.0</v>
      </c>
      <c r="O235" s="137">
        <v>475.0</v>
      </c>
      <c r="P235" s="137">
        <v>184.0</v>
      </c>
      <c r="Q235" s="137">
        <v>672.0</v>
      </c>
      <c r="R235" s="137">
        <v>224.0</v>
      </c>
      <c r="S235" s="137">
        <v>786.0</v>
      </c>
      <c r="T235" s="137">
        <v>214.0</v>
      </c>
      <c r="U235" s="137">
        <v>874.0</v>
      </c>
      <c r="V235" s="137">
        <v>222.0</v>
      </c>
      <c r="W235" s="134">
        <v>1149.0</v>
      </c>
      <c r="X235" s="137">
        <v>381.0</v>
      </c>
      <c r="Y235" s="134">
        <v>1596.0</v>
      </c>
      <c r="Z235" s="137">
        <v>493.0</v>
      </c>
      <c r="AA235" s="134">
        <v>2018.0</v>
      </c>
      <c r="AB235" s="137">
        <v>578.0</v>
      </c>
      <c r="AC235" s="134">
        <v>2817.0</v>
      </c>
      <c r="AD235" s="137">
        <v>604.0</v>
      </c>
      <c r="AE235" s="134">
        <v>2663.0</v>
      </c>
      <c r="AF235" s="137">
        <v>698.0</v>
      </c>
      <c r="AG235" s="134">
        <v>2661.0</v>
      </c>
      <c r="AH235" s="137">
        <v>782.0</v>
      </c>
      <c r="AI235" s="134">
        <v>2519.0</v>
      </c>
      <c r="AJ235" s="137">
        <v>620.0</v>
      </c>
      <c r="AK235" s="134">
        <v>1992.0</v>
      </c>
      <c r="AL235" s="137">
        <v>721.0</v>
      </c>
      <c r="AM235" s="134">
        <v>2049.0</v>
      </c>
      <c r="AN235" s="134">
        <v>31207.0</v>
      </c>
    </row>
    <row r="236">
      <c r="A236" s="98"/>
      <c r="B236" s="136" t="s">
        <v>199</v>
      </c>
      <c r="C236" s="134">
        <v>4219.0</v>
      </c>
      <c r="D236" s="134">
        <v>1180.0</v>
      </c>
      <c r="E236" s="134">
        <v>3039.0</v>
      </c>
      <c r="F236" s="137">
        <v>18.0</v>
      </c>
      <c r="G236" s="137">
        <v>23.0</v>
      </c>
      <c r="H236" s="137">
        <v>2.0</v>
      </c>
      <c r="I236" s="137">
        <v>0.0</v>
      </c>
      <c r="J236" s="137">
        <v>2.0</v>
      </c>
      <c r="K236" s="137">
        <v>0.0</v>
      </c>
      <c r="L236" s="137">
        <v>29.0</v>
      </c>
      <c r="M236" s="137">
        <v>37.0</v>
      </c>
      <c r="N236" s="137">
        <v>14.0</v>
      </c>
      <c r="O236" s="137">
        <v>55.0</v>
      </c>
      <c r="P236" s="137">
        <v>20.0</v>
      </c>
      <c r="Q236" s="137">
        <v>60.0</v>
      </c>
      <c r="R236" s="137">
        <v>81.0</v>
      </c>
      <c r="S236" s="137">
        <v>126.0</v>
      </c>
      <c r="T236" s="137">
        <v>69.0</v>
      </c>
      <c r="U236" s="137">
        <v>145.0</v>
      </c>
      <c r="V236" s="137">
        <v>68.0</v>
      </c>
      <c r="W236" s="137">
        <v>224.0</v>
      </c>
      <c r="X236" s="137">
        <v>63.0</v>
      </c>
      <c r="Y236" s="137">
        <v>292.0</v>
      </c>
      <c r="Z236" s="137">
        <v>94.0</v>
      </c>
      <c r="AA236" s="137">
        <v>331.0</v>
      </c>
      <c r="AB236" s="137">
        <v>169.0</v>
      </c>
      <c r="AC236" s="137">
        <v>373.0</v>
      </c>
      <c r="AD236" s="137">
        <v>122.0</v>
      </c>
      <c r="AE236" s="137">
        <v>318.0</v>
      </c>
      <c r="AF236" s="137">
        <v>115.0</v>
      </c>
      <c r="AG236" s="137">
        <v>347.0</v>
      </c>
      <c r="AH236" s="137">
        <v>137.0</v>
      </c>
      <c r="AI236" s="137">
        <v>318.0</v>
      </c>
      <c r="AJ236" s="137">
        <v>101.0</v>
      </c>
      <c r="AK236" s="137">
        <v>208.0</v>
      </c>
      <c r="AL236" s="137">
        <v>76.0</v>
      </c>
      <c r="AM236" s="137">
        <v>182.0</v>
      </c>
      <c r="AN236" s="134">
        <v>4218.0</v>
      </c>
    </row>
    <row r="237">
      <c r="A237" s="98"/>
      <c r="B237" s="136" t="s">
        <v>206</v>
      </c>
      <c r="C237" s="137">
        <v>101.0</v>
      </c>
      <c r="D237" s="137">
        <v>7.0</v>
      </c>
      <c r="E237" s="137">
        <v>94.0</v>
      </c>
      <c r="F237" s="137">
        <v>1.0</v>
      </c>
      <c r="G237" s="137">
        <v>2.0</v>
      </c>
      <c r="H237" s="137">
        <v>1.0</v>
      </c>
      <c r="I237" s="137">
        <v>0.0</v>
      </c>
      <c r="J237" s="137">
        <v>2.0</v>
      </c>
      <c r="K237" s="137">
        <v>0.0</v>
      </c>
      <c r="L237" s="137">
        <v>0.0</v>
      </c>
      <c r="M237" s="137">
        <v>6.0</v>
      </c>
      <c r="N237" s="137">
        <v>0.0</v>
      </c>
      <c r="O237" s="137">
        <v>9.0</v>
      </c>
      <c r="P237" s="137">
        <v>0.0</v>
      </c>
      <c r="Q237" s="137">
        <v>27.0</v>
      </c>
      <c r="R237" s="137">
        <v>0.0</v>
      </c>
      <c r="S237" s="137">
        <v>14.0</v>
      </c>
      <c r="T237" s="137">
        <v>0.0</v>
      </c>
      <c r="U237" s="137">
        <v>5.0</v>
      </c>
      <c r="V237" s="137">
        <v>1.0</v>
      </c>
      <c r="W237" s="137">
        <v>6.0</v>
      </c>
      <c r="X237" s="137">
        <v>0.0</v>
      </c>
      <c r="Y237" s="137">
        <v>13.0</v>
      </c>
      <c r="Z237" s="137">
        <v>0.0</v>
      </c>
      <c r="AA237" s="137">
        <v>5.0</v>
      </c>
      <c r="AB237" s="137">
        <v>0.0</v>
      </c>
      <c r="AC237" s="137">
        <v>4.0</v>
      </c>
      <c r="AD237" s="137">
        <v>0.0</v>
      </c>
      <c r="AE237" s="137">
        <v>1.0</v>
      </c>
      <c r="AF237" s="137">
        <v>1.0</v>
      </c>
      <c r="AG237" s="137">
        <v>1.0</v>
      </c>
      <c r="AH237" s="137">
        <v>1.0</v>
      </c>
      <c r="AI237" s="137">
        <v>1.0</v>
      </c>
      <c r="AJ237" s="137">
        <v>0.0</v>
      </c>
      <c r="AK237" s="137">
        <v>0.0</v>
      </c>
      <c r="AL237" s="137">
        <v>0.0</v>
      </c>
      <c r="AM237" s="137">
        <v>0.0</v>
      </c>
      <c r="AN237" s="137">
        <v>101.0</v>
      </c>
    </row>
    <row r="238">
      <c r="A238" s="98"/>
      <c r="B238" s="136" t="s">
        <v>200</v>
      </c>
      <c r="C238" s="134">
        <v>6477.0</v>
      </c>
      <c r="D238" s="134">
        <v>2093.0</v>
      </c>
      <c r="E238" s="134">
        <v>4384.0</v>
      </c>
      <c r="F238" s="137">
        <v>847.0</v>
      </c>
      <c r="G238" s="137">
        <v>833.0</v>
      </c>
      <c r="H238" s="137">
        <v>291.0</v>
      </c>
      <c r="I238" s="137">
        <v>303.0</v>
      </c>
      <c r="J238" s="137">
        <v>120.0</v>
      </c>
      <c r="K238" s="137">
        <v>141.0</v>
      </c>
      <c r="L238" s="137">
        <v>42.0</v>
      </c>
      <c r="M238" s="137">
        <v>163.0</v>
      </c>
      <c r="N238" s="137">
        <v>42.0</v>
      </c>
      <c r="O238" s="137">
        <v>198.0</v>
      </c>
      <c r="P238" s="137">
        <v>25.0</v>
      </c>
      <c r="Q238" s="137">
        <v>182.0</v>
      </c>
      <c r="R238" s="137">
        <v>33.0</v>
      </c>
      <c r="S238" s="137">
        <v>185.0</v>
      </c>
      <c r="T238" s="137">
        <v>21.0</v>
      </c>
      <c r="U238" s="137">
        <v>173.0</v>
      </c>
      <c r="V238" s="137">
        <v>17.0</v>
      </c>
      <c r="W238" s="137">
        <v>167.0</v>
      </c>
      <c r="X238" s="137">
        <v>46.0</v>
      </c>
      <c r="Y238" s="137">
        <v>237.0</v>
      </c>
      <c r="Z238" s="137">
        <v>73.0</v>
      </c>
      <c r="AA238" s="137">
        <v>281.0</v>
      </c>
      <c r="AB238" s="137">
        <v>63.0</v>
      </c>
      <c r="AC238" s="137">
        <v>338.0</v>
      </c>
      <c r="AD238" s="137">
        <v>100.0</v>
      </c>
      <c r="AE238" s="137">
        <v>302.0</v>
      </c>
      <c r="AF238" s="137">
        <v>106.0</v>
      </c>
      <c r="AG238" s="137">
        <v>255.0</v>
      </c>
      <c r="AH238" s="137">
        <v>94.0</v>
      </c>
      <c r="AI238" s="137">
        <v>256.0</v>
      </c>
      <c r="AJ238" s="137">
        <v>93.0</v>
      </c>
      <c r="AK238" s="137">
        <v>199.0</v>
      </c>
      <c r="AL238" s="137">
        <v>80.0</v>
      </c>
      <c r="AM238" s="137">
        <v>171.0</v>
      </c>
      <c r="AN238" s="134">
        <v>6384.0</v>
      </c>
    </row>
    <row r="239">
      <c r="A239" s="104"/>
      <c r="B239" s="136" t="s">
        <v>201</v>
      </c>
      <c r="C239" s="137">
        <v>994.0</v>
      </c>
      <c r="D239" s="137">
        <v>427.0</v>
      </c>
      <c r="E239" s="137">
        <v>567.0</v>
      </c>
      <c r="F239" s="137">
        <v>0.0</v>
      </c>
      <c r="G239" s="137">
        <v>0.0</v>
      </c>
      <c r="H239" s="137">
        <v>7.0</v>
      </c>
      <c r="I239" s="137">
        <v>0.0</v>
      </c>
      <c r="J239" s="137">
        <v>1.0</v>
      </c>
      <c r="K239" s="137">
        <v>0.0</v>
      </c>
      <c r="L239" s="137">
        <v>2.0</v>
      </c>
      <c r="M239" s="137">
        <v>1.0</v>
      </c>
      <c r="N239" s="137">
        <v>1.0</v>
      </c>
      <c r="O239" s="137">
        <v>2.0</v>
      </c>
      <c r="P239" s="137">
        <v>1.0</v>
      </c>
      <c r="Q239" s="137">
        <v>0.0</v>
      </c>
      <c r="R239" s="137">
        <v>4.0</v>
      </c>
      <c r="S239" s="137">
        <v>10.0</v>
      </c>
      <c r="T239" s="137">
        <v>6.0</v>
      </c>
      <c r="U239" s="137">
        <v>3.0</v>
      </c>
      <c r="V239" s="137">
        <v>5.0</v>
      </c>
      <c r="W239" s="137">
        <v>10.0</v>
      </c>
      <c r="X239" s="137">
        <v>11.0</v>
      </c>
      <c r="Y239" s="137">
        <v>16.0</v>
      </c>
      <c r="Z239" s="137">
        <v>32.0</v>
      </c>
      <c r="AA239" s="137">
        <v>31.0</v>
      </c>
      <c r="AB239" s="137">
        <v>36.0</v>
      </c>
      <c r="AC239" s="137">
        <v>52.0</v>
      </c>
      <c r="AD239" s="137">
        <v>68.0</v>
      </c>
      <c r="AE239" s="137">
        <v>83.0</v>
      </c>
      <c r="AF239" s="137">
        <v>54.0</v>
      </c>
      <c r="AG239" s="137">
        <v>82.0</v>
      </c>
      <c r="AH239" s="137">
        <v>94.0</v>
      </c>
      <c r="AI239" s="137">
        <v>82.0</v>
      </c>
      <c r="AJ239" s="137">
        <v>60.0</v>
      </c>
      <c r="AK239" s="137">
        <v>96.0</v>
      </c>
      <c r="AL239" s="137">
        <v>45.0</v>
      </c>
      <c r="AM239" s="137">
        <v>99.0</v>
      </c>
      <c r="AN239" s="137">
        <v>994.0</v>
      </c>
    </row>
    <row r="240">
      <c r="A240" s="132" t="s">
        <v>208</v>
      </c>
      <c r="B240" s="136" t="s">
        <v>198</v>
      </c>
      <c r="C240" s="137">
        <v>12.0</v>
      </c>
      <c r="D240" s="137">
        <v>5.0</v>
      </c>
      <c r="E240" s="137">
        <v>7.0</v>
      </c>
      <c r="F240" s="137">
        <v>2.0</v>
      </c>
      <c r="G240" s="137">
        <v>3.0</v>
      </c>
      <c r="H240" s="137">
        <v>3.0</v>
      </c>
      <c r="I240" s="137">
        <v>2.0</v>
      </c>
      <c r="J240" s="137">
        <v>0.0</v>
      </c>
      <c r="K240" s="137">
        <v>2.0</v>
      </c>
      <c r="L240" s="137">
        <v>0.0</v>
      </c>
      <c r="M240" s="137">
        <v>0.0</v>
      </c>
      <c r="N240" s="137">
        <v>0.0</v>
      </c>
      <c r="O240" s="137">
        <v>0.0</v>
      </c>
      <c r="P240" s="135">
        <v>0.0</v>
      </c>
      <c r="Q240" s="135">
        <v>0.0</v>
      </c>
      <c r="R240" s="135">
        <v>0.0</v>
      </c>
      <c r="S240" s="135">
        <v>0.0</v>
      </c>
      <c r="T240" s="135">
        <v>0.0</v>
      </c>
      <c r="U240" s="135">
        <v>0.0</v>
      </c>
      <c r="V240" s="135">
        <v>0.0</v>
      </c>
      <c r="W240" s="135">
        <v>0.0</v>
      </c>
      <c r="X240" s="135">
        <v>0.0</v>
      </c>
      <c r="Y240" s="135">
        <v>0.0</v>
      </c>
      <c r="Z240" s="135">
        <v>0.0</v>
      </c>
      <c r="AA240" s="135">
        <v>0.0</v>
      </c>
      <c r="AB240" s="135">
        <v>0.0</v>
      </c>
      <c r="AC240" s="135">
        <v>0.0</v>
      </c>
      <c r="AD240" s="135">
        <v>0.0</v>
      </c>
      <c r="AE240" s="135">
        <v>0.0</v>
      </c>
      <c r="AF240" s="135">
        <v>0.0</v>
      </c>
      <c r="AG240" s="135">
        <v>0.0</v>
      </c>
      <c r="AH240" s="135">
        <v>0.0</v>
      </c>
      <c r="AI240" s="135">
        <v>0.0</v>
      </c>
      <c r="AJ240" s="135">
        <v>0.0</v>
      </c>
      <c r="AK240" s="135">
        <v>0.0</v>
      </c>
      <c r="AL240" s="135">
        <v>0.0</v>
      </c>
      <c r="AM240" s="135">
        <v>0.0</v>
      </c>
      <c r="AN240" s="137">
        <v>7.0</v>
      </c>
    </row>
    <row r="241">
      <c r="A241" s="98"/>
      <c r="B241" s="136" t="s">
        <v>199</v>
      </c>
      <c r="C241" s="137">
        <v>33.0</v>
      </c>
      <c r="D241" s="137">
        <v>19.0</v>
      </c>
      <c r="E241" s="137">
        <v>14.0</v>
      </c>
      <c r="F241" s="137">
        <v>13.0</v>
      </c>
      <c r="G241" s="137">
        <v>12.0</v>
      </c>
      <c r="H241" s="137">
        <v>6.0</v>
      </c>
      <c r="I241" s="137">
        <v>1.0</v>
      </c>
      <c r="J241" s="137">
        <v>0.0</v>
      </c>
      <c r="K241" s="137">
        <v>1.0</v>
      </c>
      <c r="L241" s="137">
        <v>0.0</v>
      </c>
      <c r="M241" s="137">
        <v>0.0</v>
      </c>
      <c r="N241" s="137">
        <v>0.0</v>
      </c>
      <c r="O241" s="137">
        <v>0.0</v>
      </c>
      <c r="P241" s="135">
        <v>0.0</v>
      </c>
      <c r="Q241" s="135">
        <v>0.0</v>
      </c>
      <c r="R241" s="135">
        <v>0.0</v>
      </c>
      <c r="S241" s="135">
        <v>0.0</v>
      </c>
      <c r="T241" s="135">
        <v>0.0</v>
      </c>
      <c r="U241" s="135">
        <v>0.0</v>
      </c>
      <c r="V241" s="135">
        <v>0.0</v>
      </c>
      <c r="W241" s="135">
        <v>0.0</v>
      </c>
      <c r="X241" s="135">
        <v>0.0</v>
      </c>
      <c r="Y241" s="135">
        <v>0.0</v>
      </c>
      <c r="Z241" s="135">
        <v>0.0</v>
      </c>
      <c r="AA241" s="135">
        <v>0.0</v>
      </c>
      <c r="AB241" s="135">
        <v>0.0</v>
      </c>
      <c r="AC241" s="135">
        <v>0.0</v>
      </c>
      <c r="AD241" s="135">
        <v>0.0</v>
      </c>
      <c r="AE241" s="135">
        <v>0.0</v>
      </c>
      <c r="AF241" s="135">
        <v>0.0</v>
      </c>
      <c r="AG241" s="135">
        <v>0.0</v>
      </c>
      <c r="AH241" s="135">
        <v>0.0</v>
      </c>
      <c r="AI241" s="135">
        <v>0.0</v>
      </c>
      <c r="AJ241" s="135">
        <v>0.0</v>
      </c>
      <c r="AK241" s="135">
        <v>0.0</v>
      </c>
      <c r="AL241" s="135">
        <v>0.0</v>
      </c>
      <c r="AM241" s="135">
        <v>0.0</v>
      </c>
      <c r="AN241" s="137">
        <v>29.0</v>
      </c>
    </row>
    <row r="242">
      <c r="A242" s="98"/>
      <c r="B242" s="136" t="s">
        <v>206</v>
      </c>
      <c r="C242" s="137">
        <v>0.0</v>
      </c>
      <c r="D242" s="137">
        <v>0.0</v>
      </c>
      <c r="E242" s="137">
        <v>0.0</v>
      </c>
      <c r="F242" s="137">
        <v>0.0</v>
      </c>
      <c r="G242" s="137">
        <v>0.0</v>
      </c>
      <c r="H242" s="137">
        <v>0.0</v>
      </c>
      <c r="I242" s="137">
        <v>0.0</v>
      </c>
      <c r="J242" s="137">
        <v>0.0</v>
      </c>
      <c r="K242" s="137">
        <v>0.0</v>
      </c>
      <c r="L242" s="137">
        <v>0.0</v>
      </c>
      <c r="M242" s="137">
        <v>0.0</v>
      </c>
      <c r="N242" s="137">
        <v>0.0</v>
      </c>
      <c r="O242" s="137">
        <v>0.0</v>
      </c>
      <c r="P242" s="135">
        <v>0.0</v>
      </c>
      <c r="Q242" s="135">
        <v>0.0</v>
      </c>
      <c r="R242" s="135">
        <v>0.0</v>
      </c>
      <c r="S242" s="135">
        <v>0.0</v>
      </c>
      <c r="T242" s="135">
        <v>0.0</v>
      </c>
      <c r="U242" s="135">
        <v>0.0</v>
      </c>
      <c r="V242" s="135">
        <v>0.0</v>
      </c>
      <c r="W242" s="135">
        <v>0.0</v>
      </c>
      <c r="X242" s="135">
        <v>0.0</v>
      </c>
      <c r="Y242" s="135">
        <v>0.0</v>
      </c>
      <c r="Z242" s="135">
        <v>0.0</v>
      </c>
      <c r="AA242" s="135">
        <v>0.0</v>
      </c>
      <c r="AB242" s="135">
        <v>0.0</v>
      </c>
      <c r="AC242" s="135">
        <v>0.0</v>
      </c>
      <c r="AD242" s="135">
        <v>0.0</v>
      </c>
      <c r="AE242" s="135">
        <v>0.0</v>
      </c>
      <c r="AF242" s="135">
        <v>0.0</v>
      </c>
      <c r="AG242" s="135">
        <v>0.0</v>
      </c>
      <c r="AH242" s="135">
        <v>0.0</v>
      </c>
      <c r="AI242" s="135">
        <v>0.0</v>
      </c>
      <c r="AJ242" s="135">
        <v>0.0</v>
      </c>
      <c r="AK242" s="135">
        <v>0.0</v>
      </c>
      <c r="AL242" s="135">
        <v>0.0</v>
      </c>
      <c r="AM242" s="135">
        <v>0.0</v>
      </c>
      <c r="AN242" s="137">
        <v>0.0</v>
      </c>
    </row>
    <row r="243">
      <c r="A243" s="98"/>
      <c r="B243" s="136" t="s">
        <v>200</v>
      </c>
      <c r="C243" s="137">
        <v>12.0</v>
      </c>
      <c r="D243" s="137">
        <v>7.0</v>
      </c>
      <c r="E243" s="137">
        <v>5.0</v>
      </c>
      <c r="F243" s="137">
        <v>5.0</v>
      </c>
      <c r="G243" s="137">
        <v>5.0</v>
      </c>
      <c r="H243" s="137">
        <v>2.0</v>
      </c>
      <c r="I243" s="137">
        <v>0.0</v>
      </c>
      <c r="J243" s="137">
        <v>0.0</v>
      </c>
      <c r="K243" s="137">
        <v>0.0</v>
      </c>
      <c r="L243" s="137">
        <v>0.0</v>
      </c>
      <c r="M243" s="137">
        <v>0.0</v>
      </c>
      <c r="N243" s="137">
        <v>0.0</v>
      </c>
      <c r="O243" s="137">
        <v>0.0</v>
      </c>
      <c r="P243" s="135">
        <v>0.0</v>
      </c>
      <c r="Q243" s="135">
        <v>0.0</v>
      </c>
      <c r="R243" s="135">
        <v>0.0</v>
      </c>
      <c r="S243" s="135">
        <v>0.0</v>
      </c>
      <c r="T243" s="135">
        <v>0.0</v>
      </c>
      <c r="U243" s="135">
        <v>0.0</v>
      </c>
      <c r="V243" s="135">
        <v>0.0</v>
      </c>
      <c r="W243" s="135">
        <v>0.0</v>
      </c>
      <c r="X243" s="135">
        <v>0.0</v>
      </c>
      <c r="Y243" s="135">
        <v>0.0</v>
      </c>
      <c r="Z243" s="135">
        <v>0.0</v>
      </c>
      <c r="AA243" s="135">
        <v>0.0</v>
      </c>
      <c r="AB243" s="135">
        <v>0.0</v>
      </c>
      <c r="AC243" s="135">
        <v>0.0</v>
      </c>
      <c r="AD243" s="135">
        <v>0.0</v>
      </c>
      <c r="AE243" s="135">
        <v>0.0</v>
      </c>
      <c r="AF243" s="135">
        <v>0.0</v>
      </c>
      <c r="AG243" s="135">
        <v>0.0</v>
      </c>
      <c r="AH243" s="135">
        <v>0.0</v>
      </c>
      <c r="AI243" s="135">
        <v>0.0</v>
      </c>
      <c r="AJ243" s="135">
        <v>0.0</v>
      </c>
      <c r="AK243" s="135">
        <v>0.0</v>
      </c>
      <c r="AL243" s="135">
        <v>0.0</v>
      </c>
      <c r="AM243" s="135">
        <v>0.0</v>
      </c>
      <c r="AN243" s="137">
        <v>6.0</v>
      </c>
    </row>
    <row r="244">
      <c r="A244" s="104"/>
      <c r="B244" s="136" t="s">
        <v>201</v>
      </c>
      <c r="C244" s="137">
        <v>0.0</v>
      </c>
      <c r="D244" s="137">
        <v>0.0</v>
      </c>
      <c r="E244" s="137">
        <v>0.0</v>
      </c>
      <c r="F244" s="137">
        <v>0.0</v>
      </c>
      <c r="G244" s="137">
        <v>0.0</v>
      </c>
      <c r="H244" s="137">
        <v>0.0</v>
      </c>
      <c r="I244" s="137">
        <v>0.0</v>
      </c>
      <c r="J244" s="137">
        <v>0.0</v>
      </c>
      <c r="K244" s="137">
        <v>0.0</v>
      </c>
      <c r="L244" s="137">
        <v>0.0</v>
      </c>
      <c r="M244" s="137">
        <v>0.0</v>
      </c>
      <c r="N244" s="137">
        <v>0.0</v>
      </c>
      <c r="O244" s="137">
        <v>0.0</v>
      </c>
      <c r="P244" s="135">
        <v>0.0</v>
      </c>
      <c r="Q244" s="135">
        <v>0.0</v>
      </c>
      <c r="R244" s="135">
        <v>0.0</v>
      </c>
      <c r="S244" s="135">
        <v>0.0</v>
      </c>
      <c r="T244" s="135">
        <v>0.0</v>
      </c>
      <c r="U244" s="135">
        <v>0.0</v>
      </c>
      <c r="V244" s="135">
        <v>0.0</v>
      </c>
      <c r="W244" s="135">
        <v>0.0</v>
      </c>
      <c r="X244" s="135">
        <v>0.0</v>
      </c>
      <c r="Y244" s="135">
        <v>0.0</v>
      </c>
      <c r="Z244" s="135">
        <v>0.0</v>
      </c>
      <c r="AA244" s="135">
        <v>0.0</v>
      </c>
      <c r="AB244" s="135">
        <v>0.0</v>
      </c>
      <c r="AC244" s="135">
        <v>0.0</v>
      </c>
      <c r="AD244" s="135">
        <v>0.0</v>
      </c>
      <c r="AE244" s="135">
        <v>0.0</v>
      </c>
      <c r="AF244" s="135">
        <v>0.0</v>
      </c>
      <c r="AG244" s="135">
        <v>0.0</v>
      </c>
      <c r="AH244" s="135">
        <v>0.0</v>
      </c>
      <c r="AI244" s="135">
        <v>0.0</v>
      </c>
      <c r="AJ244" s="135">
        <v>0.0</v>
      </c>
      <c r="AK244" s="135">
        <v>0.0</v>
      </c>
      <c r="AL244" s="135">
        <v>0.0</v>
      </c>
      <c r="AM244" s="135">
        <v>0.0</v>
      </c>
      <c r="AN244" s="137">
        <v>0.0</v>
      </c>
    </row>
    <row r="245">
      <c r="A245" s="138" t="s">
        <v>218</v>
      </c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</row>
    <row r="246">
      <c r="A246" s="132" t="s">
        <v>197</v>
      </c>
      <c r="B246" s="133" t="s">
        <v>198</v>
      </c>
      <c r="C246" s="134">
        <v>191020.0</v>
      </c>
      <c r="D246" s="134">
        <v>70524.0</v>
      </c>
      <c r="E246" s="134">
        <v>120496.0</v>
      </c>
      <c r="F246" s="135">
        <v>0.0</v>
      </c>
      <c r="G246" s="135">
        <v>0.0</v>
      </c>
      <c r="H246" s="135">
        <v>0.0</v>
      </c>
      <c r="I246" s="135">
        <v>0.0</v>
      </c>
      <c r="J246" s="135">
        <v>0.0</v>
      </c>
      <c r="K246" s="135">
        <v>0.0</v>
      </c>
      <c r="L246" s="137">
        <v>111.0</v>
      </c>
      <c r="M246" s="137">
        <v>141.0</v>
      </c>
      <c r="N246" s="137">
        <v>155.0</v>
      </c>
      <c r="O246" s="137">
        <v>307.0</v>
      </c>
      <c r="P246" s="137">
        <v>331.0</v>
      </c>
      <c r="Q246" s="137">
        <v>664.0</v>
      </c>
      <c r="R246" s="137">
        <v>595.0</v>
      </c>
      <c r="S246" s="134">
        <v>1191.0</v>
      </c>
      <c r="T246" s="134">
        <v>1161.0</v>
      </c>
      <c r="U246" s="134">
        <v>2241.0</v>
      </c>
      <c r="V246" s="134">
        <v>1988.0</v>
      </c>
      <c r="W246" s="134">
        <v>4070.0</v>
      </c>
      <c r="X246" s="134">
        <v>3564.0</v>
      </c>
      <c r="Y246" s="134">
        <v>7052.0</v>
      </c>
      <c r="Z246" s="134">
        <v>5932.0</v>
      </c>
      <c r="AA246" s="134">
        <v>12008.0</v>
      </c>
      <c r="AB246" s="134">
        <v>8466.0</v>
      </c>
      <c r="AC246" s="134">
        <v>15271.0</v>
      </c>
      <c r="AD246" s="134">
        <v>9471.0</v>
      </c>
      <c r="AE246" s="134">
        <v>16554.0</v>
      </c>
      <c r="AF246" s="134">
        <v>10954.0</v>
      </c>
      <c r="AG246" s="134">
        <v>17422.0</v>
      </c>
      <c r="AH246" s="134">
        <v>11145.0</v>
      </c>
      <c r="AI246" s="134">
        <v>16702.0</v>
      </c>
      <c r="AJ246" s="134">
        <v>8510.0</v>
      </c>
      <c r="AK246" s="134">
        <v>12798.0</v>
      </c>
      <c r="AL246" s="134">
        <v>8141.0</v>
      </c>
      <c r="AM246" s="134">
        <v>14075.0</v>
      </c>
      <c r="AN246" s="134">
        <v>190620.0</v>
      </c>
    </row>
    <row r="247">
      <c r="A247" s="98"/>
      <c r="B247" s="136" t="s">
        <v>199</v>
      </c>
      <c r="C247" s="134">
        <v>93366.0</v>
      </c>
      <c r="D247" s="134">
        <v>33596.0</v>
      </c>
      <c r="E247" s="134">
        <v>59770.0</v>
      </c>
      <c r="F247" s="135">
        <v>0.0</v>
      </c>
      <c r="G247" s="135">
        <v>0.0</v>
      </c>
      <c r="H247" s="135">
        <v>0.0</v>
      </c>
      <c r="I247" s="135">
        <v>0.0</v>
      </c>
      <c r="J247" s="135">
        <v>0.0</v>
      </c>
      <c r="K247" s="135">
        <v>0.0</v>
      </c>
      <c r="L247" s="137">
        <v>26.0</v>
      </c>
      <c r="M247" s="137">
        <v>36.0</v>
      </c>
      <c r="N247" s="137">
        <v>51.0</v>
      </c>
      <c r="O247" s="137">
        <v>80.0</v>
      </c>
      <c r="P247" s="137">
        <v>105.0</v>
      </c>
      <c r="Q247" s="137">
        <v>195.0</v>
      </c>
      <c r="R247" s="137">
        <v>170.0</v>
      </c>
      <c r="S247" s="137">
        <v>378.0</v>
      </c>
      <c r="T247" s="137">
        <v>394.0</v>
      </c>
      <c r="U247" s="137">
        <v>773.0</v>
      </c>
      <c r="V247" s="137">
        <v>779.0</v>
      </c>
      <c r="W247" s="134">
        <v>1586.0</v>
      </c>
      <c r="X247" s="134">
        <v>1258.0</v>
      </c>
      <c r="Y247" s="134">
        <v>2928.0</v>
      </c>
      <c r="Z247" s="134">
        <v>2425.0</v>
      </c>
      <c r="AA247" s="134">
        <v>5225.0</v>
      </c>
      <c r="AB247" s="134">
        <v>3448.0</v>
      </c>
      <c r="AC247" s="134">
        <v>6788.0</v>
      </c>
      <c r="AD247" s="134">
        <v>3981.0</v>
      </c>
      <c r="AE247" s="134">
        <v>7747.0</v>
      </c>
      <c r="AF247" s="134">
        <v>5636.0</v>
      </c>
      <c r="AG247" s="134">
        <v>9777.0</v>
      </c>
      <c r="AH247" s="134">
        <v>5922.0</v>
      </c>
      <c r="AI247" s="134">
        <v>9318.0</v>
      </c>
      <c r="AJ247" s="134">
        <v>4786.0</v>
      </c>
      <c r="AK247" s="134">
        <v>6994.0</v>
      </c>
      <c r="AL247" s="134">
        <v>4615.0</v>
      </c>
      <c r="AM247" s="134">
        <v>7945.0</v>
      </c>
      <c r="AN247" s="134">
        <v>93153.0</v>
      </c>
    </row>
    <row r="248">
      <c r="A248" s="98"/>
      <c r="B248" s="136" t="s">
        <v>200</v>
      </c>
      <c r="C248" s="134">
        <v>88129.0</v>
      </c>
      <c r="D248" s="134">
        <v>30199.0</v>
      </c>
      <c r="E248" s="134">
        <v>57930.0</v>
      </c>
      <c r="F248" s="135">
        <v>0.0</v>
      </c>
      <c r="G248" s="135">
        <v>0.0</v>
      </c>
      <c r="H248" s="135">
        <v>0.0</v>
      </c>
      <c r="I248" s="135">
        <v>0.0</v>
      </c>
      <c r="J248" s="135">
        <v>0.0</v>
      </c>
      <c r="K248" s="135">
        <v>0.0</v>
      </c>
      <c r="L248" s="137">
        <v>56.0</v>
      </c>
      <c r="M248" s="137">
        <v>75.0</v>
      </c>
      <c r="N248" s="137">
        <v>82.0</v>
      </c>
      <c r="O248" s="137">
        <v>197.0</v>
      </c>
      <c r="P248" s="137">
        <v>138.0</v>
      </c>
      <c r="Q248" s="137">
        <v>365.0</v>
      </c>
      <c r="R248" s="137">
        <v>259.0</v>
      </c>
      <c r="S248" s="137">
        <v>627.0</v>
      </c>
      <c r="T248" s="137">
        <v>470.0</v>
      </c>
      <c r="U248" s="134">
        <v>1130.0</v>
      </c>
      <c r="V248" s="137">
        <v>925.0</v>
      </c>
      <c r="W248" s="134">
        <v>1977.0</v>
      </c>
      <c r="X248" s="134">
        <v>1529.0</v>
      </c>
      <c r="Y248" s="134">
        <v>3421.0</v>
      </c>
      <c r="Z248" s="134">
        <v>2662.0</v>
      </c>
      <c r="AA248" s="134">
        <v>6023.0</v>
      </c>
      <c r="AB248" s="134">
        <v>3579.0</v>
      </c>
      <c r="AC248" s="134">
        <v>7505.0</v>
      </c>
      <c r="AD248" s="134">
        <v>4019.0</v>
      </c>
      <c r="AE248" s="134">
        <v>8266.0</v>
      </c>
      <c r="AF248" s="134">
        <v>4706.0</v>
      </c>
      <c r="AG248" s="134">
        <v>8594.0</v>
      </c>
      <c r="AH248" s="134">
        <v>4732.0</v>
      </c>
      <c r="AI248" s="134">
        <v>7764.0</v>
      </c>
      <c r="AJ248" s="134">
        <v>3669.0</v>
      </c>
      <c r="AK248" s="134">
        <v>5771.0</v>
      </c>
      <c r="AL248" s="134">
        <v>3373.0</v>
      </c>
      <c r="AM248" s="134">
        <v>6215.0</v>
      </c>
      <c r="AN248" s="134">
        <v>87701.0</v>
      </c>
    </row>
    <row r="249">
      <c r="A249" s="104"/>
      <c r="B249" s="136" t="s">
        <v>201</v>
      </c>
      <c r="C249" s="134">
        <v>6900.0</v>
      </c>
      <c r="D249" s="134">
        <v>2632.0</v>
      </c>
      <c r="E249" s="134">
        <v>4268.0</v>
      </c>
      <c r="F249" s="135">
        <v>0.0</v>
      </c>
      <c r="G249" s="135">
        <v>0.0</v>
      </c>
      <c r="H249" s="135">
        <v>0.0</v>
      </c>
      <c r="I249" s="135">
        <v>0.0</v>
      </c>
      <c r="J249" s="135">
        <v>0.0</v>
      </c>
      <c r="K249" s="135">
        <v>0.0</v>
      </c>
      <c r="L249" s="137">
        <v>18.0</v>
      </c>
      <c r="M249" s="137">
        <v>23.0</v>
      </c>
      <c r="N249" s="137">
        <v>21.0</v>
      </c>
      <c r="O249" s="137">
        <v>42.0</v>
      </c>
      <c r="P249" s="137">
        <v>32.0</v>
      </c>
      <c r="Q249" s="137">
        <v>42.0</v>
      </c>
      <c r="R249" s="137">
        <v>46.0</v>
      </c>
      <c r="S249" s="137">
        <v>109.0</v>
      </c>
      <c r="T249" s="137">
        <v>100.0</v>
      </c>
      <c r="U249" s="137">
        <v>186.0</v>
      </c>
      <c r="V249" s="137">
        <v>90.0</v>
      </c>
      <c r="W249" s="137">
        <v>225.0</v>
      </c>
      <c r="X249" s="137">
        <v>193.0</v>
      </c>
      <c r="Y249" s="137">
        <v>302.0</v>
      </c>
      <c r="Z249" s="137">
        <v>293.0</v>
      </c>
      <c r="AA249" s="137">
        <v>407.0</v>
      </c>
      <c r="AB249" s="137">
        <v>326.0</v>
      </c>
      <c r="AC249" s="137">
        <v>476.0</v>
      </c>
      <c r="AD249" s="137">
        <v>294.0</v>
      </c>
      <c r="AE249" s="137">
        <v>485.0</v>
      </c>
      <c r="AF249" s="137">
        <v>387.0</v>
      </c>
      <c r="AG249" s="137">
        <v>626.0</v>
      </c>
      <c r="AH249" s="137">
        <v>386.0</v>
      </c>
      <c r="AI249" s="137">
        <v>548.0</v>
      </c>
      <c r="AJ249" s="137">
        <v>247.0</v>
      </c>
      <c r="AK249" s="137">
        <v>383.0</v>
      </c>
      <c r="AL249" s="137">
        <v>199.0</v>
      </c>
      <c r="AM249" s="137">
        <v>414.0</v>
      </c>
      <c r="AN249" s="134">
        <v>6797.0</v>
      </c>
    </row>
    <row r="250">
      <c r="A250" s="132" t="s">
        <v>202</v>
      </c>
      <c r="B250" s="136" t="s">
        <v>198</v>
      </c>
      <c r="C250" s="137">
        <v>848.0</v>
      </c>
      <c r="D250" s="137">
        <v>529.0</v>
      </c>
      <c r="E250" s="137">
        <v>319.0</v>
      </c>
      <c r="F250" s="137">
        <v>35.0</v>
      </c>
      <c r="G250" s="137">
        <v>41.0</v>
      </c>
      <c r="H250" s="137">
        <v>32.0</v>
      </c>
      <c r="I250" s="137">
        <v>22.0</v>
      </c>
      <c r="J250" s="137">
        <v>21.0</v>
      </c>
      <c r="K250" s="137">
        <v>14.0</v>
      </c>
      <c r="L250" s="137">
        <v>15.0</v>
      </c>
      <c r="M250" s="137">
        <v>16.0</v>
      </c>
      <c r="N250" s="137">
        <v>34.0</v>
      </c>
      <c r="O250" s="137">
        <v>35.0</v>
      </c>
      <c r="P250" s="137">
        <v>56.0</v>
      </c>
      <c r="Q250" s="137">
        <v>33.0</v>
      </c>
      <c r="R250" s="137">
        <v>53.0</v>
      </c>
      <c r="S250" s="137">
        <v>45.0</v>
      </c>
      <c r="T250" s="137">
        <v>35.0</v>
      </c>
      <c r="U250" s="137">
        <v>8.0</v>
      </c>
      <c r="V250" s="137">
        <v>45.0</v>
      </c>
      <c r="W250" s="137">
        <v>7.0</v>
      </c>
      <c r="X250" s="137">
        <v>37.0</v>
      </c>
      <c r="Y250" s="137">
        <v>14.0</v>
      </c>
      <c r="Z250" s="137">
        <v>44.0</v>
      </c>
      <c r="AA250" s="137">
        <v>20.0</v>
      </c>
      <c r="AB250" s="137">
        <v>37.0</v>
      </c>
      <c r="AC250" s="137">
        <v>16.0</v>
      </c>
      <c r="AD250" s="137">
        <v>43.0</v>
      </c>
      <c r="AE250" s="137">
        <v>15.0</v>
      </c>
      <c r="AF250" s="137">
        <v>13.0</v>
      </c>
      <c r="AG250" s="137">
        <v>9.0</v>
      </c>
      <c r="AH250" s="137">
        <v>10.0</v>
      </c>
      <c r="AI250" s="137">
        <v>10.0</v>
      </c>
      <c r="AJ250" s="137">
        <v>12.0</v>
      </c>
      <c r="AK250" s="137">
        <v>3.0</v>
      </c>
      <c r="AL250" s="137">
        <v>7.0</v>
      </c>
      <c r="AM250" s="137">
        <v>11.0</v>
      </c>
      <c r="AN250" s="137">
        <v>812.0</v>
      </c>
    </row>
    <row r="251">
      <c r="A251" s="104"/>
      <c r="B251" s="136" t="s">
        <v>199</v>
      </c>
      <c r="C251" s="134">
        <v>1182.0</v>
      </c>
      <c r="D251" s="137">
        <v>776.0</v>
      </c>
      <c r="E251" s="137">
        <v>406.0</v>
      </c>
      <c r="F251" s="137">
        <v>51.0</v>
      </c>
      <c r="G251" s="137">
        <v>52.0</v>
      </c>
      <c r="H251" s="137">
        <v>22.0</v>
      </c>
      <c r="I251" s="137">
        <v>21.0</v>
      </c>
      <c r="J251" s="137">
        <v>35.0</v>
      </c>
      <c r="K251" s="137">
        <v>14.0</v>
      </c>
      <c r="L251" s="137">
        <v>6.0</v>
      </c>
      <c r="M251" s="137">
        <v>19.0</v>
      </c>
      <c r="N251" s="137">
        <v>62.0</v>
      </c>
      <c r="O251" s="137">
        <v>40.0</v>
      </c>
      <c r="P251" s="137">
        <v>63.0</v>
      </c>
      <c r="Q251" s="137">
        <v>27.0</v>
      </c>
      <c r="R251" s="137">
        <v>60.0</v>
      </c>
      <c r="S251" s="137">
        <v>81.0</v>
      </c>
      <c r="T251" s="137">
        <v>125.0</v>
      </c>
      <c r="U251" s="137">
        <v>11.0</v>
      </c>
      <c r="V251" s="137">
        <v>52.0</v>
      </c>
      <c r="W251" s="137">
        <v>13.0</v>
      </c>
      <c r="X251" s="137">
        <v>27.0</v>
      </c>
      <c r="Y251" s="137">
        <v>20.0</v>
      </c>
      <c r="Z251" s="137">
        <v>90.0</v>
      </c>
      <c r="AA251" s="137">
        <v>22.0</v>
      </c>
      <c r="AB251" s="137">
        <v>64.0</v>
      </c>
      <c r="AC251" s="137">
        <v>13.0</v>
      </c>
      <c r="AD251" s="137">
        <v>76.0</v>
      </c>
      <c r="AE251" s="137">
        <v>21.0</v>
      </c>
      <c r="AF251" s="137">
        <v>13.0</v>
      </c>
      <c r="AG251" s="137">
        <v>6.0</v>
      </c>
      <c r="AH251" s="137">
        <v>9.0</v>
      </c>
      <c r="AI251" s="137">
        <v>12.0</v>
      </c>
      <c r="AJ251" s="137">
        <v>3.0</v>
      </c>
      <c r="AK251" s="137">
        <v>2.0</v>
      </c>
      <c r="AL251" s="137">
        <v>18.0</v>
      </c>
      <c r="AM251" s="137">
        <v>32.0</v>
      </c>
      <c r="AN251" s="134">
        <v>1161.0</v>
      </c>
    </row>
    <row r="252">
      <c r="A252" s="132" t="s">
        <v>203</v>
      </c>
      <c r="B252" s="136" t="s">
        <v>198</v>
      </c>
      <c r="C252" s="137">
        <v>57.0</v>
      </c>
      <c r="D252" s="137">
        <v>19.0</v>
      </c>
      <c r="E252" s="137">
        <v>38.0</v>
      </c>
      <c r="F252" s="135">
        <v>0.0</v>
      </c>
      <c r="G252" s="135">
        <v>0.0</v>
      </c>
      <c r="H252" s="135">
        <v>0.0</v>
      </c>
      <c r="I252" s="135">
        <v>0.0</v>
      </c>
      <c r="J252" s="135">
        <v>0.0</v>
      </c>
      <c r="K252" s="135">
        <v>0.0</v>
      </c>
      <c r="L252" s="135">
        <v>0.0</v>
      </c>
      <c r="M252" s="135">
        <v>0.0</v>
      </c>
      <c r="N252" s="135">
        <v>0.0</v>
      </c>
      <c r="O252" s="135">
        <v>0.0</v>
      </c>
      <c r="P252" s="135">
        <v>0.0</v>
      </c>
      <c r="Q252" s="135">
        <v>0.0</v>
      </c>
      <c r="R252" s="135">
        <v>0.0</v>
      </c>
      <c r="S252" s="135">
        <v>0.0</v>
      </c>
      <c r="T252" s="135">
        <v>0.0</v>
      </c>
      <c r="U252" s="135">
        <v>0.0</v>
      </c>
      <c r="V252" s="135">
        <v>0.0</v>
      </c>
      <c r="W252" s="135">
        <v>0.0</v>
      </c>
      <c r="X252" s="135">
        <v>0.0</v>
      </c>
      <c r="Y252" s="135">
        <v>0.0</v>
      </c>
      <c r="Z252" s="135">
        <v>0.0</v>
      </c>
      <c r="AA252" s="135">
        <v>0.0</v>
      </c>
      <c r="AB252" s="135">
        <v>0.0</v>
      </c>
      <c r="AC252" s="135">
        <v>0.0</v>
      </c>
      <c r="AD252" s="135">
        <v>0.0</v>
      </c>
      <c r="AE252" s="135">
        <v>0.0</v>
      </c>
      <c r="AF252" s="137">
        <v>6.0</v>
      </c>
      <c r="AG252" s="137">
        <v>18.0</v>
      </c>
      <c r="AH252" s="137">
        <v>5.0</v>
      </c>
      <c r="AI252" s="137">
        <v>6.0</v>
      </c>
      <c r="AJ252" s="137">
        <v>6.0</v>
      </c>
      <c r="AK252" s="137">
        <v>7.0</v>
      </c>
      <c r="AL252" s="137">
        <v>2.0</v>
      </c>
      <c r="AM252" s="137">
        <v>7.0</v>
      </c>
      <c r="AN252" s="137">
        <v>57.0</v>
      </c>
    </row>
    <row r="253">
      <c r="A253" s="104"/>
      <c r="B253" s="136" t="s">
        <v>199</v>
      </c>
      <c r="C253" s="134">
        <v>2119.0</v>
      </c>
      <c r="D253" s="137">
        <v>814.0</v>
      </c>
      <c r="E253" s="134">
        <v>1305.0</v>
      </c>
      <c r="F253" s="135">
        <v>0.0</v>
      </c>
      <c r="G253" s="135">
        <v>0.0</v>
      </c>
      <c r="H253" s="135">
        <v>0.0</v>
      </c>
      <c r="I253" s="135">
        <v>0.0</v>
      </c>
      <c r="J253" s="135">
        <v>0.0</v>
      </c>
      <c r="K253" s="135">
        <v>0.0</v>
      </c>
      <c r="L253" s="135">
        <v>0.0</v>
      </c>
      <c r="M253" s="135">
        <v>0.0</v>
      </c>
      <c r="N253" s="135">
        <v>0.0</v>
      </c>
      <c r="O253" s="135">
        <v>0.0</v>
      </c>
      <c r="P253" s="135">
        <v>0.0</v>
      </c>
      <c r="Q253" s="135">
        <v>0.0</v>
      </c>
      <c r="R253" s="135">
        <v>0.0</v>
      </c>
      <c r="S253" s="135">
        <v>0.0</v>
      </c>
      <c r="T253" s="135">
        <v>0.0</v>
      </c>
      <c r="U253" s="135">
        <v>0.0</v>
      </c>
      <c r="V253" s="135">
        <v>0.0</v>
      </c>
      <c r="W253" s="135">
        <v>0.0</v>
      </c>
      <c r="X253" s="135">
        <v>0.0</v>
      </c>
      <c r="Y253" s="135">
        <v>0.0</v>
      </c>
      <c r="Z253" s="135">
        <v>0.0</v>
      </c>
      <c r="AA253" s="135">
        <v>0.0</v>
      </c>
      <c r="AB253" s="135">
        <v>0.0</v>
      </c>
      <c r="AC253" s="135">
        <v>0.0</v>
      </c>
      <c r="AD253" s="135">
        <v>0.0</v>
      </c>
      <c r="AE253" s="135">
        <v>0.0</v>
      </c>
      <c r="AF253" s="137">
        <v>242.0</v>
      </c>
      <c r="AG253" s="137">
        <v>464.0</v>
      </c>
      <c r="AH253" s="137">
        <v>282.0</v>
      </c>
      <c r="AI253" s="137">
        <v>393.0</v>
      </c>
      <c r="AJ253" s="137">
        <v>167.0</v>
      </c>
      <c r="AK253" s="137">
        <v>262.0</v>
      </c>
      <c r="AL253" s="137">
        <v>123.0</v>
      </c>
      <c r="AM253" s="137">
        <v>186.0</v>
      </c>
      <c r="AN253" s="134">
        <v>2117.0</v>
      </c>
    </row>
    <row r="254">
      <c r="A254" s="132" t="s">
        <v>204</v>
      </c>
      <c r="B254" s="136" t="s">
        <v>198</v>
      </c>
      <c r="C254" s="137">
        <v>22.0</v>
      </c>
      <c r="D254" s="137">
        <v>10.0</v>
      </c>
      <c r="E254" s="137">
        <v>12.0</v>
      </c>
      <c r="F254" s="135">
        <v>0.0</v>
      </c>
      <c r="G254" s="135">
        <v>0.0</v>
      </c>
      <c r="H254" s="135">
        <v>0.0</v>
      </c>
      <c r="I254" s="135">
        <v>0.0</v>
      </c>
      <c r="J254" s="135">
        <v>0.0</v>
      </c>
      <c r="K254" s="135">
        <v>0.0</v>
      </c>
      <c r="L254" s="135">
        <v>0.0</v>
      </c>
      <c r="M254" s="135">
        <v>0.0</v>
      </c>
      <c r="N254" s="135">
        <v>0.0</v>
      </c>
      <c r="O254" s="135">
        <v>0.0</v>
      </c>
      <c r="P254" s="135">
        <v>0.0</v>
      </c>
      <c r="Q254" s="135">
        <v>0.0</v>
      </c>
      <c r="R254" s="135">
        <v>0.0</v>
      </c>
      <c r="S254" s="135">
        <v>0.0</v>
      </c>
      <c r="T254" s="135">
        <v>0.0</v>
      </c>
      <c r="U254" s="135">
        <v>0.0</v>
      </c>
      <c r="V254" s="135">
        <v>0.0</v>
      </c>
      <c r="W254" s="135">
        <v>0.0</v>
      </c>
      <c r="X254" s="135">
        <v>0.0</v>
      </c>
      <c r="Y254" s="135">
        <v>0.0</v>
      </c>
      <c r="Z254" s="135">
        <v>0.0</v>
      </c>
      <c r="AA254" s="135">
        <v>0.0</v>
      </c>
      <c r="AB254" s="135">
        <v>0.0</v>
      </c>
      <c r="AC254" s="135">
        <v>0.0</v>
      </c>
      <c r="AD254" s="135">
        <v>0.0</v>
      </c>
      <c r="AE254" s="135">
        <v>0.0</v>
      </c>
      <c r="AF254" s="137">
        <v>1.0</v>
      </c>
      <c r="AG254" s="137">
        <v>2.0</v>
      </c>
      <c r="AH254" s="137">
        <v>2.0</v>
      </c>
      <c r="AI254" s="137">
        <v>1.0</v>
      </c>
      <c r="AJ254" s="137">
        <v>1.0</v>
      </c>
      <c r="AK254" s="137">
        <v>7.0</v>
      </c>
      <c r="AL254" s="137">
        <v>6.0</v>
      </c>
      <c r="AM254" s="137">
        <v>2.0</v>
      </c>
      <c r="AN254" s="137">
        <v>22.0</v>
      </c>
    </row>
    <row r="255">
      <c r="A255" s="104"/>
      <c r="B255" s="136" t="s">
        <v>199</v>
      </c>
      <c r="C255" s="134">
        <v>1543.0</v>
      </c>
      <c r="D255" s="137">
        <v>530.0</v>
      </c>
      <c r="E255" s="134">
        <v>1013.0</v>
      </c>
      <c r="F255" s="135">
        <v>0.0</v>
      </c>
      <c r="G255" s="135">
        <v>0.0</v>
      </c>
      <c r="H255" s="135">
        <v>0.0</v>
      </c>
      <c r="I255" s="135">
        <v>0.0</v>
      </c>
      <c r="J255" s="135">
        <v>0.0</v>
      </c>
      <c r="K255" s="135">
        <v>0.0</v>
      </c>
      <c r="L255" s="135">
        <v>0.0</v>
      </c>
      <c r="M255" s="135">
        <v>0.0</v>
      </c>
      <c r="N255" s="135">
        <v>0.0</v>
      </c>
      <c r="O255" s="135">
        <v>0.0</v>
      </c>
      <c r="P255" s="135">
        <v>0.0</v>
      </c>
      <c r="Q255" s="135">
        <v>0.0</v>
      </c>
      <c r="R255" s="135">
        <v>0.0</v>
      </c>
      <c r="S255" s="135">
        <v>0.0</v>
      </c>
      <c r="T255" s="135">
        <v>0.0</v>
      </c>
      <c r="U255" s="135">
        <v>0.0</v>
      </c>
      <c r="V255" s="135">
        <v>0.0</v>
      </c>
      <c r="W255" s="135">
        <v>0.0</v>
      </c>
      <c r="X255" s="135">
        <v>0.0</v>
      </c>
      <c r="Y255" s="135">
        <v>0.0</v>
      </c>
      <c r="Z255" s="135">
        <v>0.0</v>
      </c>
      <c r="AA255" s="135">
        <v>0.0</v>
      </c>
      <c r="AB255" s="135">
        <v>0.0</v>
      </c>
      <c r="AC255" s="135">
        <v>0.0</v>
      </c>
      <c r="AD255" s="135">
        <v>0.0</v>
      </c>
      <c r="AE255" s="135">
        <v>0.0</v>
      </c>
      <c r="AF255" s="137">
        <v>67.0</v>
      </c>
      <c r="AG255" s="137">
        <v>150.0</v>
      </c>
      <c r="AH255" s="137">
        <v>113.0</v>
      </c>
      <c r="AI255" s="137">
        <v>191.0</v>
      </c>
      <c r="AJ255" s="137">
        <v>122.0</v>
      </c>
      <c r="AK255" s="137">
        <v>233.0</v>
      </c>
      <c r="AL255" s="137">
        <v>228.0</v>
      </c>
      <c r="AM255" s="137">
        <v>439.0</v>
      </c>
      <c r="AN255" s="134">
        <v>1535.0</v>
      </c>
    </row>
    <row r="256">
      <c r="A256" s="132" t="s">
        <v>205</v>
      </c>
      <c r="B256" s="136" t="s">
        <v>198</v>
      </c>
      <c r="C256" s="137">
        <v>66.0</v>
      </c>
      <c r="D256" s="137">
        <v>37.0</v>
      </c>
      <c r="E256" s="137">
        <v>29.0</v>
      </c>
      <c r="F256" s="137">
        <v>2.0</v>
      </c>
      <c r="G256" s="137">
        <v>0.0</v>
      </c>
      <c r="H256" s="137">
        <v>0.0</v>
      </c>
      <c r="I256" s="137">
        <v>0.0</v>
      </c>
      <c r="J256" s="137">
        <v>0.0</v>
      </c>
      <c r="K256" s="137">
        <v>0.0</v>
      </c>
      <c r="L256" s="137">
        <v>2.0</v>
      </c>
      <c r="M256" s="137">
        <v>1.0</v>
      </c>
      <c r="N256" s="137">
        <v>1.0</v>
      </c>
      <c r="O256" s="137">
        <v>1.0</v>
      </c>
      <c r="P256" s="137">
        <v>3.0</v>
      </c>
      <c r="Q256" s="137">
        <v>5.0</v>
      </c>
      <c r="R256" s="137">
        <v>10.0</v>
      </c>
      <c r="S256" s="137">
        <v>2.0</v>
      </c>
      <c r="T256" s="137">
        <v>2.0</v>
      </c>
      <c r="U256" s="137">
        <v>0.0</v>
      </c>
      <c r="V256" s="137">
        <v>4.0</v>
      </c>
      <c r="W256" s="137">
        <v>0.0</v>
      </c>
      <c r="X256" s="137">
        <v>1.0</v>
      </c>
      <c r="Y256" s="137">
        <v>2.0</v>
      </c>
      <c r="Z256" s="137">
        <v>2.0</v>
      </c>
      <c r="AA256" s="137">
        <v>2.0</v>
      </c>
      <c r="AB256" s="137">
        <v>1.0</v>
      </c>
      <c r="AC256" s="137">
        <v>2.0</v>
      </c>
      <c r="AD256" s="137">
        <v>1.0</v>
      </c>
      <c r="AE256" s="137">
        <v>1.0</v>
      </c>
      <c r="AF256" s="137">
        <v>2.0</v>
      </c>
      <c r="AG256" s="137">
        <v>2.0</v>
      </c>
      <c r="AH256" s="137">
        <v>1.0</v>
      </c>
      <c r="AI256" s="137">
        <v>6.0</v>
      </c>
      <c r="AJ256" s="137">
        <v>3.0</v>
      </c>
      <c r="AK256" s="137">
        <v>3.0</v>
      </c>
      <c r="AL256" s="137">
        <v>2.0</v>
      </c>
      <c r="AM256" s="137">
        <v>2.0</v>
      </c>
      <c r="AN256" s="137">
        <v>65.0</v>
      </c>
    </row>
    <row r="257">
      <c r="A257" s="98"/>
      <c r="B257" s="136" t="s">
        <v>199</v>
      </c>
      <c r="C257" s="137">
        <v>2.0</v>
      </c>
      <c r="D257" s="137">
        <v>1.0</v>
      </c>
      <c r="E257" s="137">
        <v>1.0</v>
      </c>
      <c r="F257" s="137">
        <v>0.0</v>
      </c>
      <c r="G257" s="137">
        <v>0.0</v>
      </c>
      <c r="H257" s="137">
        <v>0.0</v>
      </c>
      <c r="I257" s="137">
        <v>0.0</v>
      </c>
      <c r="J257" s="137">
        <v>0.0</v>
      </c>
      <c r="K257" s="137">
        <v>0.0</v>
      </c>
      <c r="L257" s="137">
        <v>0.0</v>
      </c>
      <c r="M257" s="137">
        <v>0.0</v>
      </c>
      <c r="N257" s="137">
        <v>0.0</v>
      </c>
      <c r="O257" s="137">
        <v>1.0</v>
      </c>
      <c r="P257" s="137">
        <v>0.0</v>
      </c>
      <c r="Q257" s="137">
        <v>0.0</v>
      </c>
      <c r="R257" s="137">
        <v>0.0</v>
      </c>
      <c r="S257" s="137">
        <v>0.0</v>
      </c>
      <c r="T257" s="137">
        <v>0.0</v>
      </c>
      <c r="U257" s="137">
        <v>0.0</v>
      </c>
      <c r="V257" s="137">
        <v>0.0</v>
      </c>
      <c r="W257" s="137">
        <v>0.0</v>
      </c>
      <c r="X257" s="137">
        <v>0.0</v>
      </c>
      <c r="Y257" s="137">
        <v>0.0</v>
      </c>
      <c r="Z257" s="137">
        <v>0.0</v>
      </c>
      <c r="AA257" s="137">
        <v>0.0</v>
      </c>
      <c r="AB257" s="137">
        <v>0.0</v>
      </c>
      <c r="AC257" s="137">
        <v>0.0</v>
      </c>
      <c r="AD257" s="137">
        <v>1.0</v>
      </c>
      <c r="AE257" s="137">
        <v>0.0</v>
      </c>
      <c r="AF257" s="137">
        <v>0.0</v>
      </c>
      <c r="AG257" s="137">
        <v>0.0</v>
      </c>
      <c r="AH257" s="137">
        <v>0.0</v>
      </c>
      <c r="AI257" s="137">
        <v>0.0</v>
      </c>
      <c r="AJ257" s="137">
        <v>0.0</v>
      </c>
      <c r="AK257" s="137">
        <v>0.0</v>
      </c>
      <c r="AL257" s="137">
        <v>0.0</v>
      </c>
      <c r="AM257" s="137">
        <v>0.0</v>
      </c>
      <c r="AN257" s="137">
        <v>2.0</v>
      </c>
    </row>
    <row r="258">
      <c r="A258" s="104"/>
      <c r="B258" s="136" t="s">
        <v>206</v>
      </c>
      <c r="C258" s="137">
        <v>635.0</v>
      </c>
      <c r="D258" s="137">
        <v>204.0</v>
      </c>
      <c r="E258" s="137">
        <v>436.0</v>
      </c>
      <c r="F258" s="137">
        <v>1.0</v>
      </c>
      <c r="G258" s="137">
        <v>3.0</v>
      </c>
      <c r="H258" s="137">
        <v>0.0</v>
      </c>
      <c r="I258" s="137">
        <v>0.0</v>
      </c>
      <c r="J258" s="137">
        <v>0.0</v>
      </c>
      <c r="K258" s="137">
        <v>0.0</v>
      </c>
      <c r="L258" s="137">
        <v>14.0</v>
      </c>
      <c r="M258" s="137">
        <v>55.0</v>
      </c>
      <c r="N258" s="137">
        <v>36.0</v>
      </c>
      <c r="O258" s="137">
        <v>65.0</v>
      </c>
      <c r="P258" s="137">
        <v>39.0</v>
      </c>
      <c r="Q258" s="137">
        <v>63.0</v>
      </c>
      <c r="R258" s="137">
        <v>25.0</v>
      </c>
      <c r="S258" s="137">
        <v>66.0</v>
      </c>
      <c r="T258" s="137">
        <v>19.0</v>
      </c>
      <c r="U258" s="137">
        <v>53.0</v>
      </c>
      <c r="V258" s="137">
        <v>17.0</v>
      </c>
      <c r="W258" s="137">
        <v>33.0</v>
      </c>
      <c r="X258" s="137">
        <v>22.0</v>
      </c>
      <c r="Y258" s="137">
        <v>45.0</v>
      </c>
      <c r="Z258" s="137">
        <v>13.0</v>
      </c>
      <c r="AA258" s="137">
        <v>19.0</v>
      </c>
      <c r="AB258" s="137">
        <v>8.0</v>
      </c>
      <c r="AC258" s="137">
        <v>15.0</v>
      </c>
      <c r="AD258" s="137">
        <v>3.0</v>
      </c>
      <c r="AE258" s="137">
        <v>5.0</v>
      </c>
      <c r="AF258" s="137">
        <v>0.0</v>
      </c>
      <c r="AG258" s="137">
        <v>0.0</v>
      </c>
      <c r="AH258" s="137">
        <v>2.0</v>
      </c>
      <c r="AI258" s="137">
        <v>11.0</v>
      </c>
      <c r="AJ258" s="137">
        <v>3.0</v>
      </c>
      <c r="AK258" s="137">
        <v>2.0</v>
      </c>
      <c r="AL258" s="137">
        <v>2.0</v>
      </c>
      <c r="AM258" s="137">
        <v>1.0</v>
      </c>
      <c r="AN258" s="137">
        <v>637.0</v>
      </c>
    </row>
    <row r="259">
      <c r="A259" s="132" t="s">
        <v>207</v>
      </c>
      <c r="B259" s="136" t="s">
        <v>198</v>
      </c>
      <c r="C259" s="134">
        <v>30754.0</v>
      </c>
      <c r="D259" s="134">
        <v>8094.0</v>
      </c>
      <c r="E259" s="134">
        <v>22660.0</v>
      </c>
      <c r="F259" s="137">
        <v>246.0</v>
      </c>
      <c r="G259" s="137">
        <v>175.0</v>
      </c>
      <c r="H259" s="137">
        <v>197.0</v>
      </c>
      <c r="I259" s="137">
        <v>176.0</v>
      </c>
      <c r="J259" s="137">
        <v>196.0</v>
      </c>
      <c r="K259" s="137">
        <v>217.0</v>
      </c>
      <c r="L259" s="137">
        <v>199.0</v>
      </c>
      <c r="M259" s="137">
        <v>244.0</v>
      </c>
      <c r="N259" s="137">
        <v>182.0</v>
      </c>
      <c r="O259" s="137">
        <v>284.0</v>
      </c>
      <c r="P259" s="137">
        <v>218.0</v>
      </c>
      <c r="Q259" s="137">
        <v>489.0</v>
      </c>
      <c r="R259" s="137">
        <v>238.0</v>
      </c>
      <c r="S259" s="137">
        <v>641.0</v>
      </c>
      <c r="T259" s="137">
        <v>232.0</v>
      </c>
      <c r="U259" s="137">
        <v>750.0</v>
      </c>
      <c r="V259" s="137">
        <v>324.0</v>
      </c>
      <c r="W259" s="137">
        <v>975.0</v>
      </c>
      <c r="X259" s="137">
        <v>409.0</v>
      </c>
      <c r="Y259" s="134">
        <v>1354.0</v>
      </c>
      <c r="Z259" s="137">
        <v>618.0</v>
      </c>
      <c r="AA259" s="134">
        <v>1991.0</v>
      </c>
      <c r="AB259" s="137">
        <v>835.0</v>
      </c>
      <c r="AC259" s="134">
        <v>2744.0</v>
      </c>
      <c r="AD259" s="137">
        <v>838.0</v>
      </c>
      <c r="AE259" s="134">
        <v>2964.0</v>
      </c>
      <c r="AF259" s="137">
        <v>834.0</v>
      </c>
      <c r="AG259" s="134">
        <v>2976.0</v>
      </c>
      <c r="AH259" s="137">
        <v>878.0</v>
      </c>
      <c r="AI259" s="134">
        <v>2664.0</v>
      </c>
      <c r="AJ259" s="137">
        <v>851.0</v>
      </c>
      <c r="AK259" s="134">
        <v>2001.0</v>
      </c>
      <c r="AL259" s="137">
        <v>799.0</v>
      </c>
      <c r="AM259" s="134">
        <v>2015.0</v>
      </c>
      <c r="AN259" s="134">
        <v>30678.0</v>
      </c>
    </row>
    <row r="260">
      <c r="A260" s="98"/>
      <c r="B260" s="136" t="s">
        <v>199</v>
      </c>
      <c r="C260" s="134">
        <v>1110.0</v>
      </c>
      <c r="D260" s="137">
        <v>453.0</v>
      </c>
      <c r="E260" s="137">
        <v>657.0</v>
      </c>
      <c r="F260" s="137">
        <v>2.0</v>
      </c>
      <c r="G260" s="137">
        <v>10.0</v>
      </c>
      <c r="H260" s="137">
        <v>8.0</v>
      </c>
      <c r="I260" s="137">
        <v>11.0</v>
      </c>
      <c r="J260" s="137">
        <v>1.0</v>
      </c>
      <c r="K260" s="137">
        <v>3.0</v>
      </c>
      <c r="L260" s="137">
        <v>6.0</v>
      </c>
      <c r="M260" s="137">
        <v>12.0</v>
      </c>
      <c r="N260" s="137">
        <v>7.0</v>
      </c>
      <c r="O260" s="137">
        <v>16.0</v>
      </c>
      <c r="P260" s="137">
        <v>9.0</v>
      </c>
      <c r="Q260" s="137">
        <v>12.0</v>
      </c>
      <c r="R260" s="137">
        <v>14.0</v>
      </c>
      <c r="S260" s="137">
        <v>18.0</v>
      </c>
      <c r="T260" s="137">
        <v>16.0</v>
      </c>
      <c r="U260" s="137">
        <v>26.0</v>
      </c>
      <c r="V260" s="137">
        <v>20.0</v>
      </c>
      <c r="W260" s="137">
        <v>30.0</v>
      </c>
      <c r="X260" s="137">
        <v>17.0</v>
      </c>
      <c r="Y260" s="137">
        <v>47.0</v>
      </c>
      <c r="Z260" s="137">
        <v>32.0</v>
      </c>
      <c r="AA260" s="137">
        <v>51.0</v>
      </c>
      <c r="AB260" s="137">
        <v>40.0</v>
      </c>
      <c r="AC260" s="137">
        <v>71.0</v>
      </c>
      <c r="AD260" s="137">
        <v>56.0</v>
      </c>
      <c r="AE260" s="137">
        <v>78.0</v>
      </c>
      <c r="AF260" s="137">
        <v>64.0</v>
      </c>
      <c r="AG260" s="137">
        <v>92.0</v>
      </c>
      <c r="AH260" s="137">
        <v>73.0</v>
      </c>
      <c r="AI260" s="137">
        <v>93.0</v>
      </c>
      <c r="AJ260" s="137">
        <v>38.0</v>
      </c>
      <c r="AK260" s="137">
        <v>47.0</v>
      </c>
      <c r="AL260" s="137">
        <v>50.0</v>
      </c>
      <c r="AM260" s="137">
        <v>40.0</v>
      </c>
      <c r="AN260" s="134">
        <v>1101.0</v>
      </c>
    </row>
    <row r="261">
      <c r="A261" s="98"/>
      <c r="B261" s="136" t="s">
        <v>206</v>
      </c>
      <c r="C261" s="137">
        <v>14.0</v>
      </c>
      <c r="D261" s="137">
        <v>4.0</v>
      </c>
      <c r="E261" s="137">
        <v>10.0</v>
      </c>
      <c r="F261" s="137">
        <v>3.0</v>
      </c>
      <c r="G261" s="137">
        <v>2.0</v>
      </c>
      <c r="H261" s="137">
        <v>0.0</v>
      </c>
      <c r="I261" s="137">
        <v>0.0</v>
      </c>
      <c r="J261" s="137">
        <v>0.0</v>
      </c>
      <c r="K261" s="137">
        <v>0.0</v>
      </c>
      <c r="L261" s="137">
        <v>1.0</v>
      </c>
      <c r="M261" s="137">
        <v>0.0</v>
      </c>
      <c r="N261" s="137">
        <v>0.0</v>
      </c>
      <c r="O261" s="137">
        <v>1.0</v>
      </c>
      <c r="P261" s="137">
        <v>0.0</v>
      </c>
      <c r="Q261" s="137">
        <v>0.0</v>
      </c>
      <c r="R261" s="137">
        <v>0.0</v>
      </c>
      <c r="S261" s="137">
        <v>0.0</v>
      </c>
      <c r="T261" s="137">
        <v>0.0</v>
      </c>
      <c r="U261" s="137">
        <v>1.0</v>
      </c>
      <c r="V261" s="137">
        <v>0.0</v>
      </c>
      <c r="W261" s="137">
        <v>2.0</v>
      </c>
      <c r="X261" s="137">
        <v>0.0</v>
      </c>
      <c r="Y261" s="137">
        <v>0.0</v>
      </c>
      <c r="Z261" s="137">
        <v>0.0</v>
      </c>
      <c r="AA261" s="137">
        <v>3.0</v>
      </c>
      <c r="AB261" s="137">
        <v>0.0</v>
      </c>
      <c r="AC261" s="137">
        <v>0.0</v>
      </c>
      <c r="AD261" s="137">
        <v>0.0</v>
      </c>
      <c r="AE261" s="137">
        <v>0.0</v>
      </c>
      <c r="AF261" s="137">
        <v>0.0</v>
      </c>
      <c r="AG261" s="137">
        <v>0.0</v>
      </c>
      <c r="AH261" s="137">
        <v>0.0</v>
      </c>
      <c r="AI261" s="137">
        <v>1.0</v>
      </c>
      <c r="AJ261" s="137">
        <v>0.0</v>
      </c>
      <c r="AK261" s="137">
        <v>0.0</v>
      </c>
      <c r="AL261" s="137">
        <v>0.0</v>
      </c>
      <c r="AM261" s="137">
        <v>0.0</v>
      </c>
      <c r="AN261" s="137">
        <v>14.0</v>
      </c>
    </row>
    <row r="262">
      <c r="A262" s="98"/>
      <c r="B262" s="136" t="s">
        <v>200</v>
      </c>
      <c r="C262" s="134">
        <v>8294.0</v>
      </c>
      <c r="D262" s="134">
        <v>2770.0</v>
      </c>
      <c r="E262" s="134">
        <v>5524.0</v>
      </c>
      <c r="F262" s="134">
        <v>1414.0</v>
      </c>
      <c r="G262" s="134">
        <v>1389.0</v>
      </c>
      <c r="H262" s="137">
        <v>309.0</v>
      </c>
      <c r="I262" s="137">
        <v>320.0</v>
      </c>
      <c r="J262" s="137">
        <v>197.0</v>
      </c>
      <c r="K262" s="137">
        <v>214.0</v>
      </c>
      <c r="L262" s="137">
        <v>86.0</v>
      </c>
      <c r="M262" s="137">
        <v>300.0</v>
      </c>
      <c r="N262" s="137">
        <v>37.0</v>
      </c>
      <c r="O262" s="137">
        <v>383.0</v>
      </c>
      <c r="P262" s="137">
        <v>67.0</v>
      </c>
      <c r="Q262" s="137">
        <v>406.0</v>
      </c>
      <c r="R262" s="137">
        <v>47.0</v>
      </c>
      <c r="S262" s="137">
        <v>316.0</v>
      </c>
      <c r="T262" s="137">
        <v>40.0</v>
      </c>
      <c r="U262" s="137">
        <v>332.0</v>
      </c>
      <c r="V262" s="137">
        <v>65.0</v>
      </c>
      <c r="W262" s="137">
        <v>273.0</v>
      </c>
      <c r="X262" s="137">
        <v>70.0</v>
      </c>
      <c r="Y262" s="137">
        <v>239.0</v>
      </c>
      <c r="Z262" s="137">
        <v>70.0</v>
      </c>
      <c r="AA262" s="137">
        <v>370.0</v>
      </c>
      <c r="AB262" s="137">
        <v>60.0</v>
      </c>
      <c r="AC262" s="137">
        <v>254.0</v>
      </c>
      <c r="AD262" s="137">
        <v>68.0</v>
      </c>
      <c r="AE262" s="137">
        <v>197.0</v>
      </c>
      <c r="AF262" s="137">
        <v>82.0</v>
      </c>
      <c r="AG262" s="137">
        <v>165.0</v>
      </c>
      <c r="AH262" s="137">
        <v>62.0</v>
      </c>
      <c r="AI262" s="137">
        <v>141.0</v>
      </c>
      <c r="AJ262" s="137">
        <v>52.0</v>
      </c>
      <c r="AK262" s="137">
        <v>91.0</v>
      </c>
      <c r="AL262" s="137">
        <v>44.0</v>
      </c>
      <c r="AM262" s="137">
        <v>134.0</v>
      </c>
      <c r="AN262" s="134">
        <v>8269.0</v>
      </c>
    </row>
    <row r="263">
      <c r="A263" s="104"/>
      <c r="B263" s="136" t="s">
        <v>201</v>
      </c>
      <c r="C263" s="134">
        <v>1196.0</v>
      </c>
      <c r="D263" s="137">
        <v>451.0</v>
      </c>
      <c r="E263" s="137">
        <v>745.0</v>
      </c>
      <c r="F263" s="137">
        <v>1.0</v>
      </c>
      <c r="G263" s="137">
        <v>0.0</v>
      </c>
      <c r="H263" s="137">
        <v>11.0</v>
      </c>
      <c r="I263" s="137">
        <v>9.0</v>
      </c>
      <c r="J263" s="137">
        <v>6.0</v>
      </c>
      <c r="K263" s="137">
        <v>6.0</v>
      </c>
      <c r="L263" s="137">
        <v>8.0</v>
      </c>
      <c r="M263" s="137">
        <v>10.0</v>
      </c>
      <c r="N263" s="137">
        <v>11.0</v>
      </c>
      <c r="O263" s="137">
        <v>20.0</v>
      </c>
      <c r="P263" s="137">
        <v>15.0</v>
      </c>
      <c r="Q263" s="137">
        <v>22.0</v>
      </c>
      <c r="R263" s="137">
        <v>10.0</v>
      </c>
      <c r="S263" s="137">
        <v>43.0</v>
      </c>
      <c r="T263" s="137">
        <v>28.0</v>
      </c>
      <c r="U263" s="137">
        <v>45.0</v>
      </c>
      <c r="V263" s="137">
        <v>23.0</v>
      </c>
      <c r="W263" s="137">
        <v>49.0</v>
      </c>
      <c r="X263" s="137">
        <v>33.0</v>
      </c>
      <c r="Y263" s="137">
        <v>64.0</v>
      </c>
      <c r="Z263" s="137">
        <v>32.0</v>
      </c>
      <c r="AA263" s="137">
        <v>75.0</v>
      </c>
      <c r="AB263" s="137">
        <v>65.0</v>
      </c>
      <c r="AC263" s="137">
        <v>55.0</v>
      </c>
      <c r="AD263" s="137">
        <v>42.0</v>
      </c>
      <c r="AE263" s="137">
        <v>79.0</v>
      </c>
      <c r="AF263" s="137">
        <v>52.0</v>
      </c>
      <c r="AG263" s="137">
        <v>98.0</v>
      </c>
      <c r="AH263" s="137">
        <v>48.0</v>
      </c>
      <c r="AI263" s="137">
        <v>63.0</v>
      </c>
      <c r="AJ263" s="137">
        <v>39.0</v>
      </c>
      <c r="AK263" s="137">
        <v>39.0</v>
      </c>
      <c r="AL263" s="137">
        <v>27.0</v>
      </c>
      <c r="AM263" s="137">
        <v>68.0</v>
      </c>
      <c r="AN263" s="134">
        <v>1174.0</v>
      </c>
    </row>
    <row r="264">
      <c r="A264" s="132" t="s">
        <v>208</v>
      </c>
      <c r="B264" s="136" t="s">
        <v>198</v>
      </c>
      <c r="C264" s="137">
        <v>1.0</v>
      </c>
      <c r="D264" s="137">
        <v>1.0</v>
      </c>
      <c r="E264" s="137">
        <v>0.0</v>
      </c>
      <c r="F264" s="137">
        <v>1.0</v>
      </c>
      <c r="G264" s="137">
        <v>0.0</v>
      </c>
      <c r="H264" s="137">
        <v>0.0</v>
      </c>
      <c r="I264" s="137">
        <v>0.0</v>
      </c>
      <c r="J264" s="137">
        <v>0.0</v>
      </c>
      <c r="K264" s="137">
        <v>0.0</v>
      </c>
      <c r="L264" s="137">
        <v>0.0</v>
      </c>
      <c r="M264" s="137">
        <v>0.0</v>
      </c>
      <c r="N264" s="137">
        <v>0.0</v>
      </c>
      <c r="O264" s="137">
        <v>0.0</v>
      </c>
      <c r="P264" s="135">
        <v>0.0</v>
      </c>
      <c r="Q264" s="135">
        <v>0.0</v>
      </c>
      <c r="R264" s="135">
        <v>0.0</v>
      </c>
      <c r="S264" s="135">
        <v>0.0</v>
      </c>
      <c r="T264" s="135">
        <v>0.0</v>
      </c>
      <c r="U264" s="135">
        <v>0.0</v>
      </c>
      <c r="V264" s="135">
        <v>0.0</v>
      </c>
      <c r="W264" s="135">
        <v>0.0</v>
      </c>
      <c r="X264" s="135">
        <v>0.0</v>
      </c>
      <c r="Y264" s="135">
        <v>0.0</v>
      </c>
      <c r="Z264" s="135">
        <v>0.0</v>
      </c>
      <c r="AA264" s="135">
        <v>0.0</v>
      </c>
      <c r="AB264" s="135">
        <v>0.0</v>
      </c>
      <c r="AC264" s="135">
        <v>0.0</v>
      </c>
      <c r="AD264" s="135">
        <v>0.0</v>
      </c>
      <c r="AE264" s="135">
        <v>0.0</v>
      </c>
      <c r="AF264" s="135">
        <v>0.0</v>
      </c>
      <c r="AG264" s="135">
        <v>0.0</v>
      </c>
      <c r="AH264" s="135">
        <v>0.0</v>
      </c>
      <c r="AI264" s="135">
        <v>0.0</v>
      </c>
      <c r="AJ264" s="135">
        <v>0.0</v>
      </c>
      <c r="AK264" s="135">
        <v>0.0</v>
      </c>
      <c r="AL264" s="135">
        <v>0.0</v>
      </c>
      <c r="AM264" s="135">
        <v>0.0</v>
      </c>
      <c r="AN264" s="137">
        <v>1.0</v>
      </c>
    </row>
    <row r="265">
      <c r="A265" s="98"/>
      <c r="B265" s="136" t="s">
        <v>199</v>
      </c>
      <c r="C265" s="137">
        <v>65.0</v>
      </c>
      <c r="D265" s="137">
        <v>28.0</v>
      </c>
      <c r="E265" s="137">
        <v>37.0</v>
      </c>
      <c r="F265" s="137">
        <v>25.0</v>
      </c>
      <c r="G265" s="137">
        <v>34.0</v>
      </c>
      <c r="H265" s="137">
        <v>3.0</v>
      </c>
      <c r="I265" s="137">
        <v>3.0</v>
      </c>
      <c r="J265" s="137">
        <v>0.0</v>
      </c>
      <c r="K265" s="137">
        <v>0.0</v>
      </c>
      <c r="L265" s="137">
        <v>0.0</v>
      </c>
      <c r="M265" s="137">
        <v>0.0</v>
      </c>
      <c r="N265" s="137">
        <v>0.0</v>
      </c>
      <c r="O265" s="137">
        <v>0.0</v>
      </c>
      <c r="P265" s="135">
        <v>0.0</v>
      </c>
      <c r="Q265" s="135">
        <v>0.0</v>
      </c>
      <c r="R265" s="135">
        <v>0.0</v>
      </c>
      <c r="S265" s="135">
        <v>0.0</v>
      </c>
      <c r="T265" s="135">
        <v>0.0</v>
      </c>
      <c r="U265" s="135">
        <v>0.0</v>
      </c>
      <c r="V265" s="135">
        <v>0.0</v>
      </c>
      <c r="W265" s="135">
        <v>0.0</v>
      </c>
      <c r="X265" s="135">
        <v>0.0</v>
      </c>
      <c r="Y265" s="135">
        <v>0.0</v>
      </c>
      <c r="Z265" s="135">
        <v>0.0</v>
      </c>
      <c r="AA265" s="135">
        <v>0.0</v>
      </c>
      <c r="AB265" s="135">
        <v>0.0</v>
      </c>
      <c r="AC265" s="135">
        <v>0.0</v>
      </c>
      <c r="AD265" s="135">
        <v>0.0</v>
      </c>
      <c r="AE265" s="135">
        <v>0.0</v>
      </c>
      <c r="AF265" s="135">
        <v>0.0</v>
      </c>
      <c r="AG265" s="135">
        <v>0.0</v>
      </c>
      <c r="AH265" s="135">
        <v>0.0</v>
      </c>
      <c r="AI265" s="135">
        <v>0.0</v>
      </c>
      <c r="AJ265" s="135">
        <v>0.0</v>
      </c>
      <c r="AK265" s="135">
        <v>0.0</v>
      </c>
      <c r="AL265" s="135">
        <v>0.0</v>
      </c>
      <c r="AM265" s="135">
        <v>0.0</v>
      </c>
      <c r="AN265" s="137">
        <v>52.0</v>
      </c>
    </row>
    <row r="266">
      <c r="A266" s="98"/>
      <c r="B266" s="136" t="s">
        <v>206</v>
      </c>
      <c r="C266" s="137">
        <v>0.0</v>
      </c>
      <c r="D266" s="137">
        <v>0.0</v>
      </c>
      <c r="E266" s="137">
        <v>0.0</v>
      </c>
      <c r="F266" s="137">
        <v>0.0</v>
      </c>
      <c r="G266" s="137">
        <v>0.0</v>
      </c>
      <c r="H266" s="137">
        <v>0.0</v>
      </c>
      <c r="I266" s="137">
        <v>0.0</v>
      </c>
      <c r="J266" s="137">
        <v>0.0</v>
      </c>
      <c r="K266" s="137">
        <v>0.0</v>
      </c>
      <c r="L266" s="137">
        <v>0.0</v>
      </c>
      <c r="M266" s="137">
        <v>0.0</v>
      </c>
      <c r="N266" s="137">
        <v>0.0</v>
      </c>
      <c r="O266" s="137">
        <v>0.0</v>
      </c>
      <c r="P266" s="135">
        <v>0.0</v>
      </c>
      <c r="Q266" s="135">
        <v>0.0</v>
      </c>
      <c r="R266" s="135">
        <v>0.0</v>
      </c>
      <c r="S266" s="135">
        <v>0.0</v>
      </c>
      <c r="T266" s="135">
        <v>0.0</v>
      </c>
      <c r="U266" s="135">
        <v>0.0</v>
      </c>
      <c r="V266" s="135">
        <v>0.0</v>
      </c>
      <c r="W266" s="135">
        <v>0.0</v>
      </c>
      <c r="X266" s="135">
        <v>0.0</v>
      </c>
      <c r="Y266" s="135">
        <v>0.0</v>
      </c>
      <c r="Z266" s="135">
        <v>0.0</v>
      </c>
      <c r="AA266" s="135">
        <v>0.0</v>
      </c>
      <c r="AB266" s="135">
        <v>0.0</v>
      </c>
      <c r="AC266" s="135">
        <v>0.0</v>
      </c>
      <c r="AD266" s="135">
        <v>0.0</v>
      </c>
      <c r="AE266" s="135">
        <v>0.0</v>
      </c>
      <c r="AF266" s="135">
        <v>0.0</v>
      </c>
      <c r="AG266" s="135">
        <v>0.0</v>
      </c>
      <c r="AH266" s="135">
        <v>0.0</v>
      </c>
      <c r="AI266" s="135">
        <v>0.0</v>
      </c>
      <c r="AJ266" s="135">
        <v>0.0</v>
      </c>
      <c r="AK266" s="135">
        <v>0.0</v>
      </c>
      <c r="AL266" s="135">
        <v>0.0</v>
      </c>
      <c r="AM266" s="135">
        <v>0.0</v>
      </c>
      <c r="AN266" s="137">
        <v>0.0</v>
      </c>
    </row>
    <row r="267">
      <c r="A267" s="98"/>
      <c r="B267" s="136" t="s">
        <v>200</v>
      </c>
      <c r="C267" s="137">
        <v>0.0</v>
      </c>
      <c r="D267" s="137">
        <v>0.0</v>
      </c>
      <c r="E267" s="137">
        <v>0.0</v>
      </c>
      <c r="F267" s="137">
        <v>0.0</v>
      </c>
      <c r="G267" s="137">
        <v>0.0</v>
      </c>
      <c r="H267" s="137">
        <v>0.0</v>
      </c>
      <c r="I267" s="137">
        <v>0.0</v>
      </c>
      <c r="J267" s="137">
        <v>0.0</v>
      </c>
      <c r="K267" s="137">
        <v>0.0</v>
      </c>
      <c r="L267" s="137">
        <v>0.0</v>
      </c>
      <c r="M267" s="137">
        <v>0.0</v>
      </c>
      <c r="N267" s="137">
        <v>0.0</v>
      </c>
      <c r="O267" s="137">
        <v>0.0</v>
      </c>
      <c r="P267" s="135">
        <v>0.0</v>
      </c>
      <c r="Q267" s="135">
        <v>0.0</v>
      </c>
      <c r="R267" s="135">
        <v>0.0</v>
      </c>
      <c r="S267" s="135">
        <v>0.0</v>
      </c>
      <c r="T267" s="135">
        <v>0.0</v>
      </c>
      <c r="U267" s="135">
        <v>0.0</v>
      </c>
      <c r="V267" s="135">
        <v>0.0</v>
      </c>
      <c r="W267" s="135">
        <v>0.0</v>
      </c>
      <c r="X267" s="135">
        <v>0.0</v>
      </c>
      <c r="Y267" s="135">
        <v>0.0</v>
      </c>
      <c r="Z267" s="135">
        <v>0.0</v>
      </c>
      <c r="AA267" s="135">
        <v>0.0</v>
      </c>
      <c r="AB267" s="135">
        <v>0.0</v>
      </c>
      <c r="AC267" s="135">
        <v>0.0</v>
      </c>
      <c r="AD267" s="135">
        <v>0.0</v>
      </c>
      <c r="AE267" s="135">
        <v>0.0</v>
      </c>
      <c r="AF267" s="135">
        <v>0.0</v>
      </c>
      <c r="AG267" s="135">
        <v>0.0</v>
      </c>
      <c r="AH267" s="135">
        <v>0.0</v>
      </c>
      <c r="AI267" s="135">
        <v>0.0</v>
      </c>
      <c r="AJ267" s="135">
        <v>0.0</v>
      </c>
      <c r="AK267" s="135">
        <v>0.0</v>
      </c>
      <c r="AL267" s="135">
        <v>0.0</v>
      </c>
      <c r="AM267" s="135">
        <v>0.0</v>
      </c>
      <c r="AN267" s="137">
        <v>0.0</v>
      </c>
    </row>
    <row r="268">
      <c r="A268" s="104"/>
      <c r="B268" s="136" t="s">
        <v>201</v>
      </c>
      <c r="C268" s="137">
        <v>0.0</v>
      </c>
      <c r="D268" s="137">
        <v>0.0</v>
      </c>
      <c r="E268" s="137">
        <v>0.0</v>
      </c>
      <c r="F268" s="137">
        <v>0.0</v>
      </c>
      <c r="G268" s="137">
        <v>0.0</v>
      </c>
      <c r="H268" s="137">
        <v>0.0</v>
      </c>
      <c r="I268" s="137">
        <v>0.0</v>
      </c>
      <c r="J268" s="137">
        <v>0.0</v>
      </c>
      <c r="K268" s="137">
        <v>0.0</v>
      </c>
      <c r="L268" s="137">
        <v>0.0</v>
      </c>
      <c r="M268" s="137">
        <v>0.0</v>
      </c>
      <c r="N268" s="137">
        <v>0.0</v>
      </c>
      <c r="O268" s="137">
        <v>0.0</v>
      </c>
      <c r="P268" s="135">
        <v>0.0</v>
      </c>
      <c r="Q268" s="135">
        <v>0.0</v>
      </c>
      <c r="R268" s="135">
        <v>0.0</v>
      </c>
      <c r="S268" s="135">
        <v>0.0</v>
      </c>
      <c r="T268" s="135">
        <v>0.0</v>
      </c>
      <c r="U268" s="135">
        <v>0.0</v>
      </c>
      <c r="V268" s="135">
        <v>0.0</v>
      </c>
      <c r="W268" s="135">
        <v>0.0</v>
      </c>
      <c r="X268" s="135">
        <v>0.0</v>
      </c>
      <c r="Y268" s="135">
        <v>0.0</v>
      </c>
      <c r="Z268" s="135">
        <v>0.0</v>
      </c>
      <c r="AA268" s="135">
        <v>0.0</v>
      </c>
      <c r="AB268" s="135">
        <v>0.0</v>
      </c>
      <c r="AC268" s="135">
        <v>0.0</v>
      </c>
      <c r="AD268" s="135">
        <v>0.0</v>
      </c>
      <c r="AE268" s="135">
        <v>0.0</v>
      </c>
      <c r="AF268" s="135">
        <v>0.0</v>
      </c>
      <c r="AG268" s="135">
        <v>0.0</v>
      </c>
      <c r="AH268" s="135">
        <v>0.0</v>
      </c>
      <c r="AI268" s="135">
        <v>0.0</v>
      </c>
      <c r="AJ268" s="135">
        <v>0.0</v>
      </c>
      <c r="AK268" s="135">
        <v>0.0</v>
      </c>
      <c r="AL268" s="135">
        <v>0.0</v>
      </c>
      <c r="AM268" s="135">
        <v>0.0</v>
      </c>
      <c r="AN268" s="137">
        <v>0.0</v>
      </c>
    </row>
    <row r="269">
      <c r="A269" s="138" t="s">
        <v>219</v>
      </c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</row>
    <row r="270">
      <c r="A270" s="132" t="s">
        <v>197</v>
      </c>
      <c r="B270" s="133" t="s">
        <v>198</v>
      </c>
      <c r="C270" s="134">
        <v>87453.0</v>
      </c>
      <c r="D270" s="134">
        <v>31645.0</v>
      </c>
      <c r="E270" s="134">
        <v>55808.0</v>
      </c>
      <c r="F270" s="135">
        <v>0.0</v>
      </c>
      <c r="G270" s="135">
        <v>0.0</v>
      </c>
      <c r="H270" s="135">
        <v>0.0</v>
      </c>
      <c r="I270" s="135">
        <v>0.0</v>
      </c>
      <c r="J270" s="135">
        <v>0.0</v>
      </c>
      <c r="K270" s="135">
        <v>0.0</v>
      </c>
      <c r="L270" s="137">
        <v>30.0</v>
      </c>
      <c r="M270" s="137">
        <v>47.0</v>
      </c>
      <c r="N270" s="137">
        <v>72.0</v>
      </c>
      <c r="O270" s="137">
        <v>112.0</v>
      </c>
      <c r="P270" s="137">
        <v>121.0</v>
      </c>
      <c r="Q270" s="137">
        <v>270.0</v>
      </c>
      <c r="R270" s="137">
        <v>270.0</v>
      </c>
      <c r="S270" s="137">
        <v>447.0</v>
      </c>
      <c r="T270" s="137">
        <v>463.0</v>
      </c>
      <c r="U270" s="137">
        <v>804.0</v>
      </c>
      <c r="V270" s="137">
        <v>753.0</v>
      </c>
      <c r="W270" s="134">
        <v>1375.0</v>
      </c>
      <c r="X270" s="134">
        <v>1327.0</v>
      </c>
      <c r="Y270" s="134">
        <v>2457.0</v>
      </c>
      <c r="Z270" s="134">
        <v>2403.0</v>
      </c>
      <c r="AA270" s="134">
        <v>4824.0</v>
      </c>
      <c r="AB270" s="134">
        <v>3906.0</v>
      </c>
      <c r="AC270" s="134">
        <v>6629.0</v>
      </c>
      <c r="AD270" s="134">
        <v>4448.0</v>
      </c>
      <c r="AE270" s="134">
        <v>7769.0</v>
      </c>
      <c r="AF270" s="134">
        <v>4882.0</v>
      </c>
      <c r="AG270" s="134">
        <v>8304.0</v>
      </c>
      <c r="AH270" s="134">
        <v>4941.0</v>
      </c>
      <c r="AI270" s="134">
        <v>8268.0</v>
      </c>
      <c r="AJ270" s="134">
        <v>3985.0</v>
      </c>
      <c r="AK270" s="134">
        <v>6697.0</v>
      </c>
      <c r="AL270" s="134">
        <v>4044.0</v>
      </c>
      <c r="AM270" s="134">
        <v>7805.0</v>
      </c>
      <c r="AN270" s="134">
        <v>87205.0</v>
      </c>
    </row>
    <row r="271">
      <c r="A271" s="98"/>
      <c r="B271" s="136" t="s">
        <v>199</v>
      </c>
      <c r="C271" s="134">
        <v>43810.0</v>
      </c>
      <c r="D271" s="134">
        <v>15325.0</v>
      </c>
      <c r="E271" s="134">
        <v>28485.0</v>
      </c>
      <c r="F271" s="135">
        <v>0.0</v>
      </c>
      <c r="G271" s="135">
        <v>0.0</v>
      </c>
      <c r="H271" s="135">
        <v>0.0</v>
      </c>
      <c r="I271" s="135">
        <v>0.0</v>
      </c>
      <c r="J271" s="135">
        <v>0.0</v>
      </c>
      <c r="K271" s="135">
        <v>0.0</v>
      </c>
      <c r="L271" s="137">
        <v>8.0</v>
      </c>
      <c r="M271" s="137">
        <v>6.0</v>
      </c>
      <c r="N271" s="137">
        <v>13.0</v>
      </c>
      <c r="O271" s="137">
        <v>21.0</v>
      </c>
      <c r="P271" s="137">
        <v>28.0</v>
      </c>
      <c r="Q271" s="137">
        <v>60.0</v>
      </c>
      <c r="R271" s="137">
        <v>70.0</v>
      </c>
      <c r="S271" s="137">
        <v>132.0</v>
      </c>
      <c r="T271" s="137">
        <v>140.0</v>
      </c>
      <c r="U271" s="137">
        <v>288.0</v>
      </c>
      <c r="V271" s="137">
        <v>274.0</v>
      </c>
      <c r="W271" s="137">
        <v>531.0</v>
      </c>
      <c r="X271" s="137">
        <v>528.0</v>
      </c>
      <c r="Y271" s="134">
        <v>1051.0</v>
      </c>
      <c r="Z271" s="134">
        <v>1066.0</v>
      </c>
      <c r="AA271" s="134">
        <v>2214.0</v>
      </c>
      <c r="AB271" s="134">
        <v>1625.0</v>
      </c>
      <c r="AC271" s="134">
        <v>3229.0</v>
      </c>
      <c r="AD271" s="134">
        <v>2099.0</v>
      </c>
      <c r="AE271" s="134">
        <v>3963.0</v>
      </c>
      <c r="AF271" s="134">
        <v>2403.0</v>
      </c>
      <c r="AG271" s="134">
        <v>4281.0</v>
      </c>
      <c r="AH271" s="134">
        <v>2564.0</v>
      </c>
      <c r="AI271" s="134">
        <v>4665.0</v>
      </c>
      <c r="AJ271" s="134">
        <v>2188.0</v>
      </c>
      <c r="AK271" s="134">
        <v>3747.0</v>
      </c>
      <c r="AL271" s="134">
        <v>2319.0</v>
      </c>
      <c r="AM271" s="134">
        <v>4297.0</v>
      </c>
      <c r="AN271" s="134">
        <v>43460.0</v>
      </c>
    </row>
    <row r="272">
      <c r="A272" s="98"/>
      <c r="B272" s="136" t="s">
        <v>200</v>
      </c>
      <c r="C272" s="134">
        <v>43072.0</v>
      </c>
      <c r="D272" s="134">
        <v>14474.0</v>
      </c>
      <c r="E272" s="134">
        <v>28598.0</v>
      </c>
      <c r="F272" s="135">
        <v>0.0</v>
      </c>
      <c r="G272" s="135">
        <v>0.0</v>
      </c>
      <c r="H272" s="135">
        <v>0.0</v>
      </c>
      <c r="I272" s="135">
        <v>0.0</v>
      </c>
      <c r="J272" s="135">
        <v>0.0</v>
      </c>
      <c r="K272" s="135">
        <v>0.0</v>
      </c>
      <c r="L272" s="137">
        <v>13.0</v>
      </c>
      <c r="M272" s="137">
        <v>16.0</v>
      </c>
      <c r="N272" s="137">
        <v>29.0</v>
      </c>
      <c r="O272" s="137">
        <v>44.0</v>
      </c>
      <c r="P272" s="137">
        <v>52.0</v>
      </c>
      <c r="Q272" s="137">
        <v>98.0</v>
      </c>
      <c r="R272" s="137">
        <v>115.0</v>
      </c>
      <c r="S272" s="137">
        <v>200.0</v>
      </c>
      <c r="T272" s="137">
        <v>179.0</v>
      </c>
      <c r="U272" s="137">
        <v>344.0</v>
      </c>
      <c r="V272" s="137">
        <v>308.0</v>
      </c>
      <c r="W272" s="137">
        <v>631.0</v>
      </c>
      <c r="X272" s="137">
        <v>556.0</v>
      </c>
      <c r="Y272" s="134">
        <v>1259.0</v>
      </c>
      <c r="Z272" s="134">
        <v>1058.0</v>
      </c>
      <c r="AA272" s="134">
        <v>2485.0</v>
      </c>
      <c r="AB272" s="134">
        <v>1693.0</v>
      </c>
      <c r="AC272" s="134">
        <v>3430.0</v>
      </c>
      <c r="AD272" s="134">
        <v>1986.0</v>
      </c>
      <c r="AE272" s="134">
        <v>4025.0</v>
      </c>
      <c r="AF272" s="134">
        <v>2275.0</v>
      </c>
      <c r="AG272" s="134">
        <v>4405.0</v>
      </c>
      <c r="AH272" s="134">
        <v>2387.0</v>
      </c>
      <c r="AI272" s="134">
        <v>4453.0</v>
      </c>
      <c r="AJ272" s="134">
        <v>1907.0</v>
      </c>
      <c r="AK272" s="134">
        <v>3477.0</v>
      </c>
      <c r="AL272" s="134">
        <v>1916.0</v>
      </c>
      <c r="AM272" s="134">
        <v>3731.0</v>
      </c>
      <c r="AN272" s="134">
        <v>42830.0</v>
      </c>
    </row>
    <row r="273">
      <c r="A273" s="104"/>
      <c r="B273" s="136" t="s">
        <v>201</v>
      </c>
      <c r="C273" s="137">
        <v>0.0</v>
      </c>
      <c r="D273" s="137">
        <v>0.0</v>
      </c>
      <c r="E273" s="137">
        <v>0.0</v>
      </c>
      <c r="F273" s="135">
        <v>0.0</v>
      </c>
      <c r="G273" s="135">
        <v>0.0</v>
      </c>
      <c r="H273" s="135">
        <v>0.0</v>
      </c>
      <c r="I273" s="135">
        <v>0.0</v>
      </c>
      <c r="J273" s="135">
        <v>0.0</v>
      </c>
      <c r="K273" s="135">
        <v>0.0</v>
      </c>
      <c r="L273" s="137">
        <v>0.0</v>
      </c>
      <c r="M273" s="137">
        <v>0.0</v>
      </c>
      <c r="N273" s="137">
        <v>0.0</v>
      </c>
      <c r="O273" s="137">
        <v>0.0</v>
      </c>
      <c r="P273" s="137">
        <v>0.0</v>
      </c>
      <c r="Q273" s="137">
        <v>0.0</v>
      </c>
      <c r="R273" s="137">
        <v>0.0</v>
      </c>
      <c r="S273" s="137">
        <v>0.0</v>
      </c>
      <c r="T273" s="137">
        <v>0.0</v>
      </c>
      <c r="U273" s="137">
        <v>0.0</v>
      </c>
      <c r="V273" s="137">
        <v>0.0</v>
      </c>
      <c r="W273" s="137">
        <v>0.0</v>
      </c>
      <c r="X273" s="137">
        <v>0.0</v>
      </c>
      <c r="Y273" s="137">
        <v>0.0</v>
      </c>
      <c r="Z273" s="137">
        <v>0.0</v>
      </c>
      <c r="AA273" s="137">
        <v>0.0</v>
      </c>
      <c r="AB273" s="137">
        <v>0.0</v>
      </c>
      <c r="AC273" s="137">
        <v>0.0</v>
      </c>
      <c r="AD273" s="137">
        <v>0.0</v>
      </c>
      <c r="AE273" s="137">
        <v>0.0</v>
      </c>
      <c r="AF273" s="137">
        <v>0.0</v>
      </c>
      <c r="AG273" s="137">
        <v>0.0</v>
      </c>
      <c r="AH273" s="137">
        <v>0.0</v>
      </c>
      <c r="AI273" s="137">
        <v>0.0</v>
      </c>
      <c r="AJ273" s="137">
        <v>0.0</v>
      </c>
      <c r="AK273" s="137">
        <v>0.0</v>
      </c>
      <c r="AL273" s="137">
        <v>0.0</v>
      </c>
      <c r="AM273" s="137">
        <v>0.0</v>
      </c>
      <c r="AN273" s="137">
        <v>0.0</v>
      </c>
    </row>
    <row r="274">
      <c r="A274" s="132" t="s">
        <v>202</v>
      </c>
      <c r="B274" s="136" t="s">
        <v>198</v>
      </c>
      <c r="C274" s="137">
        <v>948.0</v>
      </c>
      <c r="D274" s="137">
        <v>513.0</v>
      </c>
      <c r="E274" s="137">
        <v>435.0</v>
      </c>
      <c r="F274" s="137">
        <v>18.0</v>
      </c>
      <c r="G274" s="137">
        <v>8.0</v>
      </c>
      <c r="H274" s="137">
        <v>9.0</v>
      </c>
      <c r="I274" s="137">
        <v>10.0</v>
      </c>
      <c r="J274" s="137">
        <v>7.0</v>
      </c>
      <c r="K274" s="137">
        <v>7.0</v>
      </c>
      <c r="L274" s="137">
        <v>13.0</v>
      </c>
      <c r="M274" s="137">
        <v>13.0</v>
      </c>
      <c r="N274" s="137">
        <v>48.0</v>
      </c>
      <c r="O274" s="137">
        <v>49.0</v>
      </c>
      <c r="P274" s="137">
        <v>74.0</v>
      </c>
      <c r="Q274" s="137">
        <v>59.0</v>
      </c>
      <c r="R274" s="137">
        <v>62.0</v>
      </c>
      <c r="S274" s="137">
        <v>55.0</v>
      </c>
      <c r="T274" s="137">
        <v>71.0</v>
      </c>
      <c r="U274" s="137">
        <v>35.0</v>
      </c>
      <c r="V274" s="137">
        <v>47.0</v>
      </c>
      <c r="W274" s="137">
        <v>29.0</v>
      </c>
      <c r="X274" s="137">
        <v>31.0</v>
      </c>
      <c r="Y274" s="137">
        <v>11.0</v>
      </c>
      <c r="Z274" s="137">
        <v>26.0</v>
      </c>
      <c r="AA274" s="137">
        <v>32.0</v>
      </c>
      <c r="AB274" s="137">
        <v>21.0</v>
      </c>
      <c r="AC274" s="137">
        <v>31.0</v>
      </c>
      <c r="AD274" s="137">
        <v>32.0</v>
      </c>
      <c r="AE274" s="137">
        <v>36.0</v>
      </c>
      <c r="AF274" s="137">
        <v>13.0</v>
      </c>
      <c r="AG274" s="137">
        <v>19.0</v>
      </c>
      <c r="AH274" s="137">
        <v>30.0</v>
      </c>
      <c r="AI274" s="137">
        <v>14.0</v>
      </c>
      <c r="AJ274" s="137">
        <v>5.0</v>
      </c>
      <c r="AK274" s="137">
        <v>18.0</v>
      </c>
      <c r="AL274" s="137">
        <v>6.0</v>
      </c>
      <c r="AM274" s="137">
        <v>9.0</v>
      </c>
      <c r="AN274" s="137">
        <v>914.0</v>
      </c>
    </row>
    <row r="275">
      <c r="A275" s="104"/>
      <c r="B275" s="136" t="s">
        <v>199</v>
      </c>
      <c r="C275" s="137">
        <v>543.0</v>
      </c>
      <c r="D275" s="137">
        <v>337.0</v>
      </c>
      <c r="E275" s="137">
        <v>206.0</v>
      </c>
      <c r="F275" s="137">
        <v>25.0</v>
      </c>
      <c r="G275" s="137">
        <v>15.0</v>
      </c>
      <c r="H275" s="137">
        <v>14.0</v>
      </c>
      <c r="I275" s="137">
        <v>17.0</v>
      </c>
      <c r="J275" s="137">
        <v>11.0</v>
      </c>
      <c r="K275" s="137">
        <v>12.0</v>
      </c>
      <c r="L275" s="137">
        <v>9.0</v>
      </c>
      <c r="M275" s="137">
        <v>8.0</v>
      </c>
      <c r="N275" s="137">
        <v>29.0</v>
      </c>
      <c r="O275" s="137">
        <v>17.0</v>
      </c>
      <c r="P275" s="137">
        <v>40.0</v>
      </c>
      <c r="Q275" s="137">
        <v>16.0</v>
      </c>
      <c r="R275" s="137">
        <v>23.0</v>
      </c>
      <c r="S275" s="137">
        <v>20.0</v>
      </c>
      <c r="T275" s="137">
        <v>80.0</v>
      </c>
      <c r="U275" s="137">
        <v>14.0</v>
      </c>
      <c r="V275" s="137">
        <v>33.0</v>
      </c>
      <c r="W275" s="137">
        <v>10.0</v>
      </c>
      <c r="X275" s="137">
        <v>8.0</v>
      </c>
      <c r="Y275" s="137">
        <v>4.0</v>
      </c>
      <c r="Z275" s="137">
        <v>13.0</v>
      </c>
      <c r="AA275" s="137">
        <v>9.0</v>
      </c>
      <c r="AB275" s="137">
        <v>13.0</v>
      </c>
      <c r="AC275" s="137">
        <v>12.0</v>
      </c>
      <c r="AD275" s="137">
        <v>15.0</v>
      </c>
      <c r="AE275" s="137">
        <v>18.0</v>
      </c>
      <c r="AF275" s="137">
        <v>7.0</v>
      </c>
      <c r="AG275" s="137">
        <v>4.0</v>
      </c>
      <c r="AH275" s="137">
        <v>15.0</v>
      </c>
      <c r="AI275" s="137">
        <v>12.0</v>
      </c>
      <c r="AJ275" s="137">
        <v>1.0</v>
      </c>
      <c r="AK275" s="137">
        <v>3.0</v>
      </c>
      <c r="AL275" s="137">
        <v>1.0</v>
      </c>
      <c r="AM275" s="137">
        <v>15.0</v>
      </c>
      <c r="AN275" s="137">
        <v>523.0</v>
      </c>
    </row>
    <row r="276">
      <c r="A276" s="132" t="s">
        <v>203</v>
      </c>
      <c r="B276" s="136" t="s">
        <v>198</v>
      </c>
      <c r="C276" s="137">
        <v>0.0</v>
      </c>
      <c r="D276" s="137">
        <v>0.0</v>
      </c>
      <c r="E276" s="137">
        <v>0.0</v>
      </c>
      <c r="F276" s="135">
        <v>0.0</v>
      </c>
      <c r="G276" s="135">
        <v>0.0</v>
      </c>
      <c r="H276" s="135">
        <v>0.0</v>
      </c>
      <c r="I276" s="135">
        <v>0.0</v>
      </c>
      <c r="J276" s="135">
        <v>0.0</v>
      </c>
      <c r="K276" s="135">
        <v>0.0</v>
      </c>
      <c r="L276" s="135">
        <v>0.0</v>
      </c>
      <c r="M276" s="135">
        <v>0.0</v>
      </c>
      <c r="N276" s="135">
        <v>0.0</v>
      </c>
      <c r="O276" s="135">
        <v>0.0</v>
      </c>
      <c r="P276" s="135">
        <v>0.0</v>
      </c>
      <c r="Q276" s="135">
        <v>0.0</v>
      </c>
      <c r="R276" s="135">
        <v>0.0</v>
      </c>
      <c r="S276" s="135">
        <v>0.0</v>
      </c>
      <c r="T276" s="135">
        <v>0.0</v>
      </c>
      <c r="U276" s="135">
        <v>0.0</v>
      </c>
      <c r="V276" s="135">
        <v>0.0</v>
      </c>
      <c r="W276" s="135">
        <v>0.0</v>
      </c>
      <c r="X276" s="135">
        <v>0.0</v>
      </c>
      <c r="Y276" s="135">
        <v>0.0</v>
      </c>
      <c r="Z276" s="135">
        <v>0.0</v>
      </c>
      <c r="AA276" s="135">
        <v>0.0</v>
      </c>
      <c r="AB276" s="135">
        <v>0.0</v>
      </c>
      <c r="AC276" s="135">
        <v>0.0</v>
      </c>
      <c r="AD276" s="135">
        <v>0.0</v>
      </c>
      <c r="AE276" s="135">
        <v>0.0</v>
      </c>
      <c r="AF276" s="137">
        <v>0.0</v>
      </c>
      <c r="AG276" s="137">
        <v>0.0</v>
      </c>
      <c r="AH276" s="137">
        <v>0.0</v>
      </c>
      <c r="AI276" s="137">
        <v>0.0</v>
      </c>
      <c r="AJ276" s="137">
        <v>0.0</v>
      </c>
      <c r="AK276" s="137">
        <v>0.0</v>
      </c>
      <c r="AL276" s="137">
        <v>0.0</v>
      </c>
      <c r="AM276" s="137">
        <v>0.0</v>
      </c>
      <c r="AN276" s="137">
        <v>0.0</v>
      </c>
    </row>
    <row r="277">
      <c r="A277" s="104"/>
      <c r="B277" s="136" t="s">
        <v>199</v>
      </c>
      <c r="C277" s="137">
        <v>250.0</v>
      </c>
      <c r="D277" s="137">
        <v>63.0</v>
      </c>
      <c r="E277" s="137">
        <v>187.0</v>
      </c>
      <c r="F277" s="135">
        <v>0.0</v>
      </c>
      <c r="G277" s="135">
        <v>0.0</v>
      </c>
      <c r="H277" s="135">
        <v>0.0</v>
      </c>
      <c r="I277" s="135">
        <v>0.0</v>
      </c>
      <c r="J277" s="135">
        <v>0.0</v>
      </c>
      <c r="K277" s="135">
        <v>0.0</v>
      </c>
      <c r="L277" s="135">
        <v>0.0</v>
      </c>
      <c r="M277" s="135">
        <v>0.0</v>
      </c>
      <c r="N277" s="135">
        <v>0.0</v>
      </c>
      <c r="O277" s="135">
        <v>0.0</v>
      </c>
      <c r="P277" s="135">
        <v>0.0</v>
      </c>
      <c r="Q277" s="135">
        <v>0.0</v>
      </c>
      <c r="R277" s="135">
        <v>0.0</v>
      </c>
      <c r="S277" s="135">
        <v>0.0</v>
      </c>
      <c r="T277" s="135">
        <v>0.0</v>
      </c>
      <c r="U277" s="135">
        <v>0.0</v>
      </c>
      <c r="V277" s="135">
        <v>0.0</v>
      </c>
      <c r="W277" s="135">
        <v>0.0</v>
      </c>
      <c r="X277" s="135">
        <v>0.0</v>
      </c>
      <c r="Y277" s="135">
        <v>0.0</v>
      </c>
      <c r="Z277" s="135">
        <v>0.0</v>
      </c>
      <c r="AA277" s="135">
        <v>0.0</v>
      </c>
      <c r="AB277" s="135">
        <v>0.0</v>
      </c>
      <c r="AC277" s="135">
        <v>0.0</v>
      </c>
      <c r="AD277" s="135">
        <v>0.0</v>
      </c>
      <c r="AE277" s="135">
        <v>0.0</v>
      </c>
      <c r="AF277" s="137">
        <v>15.0</v>
      </c>
      <c r="AG277" s="137">
        <v>55.0</v>
      </c>
      <c r="AH277" s="137">
        <v>25.0</v>
      </c>
      <c r="AI277" s="137">
        <v>68.0</v>
      </c>
      <c r="AJ277" s="137">
        <v>16.0</v>
      </c>
      <c r="AK277" s="137">
        <v>40.0</v>
      </c>
      <c r="AL277" s="137">
        <v>7.0</v>
      </c>
      <c r="AM277" s="137">
        <v>24.0</v>
      </c>
      <c r="AN277" s="137">
        <v>250.0</v>
      </c>
    </row>
    <row r="278">
      <c r="A278" s="132" t="s">
        <v>204</v>
      </c>
      <c r="B278" s="136" t="s">
        <v>198</v>
      </c>
      <c r="C278" s="137">
        <v>1.0</v>
      </c>
      <c r="D278" s="137">
        <v>0.0</v>
      </c>
      <c r="E278" s="137">
        <v>1.0</v>
      </c>
      <c r="F278" s="135">
        <v>0.0</v>
      </c>
      <c r="G278" s="135">
        <v>0.0</v>
      </c>
      <c r="H278" s="135">
        <v>0.0</v>
      </c>
      <c r="I278" s="135">
        <v>0.0</v>
      </c>
      <c r="J278" s="135">
        <v>0.0</v>
      </c>
      <c r="K278" s="135">
        <v>0.0</v>
      </c>
      <c r="L278" s="135">
        <v>0.0</v>
      </c>
      <c r="M278" s="135">
        <v>0.0</v>
      </c>
      <c r="N278" s="135">
        <v>0.0</v>
      </c>
      <c r="O278" s="135">
        <v>0.0</v>
      </c>
      <c r="P278" s="135">
        <v>0.0</v>
      </c>
      <c r="Q278" s="135">
        <v>0.0</v>
      </c>
      <c r="R278" s="135">
        <v>0.0</v>
      </c>
      <c r="S278" s="135">
        <v>0.0</v>
      </c>
      <c r="T278" s="135">
        <v>0.0</v>
      </c>
      <c r="U278" s="135">
        <v>0.0</v>
      </c>
      <c r="V278" s="135">
        <v>0.0</v>
      </c>
      <c r="W278" s="135">
        <v>0.0</v>
      </c>
      <c r="X278" s="135">
        <v>0.0</v>
      </c>
      <c r="Y278" s="135">
        <v>0.0</v>
      </c>
      <c r="Z278" s="135">
        <v>0.0</v>
      </c>
      <c r="AA278" s="135">
        <v>0.0</v>
      </c>
      <c r="AB278" s="135">
        <v>0.0</v>
      </c>
      <c r="AC278" s="135">
        <v>0.0</v>
      </c>
      <c r="AD278" s="135">
        <v>0.0</v>
      </c>
      <c r="AE278" s="135">
        <v>0.0</v>
      </c>
      <c r="AF278" s="137">
        <v>0.0</v>
      </c>
      <c r="AG278" s="137">
        <v>1.0</v>
      </c>
      <c r="AH278" s="137">
        <v>0.0</v>
      </c>
      <c r="AI278" s="137">
        <v>0.0</v>
      </c>
      <c r="AJ278" s="137">
        <v>0.0</v>
      </c>
      <c r="AK278" s="137">
        <v>0.0</v>
      </c>
      <c r="AL278" s="137">
        <v>0.0</v>
      </c>
      <c r="AM278" s="137">
        <v>0.0</v>
      </c>
      <c r="AN278" s="137">
        <v>1.0</v>
      </c>
    </row>
    <row r="279">
      <c r="A279" s="104"/>
      <c r="B279" s="136" t="s">
        <v>199</v>
      </c>
      <c r="C279" s="137">
        <v>192.0</v>
      </c>
      <c r="D279" s="137">
        <v>47.0</v>
      </c>
      <c r="E279" s="137">
        <v>145.0</v>
      </c>
      <c r="F279" s="135">
        <v>0.0</v>
      </c>
      <c r="G279" s="135">
        <v>0.0</v>
      </c>
      <c r="H279" s="135">
        <v>0.0</v>
      </c>
      <c r="I279" s="135">
        <v>0.0</v>
      </c>
      <c r="J279" s="135">
        <v>0.0</v>
      </c>
      <c r="K279" s="135">
        <v>0.0</v>
      </c>
      <c r="L279" s="135">
        <v>0.0</v>
      </c>
      <c r="M279" s="135">
        <v>0.0</v>
      </c>
      <c r="N279" s="135">
        <v>0.0</v>
      </c>
      <c r="O279" s="135">
        <v>0.0</v>
      </c>
      <c r="P279" s="135">
        <v>0.0</v>
      </c>
      <c r="Q279" s="135">
        <v>0.0</v>
      </c>
      <c r="R279" s="135">
        <v>0.0</v>
      </c>
      <c r="S279" s="135">
        <v>0.0</v>
      </c>
      <c r="T279" s="135">
        <v>0.0</v>
      </c>
      <c r="U279" s="135">
        <v>0.0</v>
      </c>
      <c r="V279" s="135">
        <v>0.0</v>
      </c>
      <c r="W279" s="135">
        <v>0.0</v>
      </c>
      <c r="X279" s="135">
        <v>0.0</v>
      </c>
      <c r="Y279" s="135">
        <v>0.0</v>
      </c>
      <c r="Z279" s="135">
        <v>0.0</v>
      </c>
      <c r="AA279" s="135">
        <v>0.0</v>
      </c>
      <c r="AB279" s="135">
        <v>0.0</v>
      </c>
      <c r="AC279" s="135">
        <v>0.0</v>
      </c>
      <c r="AD279" s="135">
        <v>0.0</v>
      </c>
      <c r="AE279" s="135">
        <v>0.0</v>
      </c>
      <c r="AF279" s="137">
        <v>3.0</v>
      </c>
      <c r="AG279" s="137">
        <v>8.0</v>
      </c>
      <c r="AH279" s="137">
        <v>11.0</v>
      </c>
      <c r="AI279" s="137">
        <v>7.0</v>
      </c>
      <c r="AJ279" s="137">
        <v>12.0</v>
      </c>
      <c r="AK279" s="137">
        <v>34.0</v>
      </c>
      <c r="AL279" s="137">
        <v>21.0</v>
      </c>
      <c r="AM279" s="137">
        <v>96.0</v>
      </c>
      <c r="AN279" s="137">
        <v>192.0</v>
      </c>
    </row>
    <row r="280">
      <c r="A280" s="132" t="s">
        <v>205</v>
      </c>
      <c r="B280" s="136" t="s">
        <v>198</v>
      </c>
      <c r="C280" s="137">
        <v>6.0</v>
      </c>
      <c r="D280" s="137">
        <v>2.0</v>
      </c>
      <c r="E280" s="137">
        <v>4.0</v>
      </c>
      <c r="F280" s="137">
        <v>0.0</v>
      </c>
      <c r="G280" s="137">
        <v>0.0</v>
      </c>
      <c r="H280" s="137">
        <v>0.0</v>
      </c>
      <c r="I280" s="137">
        <v>0.0</v>
      </c>
      <c r="J280" s="137">
        <v>0.0</v>
      </c>
      <c r="K280" s="137">
        <v>0.0</v>
      </c>
      <c r="L280" s="137">
        <v>0.0</v>
      </c>
      <c r="M280" s="137">
        <v>0.0</v>
      </c>
      <c r="N280" s="137">
        <v>2.0</v>
      </c>
      <c r="O280" s="137">
        <v>0.0</v>
      </c>
      <c r="P280" s="137">
        <v>0.0</v>
      </c>
      <c r="Q280" s="137">
        <v>4.0</v>
      </c>
      <c r="R280" s="137">
        <v>0.0</v>
      </c>
      <c r="S280" s="137">
        <v>0.0</v>
      </c>
      <c r="T280" s="137">
        <v>0.0</v>
      </c>
      <c r="U280" s="137">
        <v>0.0</v>
      </c>
      <c r="V280" s="137">
        <v>0.0</v>
      </c>
      <c r="W280" s="137">
        <v>0.0</v>
      </c>
      <c r="X280" s="137">
        <v>0.0</v>
      </c>
      <c r="Y280" s="137">
        <v>0.0</v>
      </c>
      <c r="Z280" s="137">
        <v>0.0</v>
      </c>
      <c r="AA280" s="137">
        <v>0.0</v>
      </c>
      <c r="AB280" s="137">
        <v>0.0</v>
      </c>
      <c r="AC280" s="137">
        <v>0.0</v>
      </c>
      <c r="AD280" s="137">
        <v>0.0</v>
      </c>
      <c r="AE280" s="137">
        <v>0.0</v>
      </c>
      <c r="AF280" s="137">
        <v>0.0</v>
      </c>
      <c r="AG280" s="137">
        <v>0.0</v>
      </c>
      <c r="AH280" s="137">
        <v>0.0</v>
      </c>
      <c r="AI280" s="137">
        <v>0.0</v>
      </c>
      <c r="AJ280" s="137">
        <v>0.0</v>
      </c>
      <c r="AK280" s="137">
        <v>0.0</v>
      </c>
      <c r="AL280" s="137">
        <v>0.0</v>
      </c>
      <c r="AM280" s="137">
        <v>0.0</v>
      </c>
      <c r="AN280" s="137">
        <v>6.0</v>
      </c>
    </row>
    <row r="281">
      <c r="A281" s="98"/>
      <c r="B281" s="136" t="s">
        <v>199</v>
      </c>
      <c r="C281" s="137">
        <v>8.0</v>
      </c>
      <c r="D281" s="137">
        <v>3.0</v>
      </c>
      <c r="E281" s="137">
        <v>5.0</v>
      </c>
      <c r="F281" s="137">
        <v>2.0</v>
      </c>
      <c r="G281" s="137">
        <v>2.0</v>
      </c>
      <c r="H281" s="137">
        <v>0.0</v>
      </c>
      <c r="I281" s="137">
        <v>1.0</v>
      </c>
      <c r="J281" s="137">
        <v>0.0</v>
      </c>
      <c r="K281" s="137">
        <v>0.0</v>
      </c>
      <c r="L281" s="137">
        <v>1.0</v>
      </c>
      <c r="M281" s="137">
        <v>2.0</v>
      </c>
      <c r="N281" s="137">
        <v>0.0</v>
      </c>
      <c r="O281" s="137">
        <v>0.0</v>
      </c>
      <c r="P281" s="137">
        <v>0.0</v>
      </c>
      <c r="Q281" s="137">
        <v>0.0</v>
      </c>
      <c r="R281" s="137">
        <v>0.0</v>
      </c>
      <c r="S281" s="137">
        <v>0.0</v>
      </c>
      <c r="T281" s="137">
        <v>0.0</v>
      </c>
      <c r="U281" s="137">
        <v>0.0</v>
      </c>
      <c r="V281" s="137">
        <v>0.0</v>
      </c>
      <c r="W281" s="137">
        <v>0.0</v>
      </c>
      <c r="X281" s="137">
        <v>0.0</v>
      </c>
      <c r="Y281" s="137">
        <v>0.0</v>
      </c>
      <c r="Z281" s="137">
        <v>0.0</v>
      </c>
      <c r="AA281" s="137">
        <v>0.0</v>
      </c>
      <c r="AB281" s="137">
        <v>0.0</v>
      </c>
      <c r="AC281" s="137">
        <v>0.0</v>
      </c>
      <c r="AD281" s="137">
        <v>0.0</v>
      </c>
      <c r="AE281" s="137">
        <v>0.0</v>
      </c>
      <c r="AF281" s="137">
        <v>0.0</v>
      </c>
      <c r="AG281" s="137">
        <v>0.0</v>
      </c>
      <c r="AH281" s="137">
        <v>0.0</v>
      </c>
      <c r="AI281" s="137">
        <v>0.0</v>
      </c>
      <c r="AJ281" s="137">
        <v>0.0</v>
      </c>
      <c r="AK281" s="137">
        <v>0.0</v>
      </c>
      <c r="AL281" s="137">
        <v>0.0</v>
      </c>
      <c r="AM281" s="137">
        <v>0.0</v>
      </c>
      <c r="AN281" s="137">
        <v>8.0</v>
      </c>
    </row>
    <row r="282">
      <c r="A282" s="104"/>
      <c r="B282" s="136" t="s">
        <v>206</v>
      </c>
      <c r="C282" s="137">
        <v>12.0</v>
      </c>
      <c r="D282" s="137">
        <v>1.0</v>
      </c>
      <c r="E282" s="137">
        <v>11.0</v>
      </c>
      <c r="F282" s="137">
        <v>0.0</v>
      </c>
      <c r="G282" s="137">
        <v>0.0</v>
      </c>
      <c r="H282" s="137">
        <v>0.0</v>
      </c>
      <c r="I282" s="137">
        <v>1.0</v>
      </c>
      <c r="J282" s="137">
        <v>0.0</v>
      </c>
      <c r="K282" s="137">
        <v>1.0</v>
      </c>
      <c r="L282" s="137">
        <v>1.0</v>
      </c>
      <c r="M282" s="137">
        <v>1.0</v>
      </c>
      <c r="N282" s="137">
        <v>0.0</v>
      </c>
      <c r="O282" s="137">
        <v>3.0</v>
      </c>
      <c r="P282" s="137">
        <v>0.0</v>
      </c>
      <c r="Q282" s="137">
        <v>3.0</v>
      </c>
      <c r="R282" s="137">
        <v>0.0</v>
      </c>
      <c r="S282" s="137">
        <v>2.0</v>
      </c>
      <c r="T282" s="137">
        <v>0.0</v>
      </c>
      <c r="U282" s="137">
        <v>0.0</v>
      </c>
      <c r="V282" s="137">
        <v>0.0</v>
      </c>
      <c r="W282" s="137">
        <v>0.0</v>
      </c>
      <c r="X282" s="137">
        <v>0.0</v>
      </c>
      <c r="Y282" s="137">
        <v>0.0</v>
      </c>
      <c r="Z282" s="137">
        <v>0.0</v>
      </c>
      <c r="AA282" s="137">
        <v>0.0</v>
      </c>
      <c r="AB282" s="137">
        <v>0.0</v>
      </c>
      <c r="AC282" s="137">
        <v>0.0</v>
      </c>
      <c r="AD282" s="137">
        <v>0.0</v>
      </c>
      <c r="AE282" s="137">
        <v>0.0</v>
      </c>
      <c r="AF282" s="137">
        <v>0.0</v>
      </c>
      <c r="AG282" s="137">
        <v>0.0</v>
      </c>
      <c r="AH282" s="137">
        <v>0.0</v>
      </c>
      <c r="AI282" s="137">
        <v>0.0</v>
      </c>
      <c r="AJ282" s="137">
        <v>0.0</v>
      </c>
      <c r="AK282" s="137">
        <v>0.0</v>
      </c>
      <c r="AL282" s="137">
        <v>0.0</v>
      </c>
      <c r="AM282" s="137">
        <v>0.0</v>
      </c>
      <c r="AN282" s="137">
        <v>12.0</v>
      </c>
    </row>
    <row r="283">
      <c r="A283" s="132" t="s">
        <v>207</v>
      </c>
      <c r="B283" s="136" t="s">
        <v>198</v>
      </c>
      <c r="C283" s="134">
        <v>21994.0</v>
      </c>
      <c r="D283" s="134">
        <v>4521.0</v>
      </c>
      <c r="E283" s="134">
        <v>17473.0</v>
      </c>
      <c r="F283" s="137">
        <v>480.0</v>
      </c>
      <c r="G283" s="137">
        <v>423.0</v>
      </c>
      <c r="H283" s="137">
        <v>310.0</v>
      </c>
      <c r="I283" s="137">
        <v>236.0</v>
      </c>
      <c r="J283" s="137">
        <v>160.0</v>
      </c>
      <c r="K283" s="137">
        <v>139.0</v>
      </c>
      <c r="L283" s="137">
        <v>84.0</v>
      </c>
      <c r="M283" s="137">
        <v>124.0</v>
      </c>
      <c r="N283" s="137">
        <v>62.0</v>
      </c>
      <c r="O283" s="137">
        <v>203.0</v>
      </c>
      <c r="P283" s="137">
        <v>72.0</v>
      </c>
      <c r="Q283" s="137">
        <v>305.0</v>
      </c>
      <c r="R283" s="137">
        <v>99.0</v>
      </c>
      <c r="S283" s="137">
        <v>365.0</v>
      </c>
      <c r="T283" s="137">
        <v>100.0</v>
      </c>
      <c r="U283" s="137">
        <v>385.0</v>
      </c>
      <c r="V283" s="137">
        <v>101.0</v>
      </c>
      <c r="W283" s="137">
        <v>549.0</v>
      </c>
      <c r="X283" s="137">
        <v>151.0</v>
      </c>
      <c r="Y283" s="137">
        <v>734.0</v>
      </c>
      <c r="Z283" s="137">
        <v>213.0</v>
      </c>
      <c r="AA283" s="134">
        <v>1337.0</v>
      </c>
      <c r="AB283" s="137">
        <v>287.0</v>
      </c>
      <c r="AC283" s="134">
        <v>1983.0</v>
      </c>
      <c r="AD283" s="137">
        <v>397.0</v>
      </c>
      <c r="AE283" s="134">
        <v>2211.0</v>
      </c>
      <c r="AF283" s="137">
        <v>488.0</v>
      </c>
      <c r="AG283" s="134">
        <v>2442.0</v>
      </c>
      <c r="AH283" s="137">
        <v>571.0</v>
      </c>
      <c r="AI283" s="134">
        <v>2458.0</v>
      </c>
      <c r="AJ283" s="137">
        <v>450.0</v>
      </c>
      <c r="AK283" s="134">
        <v>1717.0</v>
      </c>
      <c r="AL283" s="137">
        <v>496.0</v>
      </c>
      <c r="AM283" s="134">
        <v>1862.0</v>
      </c>
      <c r="AN283" s="134">
        <v>21797.0</v>
      </c>
    </row>
    <row r="284">
      <c r="A284" s="98"/>
      <c r="B284" s="136" t="s">
        <v>199</v>
      </c>
      <c r="C284" s="137">
        <v>250.0</v>
      </c>
      <c r="D284" s="137">
        <v>89.0</v>
      </c>
      <c r="E284" s="137">
        <v>161.0</v>
      </c>
      <c r="F284" s="137">
        <v>17.0</v>
      </c>
      <c r="G284" s="137">
        <v>13.0</v>
      </c>
      <c r="H284" s="137">
        <v>6.0</v>
      </c>
      <c r="I284" s="137">
        <v>2.0</v>
      </c>
      <c r="J284" s="137">
        <v>1.0</v>
      </c>
      <c r="K284" s="137">
        <v>2.0</v>
      </c>
      <c r="L284" s="137">
        <v>1.0</v>
      </c>
      <c r="M284" s="137">
        <v>9.0</v>
      </c>
      <c r="N284" s="137">
        <v>2.0</v>
      </c>
      <c r="O284" s="137">
        <v>10.0</v>
      </c>
      <c r="P284" s="137">
        <v>5.0</v>
      </c>
      <c r="Q284" s="137">
        <v>13.0</v>
      </c>
      <c r="R284" s="137">
        <v>2.0</v>
      </c>
      <c r="S284" s="137">
        <v>6.0</v>
      </c>
      <c r="T284" s="137">
        <v>8.0</v>
      </c>
      <c r="U284" s="137">
        <v>11.0</v>
      </c>
      <c r="V284" s="137">
        <v>0.0</v>
      </c>
      <c r="W284" s="137">
        <v>6.0</v>
      </c>
      <c r="X284" s="137">
        <v>4.0</v>
      </c>
      <c r="Y284" s="137">
        <v>7.0</v>
      </c>
      <c r="Z284" s="137">
        <v>10.0</v>
      </c>
      <c r="AA284" s="137">
        <v>9.0</v>
      </c>
      <c r="AB284" s="137">
        <v>13.0</v>
      </c>
      <c r="AC284" s="137">
        <v>17.0</v>
      </c>
      <c r="AD284" s="137">
        <v>4.0</v>
      </c>
      <c r="AE284" s="137">
        <v>24.0</v>
      </c>
      <c r="AF284" s="137">
        <v>6.0</v>
      </c>
      <c r="AG284" s="137">
        <v>13.0</v>
      </c>
      <c r="AH284" s="137">
        <v>6.0</v>
      </c>
      <c r="AI284" s="137">
        <v>10.0</v>
      </c>
      <c r="AJ284" s="137">
        <v>2.0</v>
      </c>
      <c r="AK284" s="137">
        <v>3.0</v>
      </c>
      <c r="AL284" s="137">
        <v>2.0</v>
      </c>
      <c r="AM284" s="137">
        <v>6.0</v>
      </c>
      <c r="AN284" s="137">
        <v>250.0</v>
      </c>
    </row>
    <row r="285">
      <c r="A285" s="98"/>
      <c r="B285" s="136" t="s">
        <v>206</v>
      </c>
      <c r="C285" s="137">
        <v>13.0</v>
      </c>
      <c r="D285" s="137">
        <v>5.0</v>
      </c>
      <c r="E285" s="137">
        <v>8.0</v>
      </c>
      <c r="F285" s="137">
        <v>2.0</v>
      </c>
      <c r="G285" s="137">
        <v>3.0</v>
      </c>
      <c r="H285" s="137">
        <v>0.0</v>
      </c>
      <c r="I285" s="137">
        <v>0.0</v>
      </c>
      <c r="J285" s="137">
        <v>0.0</v>
      </c>
      <c r="K285" s="137">
        <v>1.0</v>
      </c>
      <c r="L285" s="137">
        <v>0.0</v>
      </c>
      <c r="M285" s="137">
        <v>0.0</v>
      </c>
      <c r="N285" s="137">
        <v>0.0</v>
      </c>
      <c r="O285" s="137">
        <v>1.0</v>
      </c>
      <c r="P285" s="137">
        <v>1.0</v>
      </c>
      <c r="Q285" s="137">
        <v>0.0</v>
      </c>
      <c r="R285" s="137">
        <v>0.0</v>
      </c>
      <c r="S285" s="137">
        <v>1.0</v>
      </c>
      <c r="T285" s="137">
        <v>0.0</v>
      </c>
      <c r="U285" s="137">
        <v>0.0</v>
      </c>
      <c r="V285" s="137">
        <v>0.0</v>
      </c>
      <c r="W285" s="137">
        <v>0.0</v>
      </c>
      <c r="X285" s="137">
        <v>0.0</v>
      </c>
      <c r="Y285" s="137">
        <v>0.0</v>
      </c>
      <c r="Z285" s="137">
        <v>1.0</v>
      </c>
      <c r="AA285" s="137">
        <v>1.0</v>
      </c>
      <c r="AB285" s="137">
        <v>0.0</v>
      </c>
      <c r="AC285" s="137">
        <v>0.0</v>
      </c>
      <c r="AD285" s="137">
        <v>0.0</v>
      </c>
      <c r="AE285" s="137">
        <v>0.0</v>
      </c>
      <c r="AF285" s="137">
        <v>0.0</v>
      </c>
      <c r="AG285" s="137">
        <v>1.0</v>
      </c>
      <c r="AH285" s="137">
        <v>1.0</v>
      </c>
      <c r="AI285" s="137">
        <v>0.0</v>
      </c>
      <c r="AJ285" s="137">
        <v>0.0</v>
      </c>
      <c r="AK285" s="137">
        <v>0.0</v>
      </c>
      <c r="AL285" s="137">
        <v>0.0</v>
      </c>
      <c r="AM285" s="137">
        <v>0.0</v>
      </c>
      <c r="AN285" s="137">
        <v>13.0</v>
      </c>
    </row>
    <row r="286">
      <c r="A286" s="98"/>
      <c r="B286" s="136" t="s">
        <v>200</v>
      </c>
      <c r="C286" s="134">
        <v>2179.0</v>
      </c>
      <c r="D286" s="137">
        <v>930.0</v>
      </c>
      <c r="E286" s="134">
        <v>1249.0</v>
      </c>
      <c r="F286" s="137">
        <v>794.0</v>
      </c>
      <c r="G286" s="137">
        <v>816.0</v>
      </c>
      <c r="H286" s="137">
        <v>22.0</v>
      </c>
      <c r="I286" s="137">
        <v>16.0</v>
      </c>
      <c r="J286" s="137">
        <v>8.0</v>
      </c>
      <c r="K286" s="137">
        <v>11.0</v>
      </c>
      <c r="L286" s="137">
        <v>4.0</v>
      </c>
      <c r="M286" s="137">
        <v>55.0</v>
      </c>
      <c r="N286" s="137">
        <v>11.0</v>
      </c>
      <c r="O286" s="137">
        <v>45.0</v>
      </c>
      <c r="P286" s="137">
        <v>14.0</v>
      </c>
      <c r="Q286" s="137">
        <v>53.0</v>
      </c>
      <c r="R286" s="137">
        <v>21.0</v>
      </c>
      <c r="S286" s="137">
        <v>39.0</v>
      </c>
      <c r="T286" s="137">
        <v>17.0</v>
      </c>
      <c r="U286" s="137">
        <v>25.0</v>
      </c>
      <c r="V286" s="137">
        <v>14.0</v>
      </c>
      <c r="W286" s="137">
        <v>19.0</v>
      </c>
      <c r="X286" s="137">
        <v>4.0</v>
      </c>
      <c r="Y286" s="137">
        <v>37.0</v>
      </c>
      <c r="Z286" s="137">
        <v>5.0</v>
      </c>
      <c r="AA286" s="137">
        <v>43.0</v>
      </c>
      <c r="AB286" s="137">
        <v>4.0</v>
      </c>
      <c r="AC286" s="137">
        <v>30.0</v>
      </c>
      <c r="AD286" s="137">
        <v>4.0</v>
      </c>
      <c r="AE286" s="137">
        <v>19.0</v>
      </c>
      <c r="AF286" s="137">
        <v>4.0</v>
      </c>
      <c r="AG286" s="137">
        <v>21.0</v>
      </c>
      <c r="AH286" s="137">
        <v>3.0</v>
      </c>
      <c r="AI286" s="137">
        <v>10.0</v>
      </c>
      <c r="AJ286" s="137">
        <v>0.0</v>
      </c>
      <c r="AK286" s="137">
        <v>7.0</v>
      </c>
      <c r="AL286" s="137">
        <v>1.0</v>
      </c>
      <c r="AM286" s="137">
        <v>3.0</v>
      </c>
      <c r="AN286" s="134">
        <v>2094.0</v>
      </c>
    </row>
    <row r="287">
      <c r="A287" s="104"/>
      <c r="B287" s="136" t="s">
        <v>201</v>
      </c>
      <c r="C287" s="137">
        <v>21.0</v>
      </c>
      <c r="D287" s="137">
        <v>5.0</v>
      </c>
      <c r="E287" s="137">
        <v>16.0</v>
      </c>
      <c r="F287" s="137">
        <v>0.0</v>
      </c>
      <c r="G287" s="137">
        <v>0.0</v>
      </c>
      <c r="H287" s="137">
        <v>0.0</v>
      </c>
      <c r="I287" s="137">
        <v>0.0</v>
      </c>
      <c r="J287" s="137">
        <v>0.0</v>
      </c>
      <c r="K287" s="137">
        <v>0.0</v>
      </c>
      <c r="L287" s="137">
        <v>0.0</v>
      </c>
      <c r="M287" s="137">
        <v>0.0</v>
      </c>
      <c r="N287" s="137">
        <v>0.0</v>
      </c>
      <c r="O287" s="137">
        <v>0.0</v>
      </c>
      <c r="P287" s="137">
        <v>0.0</v>
      </c>
      <c r="Q287" s="137">
        <v>0.0</v>
      </c>
      <c r="R287" s="137">
        <v>0.0</v>
      </c>
      <c r="S287" s="137">
        <v>0.0</v>
      </c>
      <c r="T287" s="137">
        <v>0.0</v>
      </c>
      <c r="U287" s="137">
        <v>1.0</v>
      </c>
      <c r="V287" s="137">
        <v>2.0</v>
      </c>
      <c r="W287" s="137">
        <v>3.0</v>
      </c>
      <c r="X287" s="137">
        <v>0.0</v>
      </c>
      <c r="Y287" s="137">
        <v>3.0</v>
      </c>
      <c r="Z287" s="137">
        <v>1.0</v>
      </c>
      <c r="AA287" s="137">
        <v>3.0</v>
      </c>
      <c r="AB287" s="137">
        <v>2.0</v>
      </c>
      <c r="AC287" s="137">
        <v>5.0</v>
      </c>
      <c r="AD287" s="137">
        <v>0.0</v>
      </c>
      <c r="AE287" s="137">
        <v>0.0</v>
      </c>
      <c r="AF287" s="137">
        <v>0.0</v>
      </c>
      <c r="AG287" s="137">
        <v>0.0</v>
      </c>
      <c r="AH287" s="137">
        <v>0.0</v>
      </c>
      <c r="AI287" s="137">
        <v>0.0</v>
      </c>
      <c r="AJ287" s="137">
        <v>0.0</v>
      </c>
      <c r="AK287" s="137">
        <v>0.0</v>
      </c>
      <c r="AL287" s="137">
        <v>0.0</v>
      </c>
      <c r="AM287" s="137">
        <v>1.0</v>
      </c>
      <c r="AN287" s="137">
        <v>21.0</v>
      </c>
    </row>
    <row r="288">
      <c r="A288" s="132" t="s">
        <v>208</v>
      </c>
      <c r="B288" s="136" t="s">
        <v>198</v>
      </c>
      <c r="C288" s="137">
        <v>0.0</v>
      </c>
      <c r="D288" s="137">
        <v>0.0</v>
      </c>
      <c r="E288" s="137">
        <v>0.0</v>
      </c>
      <c r="F288" s="137">
        <v>0.0</v>
      </c>
      <c r="G288" s="137">
        <v>0.0</v>
      </c>
      <c r="H288" s="137">
        <v>0.0</v>
      </c>
      <c r="I288" s="137">
        <v>0.0</v>
      </c>
      <c r="J288" s="137">
        <v>0.0</v>
      </c>
      <c r="K288" s="137">
        <v>0.0</v>
      </c>
      <c r="L288" s="137">
        <v>0.0</v>
      </c>
      <c r="M288" s="137">
        <v>0.0</v>
      </c>
      <c r="N288" s="137">
        <v>0.0</v>
      </c>
      <c r="O288" s="137">
        <v>0.0</v>
      </c>
      <c r="P288" s="135">
        <v>0.0</v>
      </c>
      <c r="Q288" s="135">
        <v>0.0</v>
      </c>
      <c r="R288" s="135">
        <v>0.0</v>
      </c>
      <c r="S288" s="135">
        <v>0.0</v>
      </c>
      <c r="T288" s="135">
        <v>0.0</v>
      </c>
      <c r="U288" s="135">
        <v>0.0</v>
      </c>
      <c r="V288" s="135">
        <v>0.0</v>
      </c>
      <c r="W288" s="135">
        <v>0.0</v>
      </c>
      <c r="X288" s="135">
        <v>0.0</v>
      </c>
      <c r="Y288" s="135">
        <v>0.0</v>
      </c>
      <c r="Z288" s="135">
        <v>0.0</v>
      </c>
      <c r="AA288" s="135">
        <v>0.0</v>
      </c>
      <c r="AB288" s="135">
        <v>0.0</v>
      </c>
      <c r="AC288" s="135">
        <v>0.0</v>
      </c>
      <c r="AD288" s="135">
        <v>0.0</v>
      </c>
      <c r="AE288" s="135">
        <v>0.0</v>
      </c>
      <c r="AF288" s="135">
        <v>0.0</v>
      </c>
      <c r="AG288" s="135">
        <v>0.0</v>
      </c>
      <c r="AH288" s="135">
        <v>0.0</v>
      </c>
      <c r="AI288" s="135">
        <v>0.0</v>
      </c>
      <c r="AJ288" s="135">
        <v>0.0</v>
      </c>
      <c r="AK288" s="135">
        <v>0.0</v>
      </c>
      <c r="AL288" s="135">
        <v>0.0</v>
      </c>
      <c r="AM288" s="135">
        <v>0.0</v>
      </c>
      <c r="AN288" s="137">
        <v>0.0</v>
      </c>
    </row>
    <row r="289">
      <c r="A289" s="98"/>
      <c r="B289" s="136" t="s">
        <v>199</v>
      </c>
      <c r="C289" s="137">
        <v>2.0</v>
      </c>
      <c r="D289" s="137">
        <v>1.0</v>
      </c>
      <c r="E289" s="137">
        <v>1.0</v>
      </c>
      <c r="F289" s="137">
        <v>1.0</v>
      </c>
      <c r="G289" s="137">
        <v>0.0</v>
      </c>
      <c r="H289" s="137">
        <v>0.0</v>
      </c>
      <c r="I289" s="137">
        <v>1.0</v>
      </c>
      <c r="J289" s="137">
        <v>0.0</v>
      </c>
      <c r="K289" s="137">
        <v>0.0</v>
      </c>
      <c r="L289" s="137">
        <v>0.0</v>
      </c>
      <c r="M289" s="137">
        <v>0.0</v>
      </c>
      <c r="N289" s="137">
        <v>0.0</v>
      </c>
      <c r="O289" s="137">
        <v>0.0</v>
      </c>
      <c r="P289" s="135">
        <v>0.0</v>
      </c>
      <c r="Q289" s="135">
        <v>0.0</v>
      </c>
      <c r="R289" s="135">
        <v>0.0</v>
      </c>
      <c r="S289" s="135">
        <v>0.0</v>
      </c>
      <c r="T289" s="135">
        <v>0.0</v>
      </c>
      <c r="U289" s="135">
        <v>0.0</v>
      </c>
      <c r="V289" s="135">
        <v>0.0</v>
      </c>
      <c r="W289" s="135">
        <v>0.0</v>
      </c>
      <c r="X289" s="135">
        <v>0.0</v>
      </c>
      <c r="Y289" s="135">
        <v>0.0</v>
      </c>
      <c r="Z289" s="135">
        <v>0.0</v>
      </c>
      <c r="AA289" s="135">
        <v>0.0</v>
      </c>
      <c r="AB289" s="135">
        <v>0.0</v>
      </c>
      <c r="AC289" s="135">
        <v>0.0</v>
      </c>
      <c r="AD289" s="135">
        <v>0.0</v>
      </c>
      <c r="AE289" s="135">
        <v>0.0</v>
      </c>
      <c r="AF289" s="135">
        <v>0.0</v>
      </c>
      <c r="AG289" s="135">
        <v>0.0</v>
      </c>
      <c r="AH289" s="135">
        <v>0.0</v>
      </c>
      <c r="AI289" s="135">
        <v>0.0</v>
      </c>
      <c r="AJ289" s="135">
        <v>0.0</v>
      </c>
      <c r="AK289" s="135">
        <v>0.0</v>
      </c>
      <c r="AL289" s="135">
        <v>0.0</v>
      </c>
      <c r="AM289" s="135">
        <v>0.0</v>
      </c>
      <c r="AN289" s="137">
        <v>2.0</v>
      </c>
    </row>
    <row r="290">
      <c r="A290" s="98"/>
      <c r="B290" s="136" t="s">
        <v>206</v>
      </c>
      <c r="C290" s="137">
        <v>6.0</v>
      </c>
      <c r="D290" s="137">
        <v>0.0</v>
      </c>
      <c r="E290" s="137">
        <v>6.0</v>
      </c>
      <c r="F290" s="137">
        <v>0.0</v>
      </c>
      <c r="G290" s="137">
        <v>0.0</v>
      </c>
      <c r="H290" s="137">
        <v>0.0</v>
      </c>
      <c r="I290" s="137">
        <v>0.0</v>
      </c>
      <c r="J290" s="137">
        <v>0.0</v>
      </c>
      <c r="K290" s="137">
        <v>2.0</v>
      </c>
      <c r="L290" s="137">
        <v>0.0</v>
      </c>
      <c r="M290" s="137">
        <v>4.0</v>
      </c>
      <c r="N290" s="137">
        <v>0.0</v>
      </c>
      <c r="O290" s="137">
        <v>0.0</v>
      </c>
      <c r="P290" s="135">
        <v>0.0</v>
      </c>
      <c r="Q290" s="135">
        <v>0.0</v>
      </c>
      <c r="R290" s="135">
        <v>0.0</v>
      </c>
      <c r="S290" s="135">
        <v>0.0</v>
      </c>
      <c r="T290" s="135">
        <v>0.0</v>
      </c>
      <c r="U290" s="135">
        <v>0.0</v>
      </c>
      <c r="V290" s="135">
        <v>0.0</v>
      </c>
      <c r="W290" s="135">
        <v>0.0</v>
      </c>
      <c r="X290" s="135">
        <v>0.0</v>
      </c>
      <c r="Y290" s="135">
        <v>0.0</v>
      </c>
      <c r="Z290" s="135">
        <v>0.0</v>
      </c>
      <c r="AA290" s="135">
        <v>0.0</v>
      </c>
      <c r="AB290" s="135">
        <v>0.0</v>
      </c>
      <c r="AC290" s="135">
        <v>0.0</v>
      </c>
      <c r="AD290" s="135">
        <v>0.0</v>
      </c>
      <c r="AE290" s="135">
        <v>0.0</v>
      </c>
      <c r="AF290" s="135">
        <v>0.0</v>
      </c>
      <c r="AG290" s="135">
        <v>0.0</v>
      </c>
      <c r="AH290" s="135">
        <v>0.0</v>
      </c>
      <c r="AI290" s="135">
        <v>0.0</v>
      </c>
      <c r="AJ290" s="135">
        <v>0.0</v>
      </c>
      <c r="AK290" s="135">
        <v>0.0</v>
      </c>
      <c r="AL290" s="135">
        <v>0.0</v>
      </c>
      <c r="AM290" s="135">
        <v>0.0</v>
      </c>
      <c r="AN290" s="137">
        <v>6.0</v>
      </c>
    </row>
    <row r="291">
      <c r="A291" s="98"/>
      <c r="B291" s="136" t="s">
        <v>200</v>
      </c>
      <c r="C291" s="137">
        <v>0.0</v>
      </c>
      <c r="D291" s="137">
        <v>0.0</v>
      </c>
      <c r="E291" s="137">
        <v>0.0</v>
      </c>
      <c r="F291" s="137">
        <v>0.0</v>
      </c>
      <c r="G291" s="137">
        <v>0.0</v>
      </c>
      <c r="H291" s="137">
        <v>0.0</v>
      </c>
      <c r="I291" s="137">
        <v>0.0</v>
      </c>
      <c r="J291" s="137">
        <v>0.0</v>
      </c>
      <c r="K291" s="137">
        <v>0.0</v>
      </c>
      <c r="L291" s="137">
        <v>0.0</v>
      </c>
      <c r="M291" s="137">
        <v>0.0</v>
      </c>
      <c r="N291" s="137">
        <v>0.0</v>
      </c>
      <c r="O291" s="137">
        <v>0.0</v>
      </c>
      <c r="P291" s="135">
        <v>0.0</v>
      </c>
      <c r="Q291" s="135">
        <v>0.0</v>
      </c>
      <c r="R291" s="135">
        <v>0.0</v>
      </c>
      <c r="S291" s="135">
        <v>0.0</v>
      </c>
      <c r="T291" s="135">
        <v>0.0</v>
      </c>
      <c r="U291" s="135">
        <v>0.0</v>
      </c>
      <c r="V291" s="135">
        <v>0.0</v>
      </c>
      <c r="W291" s="135">
        <v>0.0</v>
      </c>
      <c r="X291" s="135">
        <v>0.0</v>
      </c>
      <c r="Y291" s="135">
        <v>0.0</v>
      </c>
      <c r="Z291" s="135">
        <v>0.0</v>
      </c>
      <c r="AA291" s="135">
        <v>0.0</v>
      </c>
      <c r="AB291" s="135">
        <v>0.0</v>
      </c>
      <c r="AC291" s="135">
        <v>0.0</v>
      </c>
      <c r="AD291" s="135">
        <v>0.0</v>
      </c>
      <c r="AE291" s="135">
        <v>0.0</v>
      </c>
      <c r="AF291" s="135">
        <v>0.0</v>
      </c>
      <c r="AG291" s="135">
        <v>0.0</v>
      </c>
      <c r="AH291" s="135">
        <v>0.0</v>
      </c>
      <c r="AI291" s="135">
        <v>0.0</v>
      </c>
      <c r="AJ291" s="135">
        <v>0.0</v>
      </c>
      <c r="AK291" s="135">
        <v>0.0</v>
      </c>
      <c r="AL291" s="135">
        <v>0.0</v>
      </c>
      <c r="AM291" s="135">
        <v>0.0</v>
      </c>
      <c r="AN291" s="137">
        <v>0.0</v>
      </c>
    </row>
    <row r="292">
      <c r="A292" s="104"/>
      <c r="B292" s="136" t="s">
        <v>201</v>
      </c>
      <c r="C292" s="137">
        <v>0.0</v>
      </c>
      <c r="D292" s="137">
        <v>0.0</v>
      </c>
      <c r="E292" s="137">
        <v>0.0</v>
      </c>
      <c r="F292" s="137">
        <v>0.0</v>
      </c>
      <c r="G292" s="137">
        <v>0.0</v>
      </c>
      <c r="H292" s="137">
        <v>0.0</v>
      </c>
      <c r="I292" s="137">
        <v>0.0</v>
      </c>
      <c r="J292" s="137">
        <v>0.0</v>
      </c>
      <c r="K292" s="137">
        <v>0.0</v>
      </c>
      <c r="L292" s="137">
        <v>0.0</v>
      </c>
      <c r="M292" s="137">
        <v>0.0</v>
      </c>
      <c r="N292" s="137">
        <v>0.0</v>
      </c>
      <c r="O292" s="137">
        <v>0.0</v>
      </c>
      <c r="P292" s="135">
        <v>0.0</v>
      </c>
      <c r="Q292" s="135">
        <v>0.0</v>
      </c>
      <c r="R292" s="135">
        <v>0.0</v>
      </c>
      <c r="S292" s="135">
        <v>0.0</v>
      </c>
      <c r="T292" s="135">
        <v>0.0</v>
      </c>
      <c r="U292" s="135">
        <v>0.0</v>
      </c>
      <c r="V292" s="135">
        <v>0.0</v>
      </c>
      <c r="W292" s="135">
        <v>0.0</v>
      </c>
      <c r="X292" s="135">
        <v>0.0</v>
      </c>
      <c r="Y292" s="135">
        <v>0.0</v>
      </c>
      <c r="Z292" s="135">
        <v>0.0</v>
      </c>
      <c r="AA292" s="135">
        <v>0.0</v>
      </c>
      <c r="AB292" s="135">
        <v>0.0</v>
      </c>
      <c r="AC292" s="135">
        <v>0.0</v>
      </c>
      <c r="AD292" s="135">
        <v>0.0</v>
      </c>
      <c r="AE292" s="135">
        <v>0.0</v>
      </c>
      <c r="AF292" s="135">
        <v>0.0</v>
      </c>
      <c r="AG292" s="135">
        <v>0.0</v>
      </c>
      <c r="AH292" s="135">
        <v>0.0</v>
      </c>
      <c r="AI292" s="135">
        <v>0.0</v>
      </c>
      <c r="AJ292" s="135">
        <v>0.0</v>
      </c>
      <c r="AK292" s="135">
        <v>0.0</v>
      </c>
      <c r="AL292" s="135">
        <v>0.0</v>
      </c>
      <c r="AM292" s="135">
        <v>0.0</v>
      </c>
      <c r="AN292" s="137">
        <v>0.0</v>
      </c>
    </row>
    <row r="293">
      <c r="A293" s="138" t="s">
        <v>220</v>
      </c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</row>
    <row r="294">
      <c r="A294" s="132" t="s">
        <v>197</v>
      </c>
      <c r="B294" s="133" t="s">
        <v>198</v>
      </c>
      <c r="C294" s="134">
        <v>124730.0</v>
      </c>
      <c r="D294" s="134">
        <v>44077.0</v>
      </c>
      <c r="E294" s="134">
        <v>80653.0</v>
      </c>
      <c r="F294" s="135">
        <v>0.0</v>
      </c>
      <c r="G294" s="135">
        <v>0.0</v>
      </c>
      <c r="H294" s="135">
        <v>0.0</v>
      </c>
      <c r="I294" s="135">
        <v>0.0</v>
      </c>
      <c r="J294" s="135">
        <v>0.0</v>
      </c>
      <c r="K294" s="135">
        <v>0.0</v>
      </c>
      <c r="L294" s="137">
        <v>70.0</v>
      </c>
      <c r="M294" s="137">
        <v>47.0</v>
      </c>
      <c r="N294" s="137">
        <v>110.0</v>
      </c>
      <c r="O294" s="137">
        <v>147.0</v>
      </c>
      <c r="P294" s="137">
        <v>226.0</v>
      </c>
      <c r="Q294" s="137">
        <v>337.0</v>
      </c>
      <c r="R294" s="137">
        <v>309.0</v>
      </c>
      <c r="S294" s="137">
        <v>620.0</v>
      </c>
      <c r="T294" s="137">
        <v>565.0</v>
      </c>
      <c r="U294" s="134">
        <v>1090.0</v>
      </c>
      <c r="V294" s="134">
        <v>1125.0</v>
      </c>
      <c r="W294" s="134">
        <v>1989.0</v>
      </c>
      <c r="X294" s="134">
        <v>2068.0</v>
      </c>
      <c r="Y294" s="134">
        <v>3861.0</v>
      </c>
      <c r="Z294" s="134">
        <v>3439.0</v>
      </c>
      <c r="AA294" s="134">
        <v>6698.0</v>
      </c>
      <c r="AB294" s="134">
        <v>4511.0</v>
      </c>
      <c r="AC294" s="134">
        <v>8700.0</v>
      </c>
      <c r="AD294" s="134">
        <v>5309.0</v>
      </c>
      <c r="AE294" s="134">
        <v>10061.0</v>
      </c>
      <c r="AF294" s="134">
        <v>6214.0</v>
      </c>
      <c r="AG294" s="134">
        <v>10896.0</v>
      </c>
      <c r="AH294" s="134">
        <v>6906.0</v>
      </c>
      <c r="AI294" s="134">
        <v>11774.0</v>
      </c>
      <c r="AJ294" s="134">
        <v>6327.0</v>
      </c>
      <c r="AK294" s="134">
        <v>10282.0</v>
      </c>
      <c r="AL294" s="134">
        <v>6898.0</v>
      </c>
      <c r="AM294" s="134">
        <v>14150.0</v>
      </c>
      <c r="AN294" s="134">
        <v>123019.0</v>
      </c>
    </row>
    <row r="295">
      <c r="A295" s="98"/>
      <c r="B295" s="136" t="s">
        <v>199</v>
      </c>
      <c r="C295" s="134">
        <v>62484.0</v>
      </c>
      <c r="D295" s="134">
        <v>21887.0</v>
      </c>
      <c r="E295" s="134">
        <v>40597.0</v>
      </c>
      <c r="F295" s="135">
        <v>0.0</v>
      </c>
      <c r="G295" s="135">
        <v>0.0</v>
      </c>
      <c r="H295" s="135">
        <v>0.0</v>
      </c>
      <c r="I295" s="135">
        <v>0.0</v>
      </c>
      <c r="J295" s="135">
        <v>0.0</v>
      </c>
      <c r="K295" s="135">
        <v>0.0</v>
      </c>
      <c r="L295" s="137">
        <v>9.0</v>
      </c>
      <c r="M295" s="137">
        <v>13.0</v>
      </c>
      <c r="N295" s="137">
        <v>54.0</v>
      </c>
      <c r="O295" s="137">
        <v>44.0</v>
      </c>
      <c r="P295" s="137">
        <v>87.0</v>
      </c>
      <c r="Q295" s="137">
        <v>108.0</v>
      </c>
      <c r="R295" s="137">
        <v>136.0</v>
      </c>
      <c r="S295" s="137">
        <v>198.0</v>
      </c>
      <c r="T295" s="137">
        <v>287.0</v>
      </c>
      <c r="U295" s="137">
        <v>409.0</v>
      </c>
      <c r="V295" s="137">
        <v>503.0</v>
      </c>
      <c r="W295" s="137">
        <v>752.0</v>
      </c>
      <c r="X295" s="137">
        <v>947.0</v>
      </c>
      <c r="Y295" s="134">
        <v>1662.0</v>
      </c>
      <c r="Z295" s="134">
        <v>1605.0</v>
      </c>
      <c r="AA295" s="134">
        <v>2965.0</v>
      </c>
      <c r="AB295" s="134">
        <v>2193.0</v>
      </c>
      <c r="AC295" s="134">
        <v>3876.0</v>
      </c>
      <c r="AD295" s="134">
        <v>2533.0</v>
      </c>
      <c r="AE295" s="134">
        <v>4884.0</v>
      </c>
      <c r="AF295" s="134">
        <v>2956.0</v>
      </c>
      <c r="AG295" s="134">
        <v>5482.0</v>
      </c>
      <c r="AH295" s="134">
        <v>3549.0</v>
      </c>
      <c r="AI295" s="134">
        <v>6413.0</v>
      </c>
      <c r="AJ295" s="134">
        <v>3232.0</v>
      </c>
      <c r="AK295" s="134">
        <v>5709.0</v>
      </c>
      <c r="AL295" s="134">
        <v>3796.0</v>
      </c>
      <c r="AM295" s="134">
        <v>8082.0</v>
      </c>
      <c r="AN295" s="134">
        <v>61346.0</v>
      </c>
    </row>
    <row r="296">
      <c r="A296" s="98"/>
      <c r="B296" s="136" t="s">
        <v>200</v>
      </c>
      <c r="C296" s="134">
        <v>49750.0</v>
      </c>
      <c r="D296" s="134">
        <v>16593.0</v>
      </c>
      <c r="E296" s="134">
        <v>33157.0</v>
      </c>
      <c r="F296" s="135">
        <v>0.0</v>
      </c>
      <c r="G296" s="135">
        <v>0.0</v>
      </c>
      <c r="H296" s="135">
        <v>0.0</v>
      </c>
      <c r="I296" s="135">
        <v>0.0</v>
      </c>
      <c r="J296" s="135">
        <v>0.0</v>
      </c>
      <c r="K296" s="135">
        <v>0.0</v>
      </c>
      <c r="L296" s="137">
        <v>27.0</v>
      </c>
      <c r="M296" s="137">
        <v>28.0</v>
      </c>
      <c r="N296" s="137">
        <v>37.0</v>
      </c>
      <c r="O296" s="137">
        <v>80.0</v>
      </c>
      <c r="P296" s="137">
        <v>79.0</v>
      </c>
      <c r="Q296" s="137">
        <v>144.0</v>
      </c>
      <c r="R296" s="137">
        <v>129.0</v>
      </c>
      <c r="S296" s="137">
        <v>281.0</v>
      </c>
      <c r="T296" s="137">
        <v>231.0</v>
      </c>
      <c r="U296" s="137">
        <v>475.0</v>
      </c>
      <c r="V296" s="137">
        <v>438.0</v>
      </c>
      <c r="W296" s="137">
        <v>849.0</v>
      </c>
      <c r="X296" s="137">
        <v>777.0</v>
      </c>
      <c r="Y296" s="134">
        <v>1633.0</v>
      </c>
      <c r="Z296" s="134">
        <v>1186.0</v>
      </c>
      <c r="AA296" s="134">
        <v>2822.0</v>
      </c>
      <c r="AB296" s="134">
        <v>1673.0</v>
      </c>
      <c r="AC296" s="134">
        <v>3584.0</v>
      </c>
      <c r="AD296" s="134">
        <v>1956.0</v>
      </c>
      <c r="AE296" s="134">
        <v>4094.0</v>
      </c>
      <c r="AF296" s="134">
        <v>2459.0</v>
      </c>
      <c r="AG296" s="134">
        <v>4391.0</v>
      </c>
      <c r="AH296" s="134">
        <v>2646.0</v>
      </c>
      <c r="AI296" s="134">
        <v>5045.0</v>
      </c>
      <c r="AJ296" s="134">
        <v>2380.0</v>
      </c>
      <c r="AK296" s="134">
        <v>4365.0</v>
      </c>
      <c r="AL296" s="134">
        <v>2575.0</v>
      </c>
      <c r="AM296" s="134">
        <v>5366.0</v>
      </c>
      <c r="AN296" s="134">
        <v>48857.0</v>
      </c>
    </row>
    <row r="297">
      <c r="A297" s="104"/>
      <c r="B297" s="136" t="s">
        <v>201</v>
      </c>
      <c r="C297" s="134">
        <v>1126.0</v>
      </c>
      <c r="D297" s="137">
        <v>367.0</v>
      </c>
      <c r="E297" s="137">
        <v>759.0</v>
      </c>
      <c r="F297" s="135">
        <v>0.0</v>
      </c>
      <c r="G297" s="135">
        <v>0.0</v>
      </c>
      <c r="H297" s="135">
        <v>0.0</v>
      </c>
      <c r="I297" s="135">
        <v>0.0</v>
      </c>
      <c r="J297" s="135">
        <v>0.0</v>
      </c>
      <c r="K297" s="135">
        <v>0.0</v>
      </c>
      <c r="L297" s="137">
        <v>0.0</v>
      </c>
      <c r="M297" s="137">
        <v>1.0</v>
      </c>
      <c r="N297" s="137">
        <v>1.0</v>
      </c>
      <c r="O297" s="137">
        <v>0.0</v>
      </c>
      <c r="P297" s="137">
        <v>0.0</v>
      </c>
      <c r="Q297" s="137">
        <v>3.0</v>
      </c>
      <c r="R297" s="137">
        <v>0.0</v>
      </c>
      <c r="S297" s="137">
        <v>1.0</v>
      </c>
      <c r="T297" s="137">
        <v>1.0</v>
      </c>
      <c r="U297" s="137">
        <v>5.0</v>
      </c>
      <c r="V297" s="137">
        <v>3.0</v>
      </c>
      <c r="W297" s="137">
        <v>11.0</v>
      </c>
      <c r="X297" s="137">
        <v>6.0</v>
      </c>
      <c r="Y297" s="137">
        <v>12.0</v>
      </c>
      <c r="Z297" s="137">
        <v>13.0</v>
      </c>
      <c r="AA297" s="137">
        <v>23.0</v>
      </c>
      <c r="AB297" s="137">
        <v>10.0</v>
      </c>
      <c r="AC297" s="137">
        <v>24.0</v>
      </c>
      <c r="AD297" s="137">
        <v>19.0</v>
      </c>
      <c r="AE297" s="137">
        <v>55.0</v>
      </c>
      <c r="AF297" s="137">
        <v>84.0</v>
      </c>
      <c r="AG297" s="137">
        <v>181.0</v>
      </c>
      <c r="AH297" s="137">
        <v>89.0</v>
      </c>
      <c r="AI297" s="137">
        <v>175.0</v>
      </c>
      <c r="AJ297" s="137">
        <v>70.0</v>
      </c>
      <c r="AK297" s="137">
        <v>151.0</v>
      </c>
      <c r="AL297" s="137">
        <v>71.0</v>
      </c>
      <c r="AM297" s="137">
        <v>117.0</v>
      </c>
      <c r="AN297" s="134">
        <v>1126.0</v>
      </c>
    </row>
    <row r="298">
      <c r="A298" s="132" t="s">
        <v>202</v>
      </c>
      <c r="B298" s="136" t="s">
        <v>198</v>
      </c>
      <c r="C298" s="137">
        <v>737.0</v>
      </c>
      <c r="D298" s="137">
        <v>349.0</v>
      </c>
      <c r="E298" s="137">
        <v>388.0</v>
      </c>
      <c r="F298" s="137">
        <v>2.0</v>
      </c>
      <c r="G298" s="137">
        <v>2.0</v>
      </c>
      <c r="H298" s="137">
        <v>6.0</v>
      </c>
      <c r="I298" s="137">
        <v>8.0</v>
      </c>
      <c r="J298" s="137">
        <v>14.0</v>
      </c>
      <c r="K298" s="137">
        <v>8.0</v>
      </c>
      <c r="L298" s="137">
        <v>5.0</v>
      </c>
      <c r="M298" s="137">
        <v>4.0</v>
      </c>
      <c r="N298" s="137">
        <v>19.0</v>
      </c>
      <c r="O298" s="137">
        <v>27.0</v>
      </c>
      <c r="P298" s="137">
        <v>44.0</v>
      </c>
      <c r="Q298" s="137">
        <v>21.0</v>
      </c>
      <c r="R298" s="137">
        <v>37.0</v>
      </c>
      <c r="S298" s="137">
        <v>32.0</v>
      </c>
      <c r="T298" s="137">
        <v>26.0</v>
      </c>
      <c r="U298" s="137">
        <v>19.0</v>
      </c>
      <c r="V298" s="137">
        <v>21.0</v>
      </c>
      <c r="W298" s="137">
        <v>33.0</v>
      </c>
      <c r="X298" s="137">
        <v>36.0</v>
      </c>
      <c r="Y298" s="137">
        <v>14.0</v>
      </c>
      <c r="Z298" s="137">
        <v>27.0</v>
      </c>
      <c r="AA298" s="137">
        <v>11.0</v>
      </c>
      <c r="AB298" s="137">
        <v>15.0</v>
      </c>
      <c r="AC298" s="137">
        <v>37.0</v>
      </c>
      <c r="AD298" s="137">
        <v>19.0</v>
      </c>
      <c r="AE298" s="137">
        <v>41.0</v>
      </c>
      <c r="AF298" s="137">
        <v>12.0</v>
      </c>
      <c r="AG298" s="137">
        <v>23.0</v>
      </c>
      <c r="AH298" s="137">
        <v>18.0</v>
      </c>
      <c r="AI298" s="137">
        <v>33.0</v>
      </c>
      <c r="AJ298" s="137">
        <v>29.0</v>
      </c>
      <c r="AK298" s="137">
        <v>29.0</v>
      </c>
      <c r="AL298" s="137">
        <v>19.0</v>
      </c>
      <c r="AM298" s="137">
        <v>46.0</v>
      </c>
      <c r="AN298" s="137">
        <v>653.0</v>
      </c>
    </row>
    <row r="299">
      <c r="A299" s="104"/>
      <c r="B299" s="136" t="s">
        <v>199</v>
      </c>
      <c r="C299" s="137">
        <v>453.0</v>
      </c>
      <c r="D299" s="137">
        <v>214.0</v>
      </c>
      <c r="E299" s="137">
        <v>239.0</v>
      </c>
      <c r="F299" s="137">
        <v>8.0</v>
      </c>
      <c r="G299" s="137">
        <v>1.0</v>
      </c>
      <c r="H299" s="137">
        <v>4.0</v>
      </c>
      <c r="I299" s="137">
        <v>6.0</v>
      </c>
      <c r="J299" s="137">
        <v>3.0</v>
      </c>
      <c r="K299" s="137">
        <v>9.0</v>
      </c>
      <c r="L299" s="137">
        <v>10.0</v>
      </c>
      <c r="M299" s="137">
        <v>11.0</v>
      </c>
      <c r="N299" s="137">
        <v>22.0</v>
      </c>
      <c r="O299" s="137">
        <v>13.0</v>
      </c>
      <c r="P299" s="137">
        <v>34.0</v>
      </c>
      <c r="Q299" s="137">
        <v>22.0</v>
      </c>
      <c r="R299" s="137">
        <v>11.0</v>
      </c>
      <c r="S299" s="137">
        <v>31.0</v>
      </c>
      <c r="T299" s="137">
        <v>11.0</v>
      </c>
      <c r="U299" s="137">
        <v>8.0</v>
      </c>
      <c r="V299" s="137">
        <v>12.0</v>
      </c>
      <c r="W299" s="137">
        <v>16.0</v>
      </c>
      <c r="X299" s="137">
        <v>23.0</v>
      </c>
      <c r="Y299" s="137">
        <v>3.0</v>
      </c>
      <c r="Z299" s="137">
        <v>18.0</v>
      </c>
      <c r="AA299" s="137">
        <v>9.0</v>
      </c>
      <c r="AB299" s="137">
        <v>10.0</v>
      </c>
      <c r="AC299" s="137">
        <v>16.0</v>
      </c>
      <c r="AD299" s="137">
        <v>13.0</v>
      </c>
      <c r="AE299" s="137">
        <v>21.0</v>
      </c>
      <c r="AF299" s="137">
        <v>10.0</v>
      </c>
      <c r="AG299" s="137">
        <v>21.0</v>
      </c>
      <c r="AH299" s="137">
        <v>13.0</v>
      </c>
      <c r="AI299" s="137">
        <v>11.0</v>
      </c>
      <c r="AJ299" s="137">
        <v>8.0</v>
      </c>
      <c r="AK299" s="137">
        <v>26.0</v>
      </c>
      <c r="AL299" s="137">
        <v>4.0</v>
      </c>
      <c r="AM299" s="137">
        <v>15.0</v>
      </c>
      <c r="AN299" s="137">
        <v>385.0</v>
      </c>
    </row>
    <row r="300">
      <c r="A300" s="132" t="s">
        <v>203</v>
      </c>
      <c r="B300" s="136" t="s">
        <v>198</v>
      </c>
      <c r="C300" s="137">
        <v>37.0</v>
      </c>
      <c r="D300" s="137">
        <v>8.0</v>
      </c>
      <c r="E300" s="137">
        <v>29.0</v>
      </c>
      <c r="F300" s="135">
        <v>0.0</v>
      </c>
      <c r="G300" s="135">
        <v>0.0</v>
      </c>
      <c r="H300" s="135">
        <v>0.0</v>
      </c>
      <c r="I300" s="135">
        <v>0.0</v>
      </c>
      <c r="J300" s="135">
        <v>0.0</v>
      </c>
      <c r="K300" s="135">
        <v>0.0</v>
      </c>
      <c r="L300" s="135">
        <v>0.0</v>
      </c>
      <c r="M300" s="135">
        <v>0.0</v>
      </c>
      <c r="N300" s="135">
        <v>0.0</v>
      </c>
      <c r="O300" s="135">
        <v>0.0</v>
      </c>
      <c r="P300" s="135">
        <v>0.0</v>
      </c>
      <c r="Q300" s="135">
        <v>0.0</v>
      </c>
      <c r="R300" s="135">
        <v>0.0</v>
      </c>
      <c r="S300" s="135">
        <v>0.0</v>
      </c>
      <c r="T300" s="135">
        <v>0.0</v>
      </c>
      <c r="U300" s="135">
        <v>0.0</v>
      </c>
      <c r="V300" s="135">
        <v>0.0</v>
      </c>
      <c r="W300" s="135">
        <v>0.0</v>
      </c>
      <c r="X300" s="135">
        <v>0.0</v>
      </c>
      <c r="Y300" s="135">
        <v>0.0</v>
      </c>
      <c r="Z300" s="135">
        <v>0.0</v>
      </c>
      <c r="AA300" s="135">
        <v>0.0</v>
      </c>
      <c r="AB300" s="135">
        <v>0.0</v>
      </c>
      <c r="AC300" s="135">
        <v>0.0</v>
      </c>
      <c r="AD300" s="135">
        <v>0.0</v>
      </c>
      <c r="AE300" s="135">
        <v>0.0</v>
      </c>
      <c r="AF300" s="137">
        <v>1.0</v>
      </c>
      <c r="AG300" s="137">
        <v>5.0</v>
      </c>
      <c r="AH300" s="137">
        <v>6.0</v>
      </c>
      <c r="AI300" s="137">
        <v>11.0</v>
      </c>
      <c r="AJ300" s="137">
        <v>1.0</v>
      </c>
      <c r="AK300" s="137">
        <v>9.0</v>
      </c>
      <c r="AL300" s="137">
        <v>0.0</v>
      </c>
      <c r="AM300" s="137">
        <v>4.0</v>
      </c>
      <c r="AN300" s="137">
        <v>37.0</v>
      </c>
    </row>
    <row r="301">
      <c r="A301" s="104"/>
      <c r="B301" s="136" t="s">
        <v>199</v>
      </c>
      <c r="C301" s="134">
        <v>4308.0</v>
      </c>
      <c r="D301" s="134">
        <v>1407.0</v>
      </c>
      <c r="E301" s="134">
        <v>2901.0</v>
      </c>
      <c r="F301" s="135">
        <v>0.0</v>
      </c>
      <c r="G301" s="135">
        <v>0.0</v>
      </c>
      <c r="H301" s="135">
        <v>0.0</v>
      </c>
      <c r="I301" s="135">
        <v>0.0</v>
      </c>
      <c r="J301" s="135">
        <v>0.0</v>
      </c>
      <c r="K301" s="135">
        <v>0.0</v>
      </c>
      <c r="L301" s="135">
        <v>0.0</v>
      </c>
      <c r="M301" s="135">
        <v>0.0</v>
      </c>
      <c r="N301" s="135">
        <v>0.0</v>
      </c>
      <c r="O301" s="135">
        <v>0.0</v>
      </c>
      <c r="P301" s="135">
        <v>0.0</v>
      </c>
      <c r="Q301" s="135">
        <v>0.0</v>
      </c>
      <c r="R301" s="135">
        <v>0.0</v>
      </c>
      <c r="S301" s="135">
        <v>0.0</v>
      </c>
      <c r="T301" s="135">
        <v>0.0</v>
      </c>
      <c r="U301" s="135">
        <v>0.0</v>
      </c>
      <c r="V301" s="135">
        <v>0.0</v>
      </c>
      <c r="W301" s="135">
        <v>0.0</v>
      </c>
      <c r="X301" s="135">
        <v>0.0</v>
      </c>
      <c r="Y301" s="135">
        <v>0.0</v>
      </c>
      <c r="Z301" s="135">
        <v>0.0</v>
      </c>
      <c r="AA301" s="135">
        <v>0.0</v>
      </c>
      <c r="AB301" s="135">
        <v>0.0</v>
      </c>
      <c r="AC301" s="135">
        <v>0.0</v>
      </c>
      <c r="AD301" s="135">
        <v>0.0</v>
      </c>
      <c r="AE301" s="135">
        <v>0.0</v>
      </c>
      <c r="AF301" s="137">
        <v>279.0</v>
      </c>
      <c r="AG301" s="137">
        <v>652.0</v>
      </c>
      <c r="AH301" s="137">
        <v>451.0</v>
      </c>
      <c r="AI301" s="137">
        <v>877.0</v>
      </c>
      <c r="AJ301" s="137">
        <v>392.0</v>
      </c>
      <c r="AK301" s="137">
        <v>699.0</v>
      </c>
      <c r="AL301" s="137">
        <v>285.0</v>
      </c>
      <c r="AM301" s="137">
        <v>673.0</v>
      </c>
      <c r="AN301" s="134">
        <v>4166.0</v>
      </c>
    </row>
    <row r="302">
      <c r="A302" s="132" t="s">
        <v>204</v>
      </c>
      <c r="B302" s="136" t="s">
        <v>198</v>
      </c>
      <c r="C302" s="137">
        <v>20.0</v>
      </c>
      <c r="D302" s="137">
        <v>5.0</v>
      </c>
      <c r="E302" s="137">
        <v>15.0</v>
      </c>
      <c r="F302" s="135">
        <v>0.0</v>
      </c>
      <c r="G302" s="135">
        <v>0.0</v>
      </c>
      <c r="H302" s="135">
        <v>0.0</v>
      </c>
      <c r="I302" s="135">
        <v>0.0</v>
      </c>
      <c r="J302" s="135">
        <v>0.0</v>
      </c>
      <c r="K302" s="135">
        <v>0.0</v>
      </c>
      <c r="L302" s="135">
        <v>0.0</v>
      </c>
      <c r="M302" s="135">
        <v>0.0</v>
      </c>
      <c r="N302" s="135">
        <v>0.0</v>
      </c>
      <c r="O302" s="135">
        <v>0.0</v>
      </c>
      <c r="P302" s="135">
        <v>0.0</v>
      </c>
      <c r="Q302" s="135">
        <v>0.0</v>
      </c>
      <c r="R302" s="135">
        <v>0.0</v>
      </c>
      <c r="S302" s="135">
        <v>0.0</v>
      </c>
      <c r="T302" s="135">
        <v>0.0</v>
      </c>
      <c r="U302" s="135">
        <v>0.0</v>
      </c>
      <c r="V302" s="135">
        <v>0.0</v>
      </c>
      <c r="W302" s="135">
        <v>0.0</v>
      </c>
      <c r="X302" s="135">
        <v>0.0</v>
      </c>
      <c r="Y302" s="135">
        <v>0.0</v>
      </c>
      <c r="Z302" s="135">
        <v>0.0</v>
      </c>
      <c r="AA302" s="135">
        <v>0.0</v>
      </c>
      <c r="AB302" s="135">
        <v>0.0</v>
      </c>
      <c r="AC302" s="135">
        <v>0.0</v>
      </c>
      <c r="AD302" s="135">
        <v>0.0</v>
      </c>
      <c r="AE302" s="135">
        <v>0.0</v>
      </c>
      <c r="AF302" s="137">
        <v>0.0</v>
      </c>
      <c r="AG302" s="137">
        <v>0.0</v>
      </c>
      <c r="AH302" s="137">
        <v>3.0</v>
      </c>
      <c r="AI302" s="137">
        <v>5.0</v>
      </c>
      <c r="AJ302" s="137">
        <v>1.0</v>
      </c>
      <c r="AK302" s="137">
        <v>3.0</v>
      </c>
      <c r="AL302" s="137">
        <v>1.0</v>
      </c>
      <c r="AM302" s="137">
        <v>7.0</v>
      </c>
      <c r="AN302" s="137">
        <v>20.0</v>
      </c>
    </row>
    <row r="303">
      <c r="A303" s="104"/>
      <c r="B303" s="136" t="s">
        <v>199</v>
      </c>
      <c r="C303" s="134">
        <v>3199.0</v>
      </c>
      <c r="D303" s="134">
        <v>1007.0</v>
      </c>
      <c r="E303" s="134">
        <v>2192.0</v>
      </c>
      <c r="F303" s="135">
        <v>0.0</v>
      </c>
      <c r="G303" s="135">
        <v>0.0</v>
      </c>
      <c r="H303" s="135">
        <v>0.0</v>
      </c>
      <c r="I303" s="135">
        <v>0.0</v>
      </c>
      <c r="J303" s="135">
        <v>0.0</v>
      </c>
      <c r="K303" s="135">
        <v>0.0</v>
      </c>
      <c r="L303" s="135">
        <v>0.0</v>
      </c>
      <c r="M303" s="135">
        <v>0.0</v>
      </c>
      <c r="N303" s="135">
        <v>0.0</v>
      </c>
      <c r="O303" s="135">
        <v>0.0</v>
      </c>
      <c r="P303" s="135">
        <v>0.0</v>
      </c>
      <c r="Q303" s="135">
        <v>0.0</v>
      </c>
      <c r="R303" s="135">
        <v>0.0</v>
      </c>
      <c r="S303" s="135">
        <v>0.0</v>
      </c>
      <c r="T303" s="135">
        <v>0.0</v>
      </c>
      <c r="U303" s="135">
        <v>0.0</v>
      </c>
      <c r="V303" s="135">
        <v>0.0</v>
      </c>
      <c r="W303" s="135">
        <v>0.0</v>
      </c>
      <c r="X303" s="135">
        <v>0.0</v>
      </c>
      <c r="Y303" s="135">
        <v>0.0</v>
      </c>
      <c r="Z303" s="135">
        <v>0.0</v>
      </c>
      <c r="AA303" s="135">
        <v>0.0</v>
      </c>
      <c r="AB303" s="135">
        <v>0.0</v>
      </c>
      <c r="AC303" s="135">
        <v>0.0</v>
      </c>
      <c r="AD303" s="135">
        <v>0.0</v>
      </c>
      <c r="AE303" s="135">
        <v>0.0</v>
      </c>
      <c r="AF303" s="137">
        <v>111.0</v>
      </c>
      <c r="AG303" s="137">
        <v>213.0</v>
      </c>
      <c r="AH303" s="137">
        <v>178.0</v>
      </c>
      <c r="AI303" s="137">
        <v>415.0</v>
      </c>
      <c r="AJ303" s="137">
        <v>229.0</v>
      </c>
      <c r="AK303" s="137">
        <v>483.0</v>
      </c>
      <c r="AL303" s="137">
        <v>489.0</v>
      </c>
      <c r="AM303" s="134">
        <v>1081.0</v>
      </c>
      <c r="AN303" s="134">
        <v>3152.0</v>
      </c>
    </row>
    <row r="304">
      <c r="A304" s="132" t="s">
        <v>205</v>
      </c>
      <c r="B304" s="136" t="s">
        <v>198</v>
      </c>
      <c r="C304" s="137">
        <v>4.0</v>
      </c>
      <c r="D304" s="137">
        <v>0.0</v>
      </c>
      <c r="E304" s="137">
        <v>4.0</v>
      </c>
      <c r="F304" s="137">
        <v>0.0</v>
      </c>
      <c r="G304" s="137">
        <v>0.0</v>
      </c>
      <c r="H304" s="137">
        <v>0.0</v>
      </c>
      <c r="I304" s="137">
        <v>0.0</v>
      </c>
      <c r="J304" s="137">
        <v>0.0</v>
      </c>
      <c r="K304" s="137">
        <v>0.0</v>
      </c>
      <c r="L304" s="137">
        <v>0.0</v>
      </c>
      <c r="M304" s="137">
        <v>0.0</v>
      </c>
      <c r="N304" s="137">
        <v>0.0</v>
      </c>
      <c r="O304" s="137">
        <v>1.0</v>
      </c>
      <c r="P304" s="137">
        <v>0.0</v>
      </c>
      <c r="Q304" s="137">
        <v>2.0</v>
      </c>
      <c r="R304" s="137">
        <v>0.0</v>
      </c>
      <c r="S304" s="137">
        <v>0.0</v>
      </c>
      <c r="T304" s="137">
        <v>0.0</v>
      </c>
      <c r="U304" s="137">
        <v>0.0</v>
      </c>
      <c r="V304" s="137">
        <v>0.0</v>
      </c>
      <c r="W304" s="137">
        <v>0.0</v>
      </c>
      <c r="X304" s="137">
        <v>0.0</v>
      </c>
      <c r="Y304" s="137">
        <v>0.0</v>
      </c>
      <c r="Z304" s="137">
        <v>0.0</v>
      </c>
      <c r="AA304" s="137">
        <v>1.0</v>
      </c>
      <c r="AB304" s="137">
        <v>0.0</v>
      </c>
      <c r="AC304" s="137">
        <v>0.0</v>
      </c>
      <c r="AD304" s="137">
        <v>0.0</v>
      </c>
      <c r="AE304" s="137">
        <v>0.0</v>
      </c>
      <c r="AF304" s="137">
        <v>0.0</v>
      </c>
      <c r="AG304" s="137">
        <v>0.0</v>
      </c>
      <c r="AH304" s="137">
        <v>0.0</v>
      </c>
      <c r="AI304" s="137">
        <v>0.0</v>
      </c>
      <c r="AJ304" s="137">
        <v>0.0</v>
      </c>
      <c r="AK304" s="137">
        <v>0.0</v>
      </c>
      <c r="AL304" s="137">
        <v>0.0</v>
      </c>
      <c r="AM304" s="137">
        <v>0.0</v>
      </c>
      <c r="AN304" s="137">
        <v>4.0</v>
      </c>
    </row>
    <row r="305">
      <c r="A305" s="98"/>
      <c r="B305" s="136" t="s">
        <v>199</v>
      </c>
      <c r="C305" s="137">
        <v>126.0</v>
      </c>
      <c r="D305" s="137">
        <v>66.0</v>
      </c>
      <c r="E305" s="137">
        <v>60.0</v>
      </c>
      <c r="F305" s="137">
        <v>0.0</v>
      </c>
      <c r="G305" s="137">
        <v>0.0</v>
      </c>
      <c r="H305" s="137">
        <v>0.0</v>
      </c>
      <c r="I305" s="137">
        <v>0.0</v>
      </c>
      <c r="J305" s="137">
        <v>0.0</v>
      </c>
      <c r="K305" s="137">
        <v>0.0</v>
      </c>
      <c r="L305" s="137">
        <v>2.0</v>
      </c>
      <c r="M305" s="137">
        <v>1.0</v>
      </c>
      <c r="N305" s="137">
        <v>15.0</v>
      </c>
      <c r="O305" s="137">
        <v>7.0</v>
      </c>
      <c r="P305" s="137">
        <v>6.0</v>
      </c>
      <c r="Q305" s="137">
        <v>5.0</v>
      </c>
      <c r="R305" s="137">
        <v>12.0</v>
      </c>
      <c r="S305" s="137">
        <v>17.0</v>
      </c>
      <c r="T305" s="137">
        <v>13.0</v>
      </c>
      <c r="U305" s="137">
        <v>15.0</v>
      </c>
      <c r="V305" s="137">
        <v>7.0</v>
      </c>
      <c r="W305" s="137">
        <v>9.0</v>
      </c>
      <c r="X305" s="137">
        <v>3.0</v>
      </c>
      <c r="Y305" s="137">
        <v>4.0</v>
      </c>
      <c r="Z305" s="137">
        <v>7.0</v>
      </c>
      <c r="AA305" s="137">
        <v>0.0</v>
      </c>
      <c r="AB305" s="137">
        <v>0.0</v>
      </c>
      <c r="AC305" s="137">
        <v>0.0</v>
      </c>
      <c r="AD305" s="137">
        <v>1.0</v>
      </c>
      <c r="AE305" s="137">
        <v>0.0</v>
      </c>
      <c r="AF305" s="137">
        <v>0.0</v>
      </c>
      <c r="AG305" s="137">
        <v>0.0</v>
      </c>
      <c r="AH305" s="137">
        <v>0.0</v>
      </c>
      <c r="AI305" s="137">
        <v>0.0</v>
      </c>
      <c r="AJ305" s="137">
        <v>0.0</v>
      </c>
      <c r="AK305" s="137">
        <v>0.0</v>
      </c>
      <c r="AL305" s="137">
        <v>0.0</v>
      </c>
      <c r="AM305" s="137">
        <v>2.0</v>
      </c>
      <c r="AN305" s="137">
        <v>126.0</v>
      </c>
    </row>
    <row r="306">
      <c r="A306" s="104"/>
      <c r="B306" s="136" t="s">
        <v>206</v>
      </c>
      <c r="C306" s="137">
        <v>116.0</v>
      </c>
      <c r="D306" s="137">
        <v>9.0</v>
      </c>
      <c r="E306" s="137">
        <v>107.0</v>
      </c>
      <c r="F306" s="137">
        <v>0.0</v>
      </c>
      <c r="G306" s="137">
        <v>0.0</v>
      </c>
      <c r="H306" s="137">
        <v>0.0</v>
      </c>
      <c r="I306" s="137">
        <v>0.0</v>
      </c>
      <c r="J306" s="137">
        <v>0.0</v>
      </c>
      <c r="K306" s="137">
        <v>2.0</v>
      </c>
      <c r="L306" s="137">
        <v>0.0</v>
      </c>
      <c r="M306" s="137">
        <v>8.0</v>
      </c>
      <c r="N306" s="137">
        <v>3.0</v>
      </c>
      <c r="O306" s="137">
        <v>22.0</v>
      </c>
      <c r="P306" s="137">
        <v>2.0</v>
      </c>
      <c r="Q306" s="137">
        <v>23.0</v>
      </c>
      <c r="R306" s="137">
        <v>0.0</v>
      </c>
      <c r="S306" s="137">
        <v>16.0</v>
      </c>
      <c r="T306" s="137">
        <v>0.0</v>
      </c>
      <c r="U306" s="137">
        <v>11.0</v>
      </c>
      <c r="V306" s="137">
        <v>0.0</v>
      </c>
      <c r="W306" s="137">
        <v>10.0</v>
      </c>
      <c r="X306" s="137">
        <v>1.0</v>
      </c>
      <c r="Y306" s="137">
        <v>7.0</v>
      </c>
      <c r="Z306" s="137">
        <v>3.0</v>
      </c>
      <c r="AA306" s="137">
        <v>3.0</v>
      </c>
      <c r="AB306" s="137">
        <v>0.0</v>
      </c>
      <c r="AC306" s="137">
        <v>4.0</v>
      </c>
      <c r="AD306" s="137">
        <v>0.0</v>
      </c>
      <c r="AE306" s="137">
        <v>0.0</v>
      </c>
      <c r="AF306" s="137">
        <v>0.0</v>
      </c>
      <c r="AG306" s="137">
        <v>0.0</v>
      </c>
      <c r="AH306" s="137">
        <v>0.0</v>
      </c>
      <c r="AI306" s="137">
        <v>0.0</v>
      </c>
      <c r="AJ306" s="137">
        <v>0.0</v>
      </c>
      <c r="AK306" s="137">
        <v>0.0</v>
      </c>
      <c r="AL306" s="137">
        <v>0.0</v>
      </c>
      <c r="AM306" s="137">
        <v>1.0</v>
      </c>
      <c r="AN306" s="137">
        <v>116.0</v>
      </c>
    </row>
    <row r="307">
      <c r="A307" s="132" t="s">
        <v>207</v>
      </c>
      <c r="B307" s="136" t="s">
        <v>198</v>
      </c>
      <c r="C307" s="134">
        <v>13157.0</v>
      </c>
      <c r="D307" s="134">
        <v>2588.0</v>
      </c>
      <c r="E307" s="134">
        <v>10569.0</v>
      </c>
      <c r="F307" s="137">
        <v>161.0</v>
      </c>
      <c r="G307" s="137">
        <v>196.0</v>
      </c>
      <c r="H307" s="137">
        <v>67.0</v>
      </c>
      <c r="I307" s="137">
        <v>56.0</v>
      </c>
      <c r="J307" s="137">
        <v>57.0</v>
      </c>
      <c r="K307" s="137">
        <v>56.0</v>
      </c>
      <c r="L307" s="137">
        <v>58.0</v>
      </c>
      <c r="M307" s="137">
        <v>93.0</v>
      </c>
      <c r="N307" s="137">
        <v>51.0</v>
      </c>
      <c r="O307" s="137">
        <v>118.0</v>
      </c>
      <c r="P307" s="137">
        <v>44.0</v>
      </c>
      <c r="Q307" s="137">
        <v>224.0</v>
      </c>
      <c r="R307" s="137">
        <v>73.0</v>
      </c>
      <c r="S307" s="137">
        <v>260.0</v>
      </c>
      <c r="T307" s="137">
        <v>66.0</v>
      </c>
      <c r="U307" s="137">
        <v>304.0</v>
      </c>
      <c r="V307" s="137">
        <v>74.0</v>
      </c>
      <c r="W307" s="137">
        <v>448.0</v>
      </c>
      <c r="X307" s="137">
        <v>97.0</v>
      </c>
      <c r="Y307" s="137">
        <v>652.0</v>
      </c>
      <c r="Z307" s="137">
        <v>164.0</v>
      </c>
      <c r="AA307" s="137">
        <v>994.0</v>
      </c>
      <c r="AB307" s="137">
        <v>225.0</v>
      </c>
      <c r="AC307" s="134">
        <v>1245.0</v>
      </c>
      <c r="AD307" s="137">
        <v>250.0</v>
      </c>
      <c r="AE307" s="134">
        <v>1288.0</v>
      </c>
      <c r="AF307" s="137">
        <v>249.0</v>
      </c>
      <c r="AG307" s="134">
        <v>1158.0</v>
      </c>
      <c r="AH307" s="137">
        <v>294.0</v>
      </c>
      <c r="AI307" s="134">
        <v>1167.0</v>
      </c>
      <c r="AJ307" s="137">
        <v>258.0</v>
      </c>
      <c r="AK307" s="137">
        <v>954.0</v>
      </c>
      <c r="AL307" s="137">
        <v>400.0</v>
      </c>
      <c r="AM307" s="134">
        <v>1356.0</v>
      </c>
      <c r="AN307" s="134">
        <v>13068.0</v>
      </c>
    </row>
    <row r="308">
      <c r="A308" s="98"/>
      <c r="B308" s="136" t="s">
        <v>199</v>
      </c>
      <c r="C308" s="134">
        <v>2991.0</v>
      </c>
      <c r="D308" s="134">
        <v>1164.0</v>
      </c>
      <c r="E308" s="134">
        <v>1827.0</v>
      </c>
      <c r="F308" s="137">
        <v>100.0</v>
      </c>
      <c r="G308" s="137">
        <v>43.0</v>
      </c>
      <c r="H308" s="137">
        <v>35.0</v>
      </c>
      <c r="I308" s="137">
        <v>38.0</v>
      </c>
      <c r="J308" s="137">
        <v>5.0</v>
      </c>
      <c r="K308" s="137">
        <v>0.0</v>
      </c>
      <c r="L308" s="137">
        <v>19.0</v>
      </c>
      <c r="M308" s="137">
        <v>9.0</v>
      </c>
      <c r="N308" s="137">
        <v>13.0</v>
      </c>
      <c r="O308" s="137">
        <v>9.0</v>
      </c>
      <c r="P308" s="137">
        <v>14.0</v>
      </c>
      <c r="Q308" s="137">
        <v>14.0</v>
      </c>
      <c r="R308" s="137">
        <v>21.0</v>
      </c>
      <c r="S308" s="137">
        <v>36.0</v>
      </c>
      <c r="T308" s="137">
        <v>19.0</v>
      </c>
      <c r="U308" s="137">
        <v>52.0</v>
      </c>
      <c r="V308" s="137">
        <v>32.0</v>
      </c>
      <c r="W308" s="137">
        <v>39.0</v>
      </c>
      <c r="X308" s="137">
        <v>40.0</v>
      </c>
      <c r="Y308" s="137">
        <v>95.0</v>
      </c>
      <c r="Z308" s="137">
        <v>74.0</v>
      </c>
      <c r="AA308" s="137">
        <v>166.0</v>
      </c>
      <c r="AB308" s="137">
        <v>92.0</v>
      </c>
      <c r="AC308" s="137">
        <v>209.0</v>
      </c>
      <c r="AD308" s="137">
        <v>122.0</v>
      </c>
      <c r="AE308" s="137">
        <v>240.0</v>
      </c>
      <c r="AF308" s="137">
        <v>117.0</v>
      </c>
      <c r="AG308" s="137">
        <v>174.0</v>
      </c>
      <c r="AH308" s="137">
        <v>129.0</v>
      </c>
      <c r="AI308" s="137">
        <v>157.0</v>
      </c>
      <c r="AJ308" s="137">
        <v>111.0</v>
      </c>
      <c r="AK308" s="137">
        <v>153.0</v>
      </c>
      <c r="AL308" s="137">
        <v>221.0</v>
      </c>
      <c r="AM308" s="137">
        <v>393.0</v>
      </c>
      <c r="AN308" s="134">
        <v>2695.0</v>
      </c>
    </row>
    <row r="309">
      <c r="A309" s="98"/>
      <c r="B309" s="136" t="s">
        <v>206</v>
      </c>
      <c r="C309" s="137">
        <v>141.0</v>
      </c>
      <c r="D309" s="137">
        <v>37.0</v>
      </c>
      <c r="E309" s="137">
        <v>104.0</v>
      </c>
      <c r="F309" s="137">
        <v>32.0</v>
      </c>
      <c r="G309" s="137">
        <v>30.0</v>
      </c>
      <c r="H309" s="137">
        <v>4.0</v>
      </c>
      <c r="I309" s="137">
        <v>5.0</v>
      </c>
      <c r="J309" s="137">
        <v>0.0</v>
      </c>
      <c r="K309" s="137">
        <v>0.0</v>
      </c>
      <c r="L309" s="137">
        <v>0.0</v>
      </c>
      <c r="M309" s="137">
        <v>5.0</v>
      </c>
      <c r="N309" s="137">
        <v>0.0</v>
      </c>
      <c r="O309" s="137">
        <v>16.0</v>
      </c>
      <c r="P309" s="137">
        <v>0.0</v>
      </c>
      <c r="Q309" s="137">
        <v>22.0</v>
      </c>
      <c r="R309" s="137">
        <v>0.0</v>
      </c>
      <c r="S309" s="137">
        <v>6.0</v>
      </c>
      <c r="T309" s="137">
        <v>0.0</v>
      </c>
      <c r="U309" s="137">
        <v>4.0</v>
      </c>
      <c r="V309" s="137">
        <v>0.0</v>
      </c>
      <c r="W309" s="137">
        <v>8.0</v>
      </c>
      <c r="X309" s="137">
        <v>0.0</v>
      </c>
      <c r="Y309" s="137">
        <v>4.0</v>
      </c>
      <c r="Z309" s="137">
        <v>1.0</v>
      </c>
      <c r="AA309" s="137">
        <v>1.0</v>
      </c>
      <c r="AB309" s="137">
        <v>0.0</v>
      </c>
      <c r="AC309" s="137">
        <v>2.0</v>
      </c>
      <c r="AD309" s="137">
        <v>0.0</v>
      </c>
      <c r="AE309" s="137">
        <v>1.0</v>
      </c>
      <c r="AF309" s="137">
        <v>0.0</v>
      </c>
      <c r="AG309" s="137">
        <v>0.0</v>
      </c>
      <c r="AH309" s="137">
        <v>0.0</v>
      </c>
      <c r="AI309" s="137">
        <v>0.0</v>
      </c>
      <c r="AJ309" s="137">
        <v>0.0</v>
      </c>
      <c r="AK309" s="137">
        <v>0.0</v>
      </c>
      <c r="AL309" s="137">
        <v>0.0</v>
      </c>
      <c r="AM309" s="137">
        <v>0.0</v>
      </c>
      <c r="AN309" s="137">
        <v>70.0</v>
      </c>
    </row>
    <row r="310">
      <c r="A310" s="98"/>
      <c r="B310" s="136" t="s">
        <v>200</v>
      </c>
      <c r="C310" s="134">
        <v>2492.0</v>
      </c>
      <c r="D310" s="134">
        <v>1045.0</v>
      </c>
      <c r="E310" s="134">
        <v>1447.0</v>
      </c>
      <c r="F310" s="137">
        <v>580.0</v>
      </c>
      <c r="G310" s="137">
        <v>526.0</v>
      </c>
      <c r="H310" s="137">
        <v>111.0</v>
      </c>
      <c r="I310" s="137">
        <v>86.0</v>
      </c>
      <c r="J310" s="137">
        <v>17.0</v>
      </c>
      <c r="K310" s="137">
        <v>17.0</v>
      </c>
      <c r="L310" s="137">
        <v>9.0</v>
      </c>
      <c r="M310" s="137">
        <v>9.0</v>
      </c>
      <c r="N310" s="137">
        <v>30.0</v>
      </c>
      <c r="O310" s="137">
        <v>119.0</v>
      </c>
      <c r="P310" s="137">
        <v>59.0</v>
      </c>
      <c r="Q310" s="137">
        <v>139.0</v>
      </c>
      <c r="R310" s="137">
        <v>43.0</v>
      </c>
      <c r="S310" s="137">
        <v>92.0</v>
      </c>
      <c r="T310" s="137">
        <v>25.0</v>
      </c>
      <c r="U310" s="137">
        <v>79.0</v>
      </c>
      <c r="V310" s="137">
        <v>30.0</v>
      </c>
      <c r="W310" s="137">
        <v>80.0</v>
      </c>
      <c r="X310" s="137">
        <v>24.0</v>
      </c>
      <c r="Y310" s="137">
        <v>59.0</v>
      </c>
      <c r="Z310" s="137">
        <v>32.0</v>
      </c>
      <c r="AA310" s="137">
        <v>72.0</v>
      </c>
      <c r="AB310" s="137">
        <v>20.0</v>
      </c>
      <c r="AC310" s="137">
        <v>58.0</v>
      </c>
      <c r="AD310" s="137">
        <v>13.0</v>
      </c>
      <c r="AE310" s="137">
        <v>29.0</v>
      </c>
      <c r="AF310" s="137">
        <v>12.0</v>
      </c>
      <c r="AG310" s="137">
        <v>22.0</v>
      </c>
      <c r="AH310" s="137">
        <v>12.0</v>
      </c>
      <c r="AI310" s="137">
        <v>22.0</v>
      </c>
      <c r="AJ310" s="137">
        <v>13.0</v>
      </c>
      <c r="AK310" s="137">
        <v>17.0</v>
      </c>
      <c r="AL310" s="137">
        <v>15.0</v>
      </c>
      <c r="AM310" s="137">
        <v>21.0</v>
      </c>
      <c r="AN310" s="134">
        <v>2303.0</v>
      </c>
    </row>
    <row r="311">
      <c r="A311" s="104"/>
      <c r="B311" s="136" t="s">
        <v>201</v>
      </c>
      <c r="C311" s="137">
        <v>0.0</v>
      </c>
      <c r="D311" s="137">
        <v>0.0</v>
      </c>
      <c r="E311" s="137">
        <v>0.0</v>
      </c>
      <c r="F311" s="137">
        <v>0.0</v>
      </c>
      <c r="G311" s="137">
        <v>0.0</v>
      </c>
      <c r="H311" s="137">
        <v>0.0</v>
      </c>
      <c r="I311" s="137">
        <v>0.0</v>
      </c>
      <c r="J311" s="137">
        <v>0.0</v>
      </c>
      <c r="K311" s="137">
        <v>0.0</v>
      </c>
      <c r="L311" s="137">
        <v>0.0</v>
      </c>
      <c r="M311" s="137">
        <v>0.0</v>
      </c>
      <c r="N311" s="137">
        <v>0.0</v>
      </c>
      <c r="O311" s="137">
        <v>0.0</v>
      </c>
      <c r="P311" s="137">
        <v>0.0</v>
      </c>
      <c r="Q311" s="137">
        <v>0.0</v>
      </c>
      <c r="R311" s="137">
        <v>0.0</v>
      </c>
      <c r="S311" s="137">
        <v>0.0</v>
      </c>
      <c r="T311" s="137">
        <v>0.0</v>
      </c>
      <c r="U311" s="137">
        <v>0.0</v>
      </c>
      <c r="V311" s="137">
        <v>0.0</v>
      </c>
      <c r="W311" s="137">
        <v>0.0</v>
      </c>
      <c r="X311" s="137">
        <v>0.0</v>
      </c>
      <c r="Y311" s="137">
        <v>0.0</v>
      </c>
      <c r="Z311" s="137">
        <v>0.0</v>
      </c>
      <c r="AA311" s="137">
        <v>0.0</v>
      </c>
      <c r="AB311" s="137">
        <v>0.0</v>
      </c>
      <c r="AC311" s="137">
        <v>0.0</v>
      </c>
      <c r="AD311" s="137">
        <v>0.0</v>
      </c>
      <c r="AE311" s="137">
        <v>0.0</v>
      </c>
      <c r="AF311" s="137">
        <v>0.0</v>
      </c>
      <c r="AG311" s="137">
        <v>0.0</v>
      </c>
      <c r="AH311" s="137">
        <v>0.0</v>
      </c>
      <c r="AI311" s="137">
        <v>0.0</v>
      </c>
      <c r="AJ311" s="137">
        <v>0.0</v>
      </c>
      <c r="AK311" s="137">
        <v>0.0</v>
      </c>
      <c r="AL311" s="137">
        <v>0.0</v>
      </c>
      <c r="AM311" s="137">
        <v>0.0</v>
      </c>
      <c r="AN311" s="137">
        <v>0.0</v>
      </c>
    </row>
    <row r="312">
      <c r="A312" s="132" t="s">
        <v>208</v>
      </c>
      <c r="B312" s="136" t="s">
        <v>198</v>
      </c>
      <c r="C312" s="137">
        <v>38.0</v>
      </c>
      <c r="D312" s="137">
        <v>21.0</v>
      </c>
      <c r="E312" s="137">
        <v>17.0</v>
      </c>
      <c r="F312" s="137">
        <v>10.0</v>
      </c>
      <c r="G312" s="137">
        <v>14.0</v>
      </c>
      <c r="H312" s="137">
        <v>9.0</v>
      </c>
      <c r="I312" s="137">
        <v>2.0</v>
      </c>
      <c r="J312" s="137">
        <v>2.0</v>
      </c>
      <c r="K312" s="137">
        <v>1.0</v>
      </c>
      <c r="L312" s="137">
        <v>0.0</v>
      </c>
      <c r="M312" s="137">
        <v>0.0</v>
      </c>
      <c r="N312" s="137">
        <v>0.0</v>
      </c>
      <c r="O312" s="137">
        <v>0.0</v>
      </c>
      <c r="P312" s="135">
        <v>0.0</v>
      </c>
      <c r="Q312" s="135">
        <v>0.0</v>
      </c>
      <c r="R312" s="135">
        <v>0.0</v>
      </c>
      <c r="S312" s="135">
        <v>0.0</v>
      </c>
      <c r="T312" s="135">
        <v>0.0</v>
      </c>
      <c r="U312" s="135">
        <v>0.0</v>
      </c>
      <c r="V312" s="135">
        <v>0.0</v>
      </c>
      <c r="W312" s="135">
        <v>0.0</v>
      </c>
      <c r="X312" s="135">
        <v>0.0</v>
      </c>
      <c r="Y312" s="135">
        <v>0.0</v>
      </c>
      <c r="Z312" s="135">
        <v>0.0</v>
      </c>
      <c r="AA312" s="135">
        <v>0.0</v>
      </c>
      <c r="AB312" s="135">
        <v>0.0</v>
      </c>
      <c r="AC312" s="135">
        <v>0.0</v>
      </c>
      <c r="AD312" s="135">
        <v>0.0</v>
      </c>
      <c r="AE312" s="135">
        <v>0.0</v>
      </c>
      <c r="AF312" s="135">
        <v>0.0</v>
      </c>
      <c r="AG312" s="135">
        <v>0.0</v>
      </c>
      <c r="AH312" s="135">
        <v>0.0</v>
      </c>
      <c r="AI312" s="135">
        <v>0.0</v>
      </c>
      <c r="AJ312" s="135">
        <v>0.0</v>
      </c>
      <c r="AK312" s="135">
        <v>0.0</v>
      </c>
      <c r="AL312" s="135">
        <v>0.0</v>
      </c>
      <c r="AM312" s="135">
        <v>0.0</v>
      </c>
      <c r="AN312" s="137">
        <v>34.0</v>
      </c>
    </row>
    <row r="313">
      <c r="A313" s="98"/>
      <c r="B313" s="136" t="s">
        <v>199</v>
      </c>
      <c r="C313" s="137">
        <v>169.0</v>
      </c>
      <c r="D313" s="137">
        <v>88.0</v>
      </c>
      <c r="E313" s="137">
        <v>81.0</v>
      </c>
      <c r="F313" s="137">
        <v>72.0</v>
      </c>
      <c r="G313" s="137">
        <v>67.0</v>
      </c>
      <c r="H313" s="137">
        <v>14.0</v>
      </c>
      <c r="I313" s="137">
        <v>12.0</v>
      </c>
      <c r="J313" s="137">
        <v>1.0</v>
      </c>
      <c r="K313" s="137">
        <v>1.0</v>
      </c>
      <c r="L313" s="137">
        <v>1.0</v>
      </c>
      <c r="M313" s="137">
        <v>0.0</v>
      </c>
      <c r="N313" s="137">
        <v>0.0</v>
      </c>
      <c r="O313" s="137">
        <v>1.0</v>
      </c>
      <c r="P313" s="135">
        <v>0.0</v>
      </c>
      <c r="Q313" s="135">
        <v>0.0</v>
      </c>
      <c r="R313" s="135">
        <v>0.0</v>
      </c>
      <c r="S313" s="135">
        <v>0.0</v>
      </c>
      <c r="T313" s="135">
        <v>0.0</v>
      </c>
      <c r="U313" s="135">
        <v>0.0</v>
      </c>
      <c r="V313" s="135">
        <v>0.0</v>
      </c>
      <c r="W313" s="135">
        <v>0.0</v>
      </c>
      <c r="X313" s="135">
        <v>0.0</v>
      </c>
      <c r="Y313" s="135">
        <v>0.0</v>
      </c>
      <c r="Z313" s="135">
        <v>0.0</v>
      </c>
      <c r="AA313" s="135">
        <v>0.0</v>
      </c>
      <c r="AB313" s="135">
        <v>0.0</v>
      </c>
      <c r="AC313" s="135">
        <v>0.0</v>
      </c>
      <c r="AD313" s="135">
        <v>0.0</v>
      </c>
      <c r="AE313" s="135">
        <v>0.0</v>
      </c>
      <c r="AF313" s="135">
        <v>0.0</v>
      </c>
      <c r="AG313" s="135">
        <v>0.0</v>
      </c>
      <c r="AH313" s="135">
        <v>0.0</v>
      </c>
      <c r="AI313" s="135">
        <v>0.0</v>
      </c>
      <c r="AJ313" s="135">
        <v>0.0</v>
      </c>
      <c r="AK313" s="135">
        <v>0.0</v>
      </c>
      <c r="AL313" s="135">
        <v>0.0</v>
      </c>
      <c r="AM313" s="135">
        <v>0.0</v>
      </c>
      <c r="AN313" s="137">
        <v>144.0</v>
      </c>
    </row>
    <row r="314">
      <c r="A314" s="98"/>
      <c r="B314" s="136" t="s">
        <v>206</v>
      </c>
      <c r="C314" s="137">
        <v>0.0</v>
      </c>
      <c r="D314" s="137">
        <v>0.0</v>
      </c>
      <c r="E314" s="137">
        <v>0.0</v>
      </c>
      <c r="F314" s="137">
        <v>0.0</v>
      </c>
      <c r="G314" s="137">
        <v>0.0</v>
      </c>
      <c r="H314" s="137">
        <v>0.0</v>
      </c>
      <c r="I314" s="137">
        <v>0.0</v>
      </c>
      <c r="J314" s="137">
        <v>0.0</v>
      </c>
      <c r="K314" s="137">
        <v>0.0</v>
      </c>
      <c r="L314" s="137">
        <v>0.0</v>
      </c>
      <c r="M314" s="137">
        <v>0.0</v>
      </c>
      <c r="N314" s="137">
        <v>0.0</v>
      </c>
      <c r="O314" s="137">
        <v>0.0</v>
      </c>
      <c r="P314" s="135">
        <v>0.0</v>
      </c>
      <c r="Q314" s="135">
        <v>0.0</v>
      </c>
      <c r="R314" s="135">
        <v>0.0</v>
      </c>
      <c r="S314" s="135">
        <v>0.0</v>
      </c>
      <c r="T314" s="135">
        <v>0.0</v>
      </c>
      <c r="U314" s="135">
        <v>0.0</v>
      </c>
      <c r="V314" s="135">
        <v>0.0</v>
      </c>
      <c r="W314" s="135">
        <v>0.0</v>
      </c>
      <c r="X314" s="135">
        <v>0.0</v>
      </c>
      <c r="Y314" s="135">
        <v>0.0</v>
      </c>
      <c r="Z314" s="135">
        <v>0.0</v>
      </c>
      <c r="AA314" s="135">
        <v>0.0</v>
      </c>
      <c r="AB314" s="135">
        <v>0.0</v>
      </c>
      <c r="AC314" s="135">
        <v>0.0</v>
      </c>
      <c r="AD314" s="135">
        <v>0.0</v>
      </c>
      <c r="AE314" s="135">
        <v>0.0</v>
      </c>
      <c r="AF314" s="135">
        <v>0.0</v>
      </c>
      <c r="AG314" s="135">
        <v>0.0</v>
      </c>
      <c r="AH314" s="135">
        <v>0.0</v>
      </c>
      <c r="AI314" s="135">
        <v>0.0</v>
      </c>
      <c r="AJ314" s="135">
        <v>0.0</v>
      </c>
      <c r="AK314" s="135">
        <v>0.0</v>
      </c>
      <c r="AL314" s="135">
        <v>0.0</v>
      </c>
      <c r="AM314" s="135">
        <v>0.0</v>
      </c>
      <c r="AN314" s="137">
        <v>0.0</v>
      </c>
    </row>
    <row r="315">
      <c r="A315" s="98"/>
      <c r="B315" s="136" t="s">
        <v>200</v>
      </c>
      <c r="C315" s="137">
        <v>12.0</v>
      </c>
      <c r="D315" s="137">
        <v>2.0</v>
      </c>
      <c r="E315" s="137">
        <v>10.0</v>
      </c>
      <c r="F315" s="137">
        <v>1.0</v>
      </c>
      <c r="G315" s="137">
        <v>7.0</v>
      </c>
      <c r="H315" s="137">
        <v>0.0</v>
      </c>
      <c r="I315" s="137">
        <v>1.0</v>
      </c>
      <c r="J315" s="137">
        <v>0.0</v>
      </c>
      <c r="K315" s="137">
        <v>1.0</v>
      </c>
      <c r="L315" s="137">
        <v>1.0</v>
      </c>
      <c r="M315" s="137">
        <v>0.0</v>
      </c>
      <c r="N315" s="137">
        <v>0.0</v>
      </c>
      <c r="O315" s="137">
        <v>1.0</v>
      </c>
      <c r="P315" s="135">
        <v>0.0</v>
      </c>
      <c r="Q315" s="135">
        <v>0.0</v>
      </c>
      <c r="R315" s="135">
        <v>0.0</v>
      </c>
      <c r="S315" s="135">
        <v>0.0</v>
      </c>
      <c r="T315" s="135">
        <v>0.0</v>
      </c>
      <c r="U315" s="135">
        <v>0.0</v>
      </c>
      <c r="V315" s="135">
        <v>0.0</v>
      </c>
      <c r="W315" s="135">
        <v>0.0</v>
      </c>
      <c r="X315" s="135">
        <v>0.0</v>
      </c>
      <c r="Y315" s="135">
        <v>0.0</v>
      </c>
      <c r="Z315" s="135">
        <v>0.0</v>
      </c>
      <c r="AA315" s="135">
        <v>0.0</v>
      </c>
      <c r="AB315" s="135">
        <v>0.0</v>
      </c>
      <c r="AC315" s="135">
        <v>0.0</v>
      </c>
      <c r="AD315" s="135">
        <v>0.0</v>
      </c>
      <c r="AE315" s="135">
        <v>0.0</v>
      </c>
      <c r="AF315" s="135">
        <v>0.0</v>
      </c>
      <c r="AG315" s="135">
        <v>0.0</v>
      </c>
      <c r="AH315" s="135">
        <v>0.0</v>
      </c>
      <c r="AI315" s="135">
        <v>0.0</v>
      </c>
      <c r="AJ315" s="135">
        <v>0.0</v>
      </c>
      <c r="AK315" s="135">
        <v>0.0</v>
      </c>
      <c r="AL315" s="135">
        <v>0.0</v>
      </c>
      <c r="AM315" s="135">
        <v>0.0</v>
      </c>
      <c r="AN315" s="137">
        <v>12.0</v>
      </c>
    </row>
    <row r="316">
      <c r="A316" s="104"/>
      <c r="B316" s="136" t="s">
        <v>201</v>
      </c>
      <c r="C316" s="137">
        <v>0.0</v>
      </c>
      <c r="D316" s="137">
        <v>0.0</v>
      </c>
      <c r="E316" s="137">
        <v>0.0</v>
      </c>
      <c r="F316" s="137">
        <v>0.0</v>
      </c>
      <c r="G316" s="137">
        <v>0.0</v>
      </c>
      <c r="H316" s="137">
        <v>0.0</v>
      </c>
      <c r="I316" s="137">
        <v>0.0</v>
      </c>
      <c r="J316" s="137">
        <v>0.0</v>
      </c>
      <c r="K316" s="137">
        <v>0.0</v>
      </c>
      <c r="L316" s="137">
        <v>0.0</v>
      </c>
      <c r="M316" s="137">
        <v>0.0</v>
      </c>
      <c r="N316" s="137">
        <v>0.0</v>
      </c>
      <c r="O316" s="137">
        <v>0.0</v>
      </c>
      <c r="P316" s="135">
        <v>0.0</v>
      </c>
      <c r="Q316" s="135">
        <v>0.0</v>
      </c>
      <c r="R316" s="135">
        <v>0.0</v>
      </c>
      <c r="S316" s="135">
        <v>0.0</v>
      </c>
      <c r="T316" s="135">
        <v>0.0</v>
      </c>
      <c r="U316" s="135">
        <v>0.0</v>
      </c>
      <c r="V316" s="135">
        <v>0.0</v>
      </c>
      <c r="W316" s="135">
        <v>0.0</v>
      </c>
      <c r="X316" s="135">
        <v>0.0</v>
      </c>
      <c r="Y316" s="135">
        <v>0.0</v>
      </c>
      <c r="Z316" s="135">
        <v>0.0</v>
      </c>
      <c r="AA316" s="135">
        <v>0.0</v>
      </c>
      <c r="AB316" s="135">
        <v>0.0</v>
      </c>
      <c r="AC316" s="135">
        <v>0.0</v>
      </c>
      <c r="AD316" s="135">
        <v>0.0</v>
      </c>
      <c r="AE316" s="135">
        <v>0.0</v>
      </c>
      <c r="AF316" s="135">
        <v>0.0</v>
      </c>
      <c r="AG316" s="135">
        <v>0.0</v>
      </c>
      <c r="AH316" s="135">
        <v>0.0</v>
      </c>
      <c r="AI316" s="135">
        <v>0.0</v>
      </c>
      <c r="AJ316" s="135">
        <v>0.0</v>
      </c>
      <c r="AK316" s="135">
        <v>0.0</v>
      </c>
      <c r="AL316" s="135">
        <v>0.0</v>
      </c>
      <c r="AM316" s="135">
        <v>0.0</v>
      </c>
      <c r="AN316" s="137">
        <v>0.0</v>
      </c>
    </row>
    <row r="317">
      <c r="A317" s="138" t="s">
        <v>221</v>
      </c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</row>
    <row r="318">
      <c r="A318" s="132" t="s">
        <v>197</v>
      </c>
      <c r="B318" s="133" t="s">
        <v>198</v>
      </c>
      <c r="C318" s="134">
        <v>189863.0</v>
      </c>
      <c r="D318" s="134">
        <v>68598.0</v>
      </c>
      <c r="E318" s="134">
        <v>121265.0</v>
      </c>
      <c r="F318" s="135">
        <v>0.0</v>
      </c>
      <c r="G318" s="135">
        <v>0.0</v>
      </c>
      <c r="H318" s="135">
        <v>0.0</v>
      </c>
      <c r="I318" s="135">
        <v>0.0</v>
      </c>
      <c r="J318" s="135">
        <v>0.0</v>
      </c>
      <c r="K318" s="135">
        <v>0.0</v>
      </c>
      <c r="L318" s="137">
        <v>193.0</v>
      </c>
      <c r="M318" s="137">
        <v>252.0</v>
      </c>
      <c r="N318" s="137">
        <v>261.0</v>
      </c>
      <c r="O318" s="137">
        <v>508.0</v>
      </c>
      <c r="P318" s="137">
        <v>550.0</v>
      </c>
      <c r="Q318" s="137">
        <v>953.0</v>
      </c>
      <c r="R318" s="137">
        <v>861.0</v>
      </c>
      <c r="S318" s="134">
        <v>1492.0</v>
      </c>
      <c r="T318" s="134">
        <v>1456.0</v>
      </c>
      <c r="U318" s="134">
        <v>2673.0</v>
      </c>
      <c r="V318" s="134">
        <v>2368.0</v>
      </c>
      <c r="W318" s="134">
        <v>4370.0</v>
      </c>
      <c r="X318" s="134">
        <v>3747.0</v>
      </c>
      <c r="Y318" s="134">
        <v>7441.0</v>
      </c>
      <c r="Z318" s="134">
        <v>6272.0</v>
      </c>
      <c r="AA318" s="134">
        <v>12458.0</v>
      </c>
      <c r="AB318" s="134">
        <v>8534.0</v>
      </c>
      <c r="AC318" s="134">
        <v>16019.0</v>
      </c>
      <c r="AD318" s="134">
        <v>9439.0</v>
      </c>
      <c r="AE318" s="134">
        <v>16766.0</v>
      </c>
      <c r="AF318" s="134">
        <v>10049.0</v>
      </c>
      <c r="AG318" s="134">
        <v>16424.0</v>
      </c>
      <c r="AH318" s="134">
        <v>9995.0</v>
      </c>
      <c r="AI318" s="134">
        <v>15351.0</v>
      </c>
      <c r="AJ318" s="134">
        <v>7260.0</v>
      </c>
      <c r="AK318" s="134">
        <v>11940.0</v>
      </c>
      <c r="AL318" s="134">
        <v>7613.0</v>
      </c>
      <c r="AM318" s="134">
        <v>14618.0</v>
      </c>
      <c r="AN318" s="134">
        <v>188691.0</v>
      </c>
    </row>
    <row r="319">
      <c r="A319" s="98"/>
      <c r="B319" s="136" t="s">
        <v>199</v>
      </c>
      <c r="C319" s="134">
        <v>73575.0</v>
      </c>
      <c r="D319" s="134">
        <v>26593.0</v>
      </c>
      <c r="E319" s="134">
        <v>46982.0</v>
      </c>
      <c r="F319" s="135">
        <v>0.0</v>
      </c>
      <c r="G319" s="135">
        <v>0.0</v>
      </c>
      <c r="H319" s="135">
        <v>0.0</v>
      </c>
      <c r="I319" s="135">
        <v>0.0</v>
      </c>
      <c r="J319" s="135">
        <v>0.0</v>
      </c>
      <c r="K319" s="135">
        <v>0.0</v>
      </c>
      <c r="L319" s="137">
        <v>35.0</v>
      </c>
      <c r="M319" s="137">
        <v>51.0</v>
      </c>
      <c r="N319" s="137">
        <v>65.0</v>
      </c>
      <c r="O319" s="137">
        <v>122.0</v>
      </c>
      <c r="P319" s="137">
        <v>125.0</v>
      </c>
      <c r="Q319" s="137">
        <v>231.0</v>
      </c>
      <c r="R319" s="137">
        <v>193.0</v>
      </c>
      <c r="S319" s="137">
        <v>319.0</v>
      </c>
      <c r="T319" s="137">
        <v>360.0</v>
      </c>
      <c r="U319" s="137">
        <v>689.0</v>
      </c>
      <c r="V319" s="137">
        <v>675.0</v>
      </c>
      <c r="W319" s="134">
        <v>1257.0</v>
      </c>
      <c r="X319" s="134">
        <v>1124.0</v>
      </c>
      <c r="Y319" s="134">
        <v>2211.0</v>
      </c>
      <c r="Z319" s="134">
        <v>1998.0</v>
      </c>
      <c r="AA319" s="134">
        <v>3974.0</v>
      </c>
      <c r="AB319" s="134">
        <v>3043.0</v>
      </c>
      <c r="AC319" s="134">
        <v>5446.0</v>
      </c>
      <c r="AD319" s="134">
        <v>3532.0</v>
      </c>
      <c r="AE319" s="134">
        <v>6270.0</v>
      </c>
      <c r="AF319" s="134">
        <v>4093.0</v>
      </c>
      <c r="AG319" s="134">
        <v>7005.0</v>
      </c>
      <c r="AH319" s="134">
        <v>4323.0</v>
      </c>
      <c r="AI319" s="134">
        <v>6700.0</v>
      </c>
      <c r="AJ319" s="134">
        <v>3360.0</v>
      </c>
      <c r="AK319" s="134">
        <v>5584.0</v>
      </c>
      <c r="AL319" s="134">
        <v>3667.0</v>
      </c>
      <c r="AM319" s="134">
        <v>7123.0</v>
      </c>
      <c r="AN319" s="134">
        <v>72650.0</v>
      </c>
    </row>
    <row r="320">
      <c r="A320" s="98"/>
      <c r="B320" s="136" t="s">
        <v>200</v>
      </c>
      <c r="C320" s="134">
        <v>78192.0</v>
      </c>
      <c r="D320" s="134">
        <v>26740.0</v>
      </c>
      <c r="E320" s="134">
        <v>51452.0</v>
      </c>
      <c r="F320" s="135">
        <v>0.0</v>
      </c>
      <c r="G320" s="135">
        <v>0.0</v>
      </c>
      <c r="H320" s="135">
        <v>0.0</v>
      </c>
      <c r="I320" s="135">
        <v>0.0</v>
      </c>
      <c r="J320" s="135">
        <v>0.0</v>
      </c>
      <c r="K320" s="135">
        <v>0.0</v>
      </c>
      <c r="L320" s="137">
        <v>59.0</v>
      </c>
      <c r="M320" s="137">
        <v>94.0</v>
      </c>
      <c r="N320" s="137">
        <v>88.0</v>
      </c>
      <c r="O320" s="137">
        <v>245.0</v>
      </c>
      <c r="P320" s="137">
        <v>209.0</v>
      </c>
      <c r="Q320" s="137">
        <v>443.0</v>
      </c>
      <c r="R320" s="137">
        <v>301.0</v>
      </c>
      <c r="S320" s="137">
        <v>637.0</v>
      </c>
      <c r="T320" s="137">
        <v>535.0</v>
      </c>
      <c r="U320" s="134">
        <v>1101.0</v>
      </c>
      <c r="V320" s="137">
        <v>863.0</v>
      </c>
      <c r="W320" s="134">
        <v>1738.0</v>
      </c>
      <c r="X320" s="134">
        <v>1374.0</v>
      </c>
      <c r="Y320" s="134">
        <v>3007.0</v>
      </c>
      <c r="Z320" s="134">
        <v>2360.0</v>
      </c>
      <c r="AA320" s="134">
        <v>5248.0</v>
      </c>
      <c r="AB320" s="134">
        <v>3326.0</v>
      </c>
      <c r="AC320" s="134">
        <v>6856.0</v>
      </c>
      <c r="AD320" s="134">
        <v>3726.0</v>
      </c>
      <c r="AE320" s="134">
        <v>7083.0</v>
      </c>
      <c r="AF320" s="134">
        <v>3932.0</v>
      </c>
      <c r="AG320" s="134">
        <v>7117.0</v>
      </c>
      <c r="AH320" s="134">
        <v>4026.0</v>
      </c>
      <c r="AI320" s="134">
        <v>6644.0</v>
      </c>
      <c r="AJ320" s="134">
        <v>2916.0</v>
      </c>
      <c r="AK320" s="134">
        <v>5277.0</v>
      </c>
      <c r="AL320" s="134">
        <v>3025.0</v>
      </c>
      <c r="AM320" s="134">
        <v>5962.0</v>
      </c>
      <c r="AN320" s="134">
        <v>76886.0</v>
      </c>
    </row>
    <row r="321">
      <c r="A321" s="104"/>
      <c r="B321" s="136" t="s">
        <v>201</v>
      </c>
      <c r="C321" s="134">
        <v>4133.0</v>
      </c>
      <c r="D321" s="134">
        <v>1613.0</v>
      </c>
      <c r="E321" s="134">
        <v>2520.0</v>
      </c>
      <c r="F321" s="135">
        <v>0.0</v>
      </c>
      <c r="G321" s="135">
        <v>0.0</v>
      </c>
      <c r="H321" s="135">
        <v>0.0</v>
      </c>
      <c r="I321" s="135">
        <v>0.0</v>
      </c>
      <c r="J321" s="135">
        <v>0.0</v>
      </c>
      <c r="K321" s="135">
        <v>0.0</v>
      </c>
      <c r="L321" s="137">
        <v>60.0</v>
      </c>
      <c r="M321" s="137">
        <v>66.0</v>
      </c>
      <c r="N321" s="137">
        <v>35.0</v>
      </c>
      <c r="O321" s="137">
        <v>46.0</v>
      </c>
      <c r="P321" s="137">
        <v>50.0</v>
      </c>
      <c r="Q321" s="137">
        <v>63.0</v>
      </c>
      <c r="R321" s="137">
        <v>43.0</v>
      </c>
      <c r="S321" s="137">
        <v>85.0</v>
      </c>
      <c r="T321" s="137">
        <v>57.0</v>
      </c>
      <c r="U321" s="137">
        <v>139.0</v>
      </c>
      <c r="V321" s="137">
        <v>96.0</v>
      </c>
      <c r="W321" s="137">
        <v>192.0</v>
      </c>
      <c r="X321" s="137">
        <v>114.0</v>
      </c>
      <c r="Y321" s="137">
        <v>282.0</v>
      </c>
      <c r="Z321" s="137">
        <v>190.0</v>
      </c>
      <c r="AA321" s="137">
        <v>312.0</v>
      </c>
      <c r="AB321" s="137">
        <v>202.0</v>
      </c>
      <c r="AC321" s="137">
        <v>294.0</v>
      </c>
      <c r="AD321" s="137">
        <v>200.0</v>
      </c>
      <c r="AE321" s="137">
        <v>281.0</v>
      </c>
      <c r="AF321" s="137">
        <v>210.0</v>
      </c>
      <c r="AG321" s="137">
        <v>224.0</v>
      </c>
      <c r="AH321" s="137">
        <v>163.0</v>
      </c>
      <c r="AI321" s="137">
        <v>226.0</v>
      </c>
      <c r="AJ321" s="137">
        <v>133.0</v>
      </c>
      <c r="AK321" s="137">
        <v>182.0</v>
      </c>
      <c r="AL321" s="137">
        <v>60.0</v>
      </c>
      <c r="AM321" s="137">
        <v>128.0</v>
      </c>
      <c r="AN321" s="134">
        <v>4110.0</v>
      </c>
    </row>
    <row r="322">
      <c r="A322" s="132" t="s">
        <v>202</v>
      </c>
      <c r="B322" s="136" t="s">
        <v>198</v>
      </c>
      <c r="C322" s="134">
        <v>1350.0</v>
      </c>
      <c r="D322" s="137">
        <v>724.0</v>
      </c>
      <c r="E322" s="137">
        <v>626.0</v>
      </c>
      <c r="F322" s="137">
        <v>26.0</v>
      </c>
      <c r="G322" s="137">
        <v>38.0</v>
      </c>
      <c r="H322" s="137">
        <v>27.0</v>
      </c>
      <c r="I322" s="137">
        <v>24.0</v>
      </c>
      <c r="J322" s="137">
        <v>12.0</v>
      </c>
      <c r="K322" s="137">
        <v>22.0</v>
      </c>
      <c r="L322" s="137">
        <v>31.0</v>
      </c>
      <c r="M322" s="137">
        <v>27.0</v>
      </c>
      <c r="N322" s="137">
        <v>44.0</v>
      </c>
      <c r="O322" s="137">
        <v>26.0</v>
      </c>
      <c r="P322" s="137">
        <v>93.0</v>
      </c>
      <c r="Q322" s="137">
        <v>63.0</v>
      </c>
      <c r="R322" s="137">
        <v>75.0</v>
      </c>
      <c r="S322" s="137">
        <v>35.0</v>
      </c>
      <c r="T322" s="137">
        <v>59.0</v>
      </c>
      <c r="U322" s="137">
        <v>28.0</v>
      </c>
      <c r="V322" s="137">
        <v>56.0</v>
      </c>
      <c r="W322" s="137">
        <v>41.0</v>
      </c>
      <c r="X322" s="137">
        <v>27.0</v>
      </c>
      <c r="Y322" s="137">
        <v>53.0</v>
      </c>
      <c r="Z322" s="137">
        <v>57.0</v>
      </c>
      <c r="AA322" s="137">
        <v>66.0</v>
      </c>
      <c r="AB322" s="137">
        <v>66.0</v>
      </c>
      <c r="AC322" s="137">
        <v>42.0</v>
      </c>
      <c r="AD322" s="137">
        <v>30.0</v>
      </c>
      <c r="AE322" s="137">
        <v>26.0</v>
      </c>
      <c r="AF322" s="137">
        <v>44.0</v>
      </c>
      <c r="AG322" s="137">
        <v>47.0</v>
      </c>
      <c r="AH322" s="137">
        <v>26.0</v>
      </c>
      <c r="AI322" s="137">
        <v>23.0</v>
      </c>
      <c r="AJ322" s="137">
        <v>44.0</v>
      </c>
      <c r="AK322" s="137">
        <v>28.0</v>
      </c>
      <c r="AL322" s="137">
        <v>7.0</v>
      </c>
      <c r="AM322" s="137">
        <v>37.0</v>
      </c>
      <c r="AN322" s="134">
        <v>1312.0</v>
      </c>
    </row>
    <row r="323">
      <c r="A323" s="104"/>
      <c r="B323" s="136" t="s">
        <v>199</v>
      </c>
      <c r="C323" s="134">
        <v>1069.0</v>
      </c>
      <c r="D323" s="137">
        <v>578.0</v>
      </c>
      <c r="E323" s="137">
        <v>491.0</v>
      </c>
      <c r="F323" s="137">
        <v>29.0</v>
      </c>
      <c r="G323" s="137">
        <v>49.0</v>
      </c>
      <c r="H323" s="137">
        <v>29.0</v>
      </c>
      <c r="I323" s="137">
        <v>27.0</v>
      </c>
      <c r="J323" s="137">
        <v>9.0</v>
      </c>
      <c r="K323" s="137">
        <v>18.0</v>
      </c>
      <c r="L323" s="137">
        <v>11.0</v>
      </c>
      <c r="M323" s="137">
        <v>17.0</v>
      </c>
      <c r="N323" s="137">
        <v>32.0</v>
      </c>
      <c r="O323" s="137">
        <v>16.0</v>
      </c>
      <c r="P323" s="137">
        <v>81.0</v>
      </c>
      <c r="Q323" s="137">
        <v>39.0</v>
      </c>
      <c r="R323" s="137">
        <v>71.0</v>
      </c>
      <c r="S323" s="137">
        <v>28.0</v>
      </c>
      <c r="T323" s="137">
        <v>66.0</v>
      </c>
      <c r="U323" s="137">
        <v>13.0</v>
      </c>
      <c r="V323" s="137">
        <v>38.0</v>
      </c>
      <c r="W323" s="137">
        <v>30.0</v>
      </c>
      <c r="X323" s="137">
        <v>20.0</v>
      </c>
      <c r="Y323" s="137">
        <v>50.0</v>
      </c>
      <c r="Z323" s="137">
        <v>38.0</v>
      </c>
      <c r="AA323" s="137">
        <v>49.0</v>
      </c>
      <c r="AB323" s="137">
        <v>39.0</v>
      </c>
      <c r="AC323" s="137">
        <v>31.0</v>
      </c>
      <c r="AD323" s="137">
        <v>19.0</v>
      </c>
      <c r="AE323" s="137">
        <v>23.0</v>
      </c>
      <c r="AF323" s="137">
        <v>33.0</v>
      </c>
      <c r="AG323" s="137">
        <v>33.0</v>
      </c>
      <c r="AH323" s="137">
        <v>23.0</v>
      </c>
      <c r="AI323" s="137">
        <v>16.0</v>
      </c>
      <c r="AJ323" s="137">
        <v>36.0</v>
      </c>
      <c r="AK323" s="137">
        <v>30.0</v>
      </c>
      <c r="AL323" s="137">
        <v>4.0</v>
      </c>
      <c r="AM323" s="137">
        <v>22.0</v>
      </c>
      <c r="AN323" s="134">
        <v>1017.0</v>
      </c>
    </row>
    <row r="324">
      <c r="A324" s="132" t="s">
        <v>203</v>
      </c>
      <c r="B324" s="136" t="s">
        <v>198</v>
      </c>
      <c r="C324" s="137">
        <v>12.0</v>
      </c>
      <c r="D324" s="137">
        <v>5.0</v>
      </c>
      <c r="E324" s="137">
        <v>7.0</v>
      </c>
      <c r="F324" s="135">
        <v>0.0</v>
      </c>
      <c r="G324" s="135">
        <v>0.0</v>
      </c>
      <c r="H324" s="135">
        <v>0.0</v>
      </c>
      <c r="I324" s="135">
        <v>0.0</v>
      </c>
      <c r="J324" s="135">
        <v>0.0</v>
      </c>
      <c r="K324" s="135">
        <v>0.0</v>
      </c>
      <c r="L324" s="135">
        <v>0.0</v>
      </c>
      <c r="M324" s="135">
        <v>0.0</v>
      </c>
      <c r="N324" s="135">
        <v>0.0</v>
      </c>
      <c r="O324" s="135">
        <v>0.0</v>
      </c>
      <c r="P324" s="135">
        <v>0.0</v>
      </c>
      <c r="Q324" s="135">
        <v>0.0</v>
      </c>
      <c r="R324" s="135">
        <v>0.0</v>
      </c>
      <c r="S324" s="135">
        <v>0.0</v>
      </c>
      <c r="T324" s="135">
        <v>0.0</v>
      </c>
      <c r="U324" s="135">
        <v>0.0</v>
      </c>
      <c r="V324" s="135">
        <v>0.0</v>
      </c>
      <c r="W324" s="135">
        <v>0.0</v>
      </c>
      <c r="X324" s="135">
        <v>0.0</v>
      </c>
      <c r="Y324" s="135">
        <v>0.0</v>
      </c>
      <c r="Z324" s="135">
        <v>0.0</v>
      </c>
      <c r="AA324" s="135">
        <v>0.0</v>
      </c>
      <c r="AB324" s="135">
        <v>0.0</v>
      </c>
      <c r="AC324" s="135">
        <v>0.0</v>
      </c>
      <c r="AD324" s="135">
        <v>0.0</v>
      </c>
      <c r="AE324" s="135">
        <v>0.0</v>
      </c>
      <c r="AF324" s="137">
        <v>0.0</v>
      </c>
      <c r="AG324" s="137">
        <v>1.0</v>
      </c>
      <c r="AH324" s="137">
        <v>0.0</v>
      </c>
      <c r="AI324" s="137">
        <v>4.0</v>
      </c>
      <c r="AJ324" s="137">
        <v>5.0</v>
      </c>
      <c r="AK324" s="137">
        <v>1.0</v>
      </c>
      <c r="AL324" s="137">
        <v>0.0</v>
      </c>
      <c r="AM324" s="137">
        <v>1.0</v>
      </c>
      <c r="AN324" s="137">
        <v>12.0</v>
      </c>
    </row>
    <row r="325">
      <c r="A325" s="104"/>
      <c r="B325" s="136" t="s">
        <v>199</v>
      </c>
      <c r="C325" s="134">
        <v>1284.0</v>
      </c>
      <c r="D325" s="137">
        <v>461.0</v>
      </c>
      <c r="E325" s="137">
        <v>823.0</v>
      </c>
      <c r="F325" s="135">
        <v>0.0</v>
      </c>
      <c r="G325" s="135">
        <v>0.0</v>
      </c>
      <c r="H325" s="135">
        <v>0.0</v>
      </c>
      <c r="I325" s="135">
        <v>0.0</v>
      </c>
      <c r="J325" s="135">
        <v>0.0</v>
      </c>
      <c r="K325" s="135">
        <v>0.0</v>
      </c>
      <c r="L325" s="135">
        <v>0.0</v>
      </c>
      <c r="M325" s="135">
        <v>0.0</v>
      </c>
      <c r="N325" s="135">
        <v>0.0</v>
      </c>
      <c r="O325" s="135">
        <v>0.0</v>
      </c>
      <c r="P325" s="135">
        <v>0.0</v>
      </c>
      <c r="Q325" s="135">
        <v>0.0</v>
      </c>
      <c r="R325" s="135">
        <v>0.0</v>
      </c>
      <c r="S325" s="135">
        <v>0.0</v>
      </c>
      <c r="T325" s="135">
        <v>0.0</v>
      </c>
      <c r="U325" s="135">
        <v>0.0</v>
      </c>
      <c r="V325" s="135">
        <v>0.0</v>
      </c>
      <c r="W325" s="135">
        <v>0.0</v>
      </c>
      <c r="X325" s="135">
        <v>0.0</v>
      </c>
      <c r="Y325" s="135">
        <v>0.0</v>
      </c>
      <c r="Z325" s="135">
        <v>0.0</v>
      </c>
      <c r="AA325" s="135">
        <v>0.0</v>
      </c>
      <c r="AB325" s="135">
        <v>0.0</v>
      </c>
      <c r="AC325" s="135">
        <v>0.0</v>
      </c>
      <c r="AD325" s="135">
        <v>0.0</v>
      </c>
      <c r="AE325" s="135">
        <v>0.0</v>
      </c>
      <c r="AF325" s="137">
        <v>112.0</v>
      </c>
      <c r="AG325" s="137">
        <v>235.0</v>
      </c>
      <c r="AH325" s="137">
        <v>141.0</v>
      </c>
      <c r="AI325" s="137">
        <v>251.0</v>
      </c>
      <c r="AJ325" s="137">
        <v>119.0</v>
      </c>
      <c r="AK325" s="137">
        <v>200.0</v>
      </c>
      <c r="AL325" s="137">
        <v>89.0</v>
      </c>
      <c r="AM325" s="137">
        <v>137.0</v>
      </c>
      <c r="AN325" s="134">
        <v>1258.0</v>
      </c>
    </row>
    <row r="326">
      <c r="A326" s="132" t="s">
        <v>204</v>
      </c>
      <c r="B326" s="136" t="s">
        <v>198</v>
      </c>
      <c r="C326" s="137">
        <v>61.0</v>
      </c>
      <c r="D326" s="137">
        <v>22.0</v>
      </c>
      <c r="E326" s="137">
        <v>39.0</v>
      </c>
      <c r="F326" s="135">
        <v>0.0</v>
      </c>
      <c r="G326" s="135">
        <v>0.0</v>
      </c>
      <c r="H326" s="135">
        <v>0.0</v>
      </c>
      <c r="I326" s="135">
        <v>0.0</v>
      </c>
      <c r="J326" s="135">
        <v>0.0</v>
      </c>
      <c r="K326" s="135">
        <v>0.0</v>
      </c>
      <c r="L326" s="135">
        <v>0.0</v>
      </c>
      <c r="M326" s="135">
        <v>0.0</v>
      </c>
      <c r="N326" s="135">
        <v>0.0</v>
      </c>
      <c r="O326" s="135">
        <v>0.0</v>
      </c>
      <c r="P326" s="135">
        <v>0.0</v>
      </c>
      <c r="Q326" s="135">
        <v>0.0</v>
      </c>
      <c r="R326" s="135">
        <v>0.0</v>
      </c>
      <c r="S326" s="135">
        <v>0.0</v>
      </c>
      <c r="T326" s="135">
        <v>0.0</v>
      </c>
      <c r="U326" s="135">
        <v>0.0</v>
      </c>
      <c r="V326" s="135">
        <v>0.0</v>
      </c>
      <c r="W326" s="135">
        <v>0.0</v>
      </c>
      <c r="X326" s="135">
        <v>0.0</v>
      </c>
      <c r="Y326" s="135">
        <v>0.0</v>
      </c>
      <c r="Z326" s="135">
        <v>0.0</v>
      </c>
      <c r="AA326" s="135">
        <v>0.0</v>
      </c>
      <c r="AB326" s="135">
        <v>0.0</v>
      </c>
      <c r="AC326" s="135">
        <v>0.0</v>
      </c>
      <c r="AD326" s="135">
        <v>0.0</v>
      </c>
      <c r="AE326" s="135">
        <v>0.0</v>
      </c>
      <c r="AF326" s="137">
        <v>3.0</v>
      </c>
      <c r="AG326" s="137">
        <v>3.0</v>
      </c>
      <c r="AH326" s="137">
        <v>3.0</v>
      </c>
      <c r="AI326" s="137">
        <v>8.0</v>
      </c>
      <c r="AJ326" s="137">
        <v>3.0</v>
      </c>
      <c r="AK326" s="137">
        <v>5.0</v>
      </c>
      <c r="AL326" s="137">
        <v>13.0</v>
      </c>
      <c r="AM326" s="137">
        <v>23.0</v>
      </c>
      <c r="AN326" s="137">
        <v>61.0</v>
      </c>
    </row>
    <row r="327">
      <c r="A327" s="104"/>
      <c r="B327" s="136" t="s">
        <v>199</v>
      </c>
      <c r="C327" s="137">
        <v>627.0</v>
      </c>
      <c r="D327" s="137">
        <v>193.0</v>
      </c>
      <c r="E327" s="137">
        <v>434.0</v>
      </c>
      <c r="F327" s="135">
        <v>0.0</v>
      </c>
      <c r="G327" s="135">
        <v>0.0</v>
      </c>
      <c r="H327" s="135">
        <v>0.0</v>
      </c>
      <c r="I327" s="135">
        <v>0.0</v>
      </c>
      <c r="J327" s="135">
        <v>0.0</v>
      </c>
      <c r="K327" s="135">
        <v>0.0</v>
      </c>
      <c r="L327" s="135">
        <v>0.0</v>
      </c>
      <c r="M327" s="135">
        <v>0.0</v>
      </c>
      <c r="N327" s="135">
        <v>0.0</v>
      </c>
      <c r="O327" s="135">
        <v>0.0</v>
      </c>
      <c r="P327" s="135">
        <v>0.0</v>
      </c>
      <c r="Q327" s="135">
        <v>0.0</v>
      </c>
      <c r="R327" s="135">
        <v>0.0</v>
      </c>
      <c r="S327" s="135">
        <v>0.0</v>
      </c>
      <c r="T327" s="135">
        <v>0.0</v>
      </c>
      <c r="U327" s="135">
        <v>0.0</v>
      </c>
      <c r="V327" s="135">
        <v>0.0</v>
      </c>
      <c r="W327" s="135">
        <v>0.0</v>
      </c>
      <c r="X327" s="135">
        <v>0.0</v>
      </c>
      <c r="Y327" s="135">
        <v>0.0</v>
      </c>
      <c r="Z327" s="135">
        <v>0.0</v>
      </c>
      <c r="AA327" s="135">
        <v>0.0</v>
      </c>
      <c r="AB327" s="135">
        <v>0.0</v>
      </c>
      <c r="AC327" s="135">
        <v>0.0</v>
      </c>
      <c r="AD327" s="135">
        <v>0.0</v>
      </c>
      <c r="AE327" s="135">
        <v>0.0</v>
      </c>
      <c r="AF327" s="137">
        <v>24.0</v>
      </c>
      <c r="AG327" s="137">
        <v>50.0</v>
      </c>
      <c r="AH327" s="137">
        <v>34.0</v>
      </c>
      <c r="AI327" s="137">
        <v>71.0</v>
      </c>
      <c r="AJ327" s="137">
        <v>44.0</v>
      </c>
      <c r="AK327" s="137">
        <v>91.0</v>
      </c>
      <c r="AL327" s="137">
        <v>91.0</v>
      </c>
      <c r="AM327" s="137">
        <v>222.0</v>
      </c>
      <c r="AN327" s="137">
        <v>617.0</v>
      </c>
    </row>
    <row r="328">
      <c r="A328" s="132" t="s">
        <v>205</v>
      </c>
      <c r="B328" s="136" t="s">
        <v>198</v>
      </c>
      <c r="C328" s="137">
        <v>287.0</v>
      </c>
      <c r="D328" s="137">
        <v>63.0</v>
      </c>
      <c r="E328" s="137">
        <v>224.0</v>
      </c>
      <c r="F328" s="137">
        <v>2.0</v>
      </c>
      <c r="G328" s="137">
        <v>0.0</v>
      </c>
      <c r="H328" s="137">
        <v>0.0</v>
      </c>
      <c r="I328" s="137">
        <v>1.0</v>
      </c>
      <c r="J328" s="137">
        <v>2.0</v>
      </c>
      <c r="K328" s="137">
        <v>4.0</v>
      </c>
      <c r="L328" s="137">
        <v>2.0</v>
      </c>
      <c r="M328" s="137">
        <v>6.0</v>
      </c>
      <c r="N328" s="137">
        <v>1.0</v>
      </c>
      <c r="O328" s="137">
        <v>5.0</v>
      </c>
      <c r="P328" s="137">
        <v>4.0</v>
      </c>
      <c r="Q328" s="137">
        <v>13.0</v>
      </c>
      <c r="R328" s="137">
        <v>2.0</v>
      </c>
      <c r="S328" s="137">
        <v>5.0</v>
      </c>
      <c r="T328" s="137">
        <v>3.0</v>
      </c>
      <c r="U328" s="137">
        <v>8.0</v>
      </c>
      <c r="V328" s="137">
        <v>5.0</v>
      </c>
      <c r="W328" s="137">
        <v>20.0</v>
      </c>
      <c r="X328" s="137">
        <v>2.0</v>
      </c>
      <c r="Y328" s="137">
        <v>8.0</v>
      </c>
      <c r="Z328" s="137">
        <v>9.0</v>
      </c>
      <c r="AA328" s="137">
        <v>24.0</v>
      </c>
      <c r="AB328" s="137">
        <v>6.0</v>
      </c>
      <c r="AC328" s="137">
        <v>41.0</v>
      </c>
      <c r="AD328" s="137">
        <v>8.0</v>
      </c>
      <c r="AE328" s="137">
        <v>25.0</v>
      </c>
      <c r="AF328" s="137">
        <v>3.0</v>
      </c>
      <c r="AG328" s="137">
        <v>22.0</v>
      </c>
      <c r="AH328" s="137">
        <v>4.0</v>
      </c>
      <c r="AI328" s="137">
        <v>20.0</v>
      </c>
      <c r="AJ328" s="137">
        <v>5.0</v>
      </c>
      <c r="AK328" s="137">
        <v>5.0</v>
      </c>
      <c r="AL328" s="137">
        <v>5.0</v>
      </c>
      <c r="AM328" s="137">
        <v>17.0</v>
      </c>
      <c r="AN328" s="137">
        <v>287.0</v>
      </c>
    </row>
    <row r="329">
      <c r="A329" s="98"/>
      <c r="B329" s="136" t="s">
        <v>199</v>
      </c>
      <c r="C329" s="137">
        <v>13.0</v>
      </c>
      <c r="D329" s="137">
        <v>3.0</v>
      </c>
      <c r="E329" s="137">
        <v>10.0</v>
      </c>
      <c r="F329" s="137">
        <v>1.0</v>
      </c>
      <c r="G329" s="137">
        <v>0.0</v>
      </c>
      <c r="H329" s="137">
        <v>1.0</v>
      </c>
      <c r="I329" s="137">
        <v>3.0</v>
      </c>
      <c r="J329" s="137">
        <v>0.0</v>
      </c>
      <c r="K329" s="137">
        <v>0.0</v>
      </c>
      <c r="L329" s="137">
        <v>0.0</v>
      </c>
      <c r="M329" s="137">
        <v>0.0</v>
      </c>
      <c r="N329" s="137">
        <v>1.0</v>
      </c>
      <c r="O329" s="137">
        <v>0.0</v>
      </c>
      <c r="P329" s="137">
        <v>0.0</v>
      </c>
      <c r="Q329" s="137">
        <v>0.0</v>
      </c>
      <c r="R329" s="137">
        <v>0.0</v>
      </c>
      <c r="S329" s="137">
        <v>0.0</v>
      </c>
      <c r="T329" s="137">
        <v>0.0</v>
      </c>
      <c r="U329" s="137">
        <v>0.0</v>
      </c>
      <c r="V329" s="137">
        <v>0.0</v>
      </c>
      <c r="W329" s="137">
        <v>0.0</v>
      </c>
      <c r="X329" s="137">
        <v>0.0</v>
      </c>
      <c r="Y329" s="137">
        <v>0.0</v>
      </c>
      <c r="Z329" s="137">
        <v>0.0</v>
      </c>
      <c r="AA329" s="137">
        <v>0.0</v>
      </c>
      <c r="AB329" s="137">
        <v>0.0</v>
      </c>
      <c r="AC329" s="137">
        <v>0.0</v>
      </c>
      <c r="AD329" s="137">
        <v>0.0</v>
      </c>
      <c r="AE329" s="137">
        <v>0.0</v>
      </c>
      <c r="AF329" s="137">
        <v>0.0</v>
      </c>
      <c r="AG329" s="137">
        <v>0.0</v>
      </c>
      <c r="AH329" s="137">
        <v>0.0</v>
      </c>
      <c r="AI329" s="137">
        <v>1.0</v>
      </c>
      <c r="AJ329" s="137">
        <v>0.0</v>
      </c>
      <c r="AK329" s="137">
        <v>2.0</v>
      </c>
      <c r="AL329" s="137">
        <v>0.0</v>
      </c>
      <c r="AM329" s="137">
        <v>4.0</v>
      </c>
      <c r="AN329" s="137">
        <v>13.0</v>
      </c>
    </row>
    <row r="330">
      <c r="A330" s="104"/>
      <c r="B330" s="136" t="s">
        <v>206</v>
      </c>
      <c r="C330" s="137">
        <v>384.0</v>
      </c>
      <c r="D330" s="137">
        <v>123.0</v>
      </c>
      <c r="E330" s="137">
        <v>261.0</v>
      </c>
      <c r="F330" s="137">
        <v>1.0</v>
      </c>
      <c r="G330" s="137">
        <v>3.0</v>
      </c>
      <c r="H330" s="137">
        <v>0.0</v>
      </c>
      <c r="I330" s="137">
        <v>1.0</v>
      </c>
      <c r="J330" s="137">
        <v>1.0</v>
      </c>
      <c r="K330" s="137">
        <v>2.0</v>
      </c>
      <c r="L330" s="137">
        <v>8.0</v>
      </c>
      <c r="M330" s="137">
        <v>27.0</v>
      </c>
      <c r="N330" s="137">
        <v>24.0</v>
      </c>
      <c r="O330" s="137">
        <v>52.0</v>
      </c>
      <c r="P330" s="137">
        <v>17.0</v>
      </c>
      <c r="Q330" s="137">
        <v>46.0</v>
      </c>
      <c r="R330" s="137">
        <v>10.0</v>
      </c>
      <c r="S330" s="137">
        <v>23.0</v>
      </c>
      <c r="T330" s="137">
        <v>6.0</v>
      </c>
      <c r="U330" s="137">
        <v>34.0</v>
      </c>
      <c r="V330" s="137">
        <v>16.0</v>
      </c>
      <c r="W330" s="137">
        <v>14.0</v>
      </c>
      <c r="X330" s="137">
        <v>12.0</v>
      </c>
      <c r="Y330" s="137">
        <v>13.0</v>
      </c>
      <c r="Z330" s="137">
        <v>10.0</v>
      </c>
      <c r="AA330" s="137">
        <v>16.0</v>
      </c>
      <c r="AB330" s="137">
        <v>2.0</v>
      </c>
      <c r="AC330" s="137">
        <v>9.0</v>
      </c>
      <c r="AD330" s="137">
        <v>8.0</v>
      </c>
      <c r="AE330" s="137">
        <v>3.0</v>
      </c>
      <c r="AF330" s="137">
        <v>4.0</v>
      </c>
      <c r="AG330" s="137">
        <v>1.0</v>
      </c>
      <c r="AH330" s="137">
        <v>3.0</v>
      </c>
      <c r="AI330" s="137">
        <v>6.0</v>
      </c>
      <c r="AJ330" s="137">
        <v>0.0</v>
      </c>
      <c r="AK330" s="137">
        <v>0.0</v>
      </c>
      <c r="AL330" s="137">
        <v>1.0</v>
      </c>
      <c r="AM330" s="137">
        <v>11.0</v>
      </c>
      <c r="AN330" s="137">
        <v>387.0</v>
      </c>
    </row>
    <row r="331">
      <c r="A331" s="132" t="s">
        <v>207</v>
      </c>
      <c r="B331" s="136" t="s">
        <v>198</v>
      </c>
      <c r="C331" s="134">
        <v>55985.0</v>
      </c>
      <c r="D331" s="134">
        <v>13475.0</v>
      </c>
      <c r="E331" s="134">
        <v>42510.0</v>
      </c>
      <c r="F331" s="137">
        <v>581.0</v>
      </c>
      <c r="G331" s="137">
        <v>477.0</v>
      </c>
      <c r="H331" s="137">
        <v>755.0</v>
      </c>
      <c r="I331" s="137">
        <v>478.0</v>
      </c>
      <c r="J331" s="137">
        <v>730.0</v>
      </c>
      <c r="K331" s="137">
        <v>445.0</v>
      </c>
      <c r="L331" s="137">
        <v>365.0</v>
      </c>
      <c r="M331" s="137">
        <v>630.0</v>
      </c>
      <c r="N331" s="137">
        <v>254.0</v>
      </c>
      <c r="O331" s="137">
        <v>809.0</v>
      </c>
      <c r="P331" s="137">
        <v>277.0</v>
      </c>
      <c r="Q331" s="134">
        <v>1086.0</v>
      </c>
      <c r="R331" s="137">
        <v>262.0</v>
      </c>
      <c r="S331" s="134">
        <v>1035.0</v>
      </c>
      <c r="T331" s="137">
        <v>315.0</v>
      </c>
      <c r="U331" s="134">
        <v>1335.0</v>
      </c>
      <c r="V331" s="137">
        <v>363.0</v>
      </c>
      <c r="W331" s="134">
        <v>1656.0</v>
      </c>
      <c r="X331" s="137">
        <v>493.0</v>
      </c>
      <c r="Y331" s="134">
        <v>2396.0</v>
      </c>
      <c r="Z331" s="137">
        <v>692.0</v>
      </c>
      <c r="AA331" s="134">
        <v>3623.0</v>
      </c>
      <c r="AB331" s="134">
        <v>1199.0</v>
      </c>
      <c r="AC331" s="134">
        <v>5069.0</v>
      </c>
      <c r="AD331" s="134">
        <v>1255.0</v>
      </c>
      <c r="AE331" s="134">
        <v>5360.0</v>
      </c>
      <c r="AF331" s="134">
        <v>1487.0</v>
      </c>
      <c r="AG331" s="134">
        <v>5234.0</v>
      </c>
      <c r="AH331" s="134">
        <v>1593.0</v>
      </c>
      <c r="AI331" s="134">
        <v>4986.0</v>
      </c>
      <c r="AJ331" s="134">
        <v>1290.0</v>
      </c>
      <c r="AK331" s="134">
        <v>3685.0</v>
      </c>
      <c r="AL331" s="134">
        <v>1564.0</v>
      </c>
      <c r="AM331" s="134">
        <v>4206.0</v>
      </c>
      <c r="AN331" s="134">
        <v>55685.0</v>
      </c>
    </row>
    <row r="332">
      <c r="A332" s="98"/>
      <c r="B332" s="136" t="s">
        <v>199</v>
      </c>
      <c r="C332" s="134">
        <v>3724.0</v>
      </c>
      <c r="D332" s="134">
        <v>1584.0</v>
      </c>
      <c r="E332" s="134">
        <v>2140.0</v>
      </c>
      <c r="F332" s="137">
        <v>159.0</v>
      </c>
      <c r="G332" s="137">
        <v>150.0</v>
      </c>
      <c r="H332" s="137">
        <v>125.0</v>
      </c>
      <c r="I332" s="137">
        <v>121.0</v>
      </c>
      <c r="J332" s="137">
        <v>43.0</v>
      </c>
      <c r="K332" s="137">
        <v>39.0</v>
      </c>
      <c r="L332" s="137">
        <v>36.0</v>
      </c>
      <c r="M332" s="137">
        <v>40.0</v>
      </c>
      <c r="N332" s="137">
        <v>22.0</v>
      </c>
      <c r="O332" s="137">
        <v>28.0</v>
      </c>
      <c r="P332" s="137">
        <v>45.0</v>
      </c>
      <c r="Q332" s="137">
        <v>49.0</v>
      </c>
      <c r="R332" s="137">
        <v>26.0</v>
      </c>
      <c r="S332" s="137">
        <v>72.0</v>
      </c>
      <c r="T332" s="137">
        <v>45.0</v>
      </c>
      <c r="U332" s="137">
        <v>79.0</v>
      </c>
      <c r="V332" s="137">
        <v>49.0</v>
      </c>
      <c r="W332" s="137">
        <v>68.0</v>
      </c>
      <c r="X332" s="137">
        <v>65.0</v>
      </c>
      <c r="Y332" s="137">
        <v>124.0</v>
      </c>
      <c r="Z332" s="137">
        <v>103.0</v>
      </c>
      <c r="AA332" s="137">
        <v>159.0</v>
      </c>
      <c r="AB332" s="137">
        <v>157.0</v>
      </c>
      <c r="AC332" s="137">
        <v>184.0</v>
      </c>
      <c r="AD332" s="137">
        <v>160.0</v>
      </c>
      <c r="AE332" s="137">
        <v>187.0</v>
      </c>
      <c r="AF332" s="137">
        <v>179.0</v>
      </c>
      <c r="AG332" s="137">
        <v>172.0</v>
      </c>
      <c r="AH332" s="137">
        <v>102.0</v>
      </c>
      <c r="AI332" s="137">
        <v>157.0</v>
      </c>
      <c r="AJ332" s="137">
        <v>111.0</v>
      </c>
      <c r="AK332" s="137">
        <v>153.0</v>
      </c>
      <c r="AL332" s="137">
        <v>157.0</v>
      </c>
      <c r="AM332" s="137">
        <v>358.0</v>
      </c>
      <c r="AN332" s="134">
        <v>3673.0</v>
      </c>
    </row>
    <row r="333">
      <c r="A333" s="98"/>
      <c r="B333" s="136" t="s">
        <v>206</v>
      </c>
      <c r="C333" s="137">
        <v>549.0</v>
      </c>
      <c r="D333" s="137">
        <v>30.0</v>
      </c>
      <c r="E333" s="137">
        <v>519.0</v>
      </c>
      <c r="F333" s="137">
        <v>2.0</v>
      </c>
      <c r="G333" s="137">
        <v>7.0</v>
      </c>
      <c r="H333" s="137">
        <v>2.0</v>
      </c>
      <c r="I333" s="137">
        <v>3.0</v>
      </c>
      <c r="J333" s="137">
        <v>0.0</v>
      </c>
      <c r="K333" s="137">
        <v>5.0</v>
      </c>
      <c r="L333" s="137">
        <v>1.0</v>
      </c>
      <c r="M333" s="137">
        <v>51.0</v>
      </c>
      <c r="N333" s="137">
        <v>1.0</v>
      </c>
      <c r="O333" s="137">
        <v>69.0</v>
      </c>
      <c r="P333" s="137">
        <v>2.0</v>
      </c>
      <c r="Q333" s="137">
        <v>82.0</v>
      </c>
      <c r="R333" s="137">
        <v>1.0</v>
      </c>
      <c r="S333" s="137">
        <v>68.0</v>
      </c>
      <c r="T333" s="137">
        <v>1.0</v>
      </c>
      <c r="U333" s="137">
        <v>53.0</v>
      </c>
      <c r="V333" s="137">
        <v>0.0</v>
      </c>
      <c r="W333" s="137">
        <v>32.0</v>
      </c>
      <c r="X333" s="137">
        <v>4.0</v>
      </c>
      <c r="Y333" s="137">
        <v>53.0</v>
      </c>
      <c r="Z333" s="137">
        <v>3.0</v>
      </c>
      <c r="AA333" s="137">
        <v>34.0</v>
      </c>
      <c r="AB333" s="137">
        <v>6.0</v>
      </c>
      <c r="AC333" s="137">
        <v>20.0</v>
      </c>
      <c r="AD333" s="137">
        <v>4.0</v>
      </c>
      <c r="AE333" s="137">
        <v>14.0</v>
      </c>
      <c r="AF333" s="137">
        <v>0.0</v>
      </c>
      <c r="AG333" s="137">
        <v>10.0</v>
      </c>
      <c r="AH333" s="137">
        <v>1.0</v>
      </c>
      <c r="AI333" s="137">
        <v>5.0</v>
      </c>
      <c r="AJ333" s="137">
        <v>0.0</v>
      </c>
      <c r="AK333" s="137">
        <v>5.0</v>
      </c>
      <c r="AL333" s="137">
        <v>2.0</v>
      </c>
      <c r="AM333" s="137">
        <v>8.0</v>
      </c>
      <c r="AN333" s="137">
        <v>549.0</v>
      </c>
    </row>
    <row r="334">
      <c r="A334" s="98"/>
      <c r="B334" s="136" t="s">
        <v>200</v>
      </c>
      <c r="C334" s="134">
        <v>7585.0</v>
      </c>
      <c r="D334" s="134">
        <v>2797.0</v>
      </c>
      <c r="E334" s="134">
        <v>4788.0</v>
      </c>
      <c r="F334" s="134">
        <v>1434.0</v>
      </c>
      <c r="G334" s="134">
        <v>1380.0</v>
      </c>
      <c r="H334" s="137">
        <v>330.0</v>
      </c>
      <c r="I334" s="137">
        <v>345.0</v>
      </c>
      <c r="J334" s="137">
        <v>202.0</v>
      </c>
      <c r="K334" s="137">
        <v>300.0</v>
      </c>
      <c r="L334" s="137">
        <v>150.0</v>
      </c>
      <c r="M334" s="137">
        <v>444.0</v>
      </c>
      <c r="N334" s="137">
        <v>31.0</v>
      </c>
      <c r="O334" s="137">
        <v>228.0</v>
      </c>
      <c r="P334" s="137">
        <v>33.0</v>
      </c>
      <c r="Q334" s="137">
        <v>263.0</v>
      </c>
      <c r="R334" s="137">
        <v>47.0</v>
      </c>
      <c r="S334" s="137">
        <v>214.0</v>
      </c>
      <c r="T334" s="137">
        <v>32.0</v>
      </c>
      <c r="U334" s="137">
        <v>185.0</v>
      </c>
      <c r="V334" s="137">
        <v>44.0</v>
      </c>
      <c r="W334" s="137">
        <v>110.0</v>
      </c>
      <c r="X334" s="137">
        <v>31.0</v>
      </c>
      <c r="Y334" s="137">
        <v>154.0</v>
      </c>
      <c r="Z334" s="137">
        <v>41.0</v>
      </c>
      <c r="AA334" s="137">
        <v>175.0</v>
      </c>
      <c r="AB334" s="137">
        <v>62.0</v>
      </c>
      <c r="AC334" s="137">
        <v>181.0</v>
      </c>
      <c r="AD334" s="137">
        <v>59.0</v>
      </c>
      <c r="AE334" s="137">
        <v>156.0</v>
      </c>
      <c r="AF334" s="137">
        <v>67.0</v>
      </c>
      <c r="AG334" s="137">
        <v>178.0</v>
      </c>
      <c r="AH334" s="137">
        <v>104.0</v>
      </c>
      <c r="AI334" s="137">
        <v>189.0</v>
      </c>
      <c r="AJ334" s="137">
        <v>59.0</v>
      </c>
      <c r="AK334" s="137">
        <v>126.0</v>
      </c>
      <c r="AL334" s="137">
        <v>71.0</v>
      </c>
      <c r="AM334" s="137">
        <v>160.0</v>
      </c>
      <c r="AN334" s="134">
        <v>7428.0</v>
      </c>
    </row>
    <row r="335">
      <c r="A335" s="104"/>
      <c r="B335" s="136" t="s">
        <v>201</v>
      </c>
      <c r="C335" s="134">
        <v>1862.0</v>
      </c>
      <c r="D335" s="137">
        <v>831.0</v>
      </c>
      <c r="E335" s="134">
        <v>1031.0</v>
      </c>
      <c r="F335" s="137">
        <v>22.0</v>
      </c>
      <c r="G335" s="137">
        <v>6.0</v>
      </c>
      <c r="H335" s="137">
        <v>20.0</v>
      </c>
      <c r="I335" s="137">
        <v>13.0</v>
      </c>
      <c r="J335" s="137">
        <v>49.0</v>
      </c>
      <c r="K335" s="137">
        <v>26.0</v>
      </c>
      <c r="L335" s="137">
        <v>9.0</v>
      </c>
      <c r="M335" s="137">
        <v>6.0</v>
      </c>
      <c r="N335" s="137">
        <v>72.0</v>
      </c>
      <c r="O335" s="137">
        <v>53.0</v>
      </c>
      <c r="P335" s="137">
        <v>104.0</v>
      </c>
      <c r="Q335" s="137">
        <v>76.0</v>
      </c>
      <c r="R335" s="137">
        <v>96.0</v>
      </c>
      <c r="S335" s="137">
        <v>75.0</v>
      </c>
      <c r="T335" s="137">
        <v>71.0</v>
      </c>
      <c r="U335" s="137">
        <v>78.0</v>
      </c>
      <c r="V335" s="137">
        <v>75.0</v>
      </c>
      <c r="W335" s="137">
        <v>82.0</v>
      </c>
      <c r="X335" s="137">
        <v>59.0</v>
      </c>
      <c r="Y335" s="137">
        <v>148.0</v>
      </c>
      <c r="Z335" s="137">
        <v>65.0</v>
      </c>
      <c r="AA335" s="137">
        <v>122.0</v>
      </c>
      <c r="AB335" s="137">
        <v>67.0</v>
      </c>
      <c r="AC335" s="137">
        <v>119.0</v>
      </c>
      <c r="AD335" s="137">
        <v>51.0</v>
      </c>
      <c r="AE335" s="137">
        <v>89.0</v>
      </c>
      <c r="AF335" s="137">
        <v>21.0</v>
      </c>
      <c r="AG335" s="137">
        <v>44.0</v>
      </c>
      <c r="AH335" s="137">
        <v>25.0</v>
      </c>
      <c r="AI335" s="137">
        <v>45.0</v>
      </c>
      <c r="AJ335" s="137">
        <v>11.0</v>
      </c>
      <c r="AK335" s="137">
        <v>35.0</v>
      </c>
      <c r="AL335" s="137">
        <v>14.0</v>
      </c>
      <c r="AM335" s="137">
        <v>14.0</v>
      </c>
      <c r="AN335" s="134">
        <v>1763.0</v>
      </c>
    </row>
    <row r="336">
      <c r="A336" s="132" t="s">
        <v>208</v>
      </c>
      <c r="B336" s="136" t="s">
        <v>198</v>
      </c>
      <c r="C336" s="137">
        <v>9.0</v>
      </c>
      <c r="D336" s="137">
        <v>1.0</v>
      </c>
      <c r="E336" s="137">
        <v>8.0</v>
      </c>
      <c r="F336" s="137">
        <v>0.0</v>
      </c>
      <c r="G336" s="137">
        <v>2.0</v>
      </c>
      <c r="H336" s="137">
        <v>0.0</v>
      </c>
      <c r="I336" s="137">
        <v>1.0</v>
      </c>
      <c r="J336" s="137">
        <v>0.0</v>
      </c>
      <c r="K336" s="137">
        <v>2.0</v>
      </c>
      <c r="L336" s="137">
        <v>0.0</v>
      </c>
      <c r="M336" s="137">
        <v>2.0</v>
      </c>
      <c r="N336" s="137">
        <v>1.0</v>
      </c>
      <c r="O336" s="137">
        <v>1.0</v>
      </c>
      <c r="P336" s="135">
        <v>0.0</v>
      </c>
      <c r="Q336" s="135">
        <v>0.0</v>
      </c>
      <c r="R336" s="135">
        <v>0.0</v>
      </c>
      <c r="S336" s="135">
        <v>0.0</v>
      </c>
      <c r="T336" s="135">
        <v>0.0</v>
      </c>
      <c r="U336" s="135">
        <v>0.0</v>
      </c>
      <c r="V336" s="135">
        <v>0.0</v>
      </c>
      <c r="W336" s="135">
        <v>0.0</v>
      </c>
      <c r="X336" s="135">
        <v>0.0</v>
      </c>
      <c r="Y336" s="135">
        <v>0.0</v>
      </c>
      <c r="Z336" s="135">
        <v>0.0</v>
      </c>
      <c r="AA336" s="135">
        <v>0.0</v>
      </c>
      <c r="AB336" s="135">
        <v>0.0</v>
      </c>
      <c r="AC336" s="135">
        <v>0.0</v>
      </c>
      <c r="AD336" s="135">
        <v>0.0</v>
      </c>
      <c r="AE336" s="135">
        <v>0.0</v>
      </c>
      <c r="AF336" s="135">
        <v>0.0</v>
      </c>
      <c r="AG336" s="135">
        <v>0.0</v>
      </c>
      <c r="AH336" s="135">
        <v>0.0</v>
      </c>
      <c r="AI336" s="135">
        <v>0.0</v>
      </c>
      <c r="AJ336" s="135">
        <v>0.0</v>
      </c>
      <c r="AK336" s="135">
        <v>0.0</v>
      </c>
      <c r="AL336" s="135">
        <v>0.0</v>
      </c>
      <c r="AM336" s="135">
        <v>0.0</v>
      </c>
      <c r="AN336" s="137">
        <v>7.0</v>
      </c>
    </row>
    <row r="337">
      <c r="A337" s="98"/>
      <c r="B337" s="136" t="s">
        <v>199</v>
      </c>
      <c r="C337" s="137">
        <v>28.0</v>
      </c>
      <c r="D337" s="137">
        <v>10.0</v>
      </c>
      <c r="E337" s="137">
        <v>18.0</v>
      </c>
      <c r="F337" s="137">
        <v>6.0</v>
      </c>
      <c r="G337" s="137">
        <v>13.0</v>
      </c>
      <c r="H337" s="137">
        <v>4.0</v>
      </c>
      <c r="I337" s="137">
        <v>4.0</v>
      </c>
      <c r="J337" s="137">
        <v>0.0</v>
      </c>
      <c r="K337" s="137">
        <v>0.0</v>
      </c>
      <c r="L337" s="137">
        <v>0.0</v>
      </c>
      <c r="M337" s="137">
        <v>1.0</v>
      </c>
      <c r="N337" s="137">
        <v>0.0</v>
      </c>
      <c r="O337" s="137">
        <v>0.0</v>
      </c>
      <c r="P337" s="135">
        <v>0.0</v>
      </c>
      <c r="Q337" s="135">
        <v>0.0</v>
      </c>
      <c r="R337" s="135">
        <v>0.0</v>
      </c>
      <c r="S337" s="135">
        <v>0.0</v>
      </c>
      <c r="T337" s="135">
        <v>0.0</v>
      </c>
      <c r="U337" s="135">
        <v>0.0</v>
      </c>
      <c r="V337" s="135">
        <v>0.0</v>
      </c>
      <c r="W337" s="135">
        <v>0.0</v>
      </c>
      <c r="X337" s="135">
        <v>0.0</v>
      </c>
      <c r="Y337" s="135">
        <v>0.0</v>
      </c>
      <c r="Z337" s="135">
        <v>0.0</v>
      </c>
      <c r="AA337" s="135">
        <v>0.0</v>
      </c>
      <c r="AB337" s="135">
        <v>0.0</v>
      </c>
      <c r="AC337" s="135">
        <v>0.0</v>
      </c>
      <c r="AD337" s="135">
        <v>0.0</v>
      </c>
      <c r="AE337" s="135">
        <v>0.0</v>
      </c>
      <c r="AF337" s="135">
        <v>0.0</v>
      </c>
      <c r="AG337" s="135">
        <v>0.0</v>
      </c>
      <c r="AH337" s="135">
        <v>0.0</v>
      </c>
      <c r="AI337" s="135">
        <v>0.0</v>
      </c>
      <c r="AJ337" s="135">
        <v>0.0</v>
      </c>
      <c r="AK337" s="135">
        <v>0.0</v>
      </c>
      <c r="AL337" s="135">
        <v>0.0</v>
      </c>
      <c r="AM337" s="135">
        <v>0.0</v>
      </c>
      <c r="AN337" s="137">
        <v>25.0</v>
      </c>
    </row>
    <row r="338">
      <c r="A338" s="98"/>
      <c r="B338" s="136" t="s">
        <v>206</v>
      </c>
      <c r="C338" s="137">
        <v>2.0</v>
      </c>
      <c r="D338" s="137">
        <v>1.0</v>
      </c>
      <c r="E338" s="137">
        <v>1.0</v>
      </c>
      <c r="F338" s="137">
        <v>1.0</v>
      </c>
      <c r="G338" s="137">
        <v>0.0</v>
      </c>
      <c r="H338" s="137">
        <v>0.0</v>
      </c>
      <c r="I338" s="137">
        <v>0.0</v>
      </c>
      <c r="J338" s="137">
        <v>0.0</v>
      </c>
      <c r="K338" s="137">
        <v>0.0</v>
      </c>
      <c r="L338" s="137">
        <v>0.0</v>
      </c>
      <c r="M338" s="137">
        <v>1.0</v>
      </c>
      <c r="N338" s="137">
        <v>0.0</v>
      </c>
      <c r="O338" s="137">
        <v>0.0</v>
      </c>
      <c r="P338" s="135">
        <v>0.0</v>
      </c>
      <c r="Q338" s="135">
        <v>0.0</v>
      </c>
      <c r="R338" s="135">
        <v>0.0</v>
      </c>
      <c r="S338" s="135">
        <v>0.0</v>
      </c>
      <c r="T338" s="135">
        <v>0.0</v>
      </c>
      <c r="U338" s="135">
        <v>0.0</v>
      </c>
      <c r="V338" s="135">
        <v>0.0</v>
      </c>
      <c r="W338" s="135">
        <v>0.0</v>
      </c>
      <c r="X338" s="135">
        <v>0.0</v>
      </c>
      <c r="Y338" s="135">
        <v>0.0</v>
      </c>
      <c r="Z338" s="135">
        <v>0.0</v>
      </c>
      <c r="AA338" s="135">
        <v>0.0</v>
      </c>
      <c r="AB338" s="135">
        <v>0.0</v>
      </c>
      <c r="AC338" s="135">
        <v>0.0</v>
      </c>
      <c r="AD338" s="135">
        <v>0.0</v>
      </c>
      <c r="AE338" s="135">
        <v>0.0</v>
      </c>
      <c r="AF338" s="135">
        <v>0.0</v>
      </c>
      <c r="AG338" s="135">
        <v>0.0</v>
      </c>
      <c r="AH338" s="135">
        <v>0.0</v>
      </c>
      <c r="AI338" s="135">
        <v>0.0</v>
      </c>
      <c r="AJ338" s="135">
        <v>0.0</v>
      </c>
      <c r="AK338" s="135">
        <v>0.0</v>
      </c>
      <c r="AL338" s="135">
        <v>0.0</v>
      </c>
      <c r="AM338" s="135">
        <v>0.0</v>
      </c>
      <c r="AN338" s="137">
        <v>2.0</v>
      </c>
    </row>
    <row r="339">
      <c r="A339" s="98"/>
      <c r="B339" s="136" t="s">
        <v>200</v>
      </c>
      <c r="C339" s="137">
        <v>123.0</v>
      </c>
      <c r="D339" s="137">
        <v>61.0</v>
      </c>
      <c r="E339" s="137">
        <v>62.0</v>
      </c>
      <c r="F339" s="137">
        <v>42.0</v>
      </c>
      <c r="G339" s="137">
        <v>46.0</v>
      </c>
      <c r="H339" s="137">
        <v>13.0</v>
      </c>
      <c r="I339" s="137">
        <v>7.0</v>
      </c>
      <c r="J339" s="137">
        <v>1.0</v>
      </c>
      <c r="K339" s="137">
        <v>1.0</v>
      </c>
      <c r="L339" s="137">
        <v>3.0</v>
      </c>
      <c r="M339" s="137">
        <v>5.0</v>
      </c>
      <c r="N339" s="137">
        <v>2.0</v>
      </c>
      <c r="O339" s="137">
        <v>3.0</v>
      </c>
      <c r="P339" s="135">
        <v>0.0</v>
      </c>
      <c r="Q339" s="135">
        <v>0.0</v>
      </c>
      <c r="R339" s="135">
        <v>0.0</v>
      </c>
      <c r="S339" s="135">
        <v>0.0</v>
      </c>
      <c r="T339" s="135">
        <v>0.0</v>
      </c>
      <c r="U339" s="135">
        <v>0.0</v>
      </c>
      <c r="V339" s="135">
        <v>0.0</v>
      </c>
      <c r="W339" s="135">
        <v>0.0</v>
      </c>
      <c r="X339" s="135">
        <v>0.0</v>
      </c>
      <c r="Y339" s="135">
        <v>0.0</v>
      </c>
      <c r="Z339" s="135">
        <v>0.0</v>
      </c>
      <c r="AA339" s="135">
        <v>0.0</v>
      </c>
      <c r="AB339" s="135">
        <v>0.0</v>
      </c>
      <c r="AC339" s="135">
        <v>0.0</v>
      </c>
      <c r="AD339" s="135">
        <v>0.0</v>
      </c>
      <c r="AE339" s="135">
        <v>0.0</v>
      </c>
      <c r="AF339" s="135">
        <v>0.0</v>
      </c>
      <c r="AG339" s="135">
        <v>0.0</v>
      </c>
      <c r="AH339" s="135">
        <v>0.0</v>
      </c>
      <c r="AI339" s="135">
        <v>0.0</v>
      </c>
      <c r="AJ339" s="135">
        <v>0.0</v>
      </c>
      <c r="AK339" s="135">
        <v>0.0</v>
      </c>
      <c r="AL339" s="135">
        <v>0.0</v>
      </c>
      <c r="AM339" s="135">
        <v>0.0</v>
      </c>
      <c r="AN339" s="137">
        <v>123.0</v>
      </c>
    </row>
    <row r="340">
      <c r="A340" s="104"/>
      <c r="B340" s="136" t="s">
        <v>201</v>
      </c>
      <c r="C340" s="137">
        <v>1.0</v>
      </c>
      <c r="D340" s="137">
        <v>0.0</v>
      </c>
      <c r="E340" s="137">
        <v>1.0</v>
      </c>
      <c r="F340" s="137">
        <v>0.0</v>
      </c>
      <c r="G340" s="137">
        <v>0.0</v>
      </c>
      <c r="H340" s="137">
        <v>0.0</v>
      </c>
      <c r="I340" s="137">
        <v>0.0</v>
      </c>
      <c r="J340" s="137">
        <v>0.0</v>
      </c>
      <c r="K340" s="137">
        <v>0.0</v>
      </c>
      <c r="L340" s="137">
        <v>0.0</v>
      </c>
      <c r="M340" s="137">
        <v>1.0</v>
      </c>
      <c r="N340" s="137">
        <v>0.0</v>
      </c>
      <c r="O340" s="137">
        <v>0.0</v>
      </c>
      <c r="P340" s="135">
        <v>0.0</v>
      </c>
      <c r="Q340" s="135">
        <v>0.0</v>
      </c>
      <c r="R340" s="135">
        <v>0.0</v>
      </c>
      <c r="S340" s="135">
        <v>0.0</v>
      </c>
      <c r="T340" s="135">
        <v>0.0</v>
      </c>
      <c r="U340" s="135">
        <v>0.0</v>
      </c>
      <c r="V340" s="135">
        <v>0.0</v>
      </c>
      <c r="W340" s="135">
        <v>0.0</v>
      </c>
      <c r="X340" s="135">
        <v>0.0</v>
      </c>
      <c r="Y340" s="135">
        <v>0.0</v>
      </c>
      <c r="Z340" s="135">
        <v>0.0</v>
      </c>
      <c r="AA340" s="135">
        <v>0.0</v>
      </c>
      <c r="AB340" s="135">
        <v>0.0</v>
      </c>
      <c r="AC340" s="135">
        <v>0.0</v>
      </c>
      <c r="AD340" s="135">
        <v>0.0</v>
      </c>
      <c r="AE340" s="135">
        <v>0.0</v>
      </c>
      <c r="AF340" s="135">
        <v>0.0</v>
      </c>
      <c r="AG340" s="135">
        <v>0.0</v>
      </c>
      <c r="AH340" s="135">
        <v>0.0</v>
      </c>
      <c r="AI340" s="135">
        <v>0.0</v>
      </c>
      <c r="AJ340" s="135">
        <v>0.0</v>
      </c>
      <c r="AK340" s="135">
        <v>0.0</v>
      </c>
      <c r="AL340" s="135">
        <v>0.0</v>
      </c>
      <c r="AM340" s="135">
        <v>0.0</v>
      </c>
      <c r="AN340" s="137">
        <v>1.0</v>
      </c>
    </row>
    <row r="341">
      <c r="A341" s="138" t="s">
        <v>222</v>
      </c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</row>
    <row r="342">
      <c r="A342" s="132" t="s">
        <v>197</v>
      </c>
      <c r="B342" s="133" t="s">
        <v>198</v>
      </c>
      <c r="C342" s="134">
        <v>163985.0</v>
      </c>
      <c r="D342" s="134">
        <v>59774.0</v>
      </c>
      <c r="E342" s="134">
        <v>104211.0</v>
      </c>
      <c r="F342" s="135">
        <v>0.0</v>
      </c>
      <c r="G342" s="135">
        <v>0.0</v>
      </c>
      <c r="H342" s="135">
        <v>0.0</v>
      </c>
      <c r="I342" s="135">
        <v>0.0</v>
      </c>
      <c r="J342" s="135">
        <v>0.0</v>
      </c>
      <c r="K342" s="135">
        <v>0.0</v>
      </c>
      <c r="L342" s="137">
        <v>86.0</v>
      </c>
      <c r="M342" s="137">
        <v>107.0</v>
      </c>
      <c r="N342" s="137">
        <v>160.0</v>
      </c>
      <c r="O342" s="137">
        <v>259.0</v>
      </c>
      <c r="P342" s="137">
        <v>302.0</v>
      </c>
      <c r="Q342" s="137">
        <v>556.0</v>
      </c>
      <c r="R342" s="137">
        <v>528.0</v>
      </c>
      <c r="S342" s="134">
        <v>1097.0</v>
      </c>
      <c r="T342" s="134">
        <v>1024.0</v>
      </c>
      <c r="U342" s="134">
        <v>1943.0</v>
      </c>
      <c r="V342" s="134">
        <v>1853.0</v>
      </c>
      <c r="W342" s="134">
        <v>3413.0</v>
      </c>
      <c r="X342" s="134">
        <v>3193.0</v>
      </c>
      <c r="Y342" s="134">
        <v>5990.0</v>
      </c>
      <c r="Z342" s="134">
        <v>5540.0</v>
      </c>
      <c r="AA342" s="134">
        <v>10909.0</v>
      </c>
      <c r="AB342" s="134">
        <v>8100.0</v>
      </c>
      <c r="AC342" s="134">
        <v>14531.0</v>
      </c>
      <c r="AD342" s="134">
        <v>9214.0</v>
      </c>
      <c r="AE342" s="134">
        <v>15774.0</v>
      </c>
      <c r="AF342" s="134">
        <v>9460.0</v>
      </c>
      <c r="AG342" s="134">
        <v>14651.0</v>
      </c>
      <c r="AH342" s="134">
        <v>8688.0</v>
      </c>
      <c r="AI342" s="134">
        <v>13733.0</v>
      </c>
      <c r="AJ342" s="134">
        <v>6211.0</v>
      </c>
      <c r="AK342" s="134">
        <v>10178.0</v>
      </c>
      <c r="AL342" s="134">
        <v>5415.0</v>
      </c>
      <c r="AM342" s="134">
        <v>11070.0</v>
      </c>
      <c r="AN342" s="134">
        <v>163909.0</v>
      </c>
    </row>
    <row r="343">
      <c r="A343" s="98"/>
      <c r="B343" s="136" t="s">
        <v>199</v>
      </c>
      <c r="C343" s="134">
        <v>74958.0</v>
      </c>
      <c r="D343" s="134">
        <v>27135.0</v>
      </c>
      <c r="E343" s="134">
        <v>47823.0</v>
      </c>
      <c r="F343" s="135">
        <v>0.0</v>
      </c>
      <c r="G343" s="135">
        <v>0.0</v>
      </c>
      <c r="H343" s="135">
        <v>0.0</v>
      </c>
      <c r="I343" s="135">
        <v>0.0</v>
      </c>
      <c r="J343" s="135">
        <v>0.0</v>
      </c>
      <c r="K343" s="135">
        <v>0.0</v>
      </c>
      <c r="L343" s="137">
        <v>22.0</v>
      </c>
      <c r="M343" s="137">
        <v>19.0</v>
      </c>
      <c r="N343" s="137">
        <v>38.0</v>
      </c>
      <c r="O343" s="137">
        <v>65.0</v>
      </c>
      <c r="P343" s="137">
        <v>115.0</v>
      </c>
      <c r="Q343" s="137">
        <v>204.0</v>
      </c>
      <c r="R343" s="137">
        <v>190.0</v>
      </c>
      <c r="S343" s="137">
        <v>401.0</v>
      </c>
      <c r="T343" s="137">
        <v>402.0</v>
      </c>
      <c r="U343" s="137">
        <v>733.0</v>
      </c>
      <c r="V343" s="137">
        <v>722.0</v>
      </c>
      <c r="W343" s="134">
        <v>1423.0</v>
      </c>
      <c r="X343" s="134">
        <v>1262.0</v>
      </c>
      <c r="Y343" s="134">
        <v>2638.0</v>
      </c>
      <c r="Z343" s="134">
        <v>2347.0</v>
      </c>
      <c r="AA343" s="134">
        <v>4772.0</v>
      </c>
      <c r="AB343" s="134">
        <v>3653.0</v>
      </c>
      <c r="AC343" s="134">
        <v>6703.0</v>
      </c>
      <c r="AD343" s="134">
        <v>4411.0</v>
      </c>
      <c r="AE343" s="134">
        <v>7566.0</v>
      </c>
      <c r="AF343" s="134">
        <v>4304.0</v>
      </c>
      <c r="AG343" s="134">
        <v>6788.0</v>
      </c>
      <c r="AH343" s="134">
        <v>4059.0</v>
      </c>
      <c r="AI343" s="134">
        <v>6680.0</v>
      </c>
      <c r="AJ343" s="134">
        <v>3000.0</v>
      </c>
      <c r="AK343" s="134">
        <v>4751.0</v>
      </c>
      <c r="AL343" s="134">
        <v>2610.0</v>
      </c>
      <c r="AM343" s="134">
        <v>5080.0</v>
      </c>
      <c r="AN343" s="134">
        <v>74957.0</v>
      </c>
    </row>
    <row r="344">
      <c r="A344" s="98"/>
      <c r="B344" s="136" t="s">
        <v>200</v>
      </c>
      <c r="C344" s="134">
        <v>88647.0</v>
      </c>
      <c r="D344" s="134">
        <v>30874.0</v>
      </c>
      <c r="E344" s="134">
        <v>57773.0</v>
      </c>
      <c r="F344" s="135">
        <v>0.0</v>
      </c>
      <c r="G344" s="135">
        <v>0.0</v>
      </c>
      <c r="H344" s="135">
        <v>0.0</v>
      </c>
      <c r="I344" s="135">
        <v>0.0</v>
      </c>
      <c r="J344" s="135">
        <v>0.0</v>
      </c>
      <c r="K344" s="135">
        <v>0.0</v>
      </c>
      <c r="L344" s="137">
        <v>60.0</v>
      </c>
      <c r="M344" s="137">
        <v>56.0</v>
      </c>
      <c r="N344" s="137">
        <v>76.0</v>
      </c>
      <c r="O344" s="137">
        <v>156.0</v>
      </c>
      <c r="P344" s="137">
        <v>155.0</v>
      </c>
      <c r="Q344" s="137">
        <v>330.0</v>
      </c>
      <c r="R344" s="137">
        <v>263.0</v>
      </c>
      <c r="S344" s="137">
        <v>580.0</v>
      </c>
      <c r="T344" s="137">
        <v>537.0</v>
      </c>
      <c r="U344" s="134">
        <v>1164.0</v>
      </c>
      <c r="V344" s="137">
        <v>917.0</v>
      </c>
      <c r="W344" s="134">
        <v>1893.0</v>
      </c>
      <c r="X344" s="134">
        <v>1591.0</v>
      </c>
      <c r="Y344" s="134">
        <v>3299.0</v>
      </c>
      <c r="Z344" s="134">
        <v>2707.0</v>
      </c>
      <c r="AA344" s="134">
        <v>6205.0</v>
      </c>
      <c r="AB344" s="134">
        <v>4243.0</v>
      </c>
      <c r="AC344" s="134">
        <v>8247.0</v>
      </c>
      <c r="AD344" s="134">
        <v>4779.0</v>
      </c>
      <c r="AE344" s="134">
        <v>8800.0</v>
      </c>
      <c r="AF344" s="134">
        <v>4851.0</v>
      </c>
      <c r="AG344" s="134">
        <v>8187.0</v>
      </c>
      <c r="AH344" s="134">
        <v>4638.0</v>
      </c>
      <c r="AI344" s="134">
        <v>7665.0</v>
      </c>
      <c r="AJ344" s="134">
        <v>3219.0</v>
      </c>
      <c r="AK344" s="134">
        <v>5492.0</v>
      </c>
      <c r="AL344" s="134">
        <v>2838.0</v>
      </c>
      <c r="AM344" s="134">
        <v>5699.0</v>
      </c>
      <c r="AN344" s="134">
        <v>88645.0</v>
      </c>
    </row>
    <row r="345">
      <c r="A345" s="104"/>
      <c r="B345" s="136" t="s">
        <v>201</v>
      </c>
      <c r="C345" s="137">
        <v>241.0</v>
      </c>
      <c r="D345" s="137">
        <v>90.0</v>
      </c>
      <c r="E345" s="137">
        <v>151.0</v>
      </c>
      <c r="F345" s="135">
        <v>0.0</v>
      </c>
      <c r="G345" s="135">
        <v>0.0</v>
      </c>
      <c r="H345" s="135">
        <v>0.0</v>
      </c>
      <c r="I345" s="135">
        <v>0.0</v>
      </c>
      <c r="J345" s="135">
        <v>0.0</v>
      </c>
      <c r="K345" s="135">
        <v>0.0</v>
      </c>
      <c r="L345" s="137">
        <v>1.0</v>
      </c>
      <c r="M345" s="137">
        <v>3.0</v>
      </c>
      <c r="N345" s="137">
        <v>1.0</v>
      </c>
      <c r="O345" s="137">
        <v>3.0</v>
      </c>
      <c r="P345" s="137">
        <v>1.0</v>
      </c>
      <c r="Q345" s="137">
        <v>4.0</v>
      </c>
      <c r="R345" s="137">
        <v>4.0</v>
      </c>
      <c r="S345" s="137">
        <v>13.0</v>
      </c>
      <c r="T345" s="137">
        <v>5.0</v>
      </c>
      <c r="U345" s="137">
        <v>3.0</v>
      </c>
      <c r="V345" s="137">
        <v>8.0</v>
      </c>
      <c r="W345" s="137">
        <v>12.0</v>
      </c>
      <c r="X345" s="137">
        <v>7.0</v>
      </c>
      <c r="Y345" s="137">
        <v>8.0</v>
      </c>
      <c r="Z345" s="137">
        <v>16.0</v>
      </c>
      <c r="AA345" s="137">
        <v>11.0</v>
      </c>
      <c r="AB345" s="137">
        <v>10.0</v>
      </c>
      <c r="AC345" s="137">
        <v>30.0</v>
      </c>
      <c r="AD345" s="137">
        <v>11.0</v>
      </c>
      <c r="AE345" s="137">
        <v>21.0</v>
      </c>
      <c r="AF345" s="137">
        <v>4.0</v>
      </c>
      <c r="AG345" s="137">
        <v>12.0</v>
      </c>
      <c r="AH345" s="137">
        <v>6.0</v>
      </c>
      <c r="AI345" s="137">
        <v>17.0</v>
      </c>
      <c r="AJ345" s="137">
        <v>5.0</v>
      </c>
      <c r="AK345" s="137">
        <v>11.0</v>
      </c>
      <c r="AL345" s="137">
        <v>11.0</v>
      </c>
      <c r="AM345" s="137">
        <v>3.0</v>
      </c>
      <c r="AN345" s="137">
        <v>241.0</v>
      </c>
    </row>
    <row r="346">
      <c r="A346" s="132" t="s">
        <v>202</v>
      </c>
      <c r="B346" s="136" t="s">
        <v>198</v>
      </c>
      <c r="C346" s="137">
        <v>499.0</v>
      </c>
      <c r="D346" s="137">
        <v>272.0</v>
      </c>
      <c r="E346" s="137">
        <v>227.0</v>
      </c>
      <c r="F346" s="137">
        <v>3.0</v>
      </c>
      <c r="G346" s="137">
        <v>4.0</v>
      </c>
      <c r="H346" s="137">
        <v>5.0</v>
      </c>
      <c r="I346" s="137">
        <v>2.0</v>
      </c>
      <c r="J346" s="137">
        <v>4.0</v>
      </c>
      <c r="K346" s="137">
        <v>4.0</v>
      </c>
      <c r="L346" s="137">
        <v>3.0</v>
      </c>
      <c r="M346" s="137">
        <v>7.0</v>
      </c>
      <c r="N346" s="137">
        <v>22.0</v>
      </c>
      <c r="O346" s="137">
        <v>10.0</v>
      </c>
      <c r="P346" s="137">
        <v>28.0</v>
      </c>
      <c r="Q346" s="137">
        <v>22.0</v>
      </c>
      <c r="R346" s="137">
        <v>11.0</v>
      </c>
      <c r="S346" s="137">
        <v>10.0</v>
      </c>
      <c r="T346" s="137">
        <v>22.0</v>
      </c>
      <c r="U346" s="137">
        <v>12.0</v>
      </c>
      <c r="V346" s="137">
        <v>16.0</v>
      </c>
      <c r="W346" s="137">
        <v>29.0</v>
      </c>
      <c r="X346" s="137">
        <v>16.0</v>
      </c>
      <c r="Y346" s="137">
        <v>22.0</v>
      </c>
      <c r="Z346" s="137">
        <v>28.0</v>
      </c>
      <c r="AA346" s="137">
        <v>19.0</v>
      </c>
      <c r="AB346" s="137">
        <v>33.0</v>
      </c>
      <c r="AC346" s="137">
        <v>23.0</v>
      </c>
      <c r="AD346" s="137">
        <v>26.0</v>
      </c>
      <c r="AE346" s="137">
        <v>20.0</v>
      </c>
      <c r="AF346" s="137">
        <v>21.0</v>
      </c>
      <c r="AG346" s="137">
        <v>17.0</v>
      </c>
      <c r="AH346" s="137">
        <v>12.0</v>
      </c>
      <c r="AI346" s="137">
        <v>11.0</v>
      </c>
      <c r="AJ346" s="137">
        <v>7.0</v>
      </c>
      <c r="AK346" s="137">
        <v>4.0</v>
      </c>
      <c r="AL346" s="137">
        <v>15.0</v>
      </c>
      <c r="AM346" s="137">
        <v>11.0</v>
      </c>
      <c r="AN346" s="137">
        <v>499.0</v>
      </c>
    </row>
    <row r="347">
      <c r="A347" s="104"/>
      <c r="B347" s="136" t="s">
        <v>199</v>
      </c>
      <c r="C347" s="137">
        <v>768.0</v>
      </c>
      <c r="D347" s="137">
        <v>529.0</v>
      </c>
      <c r="E347" s="137">
        <v>239.0</v>
      </c>
      <c r="F347" s="137">
        <v>1.0</v>
      </c>
      <c r="G347" s="137">
        <v>7.0</v>
      </c>
      <c r="H347" s="137">
        <v>1.0</v>
      </c>
      <c r="I347" s="137">
        <v>5.0</v>
      </c>
      <c r="J347" s="137">
        <v>7.0</v>
      </c>
      <c r="K347" s="137">
        <v>4.0</v>
      </c>
      <c r="L347" s="137">
        <v>240.0</v>
      </c>
      <c r="M347" s="137">
        <v>26.0</v>
      </c>
      <c r="N347" s="137">
        <v>22.0</v>
      </c>
      <c r="O347" s="137">
        <v>12.0</v>
      </c>
      <c r="P347" s="137">
        <v>37.0</v>
      </c>
      <c r="Q347" s="137">
        <v>22.0</v>
      </c>
      <c r="R347" s="137">
        <v>22.0</v>
      </c>
      <c r="S347" s="137">
        <v>11.0</v>
      </c>
      <c r="T347" s="137">
        <v>14.0</v>
      </c>
      <c r="U347" s="137">
        <v>12.0</v>
      </c>
      <c r="V347" s="137">
        <v>24.0</v>
      </c>
      <c r="W347" s="137">
        <v>13.0</v>
      </c>
      <c r="X347" s="137">
        <v>15.0</v>
      </c>
      <c r="Y347" s="137">
        <v>18.0</v>
      </c>
      <c r="Z347" s="137">
        <v>44.0</v>
      </c>
      <c r="AA347" s="137">
        <v>31.0</v>
      </c>
      <c r="AB347" s="137">
        <v>19.0</v>
      </c>
      <c r="AC347" s="137">
        <v>28.0</v>
      </c>
      <c r="AD347" s="137">
        <v>40.0</v>
      </c>
      <c r="AE347" s="137">
        <v>7.0</v>
      </c>
      <c r="AF347" s="137">
        <v>26.0</v>
      </c>
      <c r="AG347" s="137">
        <v>21.0</v>
      </c>
      <c r="AH347" s="137">
        <v>8.0</v>
      </c>
      <c r="AI347" s="137">
        <v>9.0</v>
      </c>
      <c r="AJ347" s="137">
        <v>1.0</v>
      </c>
      <c r="AK347" s="137">
        <v>5.0</v>
      </c>
      <c r="AL347" s="137">
        <v>8.0</v>
      </c>
      <c r="AM347" s="137">
        <v>8.0</v>
      </c>
      <c r="AN347" s="137">
        <v>765.0</v>
      </c>
    </row>
    <row r="348">
      <c r="A348" s="132" t="s">
        <v>203</v>
      </c>
      <c r="B348" s="136" t="s">
        <v>198</v>
      </c>
      <c r="C348" s="137">
        <v>3.0</v>
      </c>
      <c r="D348" s="137">
        <v>2.0</v>
      </c>
      <c r="E348" s="137">
        <v>1.0</v>
      </c>
      <c r="F348" s="135">
        <v>0.0</v>
      </c>
      <c r="G348" s="135">
        <v>0.0</v>
      </c>
      <c r="H348" s="135">
        <v>0.0</v>
      </c>
      <c r="I348" s="135">
        <v>0.0</v>
      </c>
      <c r="J348" s="135">
        <v>0.0</v>
      </c>
      <c r="K348" s="135">
        <v>0.0</v>
      </c>
      <c r="L348" s="135">
        <v>0.0</v>
      </c>
      <c r="M348" s="135">
        <v>0.0</v>
      </c>
      <c r="N348" s="135">
        <v>0.0</v>
      </c>
      <c r="O348" s="135">
        <v>0.0</v>
      </c>
      <c r="P348" s="135">
        <v>0.0</v>
      </c>
      <c r="Q348" s="135">
        <v>0.0</v>
      </c>
      <c r="R348" s="135">
        <v>0.0</v>
      </c>
      <c r="S348" s="135">
        <v>0.0</v>
      </c>
      <c r="T348" s="135">
        <v>0.0</v>
      </c>
      <c r="U348" s="135">
        <v>0.0</v>
      </c>
      <c r="V348" s="135">
        <v>0.0</v>
      </c>
      <c r="W348" s="135">
        <v>0.0</v>
      </c>
      <c r="X348" s="135">
        <v>0.0</v>
      </c>
      <c r="Y348" s="135">
        <v>0.0</v>
      </c>
      <c r="Z348" s="135">
        <v>0.0</v>
      </c>
      <c r="AA348" s="135">
        <v>0.0</v>
      </c>
      <c r="AB348" s="135">
        <v>0.0</v>
      </c>
      <c r="AC348" s="135">
        <v>0.0</v>
      </c>
      <c r="AD348" s="135">
        <v>0.0</v>
      </c>
      <c r="AE348" s="135">
        <v>0.0</v>
      </c>
      <c r="AF348" s="137">
        <v>0.0</v>
      </c>
      <c r="AG348" s="137">
        <v>1.0</v>
      </c>
      <c r="AH348" s="137">
        <v>2.0</v>
      </c>
      <c r="AI348" s="137">
        <v>0.0</v>
      </c>
      <c r="AJ348" s="137">
        <v>0.0</v>
      </c>
      <c r="AK348" s="137">
        <v>0.0</v>
      </c>
      <c r="AL348" s="137">
        <v>0.0</v>
      </c>
      <c r="AM348" s="137">
        <v>0.0</v>
      </c>
      <c r="AN348" s="137">
        <v>3.0</v>
      </c>
    </row>
    <row r="349">
      <c r="A349" s="104"/>
      <c r="B349" s="136" t="s">
        <v>199</v>
      </c>
      <c r="C349" s="137">
        <v>501.0</v>
      </c>
      <c r="D349" s="137">
        <v>196.0</v>
      </c>
      <c r="E349" s="137">
        <v>305.0</v>
      </c>
      <c r="F349" s="135">
        <v>0.0</v>
      </c>
      <c r="G349" s="135">
        <v>0.0</v>
      </c>
      <c r="H349" s="135">
        <v>0.0</v>
      </c>
      <c r="I349" s="135">
        <v>0.0</v>
      </c>
      <c r="J349" s="135">
        <v>0.0</v>
      </c>
      <c r="K349" s="135">
        <v>0.0</v>
      </c>
      <c r="L349" s="135">
        <v>0.0</v>
      </c>
      <c r="M349" s="135">
        <v>0.0</v>
      </c>
      <c r="N349" s="135">
        <v>0.0</v>
      </c>
      <c r="O349" s="135">
        <v>0.0</v>
      </c>
      <c r="P349" s="135">
        <v>0.0</v>
      </c>
      <c r="Q349" s="135">
        <v>0.0</v>
      </c>
      <c r="R349" s="135">
        <v>0.0</v>
      </c>
      <c r="S349" s="135">
        <v>0.0</v>
      </c>
      <c r="T349" s="135">
        <v>0.0</v>
      </c>
      <c r="U349" s="135">
        <v>0.0</v>
      </c>
      <c r="V349" s="135">
        <v>0.0</v>
      </c>
      <c r="W349" s="135">
        <v>0.0</v>
      </c>
      <c r="X349" s="135">
        <v>0.0</v>
      </c>
      <c r="Y349" s="135">
        <v>0.0</v>
      </c>
      <c r="Z349" s="135">
        <v>0.0</v>
      </c>
      <c r="AA349" s="135">
        <v>0.0</v>
      </c>
      <c r="AB349" s="135">
        <v>0.0</v>
      </c>
      <c r="AC349" s="135">
        <v>0.0</v>
      </c>
      <c r="AD349" s="135">
        <v>0.0</v>
      </c>
      <c r="AE349" s="135">
        <v>0.0</v>
      </c>
      <c r="AF349" s="137">
        <v>45.0</v>
      </c>
      <c r="AG349" s="137">
        <v>90.0</v>
      </c>
      <c r="AH349" s="137">
        <v>81.0</v>
      </c>
      <c r="AI349" s="137">
        <v>103.0</v>
      </c>
      <c r="AJ349" s="137">
        <v>47.0</v>
      </c>
      <c r="AK349" s="137">
        <v>68.0</v>
      </c>
      <c r="AL349" s="137">
        <v>23.0</v>
      </c>
      <c r="AM349" s="137">
        <v>44.0</v>
      </c>
      <c r="AN349" s="137">
        <v>501.0</v>
      </c>
    </row>
    <row r="350">
      <c r="A350" s="132" t="s">
        <v>204</v>
      </c>
      <c r="B350" s="136" t="s">
        <v>198</v>
      </c>
      <c r="C350" s="137">
        <v>4.0</v>
      </c>
      <c r="D350" s="137">
        <v>2.0</v>
      </c>
      <c r="E350" s="137">
        <v>2.0</v>
      </c>
      <c r="F350" s="135">
        <v>0.0</v>
      </c>
      <c r="G350" s="135">
        <v>0.0</v>
      </c>
      <c r="H350" s="135">
        <v>0.0</v>
      </c>
      <c r="I350" s="135">
        <v>0.0</v>
      </c>
      <c r="J350" s="135">
        <v>0.0</v>
      </c>
      <c r="K350" s="135">
        <v>0.0</v>
      </c>
      <c r="L350" s="135">
        <v>0.0</v>
      </c>
      <c r="M350" s="135">
        <v>0.0</v>
      </c>
      <c r="N350" s="135">
        <v>0.0</v>
      </c>
      <c r="O350" s="135">
        <v>0.0</v>
      </c>
      <c r="P350" s="135">
        <v>0.0</v>
      </c>
      <c r="Q350" s="135">
        <v>0.0</v>
      </c>
      <c r="R350" s="135">
        <v>0.0</v>
      </c>
      <c r="S350" s="135">
        <v>0.0</v>
      </c>
      <c r="T350" s="135">
        <v>0.0</v>
      </c>
      <c r="U350" s="135">
        <v>0.0</v>
      </c>
      <c r="V350" s="135">
        <v>0.0</v>
      </c>
      <c r="W350" s="135">
        <v>0.0</v>
      </c>
      <c r="X350" s="135">
        <v>0.0</v>
      </c>
      <c r="Y350" s="135">
        <v>0.0</v>
      </c>
      <c r="Z350" s="135">
        <v>0.0</v>
      </c>
      <c r="AA350" s="135">
        <v>0.0</v>
      </c>
      <c r="AB350" s="135">
        <v>0.0</v>
      </c>
      <c r="AC350" s="135">
        <v>0.0</v>
      </c>
      <c r="AD350" s="135">
        <v>0.0</v>
      </c>
      <c r="AE350" s="135">
        <v>0.0</v>
      </c>
      <c r="AF350" s="137">
        <v>0.0</v>
      </c>
      <c r="AG350" s="137">
        <v>0.0</v>
      </c>
      <c r="AH350" s="137">
        <v>1.0</v>
      </c>
      <c r="AI350" s="137">
        <v>0.0</v>
      </c>
      <c r="AJ350" s="137">
        <v>0.0</v>
      </c>
      <c r="AK350" s="137">
        <v>1.0</v>
      </c>
      <c r="AL350" s="137">
        <v>1.0</v>
      </c>
      <c r="AM350" s="137">
        <v>1.0</v>
      </c>
      <c r="AN350" s="137">
        <v>4.0</v>
      </c>
    </row>
    <row r="351">
      <c r="A351" s="104"/>
      <c r="B351" s="136" t="s">
        <v>199</v>
      </c>
      <c r="C351" s="137">
        <v>293.0</v>
      </c>
      <c r="D351" s="137">
        <v>70.0</v>
      </c>
      <c r="E351" s="137">
        <v>223.0</v>
      </c>
      <c r="F351" s="135">
        <v>0.0</v>
      </c>
      <c r="G351" s="135">
        <v>0.0</v>
      </c>
      <c r="H351" s="135">
        <v>0.0</v>
      </c>
      <c r="I351" s="135">
        <v>0.0</v>
      </c>
      <c r="J351" s="135">
        <v>0.0</v>
      </c>
      <c r="K351" s="135">
        <v>0.0</v>
      </c>
      <c r="L351" s="135">
        <v>0.0</v>
      </c>
      <c r="M351" s="135">
        <v>0.0</v>
      </c>
      <c r="N351" s="135">
        <v>0.0</v>
      </c>
      <c r="O351" s="135">
        <v>0.0</v>
      </c>
      <c r="P351" s="135">
        <v>0.0</v>
      </c>
      <c r="Q351" s="135">
        <v>0.0</v>
      </c>
      <c r="R351" s="135">
        <v>0.0</v>
      </c>
      <c r="S351" s="135">
        <v>0.0</v>
      </c>
      <c r="T351" s="135">
        <v>0.0</v>
      </c>
      <c r="U351" s="135">
        <v>0.0</v>
      </c>
      <c r="V351" s="135">
        <v>0.0</v>
      </c>
      <c r="W351" s="135">
        <v>0.0</v>
      </c>
      <c r="X351" s="135">
        <v>0.0</v>
      </c>
      <c r="Y351" s="135">
        <v>0.0</v>
      </c>
      <c r="Z351" s="135">
        <v>0.0</v>
      </c>
      <c r="AA351" s="135">
        <v>0.0</v>
      </c>
      <c r="AB351" s="135">
        <v>0.0</v>
      </c>
      <c r="AC351" s="135">
        <v>0.0</v>
      </c>
      <c r="AD351" s="135">
        <v>0.0</v>
      </c>
      <c r="AE351" s="135">
        <v>0.0</v>
      </c>
      <c r="AF351" s="137">
        <v>9.0</v>
      </c>
      <c r="AG351" s="137">
        <v>54.0</v>
      </c>
      <c r="AH351" s="137">
        <v>13.0</v>
      </c>
      <c r="AI351" s="137">
        <v>29.0</v>
      </c>
      <c r="AJ351" s="137">
        <v>22.0</v>
      </c>
      <c r="AK351" s="137">
        <v>44.0</v>
      </c>
      <c r="AL351" s="137">
        <v>26.0</v>
      </c>
      <c r="AM351" s="137">
        <v>96.0</v>
      </c>
      <c r="AN351" s="137">
        <v>292.0</v>
      </c>
    </row>
    <row r="352">
      <c r="A352" s="132" t="s">
        <v>205</v>
      </c>
      <c r="B352" s="136" t="s">
        <v>198</v>
      </c>
      <c r="C352" s="137">
        <v>606.0</v>
      </c>
      <c r="D352" s="137">
        <v>164.0</v>
      </c>
      <c r="E352" s="137">
        <v>442.0</v>
      </c>
      <c r="F352" s="137">
        <v>0.0</v>
      </c>
      <c r="G352" s="137">
        <v>1.0</v>
      </c>
      <c r="H352" s="137">
        <v>16.0</v>
      </c>
      <c r="I352" s="137">
        <v>4.0</v>
      </c>
      <c r="J352" s="137">
        <v>23.0</v>
      </c>
      <c r="K352" s="137">
        <v>5.0</v>
      </c>
      <c r="L352" s="137">
        <v>11.0</v>
      </c>
      <c r="M352" s="137">
        <v>4.0</v>
      </c>
      <c r="N352" s="137">
        <v>4.0</v>
      </c>
      <c r="O352" s="137">
        <v>3.0</v>
      </c>
      <c r="P352" s="137">
        <v>5.0</v>
      </c>
      <c r="Q352" s="137">
        <v>18.0</v>
      </c>
      <c r="R352" s="137">
        <v>5.0</v>
      </c>
      <c r="S352" s="137">
        <v>7.0</v>
      </c>
      <c r="T352" s="137">
        <v>2.0</v>
      </c>
      <c r="U352" s="137">
        <v>11.0</v>
      </c>
      <c r="V352" s="137">
        <v>5.0</v>
      </c>
      <c r="W352" s="137">
        <v>17.0</v>
      </c>
      <c r="X352" s="137">
        <v>10.0</v>
      </c>
      <c r="Y352" s="137">
        <v>16.0</v>
      </c>
      <c r="Z352" s="137">
        <v>7.0</v>
      </c>
      <c r="AA352" s="137">
        <v>31.0</v>
      </c>
      <c r="AB352" s="137">
        <v>12.0</v>
      </c>
      <c r="AC352" s="137">
        <v>66.0</v>
      </c>
      <c r="AD352" s="137">
        <v>15.0</v>
      </c>
      <c r="AE352" s="137">
        <v>83.0</v>
      </c>
      <c r="AF352" s="137">
        <v>20.0</v>
      </c>
      <c r="AG352" s="137">
        <v>63.0</v>
      </c>
      <c r="AH352" s="137">
        <v>13.0</v>
      </c>
      <c r="AI352" s="137">
        <v>50.0</v>
      </c>
      <c r="AJ352" s="137">
        <v>9.0</v>
      </c>
      <c r="AK352" s="137">
        <v>31.0</v>
      </c>
      <c r="AL352" s="137">
        <v>7.0</v>
      </c>
      <c r="AM352" s="137">
        <v>32.0</v>
      </c>
      <c r="AN352" s="137">
        <v>606.0</v>
      </c>
    </row>
    <row r="353">
      <c r="A353" s="98"/>
      <c r="B353" s="136" t="s">
        <v>199</v>
      </c>
      <c r="C353" s="137">
        <v>2.0</v>
      </c>
      <c r="D353" s="137">
        <v>1.0</v>
      </c>
      <c r="E353" s="137">
        <v>1.0</v>
      </c>
      <c r="F353" s="137">
        <v>0.0</v>
      </c>
      <c r="G353" s="137">
        <v>0.0</v>
      </c>
      <c r="H353" s="137">
        <v>0.0</v>
      </c>
      <c r="I353" s="137">
        <v>0.0</v>
      </c>
      <c r="J353" s="137">
        <v>0.0</v>
      </c>
      <c r="K353" s="137">
        <v>0.0</v>
      </c>
      <c r="L353" s="137">
        <v>0.0</v>
      </c>
      <c r="M353" s="137">
        <v>0.0</v>
      </c>
      <c r="N353" s="137">
        <v>0.0</v>
      </c>
      <c r="O353" s="137">
        <v>0.0</v>
      </c>
      <c r="P353" s="137">
        <v>0.0</v>
      </c>
      <c r="Q353" s="137">
        <v>0.0</v>
      </c>
      <c r="R353" s="137">
        <v>0.0</v>
      </c>
      <c r="S353" s="137">
        <v>0.0</v>
      </c>
      <c r="T353" s="137">
        <v>0.0</v>
      </c>
      <c r="U353" s="137">
        <v>0.0</v>
      </c>
      <c r="V353" s="137">
        <v>0.0</v>
      </c>
      <c r="W353" s="137">
        <v>0.0</v>
      </c>
      <c r="X353" s="137">
        <v>0.0</v>
      </c>
      <c r="Y353" s="137">
        <v>0.0</v>
      </c>
      <c r="Z353" s="137">
        <v>0.0</v>
      </c>
      <c r="AA353" s="137">
        <v>0.0</v>
      </c>
      <c r="AB353" s="137">
        <v>1.0</v>
      </c>
      <c r="AC353" s="137">
        <v>1.0</v>
      </c>
      <c r="AD353" s="137">
        <v>0.0</v>
      </c>
      <c r="AE353" s="137">
        <v>0.0</v>
      </c>
      <c r="AF353" s="137">
        <v>0.0</v>
      </c>
      <c r="AG353" s="137">
        <v>0.0</v>
      </c>
      <c r="AH353" s="137">
        <v>0.0</v>
      </c>
      <c r="AI353" s="137">
        <v>0.0</v>
      </c>
      <c r="AJ353" s="137">
        <v>0.0</v>
      </c>
      <c r="AK353" s="137">
        <v>0.0</v>
      </c>
      <c r="AL353" s="137">
        <v>0.0</v>
      </c>
      <c r="AM353" s="137">
        <v>0.0</v>
      </c>
      <c r="AN353" s="137">
        <v>2.0</v>
      </c>
    </row>
    <row r="354">
      <c r="A354" s="104"/>
      <c r="B354" s="136" t="s">
        <v>206</v>
      </c>
      <c r="C354" s="137">
        <v>261.0</v>
      </c>
      <c r="D354" s="137">
        <v>44.0</v>
      </c>
      <c r="E354" s="137">
        <v>217.0</v>
      </c>
      <c r="F354" s="137">
        <v>0.0</v>
      </c>
      <c r="G354" s="137">
        <v>0.0</v>
      </c>
      <c r="H354" s="137">
        <v>0.0</v>
      </c>
      <c r="I354" s="137">
        <v>0.0</v>
      </c>
      <c r="J354" s="137">
        <v>0.0</v>
      </c>
      <c r="K354" s="137">
        <v>0.0</v>
      </c>
      <c r="L354" s="137">
        <v>3.0</v>
      </c>
      <c r="M354" s="137">
        <v>18.0</v>
      </c>
      <c r="N354" s="137">
        <v>8.0</v>
      </c>
      <c r="O354" s="137">
        <v>44.0</v>
      </c>
      <c r="P354" s="137">
        <v>5.0</v>
      </c>
      <c r="Q354" s="137">
        <v>21.0</v>
      </c>
      <c r="R354" s="137">
        <v>11.0</v>
      </c>
      <c r="S354" s="137">
        <v>15.0</v>
      </c>
      <c r="T354" s="137">
        <v>1.0</v>
      </c>
      <c r="U354" s="137">
        <v>15.0</v>
      </c>
      <c r="V354" s="137">
        <v>0.0</v>
      </c>
      <c r="W354" s="137">
        <v>7.0</v>
      </c>
      <c r="X354" s="137">
        <v>1.0</v>
      </c>
      <c r="Y354" s="137">
        <v>13.0</v>
      </c>
      <c r="Z354" s="137">
        <v>4.0</v>
      </c>
      <c r="AA354" s="137">
        <v>16.0</v>
      </c>
      <c r="AB354" s="137">
        <v>3.0</v>
      </c>
      <c r="AC354" s="137">
        <v>24.0</v>
      </c>
      <c r="AD354" s="137">
        <v>3.0</v>
      </c>
      <c r="AE354" s="137">
        <v>17.0</v>
      </c>
      <c r="AF354" s="137">
        <v>2.0</v>
      </c>
      <c r="AG354" s="137">
        <v>11.0</v>
      </c>
      <c r="AH354" s="137">
        <v>3.0</v>
      </c>
      <c r="AI354" s="137">
        <v>8.0</v>
      </c>
      <c r="AJ354" s="137">
        <v>0.0</v>
      </c>
      <c r="AK354" s="137">
        <v>5.0</v>
      </c>
      <c r="AL354" s="137">
        <v>0.0</v>
      </c>
      <c r="AM354" s="137">
        <v>3.0</v>
      </c>
      <c r="AN354" s="137">
        <v>261.0</v>
      </c>
    </row>
    <row r="355">
      <c r="A355" s="132" t="s">
        <v>207</v>
      </c>
      <c r="B355" s="136" t="s">
        <v>198</v>
      </c>
      <c r="C355" s="134">
        <v>35713.0</v>
      </c>
      <c r="D355" s="134">
        <v>7333.0</v>
      </c>
      <c r="E355" s="134">
        <v>28380.0</v>
      </c>
      <c r="F355" s="137">
        <v>294.0</v>
      </c>
      <c r="G355" s="137">
        <v>384.0</v>
      </c>
      <c r="H355" s="137">
        <v>361.0</v>
      </c>
      <c r="I355" s="137">
        <v>218.0</v>
      </c>
      <c r="J355" s="137">
        <v>352.0</v>
      </c>
      <c r="K355" s="137">
        <v>173.0</v>
      </c>
      <c r="L355" s="137">
        <v>226.0</v>
      </c>
      <c r="M355" s="137">
        <v>343.0</v>
      </c>
      <c r="N355" s="137">
        <v>146.0</v>
      </c>
      <c r="O355" s="137">
        <v>502.0</v>
      </c>
      <c r="P355" s="137">
        <v>169.0</v>
      </c>
      <c r="Q355" s="137">
        <v>729.0</v>
      </c>
      <c r="R355" s="137">
        <v>168.0</v>
      </c>
      <c r="S355" s="137">
        <v>770.0</v>
      </c>
      <c r="T355" s="137">
        <v>214.0</v>
      </c>
      <c r="U355" s="137">
        <v>893.0</v>
      </c>
      <c r="V355" s="137">
        <v>229.0</v>
      </c>
      <c r="W355" s="134">
        <v>1114.0</v>
      </c>
      <c r="X355" s="137">
        <v>286.0</v>
      </c>
      <c r="Y355" s="134">
        <v>1260.0</v>
      </c>
      <c r="Z355" s="137">
        <v>396.0</v>
      </c>
      <c r="AA355" s="134">
        <v>2079.0</v>
      </c>
      <c r="AB355" s="137">
        <v>547.0</v>
      </c>
      <c r="AC355" s="134">
        <v>3245.0</v>
      </c>
      <c r="AD355" s="137">
        <v>646.0</v>
      </c>
      <c r="AE355" s="134">
        <v>3769.0</v>
      </c>
      <c r="AF355" s="137">
        <v>857.0</v>
      </c>
      <c r="AG355" s="134">
        <v>4012.0</v>
      </c>
      <c r="AH355" s="137">
        <v>942.0</v>
      </c>
      <c r="AI355" s="134">
        <v>3753.0</v>
      </c>
      <c r="AJ355" s="137">
        <v>735.0</v>
      </c>
      <c r="AK355" s="134">
        <v>2550.0</v>
      </c>
      <c r="AL355" s="137">
        <v>765.0</v>
      </c>
      <c r="AM355" s="134">
        <v>2586.0</v>
      </c>
      <c r="AN355" s="134">
        <v>35711.0</v>
      </c>
    </row>
    <row r="356">
      <c r="A356" s="98"/>
      <c r="B356" s="136" t="s">
        <v>199</v>
      </c>
      <c r="C356" s="134">
        <v>2339.0</v>
      </c>
      <c r="D356" s="137">
        <v>976.0</v>
      </c>
      <c r="E356" s="134">
        <v>1363.0</v>
      </c>
      <c r="F356" s="137">
        <v>48.0</v>
      </c>
      <c r="G356" s="137">
        <v>56.0</v>
      </c>
      <c r="H356" s="137">
        <v>120.0</v>
      </c>
      <c r="I356" s="137">
        <v>50.0</v>
      </c>
      <c r="J356" s="137">
        <v>76.0</v>
      </c>
      <c r="K356" s="137">
        <v>10.0</v>
      </c>
      <c r="L356" s="137">
        <v>3.0</v>
      </c>
      <c r="M356" s="137">
        <v>3.0</v>
      </c>
      <c r="N356" s="137">
        <v>4.0</v>
      </c>
      <c r="O356" s="137">
        <v>3.0</v>
      </c>
      <c r="P356" s="137">
        <v>12.0</v>
      </c>
      <c r="Q356" s="137">
        <v>4.0</v>
      </c>
      <c r="R356" s="137">
        <v>6.0</v>
      </c>
      <c r="S356" s="137">
        <v>10.0</v>
      </c>
      <c r="T356" s="137">
        <v>15.0</v>
      </c>
      <c r="U356" s="137">
        <v>7.0</v>
      </c>
      <c r="V356" s="137">
        <v>14.0</v>
      </c>
      <c r="W356" s="137">
        <v>31.0</v>
      </c>
      <c r="X356" s="137">
        <v>23.0</v>
      </c>
      <c r="Y356" s="137">
        <v>65.0</v>
      </c>
      <c r="Z356" s="137">
        <v>38.0</v>
      </c>
      <c r="AA356" s="137">
        <v>87.0</v>
      </c>
      <c r="AB356" s="137">
        <v>62.0</v>
      </c>
      <c r="AC356" s="137">
        <v>110.0</v>
      </c>
      <c r="AD356" s="137">
        <v>73.0</v>
      </c>
      <c r="AE356" s="137">
        <v>123.0</v>
      </c>
      <c r="AF356" s="137">
        <v>107.0</v>
      </c>
      <c r="AG356" s="137">
        <v>172.0</v>
      </c>
      <c r="AH356" s="137">
        <v>117.0</v>
      </c>
      <c r="AI356" s="137">
        <v>207.0</v>
      </c>
      <c r="AJ356" s="137">
        <v>115.0</v>
      </c>
      <c r="AK356" s="137">
        <v>177.0</v>
      </c>
      <c r="AL356" s="137">
        <v>143.0</v>
      </c>
      <c r="AM356" s="137">
        <v>248.0</v>
      </c>
      <c r="AN356" s="134">
        <v>2339.0</v>
      </c>
    </row>
    <row r="357">
      <c r="A357" s="98"/>
      <c r="B357" s="136" t="s">
        <v>206</v>
      </c>
      <c r="C357" s="134">
        <v>8064.0</v>
      </c>
      <c r="D357" s="137">
        <v>165.0</v>
      </c>
      <c r="E357" s="134">
        <v>7899.0</v>
      </c>
      <c r="F357" s="137">
        <v>8.0</v>
      </c>
      <c r="G357" s="137">
        <v>17.0</v>
      </c>
      <c r="H357" s="137">
        <v>3.0</v>
      </c>
      <c r="I357" s="137">
        <v>6.0</v>
      </c>
      <c r="J357" s="137">
        <v>4.0</v>
      </c>
      <c r="K357" s="137">
        <v>53.0</v>
      </c>
      <c r="L357" s="137">
        <v>11.0</v>
      </c>
      <c r="M357" s="137">
        <v>286.0</v>
      </c>
      <c r="N357" s="137">
        <v>11.0</v>
      </c>
      <c r="O357" s="137">
        <v>454.0</v>
      </c>
      <c r="P357" s="137">
        <v>17.0</v>
      </c>
      <c r="Q357" s="137">
        <v>605.0</v>
      </c>
      <c r="R357" s="137">
        <v>16.0</v>
      </c>
      <c r="S357" s="137">
        <v>531.0</v>
      </c>
      <c r="T357" s="137">
        <v>15.0</v>
      </c>
      <c r="U357" s="137">
        <v>544.0</v>
      </c>
      <c r="V357" s="137">
        <v>12.0</v>
      </c>
      <c r="W357" s="137">
        <v>560.0</v>
      </c>
      <c r="X357" s="137">
        <v>12.0</v>
      </c>
      <c r="Y357" s="137">
        <v>622.0</v>
      </c>
      <c r="Z357" s="137">
        <v>22.0</v>
      </c>
      <c r="AA357" s="137">
        <v>788.0</v>
      </c>
      <c r="AB357" s="137">
        <v>15.0</v>
      </c>
      <c r="AC357" s="137">
        <v>910.0</v>
      </c>
      <c r="AD357" s="137">
        <v>10.0</v>
      </c>
      <c r="AE357" s="137">
        <v>943.0</v>
      </c>
      <c r="AF357" s="137">
        <v>6.0</v>
      </c>
      <c r="AG357" s="137">
        <v>667.0</v>
      </c>
      <c r="AH357" s="137">
        <v>2.0</v>
      </c>
      <c r="AI357" s="137">
        <v>480.0</v>
      </c>
      <c r="AJ357" s="137">
        <v>1.0</v>
      </c>
      <c r="AK357" s="137">
        <v>277.0</v>
      </c>
      <c r="AL357" s="137">
        <v>0.0</v>
      </c>
      <c r="AM357" s="137">
        <v>156.0</v>
      </c>
      <c r="AN357" s="134">
        <v>8048.0</v>
      </c>
    </row>
    <row r="358">
      <c r="A358" s="98"/>
      <c r="B358" s="136" t="s">
        <v>200</v>
      </c>
      <c r="C358" s="137">
        <v>143.0</v>
      </c>
      <c r="D358" s="137">
        <v>30.0</v>
      </c>
      <c r="E358" s="137">
        <v>113.0</v>
      </c>
      <c r="F358" s="137">
        <v>3.0</v>
      </c>
      <c r="G358" s="137">
        <v>4.0</v>
      </c>
      <c r="H358" s="137">
        <v>2.0</v>
      </c>
      <c r="I358" s="137">
        <v>1.0</v>
      </c>
      <c r="J358" s="137">
        <v>0.0</v>
      </c>
      <c r="K358" s="137">
        <v>2.0</v>
      </c>
      <c r="L358" s="137">
        <v>0.0</v>
      </c>
      <c r="M358" s="137">
        <v>1.0</v>
      </c>
      <c r="N358" s="137">
        <v>1.0</v>
      </c>
      <c r="O358" s="137">
        <v>7.0</v>
      </c>
      <c r="P358" s="137">
        <v>0.0</v>
      </c>
      <c r="Q358" s="137">
        <v>2.0</v>
      </c>
      <c r="R358" s="137">
        <v>0.0</v>
      </c>
      <c r="S358" s="137">
        <v>1.0</v>
      </c>
      <c r="T358" s="137">
        <v>1.0</v>
      </c>
      <c r="U358" s="137">
        <v>3.0</v>
      </c>
      <c r="V358" s="137">
        <v>3.0</v>
      </c>
      <c r="W358" s="137">
        <v>6.0</v>
      </c>
      <c r="X358" s="137">
        <v>1.0</v>
      </c>
      <c r="Y358" s="137">
        <v>9.0</v>
      </c>
      <c r="Z358" s="137">
        <v>1.0</v>
      </c>
      <c r="AA358" s="137">
        <v>13.0</v>
      </c>
      <c r="AB358" s="137">
        <v>1.0</v>
      </c>
      <c r="AC358" s="137">
        <v>6.0</v>
      </c>
      <c r="AD358" s="137">
        <v>1.0</v>
      </c>
      <c r="AE358" s="137">
        <v>24.0</v>
      </c>
      <c r="AF358" s="137">
        <v>5.0</v>
      </c>
      <c r="AG358" s="137">
        <v>17.0</v>
      </c>
      <c r="AH358" s="137">
        <v>6.0</v>
      </c>
      <c r="AI358" s="137">
        <v>10.0</v>
      </c>
      <c r="AJ358" s="137">
        <v>5.0</v>
      </c>
      <c r="AK358" s="137">
        <v>2.0</v>
      </c>
      <c r="AL358" s="137">
        <v>0.0</v>
      </c>
      <c r="AM358" s="137">
        <v>5.0</v>
      </c>
      <c r="AN358" s="137">
        <v>144.0</v>
      </c>
    </row>
    <row r="359">
      <c r="A359" s="104"/>
      <c r="B359" s="136" t="s">
        <v>201</v>
      </c>
      <c r="C359" s="137">
        <v>978.0</v>
      </c>
      <c r="D359" s="137">
        <v>516.0</v>
      </c>
      <c r="E359" s="137">
        <v>462.0</v>
      </c>
      <c r="F359" s="137">
        <v>111.0</v>
      </c>
      <c r="G359" s="137">
        <v>83.0</v>
      </c>
      <c r="H359" s="137">
        <v>32.0</v>
      </c>
      <c r="I359" s="137">
        <v>33.0</v>
      </c>
      <c r="J359" s="137">
        <v>13.0</v>
      </c>
      <c r="K359" s="137">
        <v>15.0</v>
      </c>
      <c r="L359" s="137">
        <v>6.0</v>
      </c>
      <c r="M359" s="137">
        <v>6.0</v>
      </c>
      <c r="N359" s="137">
        <v>20.0</v>
      </c>
      <c r="O359" s="137">
        <v>9.0</v>
      </c>
      <c r="P359" s="137">
        <v>33.0</v>
      </c>
      <c r="Q359" s="137">
        <v>14.0</v>
      </c>
      <c r="R359" s="137">
        <v>4.0</v>
      </c>
      <c r="S359" s="137">
        <v>51.0</v>
      </c>
      <c r="T359" s="137">
        <v>6.0</v>
      </c>
      <c r="U359" s="137">
        <v>16.0</v>
      </c>
      <c r="V359" s="137">
        <v>21.0</v>
      </c>
      <c r="W359" s="137">
        <v>51.0</v>
      </c>
      <c r="X359" s="137">
        <v>23.0</v>
      </c>
      <c r="Y359" s="137">
        <v>15.0</v>
      </c>
      <c r="Z359" s="137">
        <v>52.0</v>
      </c>
      <c r="AA359" s="137">
        <v>12.0</v>
      </c>
      <c r="AB359" s="137">
        <v>11.0</v>
      </c>
      <c r="AC359" s="137">
        <v>43.0</v>
      </c>
      <c r="AD359" s="137">
        <v>17.0</v>
      </c>
      <c r="AE359" s="137">
        <v>43.0</v>
      </c>
      <c r="AF359" s="137">
        <v>44.0</v>
      </c>
      <c r="AG359" s="137">
        <v>28.0</v>
      </c>
      <c r="AH359" s="137">
        <v>46.0</v>
      </c>
      <c r="AI359" s="137">
        <v>31.0</v>
      </c>
      <c r="AJ359" s="137">
        <v>50.0</v>
      </c>
      <c r="AK359" s="137">
        <v>5.0</v>
      </c>
      <c r="AL359" s="137">
        <v>27.0</v>
      </c>
      <c r="AM359" s="137">
        <v>7.0</v>
      </c>
      <c r="AN359" s="137">
        <v>974.0</v>
      </c>
    </row>
    <row r="360">
      <c r="A360" s="132" t="s">
        <v>208</v>
      </c>
      <c r="B360" s="136" t="s">
        <v>198</v>
      </c>
      <c r="C360" s="137">
        <v>102.0</v>
      </c>
      <c r="D360" s="137">
        <v>53.0</v>
      </c>
      <c r="E360" s="137">
        <v>49.0</v>
      </c>
      <c r="F360" s="137">
        <v>20.0</v>
      </c>
      <c r="G360" s="137">
        <v>23.0</v>
      </c>
      <c r="H360" s="137">
        <v>11.0</v>
      </c>
      <c r="I360" s="137">
        <v>17.0</v>
      </c>
      <c r="J360" s="137">
        <v>11.0</v>
      </c>
      <c r="K360" s="137">
        <v>2.0</v>
      </c>
      <c r="L360" s="137">
        <v>8.0</v>
      </c>
      <c r="M360" s="137">
        <v>2.0</v>
      </c>
      <c r="N360" s="137">
        <v>3.0</v>
      </c>
      <c r="O360" s="137">
        <v>5.0</v>
      </c>
      <c r="P360" s="135">
        <v>0.0</v>
      </c>
      <c r="Q360" s="135">
        <v>0.0</v>
      </c>
      <c r="R360" s="135">
        <v>0.0</v>
      </c>
      <c r="S360" s="135">
        <v>0.0</v>
      </c>
      <c r="T360" s="135">
        <v>0.0</v>
      </c>
      <c r="U360" s="135">
        <v>0.0</v>
      </c>
      <c r="V360" s="135">
        <v>0.0</v>
      </c>
      <c r="W360" s="135">
        <v>0.0</v>
      </c>
      <c r="X360" s="135">
        <v>0.0</v>
      </c>
      <c r="Y360" s="135">
        <v>0.0</v>
      </c>
      <c r="Z360" s="135">
        <v>0.0</v>
      </c>
      <c r="AA360" s="135">
        <v>0.0</v>
      </c>
      <c r="AB360" s="135">
        <v>0.0</v>
      </c>
      <c r="AC360" s="135">
        <v>0.0</v>
      </c>
      <c r="AD360" s="135">
        <v>0.0</v>
      </c>
      <c r="AE360" s="135">
        <v>0.0</v>
      </c>
      <c r="AF360" s="135">
        <v>0.0</v>
      </c>
      <c r="AG360" s="135">
        <v>0.0</v>
      </c>
      <c r="AH360" s="135">
        <v>0.0</v>
      </c>
      <c r="AI360" s="135">
        <v>0.0</v>
      </c>
      <c r="AJ360" s="135">
        <v>0.0</v>
      </c>
      <c r="AK360" s="135">
        <v>0.0</v>
      </c>
      <c r="AL360" s="135">
        <v>0.0</v>
      </c>
      <c r="AM360" s="135">
        <v>0.0</v>
      </c>
      <c r="AN360" s="137">
        <v>101.0</v>
      </c>
    </row>
    <row r="361">
      <c r="A361" s="98"/>
      <c r="B361" s="136" t="s">
        <v>199</v>
      </c>
      <c r="C361" s="137">
        <v>52.0</v>
      </c>
      <c r="D361" s="137">
        <v>15.0</v>
      </c>
      <c r="E361" s="137">
        <v>37.0</v>
      </c>
      <c r="F361" s="137">
        <v>6.0</v>
      </c>
      <c r="G361" s="137">
        <v>26.0</v>
      </c>
      <c r="H361" s="137">
        <v>8.0</v>
      </c>
      <c r="I361" s="137">
        <v>9.0</v>
      </c>
      <c r="J361" s="137">
        <v>1.0</v>
      </c>
      <c r="K361" s="137">
        <v>1.0</v>
      </c>
      <c r="L361" s="137">
        <v>0.0</v>
      </c>
      <c r="M361" s="137">
        <v>1.0</v>
      </c>
      <c r="N361" s="137">
        <v>0.0</v>
      </c>
      <c r="O361" s="137">
        <v>0.0</v>
      </c>
      <c r="P361" s="135">
        <v>0.0</v>
      </c>
      <c r="Q361" s="135">
        <v>0.0</v>
      </c>
      <c r="R361" s="135">
        <v>0.0</v>
      </c>
      <c r="S361" s="135">
        <v>0.0</v>
      </c>
      <c r="T361" s="135">
        <v>0.0</v>
      </c>
      <c r="U361" s="135">
        <v>0.0</v>
      </c>
      <c r="V361" s="135">
        <v>0.0</v>
      </c>
      <c r="W361" s="135">
        <v>0.0</v>
      </c>
      <c r="X361" s="135">
        <v>0.0</v>
      </c>
      <c r="Y361" s="135">
        <v>0.0</v>
      </c>
      <c r="Z361" s="135">
        <v>0.0</v>
      </c>
      <c r="AA361" s="135">
        <v>0.0</v>
      </c>
      <c r="AB361" s="135">
        <v>0.0</v>
      </c>
      <c r="AC361" s="135">
        <v>0.0</v>
      </c>
      <c r="AD361" s="135">
        <v>0.0</v>
      </c>
      <c r="AE361" s="135">
        <v>0.0</v>
      </c>
      <c r="AF361" s="135">
        <v>0.0</v>
      </c>
      <c r="AG361" s="135">
        <v>0.0</v>
      </c>
      <c r="AH361" s="135">
        <v>0.0</v>
      </c>
      <c r="AI361" s="135">
        <v>0.0</v>
      </c>
      <c r="AJ361" s="135">
        <v>0.0</v>
      </c>
      <c r="AK361" s="135">
        <v>0.0</v>
      </c>
      <c r="AL361" s="135">
        <v>0.0</v>
      </c>
      <c r="AM361" s="135">
        <v>0.0</v>
      </c>
      <c r="AN361" s="137">
        <v>51.0</v>
      </c>
    </row>
    <row r="362">
      <c r="A362" s="98"/>
      <c r="B362" s="136" t="s">
        <v>206</v>
      </c>
      <c r="C362" s="137">
        <v>108.0</v>
      </c>
      <c r="D362" s="137">
        <v>11.0</v>
      </c>
      <c r="E362" s="137">
        <v>97.0</v>
      </c>
      <c r="F362" s="137">
        <v>3.0</v>
      </c>
      <c r="G362" s="137">
        <v>2.0</v>
      </c>
      <c r="H362" s="137">
        <v>0.0</v>
      </c>
      <c r="I362" s="137">
        <v>0.0</v>
      </c>
      <c r="J362" s="137">
        <v>0.0</v>
      </c>
      <c r="K362" s="137">
        <v>3.0</v>
      </c>
      <c r="L362" s="137">
        <v>0.0</v>
      </c>
      <c r="M362" s="137">
        <v>30.0</v>
      </c>
      <c r="N362" s="137">
        <v>8.0</v>
      </c>
      <c r="O362" s="137">
        <v>62.0</v>
      </c>
      <c r="P362" s="135">
        <v>0.0</v>
      </c>
      <c r="Q362" s="135">
        <v>0.0</v>
      </c>
      <c r="R362" s="135">
        <v>0.0</v>
      </c>
      <c r="S362" s="135">
        <v>0.0</v>
      </c>
      <c r="T362" s="135">
        <v>0.0</v>
      </c>
      <c r="U362" s="135">
        <v>0.0</v>
      </c>
      <c r="V362" s="135">
        <v>0.0</v>
      </c>
      <c r="W362" s="135">
        <v>0.0</v>
      </c>
      <c r="X362" s="135">
        <v>0.0</v>
      </c>
      <c r="Y362" s="135">
        <v>0.0</v>
      </c>
      <c r="Z362" s="135">
        <v>0.0</v>
      </c>
      <c r="AA362" s="135">
        <v>0.0</v>
      </c>
      <c r="AB362" s="135">
        <v>0.0</v>
      </c>
      <c r="AC362" s="135">
        <v>0.0</v>
      </c>
      <c r="AD362" s="135">
        <v>0.0</v>
      </c>
      <c r="AE362" s="135">
        <v>0.0</v>
      </c>
      <c r="AF362" s="135">
        <v>0.0</v>
      </c>
      <c r="AG362" s="135">
        <v>0.0</v>
      </c>
      <c r="AH362" s="135">
        <v>0.0</v>
      </c>
      <c r="AI362" s="135">
        <v>0.0</v>
      </c>
      <c r="AJ362" s="135">
        <v>0.0</v>
      </c>
      <c r="AK362" s="135">
        <v>0.0</v>
      </c>
      <c r="AL362" s="135">
        <v>0.0</v>
      </c>
      <c r="AM362" s="135">
        <v>0.0</v>
      </c>
      <c r="AN362" s="137">
        <v>108.0</v>
      </c>
    </row>
    <row r="363">
      <c r="A363" s="98"/>
      <c r="B363" s="136" t="s">
        <v>200</v>
      </c>
      <c r="C363" s="137">
        <v>64.0</v>
      </c>
      <c r="D363" s="137">
        <v>16.0</v>
      </c>
      <c r="E363" s="137">
        <v>48.0</v>
      </c>
      <c r="F363" s="137">
        <v>10.0</v>
      </c>
      <c r="G363" s="137">
        <v>16.0</v>
      </c>
      <c r="H363" s="137">
        <v>2.0</v>
      </c>
      <c r="I363" s="137">
        <v>8.0</v>
      </c>
      <c r="J363" s="137">
        <v>2.0</v>
      </c>
      <c r="K363" s="137">
        <v>3.0</v>
      </c>
      <c r="L363" s="137">
        <v>1.0</v>
      </c>
      <c r="M363" s="137">
        <v>9.0</v>
      </c>
      <c r="N363" s="137">
        <v>1.0</v>
      </c>
      <c r="O363" s="137">
        <v>12.0</v>
      </c>
      <c r="P363" s="135">
        <v>0.0</v>
      </c>
      <c r="Q363" s="135">
        <v>0.0</v>
      </c>
      <c r="R363" s="135">
        <v>0.0</v>
      </c>
      <c r="S363" s="135">
        <v>0.0</v>
      </c>
      <c r="T363" s="135">
        <v>0.0</v>
      </c>
      <c r="U363" s="135">
        <v>0.0</v>
      </c>
      <c r="V363" s="135">
        <v>0.0</v>
      </c>
      <c r="W363" s="135">
        <v>0.0</v>
      </c>
      <c r="X363" s="135">
        <v>0.0</v>
      </c>
      <c r="Y363" s="135">
        <v>0.0</v>
      </c>
      <c r="Z363" s="135">
        <v>0.0</v>
      </c>
      <c r="AA363" s="135">
        <v>0.0</v>
      </c>
      <c r="AB363" s="135">
        <v>0.0</v>
      </c>
      <c r="AC363" s="135">
        <v>0.0</v>
      </c>
      <c r="AD363" s="135">
        <v>0.0</v>
      </c>
      <c r="AE363" s="135">
        <v>0.0</v>
      </c>
      <c r="AF363" s="135">
        <v>0.0</v>
      </c>
      <c r="AG363" s="135">
        <v>0.0</v>
      </c>
      <c r="AH363" s="135">
        <v>0.0</v>
      </c>
      <c r="AI363" s="135">
        <v>0.0</v>
      </c>
      <c r="AJ363" s="135">
        <v>0.0</v>
      </c>
      <c r="AK363" s="135">
        <v>0.0</v>
      </c>
      <c r="AL363" s="135">
        <v>0.0</v>
      </c>
      <c r="AM363" s="135">
        <v>0.0</v>
      </c>
      <c r="AN363" s="137">
        <v>63.0</v>
      </c>
    </row>
    <row r="364">
      <c r="A364" s="104"/>
      <c r="B364" s="136" t="s">
        <v>201</v>
      </c>
      <c r="C364" s="137">
        <v>0.0</v>
      </c>
      <c r="D364" s="137">
        <v>0.0</v>
      </c>
      <c r="E364" s="137">
        <v>0.0</v>
      </c>
      <c r="F364" s="137">
        <v>0.0</v>
      </c>
      <c r="G364" s="137">
        <v>0.0</v>
      </c>
      <c r="H364" s="137">
        <v>0.0</v>
      </c>
      <c r="I364" s="137">
        <v>0.0</v>
      </c>
      <c r="J364" s="137">
        <v>0.0</v>
      </c>
      <c r="K364" s="137">
        <v>0.0</v>
      </c>
      <c r="L364" s="137">
        <v>0.0</v>
      </c>
      <c r="M364" s="137">
        <v>0.0</v>
      </c>
      <c r="N364" s="137">
        <v>0.0</v>
      </c>
      <c r="O364" s="137">
        <v>0.0</v>
      </c>
      <c r="P364" s="135">
        <v>0.0</v>
      </c>
      <c r="Q364" s="135">
        <v>0.0</v>
      </c>
      <c r="R364" s="135">
        <v>0.0</v>
      </c>
      <c r="S364" s="135">
        <v>0.0</v>
      </c>
      <c r="T364" s="135">
        <v>0.0</v>
      </c>
      <c r="U364" s="135">
        <v>0.0</v>
      </c>
      <c r="V364" s="135">
        <v>0.0</v>
      </c>
      <c r="W364" s="135">
        <v>0.0</v>
      </c>
      <c r="X364" s="135">
        <v>0.0</v>
      </c>
      <c r="Y364" s="135">
        <v>0.0</v>
      </c>
      <c r="Z364" s="135">
        <v>0.0</v>
      </c>
      <c r="AA364" s="135">
        <v>0.0</v>
      </c>
      <c r="AB364" s="135">
        <v>0.0</v>
      </c>
      <c r="AC364" s="135">
        <v>0.0</v>
      </c>
      <c r="AD364" s="135">
        <v>0.0</v>
      </c>
      <c r="AE364" s="135">
        <v>0.0</v>
      </c>
      <c r="AF364" s="135">
        <v>0.0</v>
      </c>
      <c r="AG364" s="135">
        <v>0.0</v>
      </c>
      <c r="AH364" s="135">
        <v>0.0</v>
      </c>
      <c r="AI364" s="135">
        <v>0.0</v>
      </c>
      <c r="AJ364" s="135">
        <v>0.0</v>
      </c>
      <c r="AK364" s="135">
        <v>0.0</v>
      </c>
      <c r="AL364" s="135">
        <v>0.0</v>
      </c>
      <c r="AM364" s="135">
        <v>0.0</v>
      </c>
      <c r="AN364" s="137">
        <v>0.0</v>
      </c>
    </row>
    <row r="365">
      <c r="A365" s="138" t="s">
        <v>223</v>
      </c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</row>
    <row r="366">
      <c r="A366" s="132" t="s">
        <v>197</v>
      </c>
      <c r="B366" s="133" t="s">
        <v>198</v>
      </c>
      <c r="C366" s="134">
        <v>221982.0</v>
      </c>
      <c r="D366" s="134">
        <v>81992.0</v>
      </c>
      <c r="E366" s="134">
        <v>139990.0</v>
      </c>
      <c r="F366" s="135">
        <v>0.0</v>
      </c>
      <c r="G366" s="135">
        <v>0.0</v>
      </c>
      <c r="H366" s="135">
        <v>0.0</v>
      </c>
      <c r="I366" s="135">
        <v>0.0</v>
      </c>
      <c r="J366" s="135">
        <v>0.0</v>
      </c>
      <c r="K366" s="135">
        <v>0.0</v>
      </c>
      <c r="L366" s="137">
        <v>167.0</v>
      </c>
      <c r="M366" s="137">
        <v>228.0</v>
      </c>
      <c r="N366" s="137">
        <v>183.0</v>
      </c>
      <c r="O366" s="137">
        <v>526.0</v>
      </c>
      <c r="P366" s="137">
        <v>433.0</v>
      </c>
      <c r="Q366" s="134">
        <v>1041.0</v>
      </c>
      <c r="R366" s="137">
        <v>751.0</v>
      </c>
      <c r="S366" s="134">
        <v>1889.0</v>
      </c>
      <c r="T366" s="134">
        <v>1338.0</v>
      </c>
      <c r="U366" s="134">
        <v>3074.0</v>
      </c>
      <c r="V366" s="134">
        <v>2400.0</v>
      </c>
      <c r="W366" s="134">
        <v>5491.0</v>
      </c>
      <c r="X366" s="134">
        <v>4194.0</v>
      </c>
      <c r="Y366" s="134">
        <v>9446.0</v>
      </c>
      <c r="Z366" s="134">
        <v>7421.0</v>
      </c>
      <c r="AA366" s="134">
        <v>15725.0</v>
      </c>
      <c r="AB366" s="134">
        <v>9886.0</v>
      </c>
      <c r="AC366" s="134">
        <v>18534.0</v>
      </c>
      <c r="AD366" s="134">
        <v>11350.0</v>
      </c>
      <c r="AE366" s="134">
        <v>19447.0</v>
      </c>
      <c r="AF366" s="134">
        <v>12163.0</v>
      </c>
      <c r="AG366" s="134">
        <v>18751.0</v>
      </c>
      <c r="AH366" s="134">
        <v>12171.0</v>
      </c>
      <c r="AI366" s="134">
        <v>17212.0</v>
      </c>
      <c r="AJ366" s="134">
        <v>9303.0</v>
      </c>
      <c r="AK366" s="134">
        <v>12934.0</v>
      </c>
      <c r="AL366" s="134">
        <v>10232.0</v>
      </c>
      <c r="AM366" s="134">
        <v>15692.0</v>
      </c>
      <c r="AN366" s="134">
        <v>220535.0</v>
      </c>
    </row>
    <row r="367">
      <c r="A367" s="98"/>
      <c r="B367" s="136" t="s">
        <v>199</v>
      </c>
      <c r="C367" s="134">
        <v>68938.0</v>
      </c>
      <c r="D367" s="134">
        <v>25541.0</v>
      </c>
      <c r="E367" s="134">
        <v>43397.0</v>
      </c>
      <c r="F367" s="135">
        <v>0.0</v>
      </c>
      <c r="G367" s="135">
        <v>0.0</v>
      </c>
      <c r="H367" s="135">
        <v>0.0</v>
      </c>
      <c r="I367" s="135">
        <v>0.0</v>
      </c>
      <c r="J367" s="135">
        <v>0.0</v>
      </c>
      <c r="K367" s="135">
        <v>0.0</v>
      </c>
      <c r="L367" s="137">
        <v>24.0</v>
      </c>
      <c r="M367" s="137">
        <v>41.0</v>
      </c>
      <c r="N367" s="137">
        <v>28.0</v>
      </c>
      <c r="O367" s="137">
        <v>106.0</v>
      </c>
      <c r="P367" s="137">
        <v>93.0</v>
      </c>
      <c r="Q367" s="137">
        <v>235.0</v>
      </c>
      <c r="R367" s="137">
        <v>198.0</v>
      </c>
      <c r="S367" s="137">
        <v>398.0</v>
      </c>
      <c r="T367" s="137">
        <v>313.0</v>
      </c>
      <c r="U367" s="137">
        <v>779.0</v>
      </c>
      <c r="V367" s="137">
        <v>609.0</v>
      </c>
      <c r="W367" s="134">
        <v>1438.0</v>
      </c>
      <c r="X367" s="134">
        <v>1119.0</v>
      </c>
      <c r="Y367" s="134">
        <v>2746.0</v>
      </c>
      <c r="Z367" s="134">
        <v>2081.0</v>
      </c>
      <c r="AA367" s="134">
        <v>4480.0</v>
      </c>
      <c r="AB367" s="134">
        <v>2805.0</v>
      </c>
      <c r="AC367" s="134">
        <v>5607.0</v>
      </c>
      <c r="AD367" s="134">
        <v>3369.0</v>
      </c>
      <c r="AE367" s="134">
        <v>6098.0</v>
      </c>
      <c r="AF367" s="134">
        <v>4093.0</v>
      </c>
      <c r="AG367" s="134">
        <v>6269.0</v>
      </c>
      <c r="AH367" s="134">
        <v>4139.0</v>
      </c>
      <c r="AI367" s="134">
        <v>6007.0</v>
      </c>
      <c r="AJ367" s="134">
        <v>3294.0</v>
      </c>
      <c r="AK367" s="134">
        <v>4256.0</v>
      </c>
      <c r="AL367" s="134">
        <v>3376.0</v>
      </c>
      <c r="AM367" s="134">
        <v>4937.0</v>
      </c>
      <c r="AN367" s="134">
        <v>68673.0</v>
      </c>
    </row>
    <row r="368">
      <c r="A368" s="98"/>
      <c r="B368" s="136" t="s">
        <v>200</v>
      </c>
      <c r="C368" s="134">
        <v>52671.0</v>
      </c>
      <c r="D368" s="134">
        <v>17387.0</v>
      </c>
      <c r="E368" s="134">
        <v>35284.0</v>
      </c>
      <c r="F368" s="135">
        <v>0.0</v>
      </c>
      <c r="G368" s="135">
        <v>0.0</v>
      </c>
      <c r="H368" s="135">
        <v>0.0</v>
      </c>
      <c r="I368" s="135">
        <v>0.0</v>
      </c>
      <c r="J368" s="135">
        <v>0.0</v>
      </c>
      <c r="K368" s="135">
        <v>0.0</v>
      </c>
      <c r="L368" s="137">
        <v>84.0</v>
      </c>
      <c r="M368" s="137">
        <v>198.0</v>
      </c>
      <c r="N368" s="137">
        <v>101.0</v>
      </c>
      <c r="O368" s="137">
        <v>265.0</v>
      </c>
      <c r="P368" s="137">
        <v>188.0</v>
      </c>
      <c r="Q368" s="137">
        <v>554.0</v>
      </c>
      <c r="R368" s="137">
        <v>246.0</v>
      </c>
      <c r="S368" s="137">
        <v>709.0</v>
      </c>
      <c r="T368" s="137">
        <v>403.0</v>
      </c>
      <c r="U368" s="134">
        <v>1074.0</v>
      </c>
      <c r="V368" s="137">
        <v>606.0</v>
      </c>
      <c r="W368" s="134">
        <v>1691.0</v>
      </c>
      <c r="X368" s="137">
        <v>996.0</v>
      </c>
      <c r="Y368" s="134">
        <v>2865.0</v>
      </c>
      <c r="Z368" s="134">
        <v>1710.0</v>
      </c>
      <c r="AA368" s="134">
        <v>4406.0</v>
      </c>
      <c r="AB368" s="134">
        <v>2137.0</v>
      </c>
      <c r="AC368" s="134">
        <v>4883.0</v>
      </c>
      <c r="AD368" s="134">
        <v>2378.0</v>
      </c>
      <c r="AE368" s="134">
        <v>4993.0</v>
      </c>
      <c r="AF368" s="134">
        <v>2520.0</v>
      </c>
      <c r="AG368" s="134">
        <v>4433.0</v>
      </c>
      <c r="AH368" s="134">
        <v>2530.0</v>
      </c>
      <c r="AI368" s="134">
        <v>3967.0</v>
      </c>
      <c r="AJ368" s="134">
        <v>1824.0</v>
      </c>
      <c r="AK368" s="134">
        <v>2610.0</v>
      </c>
      <c r="AL368" s="134">
        <v>1664.0</v>
      </c>
      <c r="AM368" s="134">
        <v>2636.0</v>
      </c>
      <c r="AN368" s="134">
        <v>51969.0</v>
      </c>
    </row>
    <row r="369">
      <c r="A369" s="104"/>
      <c r="B369" s="136" t="s">
        <v>201</v>
      </c>
      <c r="C369" s="134">
        <v>44958.0</v>
      </c>
      <c r="D369" s="134">
        <v>15376.0</v>
      </c>
      <c r="E369" s="134">
        <v>29582.0</v>
      </c>
      <c r="F369" s="135">
        <v>0.0</v>
      </c>
      <c r="G369" s="135">
        <v>0.0</v>
      </c>
      <c r="H369" s="135">
        <v>0.0</v>
      </c>
      <c r="I369" s="135">
        <v>0.0</v>
      </c>
      <c r="J369" s="135">
        <v>0.0</v>
      </c>
      <c r="K369" s="135">
        <v>0.0</v>
      </c>
      <c r="L369" s="137">
        <v>6.0</v>
      </c>
      <c r="M369" s="137">
        <v>7.0</v>
      </c>
      <c r="N369" s="137">
        <v>11.0</v>
      </c>
      <c r="O369" s="137">
        <v>52.0</v>
      </c>
      <c r="P369" s="137">
        <v>50.0</v>
      </c>
      <c r="Q369" s="137">
        <v>149.0</v>
      </c>
      <c r="R369" s="137">
        <v>88.0</v>
      </c>
      <c r="S369" s="137">
        <v>291.0</v>
      </c>
      <c r="T369" s="137">
        <v>244.0</v>
      </c>
      <c r="U369" s="137">
        <v>484.0</v>
      </c>
      <c r="V369" s="137">
        <v>337.0</v>
      </c>
      <c r="W369" s="137">
        <v>988.0</v>
      </c>
      <c r="X369" s="137">
        <v>731.0</v>
      </c>
      <c r="Y369" s="134">
        <v>1861.0</v>
      </c>
      <c r="Z369" s="134">
        <v>1355.0</v>
      </c>
      <c r="AA369" s="134">
        <v>3351.0</v>
      </c>
      <c r="AB369" s="134">
        <v>1706.0</v>
      </c>
      <c r="AC369" s="134">
        <v>4248.0</v>
      </c>
      <c r="AD369" s="134">
        <v>1994.0</v>
      </c>
      <c r="AE369" s="134">
        <v>4569.0</v>
      </c>
      <c r="AF369" s="134">
        <v>2332.0</v>
      </c>
      <c r="AG369" s="134">
        <v>4274.0</v>
      </c>
      <c r="AH369" s="134">
        <v>2467.0</v>
      </c>
      <c r="AI369" s="134">
        <v>3673.0</v>
      </c>
      <c r="AJ369" s="134">
        <v>2010.0</v>
      </c>
      <c r="AK369" s="134">
        <v>2366.0</v>
      </c>
      <c r="AL369" s="134">
        <v>2045.0</v>
      </c>
      <c r="AM369" s="134">
        <v>3269.0</v>
      </c>
      <c r="AN369" s="134">
        <v>44916.0</v>
      </c>
    </row>
    <row r="370">
      <c r="A370" s="132" t="s">
        <v>202</v>
      </c>
      <c r="B370" s="136" t="s">
        <v>198</v>
      </c>
      <c r="C370" s="137">
        <v>280.0</v>
      </c>
      <c r="D370" s="137">
        <v>151.0</v>
      </c>
      <c r="E370" s="137">
        <v>129.0</v>
      </c>
      <c r="F370" s="137">
        <v>1.0</v>
      </c>
      <c r="G370" s="137">
        <v>2.0</v>
      </c>
      <c r="H370" s="137">
        <v>1.0</v>
      </c>
      <c r="I370" s="137">
        <v>1.0</v>
      </c>
      <c r="J370" s="137">
        <v>1.0</v>
      </c>
      <c r="K370" s="137">
        <v>0.0</v>
      </c>
      <c r="L370" s="137">
        <v>2.0</v>
      </c>
      <c r="M370" s="137">
        <v>32.0</v>
      </c>
      <c r="N370" s="137">
        <v>24.0</v>
      </c>
      <c r="O370" s="137">
        <v>7.0</v>
      </c>
      <c r="P370" s="137">
        <v>9.0</v>
      </c>
      <c r="Q370" s="137">
        <v>5.0</v>
      </c>
      <c r="R370" s="137">
        <v>6.0</v>
      </c>
      <c r="S370" s="137">
        <v>10.0</v>
      </c>
      <c r="T370" s="137">
        <v>10.0</v>
      </c>
      <c r="U370" s="137">
        <v>2.0</v>
      </c>
      <c r="V370" s="137">
        <v>7.0</v>
      </c>
      <c r="W370" s="137">
        <v>11.0</v>
      </c>
      <c r="X370" s="137">
        <v>15.0</v>
      </c>
      <c r="Y370" s="137">
        <v>10.0</v>
      </c>
      <c r="Z370" s="137">
        <v>18.0</v>
      </c>
      <c r="AA370" s="137">
        <v>8.0</v>
      </c>
      <c r="AB370" s="137">
        <v>10.0</v>
      </c>
      <c r="AC370" s="137">
        <v>12.0</v>
      </c>
      <c r="AD370" s="137">
        <v>14.0</v>
      </c>
      <c r="AE370" s="137">
        <v>5.0</v>
      </c>
      <c r="AF370" s="137">
        <v>24.0</v>
      </c>
      <c r="AG370" s="137">
        <v>14.0</v>
      </c>
      <c r="AH370" s="137">
        <v>2.0</v>
      </c>
      <c r="AI370" s="137">
        <v>1.0</v>
      </c>
      <c r="AJ370" s="137">
        <v>3.0</v>
      </c>
      <c r="AK370" s="137">
        <v>7.0</v>
      </c>
      <c r="AL370" s="137">
        <v>4.0</v>
      </c>
      <c r="AM370" s="137">
        <v>2.0</v>
      </c>
      <c r="AN370" s="137">
        <v>264.0</v>
      </c>
    </row>
    <row r="371">
      <c r="A371" s="104"/>
      <c r="B371" s="136" t="s">
        <v>199</v>
      </c>
      <c r="C371" s="137">
        <v>161.0</v>
      </c>
      <c r="D371" s="137">
        <v>87.0</v>
      </c>
      <c r="E371" s="137">
        <v>74.0</v>
      </c>
      <c r="F371" s="137">
        <v>0.0</v>
      </c>
      <c r="G371" s="137">
        <v>0.0</v>
      </c>
      <c r="H371" s="137">
        <v>1.0</v>
      </c>
      <c r="I371" s="137">
        <v>0.0</v>
      </c>
      <c r="J371" s="137">
        <v>0.0</v>
      </c>
      <c r="K371" s="137">
        <v>0.0</v>
      </c>
      <c r="L371" s="137">
        <v>0.0</v>
      </c>
      <c r="M371" s="137">
        <v>32.0</v>
      </c>
      <c r="N371" s="137">
        <v>20.0</v>
      </c>
      <c r="O371" s="137">
        <v>1.0</v>
      </c>
      <c r="P371" s="137">
        <v>10.0</v>
      </c>
      <c r="Q371" s="137">
        <v>3.0</v>
      </c>
      <c r="R371" s="137">
        <v>4.0</v>
      </c>
      <c r="S371" s="137">
        <v>4.0</v>
      </c>
      <c r="T371" s="137">
        <v>3.0</v>
      </c>
      <c r="U371" s="137">
        <v>2.0</v>
      </c>
      <c r="V371" s="137">
        <v>2.0</v>
      </c>
      <c r="W371" s="137">
        <v>3.0</v>
      </c>
      <c r="X371" s="137">
        <v>13.0</v>
      </c>
      <c r="Y371" s="137">
        <v>1.0</v>
      </c>
      <c r="Z371" s="137">
        <v>3.0</v>
      </c>
      <c r="AA371" s="137">
        <v>5.0</v>
      </c>
      <c r="AB371" s="137">
        <v>7.0</v>
      </c>
      <c r="AC371" s="137">
        <v>11.0</v>
      </c>
      <c r="AD371" s="137">
        <v>5.0</v>
      </c>
      <c r="AE371" s="137">
        <v>4.0</v>
      </c>
      <c r="AF371" s="137">
        <v>16.0</v>
      </c>
      <c r="AG371" s="137">
        <v>2.0</v>
      </c>
      <c r="AH371" s="137">
        <v>1.0</v>
      </c>
      <c r="AI371" s="137">
        <v>1.0</v>
      </c>
      <c r="AJ371" s="137">
        <v>2.0</v>
      </c>
      <c r="AK371" s="137">
        <v>3.0</v>
      </c>
      <c r="AL371" s="137">
        <v>0.0</v>
      </c>
      <c r="AM371" s="137">
        <v>2.0</v>
      </c>
      <c r="AN371" s="137">
        <v>151.0</v>
      </c>
    </row>
    <row r="372">
      <c r="A372" s="132" t="s">
        <v>203</v>
      </c>
      <c r="B372" s="136" t="s">
        <v>198</v>
      </c>
      <c r="C372" s="137">
        <v>100.0</v>
      </c>
      <c r="D372" s="137">
        <v>53.0</v>
      </c>
      <c r="E372" s="137">
        <v>47.0</v>
      </c>
      <c r="F372" s="135">
        <v>0.0</v>
      </c>
      <c r="G372" s="135">
        <v>0.0</v>
      </c>
      <c r="H372" s="135">
        <v>0.0</v>
      </c>
      <c r="I372" s="135">
        <v>0.0</v>
      </c>
      <c r="J372" s="135">
        <v>0.0</v>
      </c>
      <c r="K372" s="135">
        <v>0.0</v>
      </c>
      <c r="L372" s="135">
        <v>0.0</v>
      </c>
      <c r="M372" s="135">
        <v>0.0</v>
      </c>
      <c r="N372" s="135">
        <v>0.0</v>
      </c>
      <c r="O372" s="135">
        <v>0.0</v>
      </c>
      <c r="P372" s="135">
        <v>0.0</v>
      </c>
      <c r="Q372" s="135">
        <v>0.0</v>
      </c>
      <c r="R372" s="135">
        <v>0.0</v>
      </c>
      <c r="S372" s="135">
        <v>0.0</v>
      </c>
      <c r="T372" s="135">
        <v>0.0</v>
      </c>
      <c r="U372" s="135">
        <v>0.0</v>
      </c>
      <c r="V372" s="135">
        <v>0.0</v>
      </c>
      <c r="W372" s="135">
        <v>0.0</v>
      </c>
      <c r="X372" s="135">
        <v>0.0</v>
      </c>
      <c r="Y372" s="135">
        <v>0.0</v>
      </c>
      <c r="Z372" s="135">
        <v>0.0</v>
      </c>
      <c r="AA372" s="135">
        <v>0.0</v>
      </c>
      <c r="AB372" s="135">
        <v>0.0</v>
      </c>
      <c r="AC372" s="135">
        <v>0.0</v>
      </c>
      <c r="AD372" s="135">
        <v>0.0</v>
      </c>
      <c r="AE372" s="135">
        <v>0.0</v>
      </c>
      <c r="AF372" s="137">
        <v>9.0</v>
      </c>
      <c r="AG372" s="137">
        <v>13.0</v>
      </c>
      <c r="AH372" s="137">
        <v>8.0</v>
      </c>
      <c r="AI372" s="137">
        <v>19.0</v>
      </c>
      <c r="AJ372" s="137">
        <v>9.0</v>
      </c>
      <c r="AK372" s="137">
        <v>6.0</v>
      </c>
      <c r="AL372" s="137">
        <v>27.0</v>
      </c>
      <c r="AM372" s="137">
        <v>9.0</v>
      </c>
      <c r="AN372" s="137">
        <v>100.0</v>
      </c>
    </row>
    <row r="373">
      <c r="A373" s="104"/>
      <c r="B373" s="136" t="s">
        <v>199</v>
      </c>
      <c r="C373" s="137">
        <v>714.0</v>
      </c>
      <c r="D373" s="137">
        <v>263.0</v>
      </c>
      <c r="E373" s="137">
        <v>451.0</v>
      </c>
      <c r="F373" s="135">
        <v>0.0</v>
      </c>
      <c r="G373" s="135">
        <v>0.0</v>
      </c>
      <c r="H373" s="135">
        <v>0.0</v>
      </c>
      <c r="I373" s="135">
        <v>0.0</v>
      </c>
      <c r="J373" s="135">
        <v>0.0</v>
      </c>
      <c r="K373" s="135">
        <v>0.0</v>
      </c>
      <c r="L373" s="135">
        <v>0.0</v>
      </c>
      <c r="M373" s="135">
        <v>0.0</v>
      </c>
      <c r="N373" s="135">
        <v>0.0</v>
      </c>
      <c r="O373" s="135">
        <v>0.0</v>
      </c>
      <c r="P373" s="135">
        <v>0.0</v>
      </c>
      <c r="Q373" s="135">
        <v>0.0</v>
      </c>
      <c r="R373" s="135">
        <v>0.0</v>
      </c>
      <c r="S373" s="135">
        <v>0.0</v>
      </c>
      <c r="T373" s="135">
        <v>0.0</v>
      </c>
      <c r="U373" s="135">
        <v>0.0</v>
      </c>
      <c r="V373" s="135">
        <v>0.0</v>
      </c>
      <c r="W373" s="135">
        <v>0.0</v>
      </c>
      <c r="X373" s="135">
        <v>0.0</v>
      </c>
      <c r="Y373" s="135">
        <v>0.0</v>
      </c>
      <c r="Z373" s="135">
        <v>0.0</v>
      </c>
      <c r="AA373" s="135">
        <v>0.0</v>
      </c>
      <c r="AB373" s="135">
        <v>0.0</v>
      </c>
      <c r="AC373" s="135">
        <v>0.0</v>
      </c>
      <c r="AD373" s="135">
        <v>0.0</v>
      </c>
      <c r="AE373" s="135">
        <v>0.0</v>
      </c>
      <c r="AF373" s="137">
        <v>78.0</v>
      </c>
      <c r="AG373" s="137">
        <v>138.0</v>
      </c>
      <c r="AH373" s="137">
        <v>81.0</v>
      </c>
      <c r="AI373" s="137">
        <v>150.0</v>
      </c>
      <c r="AJ373" s="137">
        <v>65.0</v>
      </c>
      <c r="AK373" s="137">
        <v>95.0</v>
      </c>
      <c r="AL373" s="137">
        <v>39.0</v>
      </c>
      <c r="AM373" s="137">
        <v>68.0</v>
      </c>
      <c r="AN373" s="137">
        <v>713.0</v>
      </c>
    </row>
    <row r="374">
      <c r="A374" s="132" t="s">
        <v>204</v>
      </c>
      <c r="B374" s="136" t="s">
        <v>198</v>
      </c>
      <c r="C374" s="137">
        <v>23.0</v>
      </c>
      <c r="D374" s="137">
        <v>10.0</v>
      </c>
      <c r="E374" s="137">
        <v>13.0</v>
      </c>
      <c r="F374" s="135">
        <v>0.0</v>
      </c>
      <c r="G374" s="135">
        <v>0.0</v>
      </c>
      <c r="H374" s="135">
        <v>0.0</v>
      </c>
      <c r="I374" s="135">
        <v>0.0</v>
      </c>
      <c r="J374" s="135">
        <v>0.0</v>
      </c>
      <c r="K374" s="135">
        <v>0.0</v>
      </c>
      <c r="L374" s="135">
        <v>0.0</v>
      </c>
      <c r="M374" s="135">
        <v>0.0</v>
      </c>
      <c r="N374" s="135">
        <v>0.0</v>
      </c>
      <c r="O374" s="135">
        <v>0.0</v>
      </c>
      <c r="P374" s="135">
        <v>0.0</v>
      </c>
      <c r="Q374" s="135">
        <v>0.0</v>
      </c>
      <c r="R374" s="135">
        <v>0.0</v>
      </c>
      <c r="S374" s="135">
        <v>0.0</v>
      </c>
      <c r="T374" s="135">
        <v>0.0</v>
      </c>
      <c r="U374" s="135">
        <v>0.0</v>
      </c>
      <c r="V374" s="135">
        <v>0.0</v>
      </c>
      <c r="W374" s="135">
        <v>0.0</v>
      </c>
      <c r="X374" s="135">
        <v>0.0</v>
      </c>
      <c r="Y374" s="135">
        <v>0.0</v>
      </c>
      <c r="Z374" s="135">
        <v>0.0</v>
      </c>
      <c r="AA374" s="135">
        <v>0.0</v>
      </c>
      <c r="AB374" s="135">
        <v>0.0</v>
      </c>
      <c r="AC374" s="135">
        <v>0.0</v>
      </c>
      <c r="AD374" s="135">
        <v>0.0</v>
      </c>
      <c r="AE374" s="135">
        <v>0.0</v>
      </c>
      <c r="AF374" s="137">
        <v>1.0</v>
      </c>
      <c r="AG374" s="137">
        <v>4.0</v>
      </c>
      <c r="AH374" s="137">
        <v>3.0</v>
      </c>
      <c r="AI374" s="137">
        <v>5.0</v>
      </c>
      <c r="AJ374" s="137">
        <v>5.0</v>
      </c>
      <c r="AK374" s="137">
        <v>1.0</v>
      </c>
      <c r="AL374" s="137">
        <v>1.0</v>
      </c>
      <c r="AM374" s="137">
        <v>3.0</v>
      </c>
      <c r="AN374" s="137">
        <v>19.0</v>
      </c>
    </row>
    <row r="375">
      <c r="A375" s="104"/>
      <c r="B375" s="136" t="s">
        <v>199</v>
      </c>
      <c r="C375" s="137">
        <v>519.0</v>
      </c>
      <c r="D375" s="137">
        <v>213.0</v>
      </c>
      <c r="E375" s="137">
        <v>306.0</v>
      </c>
      <c r="F375" s="135">
        <v>0.0</v>
      </c>
      <c r="G375" s="135">
        <v>0.0</v>
      </c>
      <c r="H375" s="135">
        <v>0.0</v>
      </c>
      <c r="I375" s="135">
        <v>0.0</v>
      </c>
      <c r="J375" s="135">
        <v>0.0</v>
      </c>
      <c r="K375" s="135">
        <v>0.0</v>
      </c>
      <c r="L375" s="135">
        <v>0.0</v>
      </c>
      <c r="M375" s="135">
        <v>0.0</v>
      </c>
      <c r="N375" s="135">
        <v>0.0</v>
      </c>
      <c r="O375" s="135">
        <v>0.0</v>
      </c>
      <c r="P375" s="135">
        <v>0.0</v>
      </c>
      <c r="Q375" s="135">
        <v>0.0</v>
      </c>
      <c r="R375" s="135">
        <v>0.0</v>
      </c>
      <c r="S375" s="135">
        <v>0.0</v>
      </c>
      <c r="T375" s="135">
        <v>0.0</v>
      </c>
      <c r="U375" s="135">
        <v>0.0</v>
      </c>
      <c r="V375" s="135">
        <v>0.0</v>
      </c>
      <c r="W375" s="135">
        <v>0.0</v>
      </c>
      <c r="X375" s="135">
        <v>0.0</v>
      </c>
      <c r="Y375" s="135">
        <v>0.0</v>
      </c>
      <c r="Z375" s="135">
        <v>0.0</v>
      </c>
      <c r="AA375" s="135">
        <v>0.0</v>
      </c>
      <c r="AB375" s="135">
        <v>0.0</v>
      </c>
      <c r="AC375" s="135">
        <v>0.0</v>
      </c>
      <c r="AD375" s="135">
        <v>0.0</v>
      </c>
      <c r="AE375" s="135">
        <v>0.0</v>
      </c>
      <c r="AF375" s="137">
        <v>35.0</v>
      </c>
      <c r="AG375" s="137">
        <v>48.0</v>
      </c>
      <c r="AH375" s="137">
        <v>52.0</v>
      </c>
      <c r="AI375" s="137">
        <v>67.0</v>
      </c>
      <c r="AJ375" s="137">
        <v>59.0</v>
      </c>
      <c r="AK375" s="137">
        <v>74.0</v>
      </c>
      <c r="AL375" s="137">
        <v>67.0</v>
      </c>
      <c r="AM375" s="137">
        <v>117.0</v>
      </c>
      <c r="AN375" s="137">
        <v>516.0</v>
      </c>
    </row>
    <row r="376">
      <c r="A376" s="132" t="s">
        <v>205</v>
      </c>
      <c r="B376" s="136" t="s">
        <v>198</v>
      </c>
      <c r="C376" s="137">
        <v>18.0</v>
      </c>
      <c r="D376" s="137">
        <v>12.0</v>
      </c>
      <c r="E376" s="137">
        <v>6.0</v>
      </c>
      <c r="F376" s="137">
        <v>2.0</v>
      </c>
      <c r="G376" s="137">
        <v>3.0</v>
      </c>
      <c r="H376" s="137">
        <v>0.0</v>
      </c>
      <c r="I376" s="137">
        <v>0.0</v>
      </c>
      <c r="J376" s="137">
        <v>0.0</v>
      </c>
      <c r="K376" s="137">
        <v>0.0</v>
      </c>
      <c r="L376" s="137">
        <v>1.0</v>
      </c>
      <c r="M376" s="137">
        <v>0.0</v>
      </c>
      <c r="N376" s="137">
        <v>0.0</v>
      </c>
      <c r="O376" s="137">
        <v>0.0</v>
      </c>
      <c r="P376" s="137">
        <v>2.0</v>
      </c>
      <c r="Q376" s="137">
        <v>1.0</v>
      </c>
      <c r="R376" s="137">
        <v>1.0</v>
      </c>
      <c r="S376" s="137">
        <v>0.0</v>
      </c>
      <c r="T376" s="137">
        <v>1.0</v>
      </c>
      <c r="U376" s="137">
        <v>0.0</v>
      </c>
      <c r="V376" s="137">
        <v>0.0</v>
      </c>
      <c r="W376" s="137">
        <v>1.0</v>
      </c>
      <c r="X376" s="137">
        <v>0.0</v>
      </c>
      <c r="Y376" s="137">
        <v>0.0</v>
      </c>
      <c r="Z376" s="137">
        <v>1.0</v>
      </c>
      <c r="AA376" s="137">
        <v>1.0</v>
      </c>
      <c r="AB376" s="137">
        <v>1.0</v>
      </c>
      <c r="AC376" s="137">
        <v>0.0</v>
      </c>
      <c r="AD376" s="137">
        <v>0.0</v>
      </c>
      <c r="AE376" s="137">
        <v>0.0</v>
      </c>
      <c r="AF376" s="137">
        <v>0.0</v>
      </c>
      <c r="AG376" s="137">
        <v>0.0</v>
      </c>
      <c r="AH376" s="137">
        <v>2.0</v>
      </c>
      <c r="AI376" s="137">
        <v>0.0</v>
      </c>
      <c r="AJ376" s="137">
        <v>1.0</v>
      </c>
      <c r="AK376" s="137">
        <v>0.0</v>
      </c>
      <c r="AL376" s="137">
        <v>0.0</v>
      </c>
      <c r="AM376" s="137">
        <v>0.0</v>
      </c>
      <c r="AN376" s="137">
        <v>18.0</v>
      </c>
    </row>
    <row r="377">
      <c r="A377" s="98"/>
      <c r="B377" s="136" t="s">
        <v>199</v>
      </c>
      <c r="C377" s="137">
        <v>16.0</v>
      </c>
      <c r="D377" s="137">
        <v>9.0</v>
      </c>
      <c r="E377" s="137">
        <v>7.0</v>
      </c>
      <c r="F377" s="137">
        <v>0.0</v>
      </c>
      <c r="G377" s="137">
        <v>0.0</v>
      </c>
      <c r="H377" s="137">
        <v>0.0</v>
      </c>
      <c r="I377" s="137">
        <v>0.0</v>
      </c>
      <c r="J377" s="137">
        <v>0.0</v>
      </c>
      <c r="K377" s="137">
        <v>0.0</v>
      </c>
      <c r="L377" s="137">
        <v>0.0</v>
      </c>
      <c r="M377" s="137">
        <v>0.0</v>
      </c>
      <c r="N377" s="137">
        <v>0.0</v>
      </c>
      <c r="O377" s="137">
        <v>0.0</v>
      </c>
      <c r="P377" s="137">
        <v>0.0</v>
      </c>
      <c r="Q377" s="137">
        <v>0.0</v>
      </c>
      <c r="R377" s="137">
        <v>0.0</v>
      </c>
      <c r="S377" s="137">
        <v>0.0</v>
      </c>
      <c r="T377" s="137">
        <v>0.0</v>
      </c>
      <c r="U377" s="137">
        <v>0.0</v>
      </c>
      <c r="V377" s="137">
        <v>0.0</v>
      </c>
      <c r="W377" s="137">
        <v>0.0</v>
      </c>
      <c r="X377" s="137">
        <v>0.0</v>
      </c>
      <c r="Y377" s="137">
        <v>0.0</v>
      </c>
      <c r="Z377" s="137">
        <v>0.0</v>
      </c>
      <c r="AA377" s="137">
        <v>1.0</v>
      </c>
      <c r="AB377" s="137">
        <v>1.0</v>
      </c>
      <c r="AC377" s="137">
        <v>1.0</v>
      </c>
      <c r="AD377" s="137">
        <v>2.0</v>
      </c>
      <c r="AE377" s="137">
        <v>0.0</v>
      </c>
      <c r="AF377" s="137">
        <v>1.0</v>
      </c>
      <c r="AG377" s="137">
        <v>1.0</v>
      </c>
      <c r="AH377" s="137">
        <v>1.0</v>
      </c>
      <c r="AI377" s="137">
        <v>1.0</v>
      </c>
      <c r="AJ377" s="137">
        <v>1.0</v>
      </c>
      <c r="AK377" s="137">
        <v>1.0</v>
      </c>
      <c r="AL377" s="137">
        <v>3.0</v>
      </c>
      <c r="AM377" s="137">
        <v>2.0</v>
      </c>
      <c r="AN377" s="137">
        <v>16.0</v>
      </c>
    </row>
    <row r="378">
      <c r="A378" s="104"/>
      <c r="B378" s="136" t="s">
        <v>206</v>
      </c>
      <c r="C378" s="137">
        <v>606.0</v>
      </c>
      <c r="D378" s="137">
        <v>186.0</v>
      </c>
      <c r="E378" s="137">
        <v>420.0</v>
      </c>
      <c r="F378" s="137">
        <v>0.0</v>
      </c>
      <c r="G378" s="137">
        <v>0.0</v>
      </c>
      <c r="H378" s="137">
        <v>0.0</v>
      </c>
      <c r="I378" s="137">
        <v>1.0</v>
      </c>
      <c r="J378" s="137">
        <v>1.0</v>
      </c>
      <c r="K378" s="137">
        <v>2.0</v>
      </c>
      <c r="L378" s="137">
        <v>40.0</v>
      </c>
      <c r="M378" s="137">
        <v>51.0</v>
      </c>
      <c r="N378" s="137">
        <v>52.0</v>
      </c>
      <c r="O378" s="137">
        <v>99.0</v>
      </c>
      <c r="P378" s="137">
        <v>33.0</v>
      </c>
      <c r="Q378" s="137">
        <v>48.0</v>
      </c>
      <c r="R378" s="137">
        <v>14.0</v>
      </c>
      <c r="S378" s="137">
        <v>49.0</v>
      </c>
      <c r="T378" s="137">
        <v>15.0</v>
      </c>
      <c r="U378" s="137">
        <v>67.0</v>
      </c>
      <c r="V378" s="137">
        <v>7.0</v>
      </c>
      <c r="W378" s="137">
        <v>26.0</v>
      </c>
      <c r="X378" s="137">
        <v>6.0</v>
      </c>
      <c r="Y378" s="137">
        <v>30.0</v>
      </c>
      <c r="Z378" s="137">
        <v>9.0</v>
      </c>
      <c r="AA378" s="137">
        <v>29.0</v>
      </c>
      <c r="AB378" s="137">
        <v>6.0</v>
      </c>
      <c r="AC378" s="137">
        <v>9.0</v>
      </c>
      <c r="AD378" s="137">
        <v>1.0</v>
      </c>
      <c r="AE378" s="137">
        <v>2.0</v>
      </c>
      <c r="AF378" s="137">
        <v>0.0</v>
      </c>
      <c r="AG378" s="137">
        <v>2.0</v>
      </c>
      <c r="AH378" s="137">
        <v>1.0</v>
      </c>
      <c r="AI378" s="137">
        <v>0.0</v>
      </c>
      <c r="AJ378" s="137">
        <v>0.0</v>
      </c>
      <c r="AK378" s="137">
        <v>0.0</v>
      </c>
      <c r="AL378" s="137">
        <v>1.0</v>
      </c>
      <c r="AM378" s="137">
        <v>5.0</v>
      </c>
      <c r="AN378" s="137">
        <v>606.0</v>
      </c>
    </row>
    <row r="379">
      <c r="A379" s="132" t="s">
        <v>207</v>
      </c>
      <c r="B379" s="136" t="s">
        <v>198</v>
      </c>
      <c r="C379" s="134">
        <v>38670.0</v>
      </c>
      <c r="D379" s="134">
        <v>10199.0</v>
      </c>
      <c r="E379" s="134">
        <v>28471.0</v>
      </c>
      <c r="F379" s="137">
        <v>410.0</v>
      </c>
      <c r="G379" s="137">
        <v>367.0</v>
      </c>
      <c r="H379" s="137">
        <v>397.0</v>
      </c>
      <c r="I379" s="137">
        <v>329.0</v>
      </c>
      <c r="J379" s="137">
        <v>377.0</v>
      </c>
      <c r="K379" s="137">
        <v>360.0</v>
      </c>
      <c r="L379" s="137">
        <v>329.0</v>
      </c>
      <c r="M379" s="137">
        <v>725.0</v>
      </c>
      <c r="N379" s="137">
        <v>264.0</v>
      </c>
      <c r="O379" s="137">
        <v>767.0</v>
      </c>
      <c r="P379" s="137">
        <v>249.0</v>
      </c>
      <c r="Q379" s="137">
        <v>989.0</v>
      </c>
      <c r="R379" s="137">
        <v>262.0</v>
      </c>
      <c r="S379" s="134">
        <v>1274.0</v>
      </c>
      <c r="T379" s="137">
        <v>338.0</v>
      </c>
      <c r="U379" s="134">
        <v>1524.0</v>
      </c>
      <c r="V379" s="137">
        <v>470.0</v>
      </c>
      <c r="W379" s="134">
        <v>1956.0</v>
      </c>
      <c r="X379" s="137">
        <v>609.0</v>
      </c>
      <c r="Y379" s="134">
        <v>2420.0</v>
      </c>
      <c r="Z379" s="137">
        <v>839.0</v>
      </c>
      <c r="AA379" s="134">
        <v>3077.0</v>
      </c>
      <c r="AB379" s="137">
        <v>960.0</v>
      </c>
      <c r="AC379" s="134">
        <v>3424.0</v>
      </c>
      <c r="AD379" s="134">
        <v>1041.0</v>
      </c>
      <c r="AE379" s="134">
        <v>3101.0</v>
      </c>
      <c r="AF379" s="134">
        <v>1045.0</v>
      </c>
      <c r="AG379" s="134">
        <v>2638.0</v>
      </c>
      <c r="AH379" s="137">
        <v>984.0</v>
      </c>
      <c r="AI379" s="134">
        <v>2270.0</v>
      </c>
      <c r="AJ379" s="137">
        <v>752.0</v>
      </c>
      <c r="AK379" s="134">
        <v>1532.0</v>
      </c>
      <c r="AL379" s="137">
        <v>873.0</v>
      </c>
      <c r="AM379" s="134">
        <v>1718.0</v>
      </c>
      <c r="AN379" s="134">
        <v>38018.0</v>
      </c>
    </row>
    <row r="380">
      <c r="A380" s="98"/>
      <c r="B380" s="136" t="s">
        <v>199</v>
      </c>
      <c r="C380" s="134">
        <v>3020.0</v>
      </c>
      <c r="D380" s="134">
        <v>1243.0</v>
      </c>
      <c r="E380" s="134">
        <v>1777.0</v>
      </c>
      <c r="F380" s="137">
        <v>12.0</v>
      </c>
      <c r="G380" s="137">
        <v>14.0</v>
      </c>
      <c r="H380" s="137">
        <v>6.0</v>
      </c>
      <c r="I380" s="137">
        <v>8.0</v>
      </c>
      <c r="J380" s="137">
        <v>4.0</v>
      </c>
      <c r="K380" s="137">
        <v>10.0</v>
      </c>
      <c r="L380" s="137">
        <v>3.0</v>
      </c>
      <c r="M380" s="137">
        <v>12.0</v>
      </c>
      <c r="N380" s="137">
        <v>20.0</v>
      </c>
      <c r="O380" s="137">
        <v>7.0</v>
      </c>
      <c r="P380" s="137">
        <v>6.0</v>
      </c>
      <c r="Q380" s="137">
        <v>19.0</v>
      </c>
      <c r="R380" s="137">
        <v>12.0</v>
      </c>
      <c r="S380" s="137">
        <v>20.0</v>
      </c>
      <c r="T380" s="137">
        <v>15.0</v>
      </c>
      <c r="U380" s="137">
        <v>38.0</v>
      </c>
      <c r="V380" s="137">
        <v>32.0</v>
      </c>
      <c r="W380" s="137">
        <v>66.0</v>
      </c>
      <c r="X380" s="137">
        <v>44.0</v>
      </c>
      <c r="Y380" s="137">
        <v>109.0</v>
      </c>
      <c r="Z380" s="137">
        <v>127.0</v>
      </c>
      <c r="AA380" s="137">
        <v>184.0</v>
      </c>
      <c r="AB380" s="137">
        <v>143.0</v>
      </c>
      <c r="AC380" s="137">
        <v>216.0</v>
      </c>
      <c r="AD380" s="137">
        <v>107.0</v>
      </c>
      <c r="AE380" s="137">
        <v>194.0</v>
      </c>
      <c r="AF380" s="137">
        <v>205.0</v>
      </c>
      <c r="AG380" s="137">
        <v>278.0</v>
      </c>
      <c r="AH380" s="137">
        <v>222.0</v>
      </c>
      <c r="AI380" s="137">
        <v>242.0</v>
      </c>
      <c r="AJ380" s="137">
        <v>145.0</v>
      </c>
      <c r="AK380" s="137">
        <v>165.0</v>
      </c>
      <c r="AL380" s="137">
        <v>140.0</v>
      </c>
      <c r="AM380" s="137">
        <v>195.0</v>
      </c>
      <c r="AN380" s="134">
        <v>2971.0</v>
      </c>
    </row>
    <row r="381">
      <c r="A381" s="98"/>
      <c r="B381" s="136" t="s">
        <v>206</v>
      </c>
      <c r="C381" s="137">
        <v>248.0</v>
      </c>
      <c r="D381" s="137">
        <v>18.0</v>
      </c>
      <c r="E381" s="137">
        <v>230.0</v>
      </c>
      <c r="F381" s="137">
        <v>2.0</v>
      </c>
      <c r="G381" s="137">
        <v>3.0</v>
      </c>
      <c r="H381" s="137">
        <v>0.0</v>
      </c>
      <c r="I381" s="137">
        <v>2.0</v>
      </c>
      <c r="J381" s="137">
        <v>6.0</v>
      </c>
      <c r="K381" s="137">
        <v>17.0</v>
      </c>
      <c r="L381" s="137">
        <v>0.0</v>
      </c>
      <c r="M381" s="137">
        <v>116.0</v>
      </c>
      <c r="N381" s="137">
        <v>0.0</v>
      </c>
      <c r="O381" s="137">
        <v>3.0</v>
      </c>
      <c r="P381" s="137">
        <v>1.0</v>
      </c>
      <c r="Q381" s="137">
        <v>10.0</v>
      </c>
      <c r="R381" s="137">
        <v>0.0</v>
      </c>
      <c r="S381" s="137">
        <v>8.0</v>
      </c>
      <c r="T381" s="137">
        <v>1.0</v>
      </c>
      <c r="U381" s="137">
        <v>9.0</v>
      </c>
      <c r="V381" s="137">
        <v>2.0</v>
      </c>
      <c r="W381" s="137">
        <v>4.0</v>
      </c>
      <c r="X381" s="137">
        <v>1.0</v>
      </c>
      <c r="Y381" s="137">
        <v>8.0</v>
      </c>
      <c r="Z381" s="137">
        <v>0.0</v>
      </c>
      <c r="AA381" s="137">
        <v>15.0</v>
      </c>
      <c r="AB381" s="137">
        <v>1.0</v>
      </c>
      <c r="AC381" s="137">
        <v>11.0</v>
      </c>
      <c r="AD381" s="137">
        <v>1.0</v>
      </c>
      <c r="AE381" s="137">
        <v>13.0</v>
      </c>
      <c r="AF381" s="137">
        <v>0.0</v>
      </c>
      <c r="AG381" s="137">
        <v>3.0</v>
      </c>
      <c r="AH381" s="137">
        <v>1.0</v>
      </c>
      <c r="AI381" s="137">
        <v>2.0</v>
      </c>
      <c r="AJ381" s="137">
        <v>0.0</v>
      </c>
      <c r="AK381" s="137">
        <v>3.0</v>
      </c>
      <c r="AL381" s="137">
        <v>2.0</v>
      </c>
      <c r="AM381" s="137">
        <v>3.0</v>
      </c>
      <c r="AN381" s="137">
        <v>248.0</v>
      </c>
    </row>
    <row r="382">
      <c r="A382" s="98"/>
      <c r="B382" s="136" t="s">
        <v>200</v>
      </c>
      <c r="C382" s="134">
        <v>12813.0</v>
      </c>
      <c r="D382" s="134">
        <v>4464.0</v>
      </c>
      <c r="E382" s="134">
        <v>8349.0</v>
      </c>
      <c r="F382" s="134">
        <v>2107.0</v>
      </c>
      <c r="G382" s="134">
        <v>2098.0</v>
      </c>
      <c r="H382" s="137">
        <v>830.0</v>
      </c>
      <c r="I382" s="137">
        <v>809.0</v>
      </c>
      <c r="J382" s="137">
        <v>313.0</v>
      </c>
      <c r="K382" s="137">
        <v>346.0</v>
      </c>
      <c r="L382" s="137">
        <v>111.0</v>
      </c>
      <c r="M382" s="137">
        <v>446.0</v>
      </c>
      <c r="N382" s="137">
        <v>56.0</v>
      </c>
      <c r="O382" s="137">
        <v>607.0</v>
      </c>
      <c r="P382" s="137">
        <v>61.0</v>
      </c>
      <c r="Q382" s="137">
        <v>694.0</v>
      </c>
      <c r="R382" s="137">
        <v>49.0</v>
      </c>
      <c r="S382" s="137">
        <v>563.0</v>
      </c>
      <c r="T382" s="137">
        <v>73.0</v>
      </c>
      <c r="U382" s="137">
        <v>481.0</v>
      </c>
      <c r="V382" s="137">
        <v>59.0</v>
      </c>
      <c r="W382" s="137">
        <v>364.0</v>
      </c>
      <c r="X382" s="137">
        <v>67.0</v>
      </c>
      <c r="Y382" s="137">
        <v>328.0</v>
      </c>
      <c r="Z382" s="137">
        <v>96.0</v>
      </c>
      <c r="AA382" s="137">
        <v>361.0</v>
      </c>
      <c r="AB382" s="137">
        <v>114.0</v>
      </c>
      <c r="AC382" s="137">
        <v>317.0</v>
      </c>
      <c r="AD382" s="137">
        <v>98.0</v>
      </c>
      <c r="AE382" s="137">
        <v>261.0</v>
      </c>
      <c r="AF382" s="137">
        <v>109.0</v>
      </c>
      <c r="AG382" s="137">
        <v>202.0</v>
      </c>
      <c r="AH382" s="137">
        <v>89.0</v>
      </c>
      <c r="AI382" s="137">
        <v>169.0</v>
      </c>
      <c r="AJ382" s="137">
        <v>102.0</v>
      </c>
      <c r="AK382" s="137">
        <v>121.0</v>
      </c>
      <c r="AL382" s="137">
        <v>130.0</v>
      </c>
      <c r="AM382" s="137">
        <v>182.0</v>
      </c>
      <c r="AN382" s="134">
        <v>12669.0</v>
      </c>
    </row>
    <row r="383">
      <c r="A383" s="104"/>
      <c r="B383" s="136" t="s">
        <v>201</v>
      </c>
      <c r="C383" s="134">
        <v>2196.0</v>
      </c>
      <c r="D383" s="137">
        <v>710.0</v>
      </c>
      <c r="E383" s="134">
        <v>1486.0</v>
      </c>
      <c r="F383" s="137">
        <v>23.0</v>
      </c>
      <c r="G383" s="137">
        <v>29.0</v>
      </c>
      <c r="H383" s="137">
        <v>56.0</v>
      </c>
      <c r="I383" s="137">
        <v>57.0</v>
      </c>
      <c r="J383" s="137">
        <v>59.0</v>
      </c>
      <c r="K383" s="137">
        <v>81.0</v>
      </c>
      <c r="L383" s="137">
        <v>36.0</v>
      </c>
      <c r="M383" s="137">
        <v>81.0</v>
      </c>
      <c r="N383" s="137">
        <v>16.0</v>
      </c>
      <c r="O383" s="137">
        <v>57.0</v>
      </c>
      <c r="P383" s="137">
        <v>36.0</v>
      </c>
      <c r="Q383" s="137">
        <v>85.0</v>
      </c>
      <c r="R383" s="137">
        <v>23.0</v>
      </c>
      <c r="S383" s="137">
        <v>79.0</v>
      </c>
      <c r="T383" s="137">
        <v>40.0</v>
      </c>
      <c r="U383" s="137">
        <v>103.0</v>
      </c>
      <c r="V383" s="137">
        <v>63.0</v>
      </c>
      <c r="W383" s="137">
        <v>128.0</v>
      </c>
      <c r="X383" s="137">
        <v>34.0</v>
      </c>
      <c r="Y383" s="137">
        <v>136.0</v>
      </c>
      <c r="Z383" s="137">
        <v>51.0</v>
      </c>
      <c r="AA383" s="137">
        <v>167.0</v>
      </c>
      <c r="AB383" s="137">
        <v>59.0</v>
      </c>
      <c r="AC383" s="137">
        <v>127.0</v>
      </c>
      <c r="AD383" s="137">
        <v>58.0</v>
      </c>
      <c r="AE383" s="137">
        <v>116.0</v>
      </c>
      <c r="AF383" s="137">
        <v>41.0</v>
      </c>
      <c r="AG383" s="137">
        <v>67.0</v>
      </c>
      <c r="AH383" s="137">
        <v>48.0</v>
      </c>
      <c r="AI383" s="137">
        <v>58.0</v>
      </c>
      <c r="AJ383" s="137">
        <v>36.0</v>
      </c>
      <c r="AK383" s="137">
        <v>48.0</v>
      </c>
      <c r="AL383" s="137">
        <v>31.0</v>
      </c>
      <c r="AM383" s="137">
        <v>67.0</v>
      </c>
      <c r="AN383" s="134">
        <v>2120.0</v>
      </c>
    </row>
    <row r="384">
      <c r="A384" s="132" t="s">
        <v>208</v>
      </c>
      <c r="B384" s="136" t="s">
        <v>198</v>
      </c>
      <c r="C384" s="137">
        <v>61.0</v>
      </c>
      <c r="D384" s="137">
        <v>28.0</v>
      </c>
      <c r="E384" s="137">
        <v>33.0</v>
      </c>
      <c r="F384" s="137">
        <v>22.0</v>
      </c>
      <c r="G384" s="137">
        <v>31.0</v>
      </c>
      <c r="H384" s="137">
        <v>3.0</v>
      </c>
      <c r="I384" s="137">
        <v>2.0</v>
      </c>
      <c r="J384" s="137">
        <v>3.0</v>
      </c>
      <c r="K384" s="137">
        <v>0.0</v>
      </c>
      <c r="L384" s="137">
        <v>0.0</v>
      </c>
      <c r="M384" s="137">
        <v>0.0</v>
      </c>
      <c r="N384" s="137">
        <v>0.0</v>
      </c>
      <c r="O384" s="137">
        <v>0.0</v>
      </c>
      <c r="P384" s="135">
        <v>0.0</v>
      </c>
      <c r="Q384" s="135">
        <v>0.0</v>
      </c>
      <c r="R384" s="135">
        <v>0.0</v>
      </c>
      <c r="S384" s="135">
        <v>0.0</v>
      </c>
      <c r="T384" s="135">
        <v>0.0</v>
      </c>
      <c r="U384" s="135">
        <v>0.0</v>
      </c>
      <c r="V384" s="135">
        <v>0.0</v>
      </c>
      <c r="W384" s="135">
        <v>0.0</v>
      </c>
      <c r="X384" s="135">
        <v>0.0</v>
      </c>
      <c r="Y384" s="135">
        <v>0.0</v>
      </c>
      <c r="Z384" s="135">
        <v>0.0</v>
      </c>
      <c r="AA384" s="135">
        <v>0.0</v>
      </c>
      <c r="AB384" s="135">
        <v>0.0</v>
      </c>
      <c r="AC384" s="135">
        <v>0.0</v>
      </c>
      <c r="AD384" s="135">
        <v>0.0</v>
      </c>
      <c r="AE384" s="135">
        <v>0.0</v>
      </c>
      <c r="AF384" s="135">
        <v>0.0</v>
      </c>
      <c r="AG384" s="135">
        <v>0.0</v>
      </c>
      <c r="AH384" s="135">
        <v>0.0</v>
      </c>
      <c r="AI384" s="135">
        <v>0.0</v>
      </c>
      <c r="AJ384" s="135">
        <v>0.0</v>
      </c>
      <c r="AK384" s="135">
        <v>0.0</v>
      </c>
      <c r="AL384" s="135">
        <v>0.0</v>
      </c>
      <c r="AM384" s="135">
        <v>0.0</v>
      </c>
      <c r="AN384" s="137">
        <v>50.0</v>
      </c>
    </row>
    <row r="385">
      <c r="A385" s="98"/>
      <c r="B385" s="136" t="s">
        <v>199</v>
      </c>
      <c r="C385" s="137">
        <v>311.0</v>
      </c>
      <c r="D385" s="137">
        <v>183.0</v>
      </c>
      <c r="E385" s="137">
        <v>128.0</v>
      </c>
      <c r="F385" s="137">
        <v>155.0</v>
      </c>
      <c r="G385" s="137">
        <v>118.0</v>
      </c>
      <c r="H385" s="137">
        <v>27.0</v>
      </c>
      <c r="I385" s="137">
        <v>5.0</v>
      </c>
      <c r="J385" s="137">
        <v>0.0</v>
      </c>
      <c r="K385" s="137">
        <v>0.0</v>
      </c>
      <c r="L385" s="137">
        <v>0.0</v>
      </c>
      <c r="M385" s="137">
        <v>0.0</v>
      </c>
      <c r="N385" s="137">
        <v>1.0</v>
      </c>
      <c r="O385" s="137">
        <v>5.0</v>
      </c>
      <c r="P385" s="135">
        <v>0.0</v>
      </c>
      <c r="Q385" s="135">
        <v>0.0</v>
      </c>
      <c r="R385" s="135">
        <v>0.0</v>
      </c>
      <c r="S385" s="135">
        <v>0.0</v>
      </c>
      <c r="T385" s="135">
        <v>0.0</v>
      </c>
      <c r="U385" s="135">
        <v>0.0</v>
      </c>
      <c r="V385" s="135">
        <v>0.0</v>
      </c>
      <c r="W385" s="135">
        <v>0.0</v>
      </c>
      <c r="X385" s="135">
        <v>0.0</v>
      </c>
      <c r="Y385" s="135">
        <v>0.0</v>
      </c>
      <c r="Z385" s="135">
        <v>0.0</v>
      </c>
      <c r="AA385" s="135">
        <v>0.0</v>
      </c>
      <c r="AB385" s="135">
        <v>0.0</v>
      </c>
      <c r="AC385" s="135">
        <v>0.0</v>
      </c>
      <c r="AD385" s="135">
        <v>0.0</v>
      </c>
      <c r="AE385" s="135">
        <v>0.0</v>
      </c>
      <c r="AF385" s="135">
        <v>0.0</v>
      </c>
      <c r="AG385" s="135">
        <v>0.0</v>
      </c>
      <c r="AH385" s="135">
        <v>0.0</v>
      </c>
      <c r="AI385" s="135">
        <v>0.0</v>
      </c>
      <c r="AJ385" s="135">
        <v>0.0</v>
      </c>
      <c r="AK385" s="135">
        <v>0.0</v>
      </c>
      <c r="AL385" s="135">
        <v>0.0</v>
      </c>
      <c r="AM385" s="135">
        <v>0.0</v>
      </c>
      <c r="AN385" s="137">
        <v>281.0</v>
      </c>
    </row>
    <row r="386">
      <c r="A386" s="98"/>
      <c r="B386" s="136" t="s">
        <v>206</v>
      </c>
      <c r="C386" s="137">
        <v>3.0</v>
      </c>
      <c r="D386" s="137">
        <v>0.0</v>
      </c>
      <c r="E386" s="137">
        <v>3.0</v>
      </c>
      <c r="F386" s="137">
        <v>0.0</v>
      </c>
      <c r="G386" s="137">
        <v>3.0</v>
      </c>
      <c r="H386" s="137">
        <v>0.0</v>
      </c>
      <c r="I386" s="137">
        <v>0.0</v>
      </c>
      <c r="J386" s="137">
        <v>0.0</v>
      </c>
      <c r="K386" s="137">
        <v>0.0</v>
      </c>
      <c r="L386" s="137">
        <v>0.0</v>
      </c>
      <c r="M386" s="137">
        <v>0.0</v>
      </c>
      <c r="N386" s="137">
        <v>0.0</v>
      </c>
      <c r="O386" s="137">
        <v>0.0</v>
      </c>
      <c r="P386" s="135">
        <v>0.0</v>
      </c>
      <c r="Q386" s="135">
        <v>0.0</v>
      </c>
      <c r="R386" s="135">
        <v>0.0</v>
      </c>
      <c r="S386" s="135">
        <v>0.0</v>
      </c>
      <c r="T386" s="135">
        <v>0.0</v>
      </c>
      <c r="U386" s="135">
        <v>0.0</v>
      </c>
      <c r="V386" s="135">
        <v>0.0</v>
      </c>
      <c r="W386" s="135">
        <v>0.0</v>
      </c>
      <c r="X386" s="135">
        <v>0.0</v>
      </c>
      <c r="Y386" s="135">
        <v>0.0</v>
      </c>
      <c r="Z386" s="135">
        <v>0.0</v>
      </c>
      <c r="AA386" s="135">
        <v>0.0</v>
      </c>
      <c r="AB386" s="135">
        <v>0.0</v>
      </c>
      <c r="AC386" s="135">
        <v>0.0</v>
      </c>
      <c r="AD386" s="135">
        <v>0.0</v>
      </c>
      <c r="AE386" s="135">
        <v>0.0</v>
      </c>
      <c r="AF386" s="135">
        <v>0.0</v>
      </c>
      <c r="AG386" s="135">
        <v>0.0</v>
      </c>
      <c r="AH386" s="135">
        <v>0.0</v>
      </c>
      <c r="AI386" s="135">
        <v>0.0</v>
      </c>
      <c r="AJ386" s="135">
        <v>0.0</v>
      </c>
      <c r="AK386" s="135">
        <v>0.0</v>
      </c>
      <c r="AL386" s="135">
        <v>0.0</v>
      </c>
      <c r="AM386" s="135">
        <v>0.0</v>
      </c>
      <c r="AN386" s="137">
        <v>3.0</v>
      </c>
    </row>
    <row r="387">
      <c r="A387" s="98"/>
      <c r="B387" s="136" t="s">
        <v>200</v>
      </c>
      <c r="C387" s="137">
        <v>141.0</v>
      </c>
      <c r="D387" s="137">
        <v>90.0</v>
      </c>
      <c r="E387" s="137">
        <v>51.0</v>
      </c>
      <c r="F387" s="137">
        <v>81.0</v>
      </c>
      <c r="G387" s="137">
        <v>50.0</v>
      </c>
      <c r="H387" s="137">
        <v>6.0</v>
      </c>
      <c r="I387" s="137">
        <v>0.0</v>
      </c>
      <c r="J387" s="137">
        <v>0.0</v>
      </c>
      <c r="K387" s="137">
        <v>0.0</v>
      </c>
      <c r="L387" s="137">
        <v>2.0</v>
      </c>
      <c r="M387" s="137">
        <v>1.0</v>
      </c>
      <c r="N387" s="137">
        <v>1.0</v>
      </c>
      <c r="O387" s="137">
        <v>0.0</v>
      </c>
      <c r="P387" s="135">
        <v>0.0</v>
      </c>
      <c r="Q387" s="135">
        <v>0.0</v>
      </c>
      <c r="R387" s="135">
        <v>0.0</v>
      </c>
      <c r="S387" s="135">
        <v>0.0</v>
      </c>
      <c r="T387" s="135">
        <v>0.0</v>
      </c>
      <c r="U387" s="135">
        <v>0.0</v>
      </c>
      <c r="V387" s="135">
        <v>0.0</v>
      </c>
      <c r="W387" s="135">
        <v>0.0</v>
      </c>
      <c r="X387" s="135">
        <v>0.0</v>
      </c>
      <c r="Y387" s="135">
        <v>0.0</v>
      </c>
      <c r="Z387" s="135">
        <v>0.0</v>
      </c>
      <c r="AA387" s="135">
        <v>0.0</v>
      </c>
      <c r="AB387" s="135">
        <v>0.0</v>
      </c>
      <c r="AC387" s="135">
        <v>0.0</v>
      </c>
      <c r="AD387" s="135">
        <v>0.0</v>
      </c>
      <c r="AE387" s="135">
        <v>0.0</v>
      </c>
      <c r="AF387" s="135">
        <v>0.0</v>
      </c>
      <c r="AG387" s="135">
        <v>0.0</v>
      </c>
      <c r="AH387" s="135">
        <v>0.0</v>
      </c>
      <c r="AI387" s="135">
        <v>0.0</v>
      </c>
      <c r="AJ387" s="135">
        <v>0.0</v>
      </c>
      <c r="AK387" s="135">
        <v>0.0</v>
      </c>
      <c r="AL387" s="135">
        <v>0.0</v>
      </c>
      <c r="AM387" s="135">
        <v>0.0</v>
      </c>
      <c r="AN387" s="137">
        <v>137.0</v>
      </c>
    </row>
    <row r="388">
      <c r="A388" s="104"/>
      <c r="B388" s="136" t="s">
        <v>201</v>
      </c>
      <c r="C388" s="137">
        <v>6.0</v>
      </c>
      <c r="D388" s="137">
        <v>6.0</v>
      </c>
      <c r="E388" s="137">
        <v>0.0</v>
      </c>
      <c r="F388" s="137">
        <v>4.0</v>
      </c>
      <c r="G388" s="137">
        <v>0.0</v>
      </c>
      <c r="H388" s="137">
        <v>2.0</v>
      </c>
      <c r="I388" s="137">
        <v>0.0</v>
      </c>
      <c r="J388" s="137">
        <v>0.0</v>
      </c>
      <c r="K388" s="137">
        <v>0.0</v>
      </c>
      <c r="L388" s="137">
        <v>0.0</v>
      </c>
      <c r="M388" s="137">
        <v>0.0</v>
      </c>
      <c r="N388" s="137">
        <v>0.0</v>
      </c>
      <c r="O388" s="137">
        <v>0.0</v>
      </c>
      <c r="P388" s="135">
        <v>0.0</v>
      </c>
      <c r="Q388" s="135">
        <v>0.0</v>
      </c>
      <c r="R388" s="135">
        <v>0.0</v>
      </c>
      <c r="S388" s="135">
        <v>0.0</v>
      </c>
      <c r="T388" s="135">
        <v>0.0</v>
      </c>
      <c r="U388" s="135">
        <v>0.0</v>
      </c>
      <c r="V388" s="135">
        <v>0.0</v>
      </c>
      <c r="W388" s="135">
        <v>0.0</v>
      </c>
      <c r="X388" s="135">
        <v>0.0</v>
      </c>
      <c r="Y388" s="135">
        <v>0.0</v>
      </c>
      <c r="Z388" s="135">
        <v>0.0</v>
      </c>
      <c r="AA388" s="135">
        <v>0.0</v>
      </c>
      <c r="AB388" s="135">
        <v>0.0</v>
      </c>
      <c r="AC388" s="135">
        <v>0.0</v>
      </c>
      <c r="AD388" s="135">
        <v>0.0</v>
      </c>
      <c r="AE388" s="135">
        <v>0.0</v>
      </c>
      <c r="AF388" s="135">
        <v>0.0</v>
      </c>
      <c r="AG388" s="135">
        <v>0.0</v>
      </c>
      <c r="AH388" s="135">
        <v>0.0</v>
      </c>
      <c r="AI388" s="135">
        <v>0.0</v>
      </c>
      <c r="AJ388" s="135">
        <v>0.0</v>
      </c>
      <c r="AK388" s="135">
        <v>0.0</v>
      </c>
      <c r="AL388" s="135">
        <v>0.0</v>
      </c>
      <c r="AM388" s="135">
        <v>0.0</v>
      </c>
      <c r="AN388" s="137">
        <v>6.0</v>
      </c>
    </row>
    <row r="389">
      <c r="A389" s="138" t="s">
        <v>224</v>
      </c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</row>
    <row r="390">
      <c r="A390" s="132" t="s">
        <v>197</v>
      </c>
      <c r="B390" s="133" t="s">
        <v>198</v>
      </c>
      <c r="C390" s="134">
        <v>237563.0</v>
      </c>
      <c r="D390" s="134">
        <v>89308.0</v>
      </c>
      <c r="E390" s="134">
        <v>148255.0</v>
      </c>
      <c r="F390" s="135">
        <v>0.0</v>
      </c>
      <c r="G390" s="135">
        <v>0.0</v>
      </c>
      <c r="H390" s="135">
        <v>0.0</v>
      </c>
      <c r="I390" s="135">
        <v>0.0</v>
      </c>
      <c r="J390" s="135">
        <v>0.0</v>
      </c>
      <c r="K390" s="135">
        <v>0.0</v>
      </c>
      <c r="L390" s="137">
        <v>88.0</v>
      </c>
      <c r="M390" s="137">
        <v>129.0</v>
      </c>
      <c r="N390" s="137">
        <v>222.0</v>
      </c>
      <c r="O390" s="137">
        <v>363.0</v>
      </c>
      <c r="P390" s="137">
        <v>438.0</v>
      </c>
      <c r="Q390" s="137">
        <v>892.0</v>
      </c>
      <c r="R390" s="137">
        <v>807.0</v>
      </c>
      <c r="S390" s="134">
        <v>1553.0</v>
      </c>
      <c r="T390" s="134">
        <v>1474.0</v>
      </c>
      <c r="U390" s="134">
        <v>3043.0</v>
      </c>
      <c r="V390" s="134">
        <v>2703.0</v>
      </c>
      <c r="W390" s="134">
        <v>5613.0</v>
      </c>
      <c r="X390" s="134">
        <v>4421.0</v>
      </c>
      <c r="Y390" s="134">
        <v>10098.0</v>
      </c>
      <c r="Z390" s="134">
        <v>7888.0</v>
      </c>
      <c r="AA390" s="134">
        <v>16852.0</v>
      </c>
      <c r="AB390" s="134">
        <v>10546.0</v>
      </c>
      <c r="AC390" s="134">
        <v>20010.0</v>
      </c>
      <c r="AD390" s="134">
        <v>12099.0</v>
      </c>
      <c r="AE390" s="134">
        <v>21164.0</v>
      </c>
      <c r="AF390" s="134">
        <v>13798.0</v>
      </c>
      <c r="AG390" s="134">
        <v>20876.0</v>
      </c>
      <c r="AH390" s="134">
        <v>13683.0</v>
      </c>
      <c r="AI390" s="134">
        <v>18398.0</v>
      </c>
      <c r="AJ390" s="134">
        <v>10679.0</v>
      </c>
      <c r="AK390" s="134">
        <v>14058.0</v>
      </c>
      <c r="AL390" s="134">
        <v>10462.0</v>
      </c>
      <c r="AM390" s="134">
        <v>15206.0</v>
      </c>
      <c r="AN390" s="134">
        <v>233750.0</v>
      </c>
    </row>
    <row r="391">
      <c r="A391" s="98"/>
      <c r="B391" s="136" t="s">
        <v>199</v>
      </c>
      <c r="C391" s="134">
        <v>104613.0</v>
      </c>
      <c r="D391" s="134">
        <v>39360.0</v>
      </c>
      <c r="E391" s="134">
        <v>65253.0</v>
      </c>
      <c r="F391" s="135">
        <v>0.0</v>
      </c>
      <c r="G391" s="135">
        <v>0.0</v>
      </c>
      <c r="H391" s="135">
        <v>0.0</v>
      </c>
      <c r="I391" s="135">
        <v>0.0</v>
      </c>
      <c r="J391" s="135">
        <v>0.0</v>
      </c>
      <c r="K391" s="135">
        <v>0.0</v>
      </c>
      <c r="L391" s="137">
        <v>19.0</v>
      </c>
      <c r="M391" s="137">
        <v>30.0</v>
      </c>
      <c r="N391" s="137">
        <v>76.0</v>
      </c>
      <c r="O391" s="137">
        <v>100.0</v>
      </c>
      <c r="P391" s="137">
        <v>145.0</v>
      </c>
      <c r="Q391" s="137">
        <v>230.0</v>
      </c>
      <c r="R391" s="137">
        <v>267.0</v>
      </c>
      <c r="S391" s="137">
        <v>502.0</v>
      </c>
      <c r="T391" s="137">
        <v>490.0</v>
      </c>
      <c r="U391" s="134">
        <v>1139.0</v>
      </c>
      <c r="V391" s="137">
        <v>939.0</v>
      </c>
      <c r="W391" s="134">
        <v>2254.0</v>
      </c>
      <c r="X391" s="134">
        <v>1676.0</v>
      </c>
      <c r="Y391" s="134">
        <v>4027.0</v>
      </c>
      <c r="Z391" s="134">
        <v>3017.0</v>
      </c>
      <c r="AA391" s="134">
        <v>6884.0</v>
      </c>
      <c r="AB391" s="134">
        <v>4087.0</v>
      </c>
      <c r="AC391" s="134">
        <v>7995.0</v>
      </c>
      <c r="AD391" s="134">
        <v>4753.0</v>
      </c>
      <c r="AE391" s="134">
        <v>8899.0</v>
      </c>
      <c r="AF391" s="134">
        <v>6651.0</v>
      </c>
      <c r="AG391" s="134">
        <v>10136.0</v>
      </c>
      <c r="AH391" s="134">
        <v>6794.0</v>
      </c>
      <c r="AI391" s="134">
        <v>8915.0</v>
      </c>
      <c r="AJ391" s="134">
        <v>5192.0</v>
      </c>
      <c r="AK391" s="134">
        <v>6868.0</v>
      </c>
      <c r="AL391" s="134">
        <v>5254.0</v>
      </c>
      <c r="AM391" s="134">
        <v>7274.0</v>
      </c>
      <c r="AN391" s="134">
        <v>102253.0</v>
      </c>
    </row>
    <row r="392">
      <c r="A392" s="98"/>
      <c r="B392" s="136" t="s">
        <v>200</v>
      </c>
      <c r="C392" s="134">
        <v>89889.0</v>
      </c>
      <c r="D392" s="134">
        <v>31677.0</v>
      </c>
      <c r="E392" s="134">
        <v>58212.0</v>
      </c>
      <c r="F392" s="135">
        <v>0.0</v>
      </c>
      <c r="G392" s="135">
        <v>0.0</v>
      </c>
      <c r="H392" s="135">
        <v>0.0</v>
      </c>
      <c r="I392" s="135">
        <v>0.0</v>
      </c>
      <c r="J392" s="135">
        <v>0.0</v>
      </c>
      <c r="K392" s="135">
        <v>0.0</v>
      </c>
      <c r="L392" s="137">
        <v>61.0</v>
      </c>
      <c r="M392" s="137">
        <v>75.0</v>
      </c>
      <c r="N392" s="137">
        <v>104.0</v>
      </c>
      <c r="O392" s="137">
        <v>227.0</v>
      </c>
      <c r="P392" s="137">
        <v>206.0</v>
      </c>
      <c r="Q392" s="137">
        <v>422.0</v>
      </c>
      <c r="R392" s="137">
        <v>312.0</v>
      </c>
      <c r="S392" s="137">
        <v>718.0</v>
      </c>
      <c r="T392" s="137">
        <v>611.0</v>
      </c>
      <c r="U392" s="134">
        <v>1463.0</v>
      </c>
      <c r="V392" s="134">
        <v>1028.0</v>
      </c>
      <c r="W392" s="134">
        <v>2589.0</v>
      </c>
      <c r="X392" s="134">
        <v>1636.0</v>
      </c>
      <c r="Y392" s="134">
        <v>4318.0</v>
      </c>
      <c r="Z392" s="134">
        <v>2856.0</v>
      </c>
      <c r="AA392" s="134">
        <v>7183.0</v>
      </c>
      <c r="AB392" s="134">
        <v>3710.0</v>
      </c>
      <c r="AC392" s="134">
        <v>7994.0</v>
      </c>
      <c r="AD392" s="134">
        <v>4039.0</v>
      </c>
      <c r="AE392" s="134">
        <v>8228.0</v>
      </c>
      <c r="AF392" s="134">
        <v>4962.0</v>
      </c>
      <c r="AG392" s="134">
        <v>8139.0</v>
      </c>
      <c r="AH392" s="134">
        <v>4975.0</v>
      </c>
      <c r="AI392" s="134">
        <v>6847.0</v>
      </c>
      <c r="AJ392" s="134">
        <v>3773.0</v>
      </c>
      <c r="AK392" s="134">
        <v>5060.0</v>
      </c>
      <c r="AL392" s="134">
        <v>3402.0</v>
      </c>
      <c r="AM392" s="134">
        <v>4944.0</v>
      </c>
      <c r="AN392" s="134">
        <v>87813.0</v>
      </c>
    </row>
    <row r="393">
      <c r="A393" s="104"/>
      <c r="B393" s="136" t="s">
        <v>201</v>
      </c>
      <c r="C393" s="134">
        <v>1931.0</v>
      </c>
      <c r="D393" s="137">
        <v>748.0</v>
      </c>
      <c r="E393" s="134">
        <v>1183.0</v>
      </c>
      <c r="F393" s="135">
        <v>0.0</v>
      </c>
      <c r="G393" s="135">
        <v>0.0</v>
      </c>
      <c r="H393" s="135">
        <v>0.0</v>
      </c>
      <c r="I393" s="135">
        <v>0.0</v>
      </c>
      <c r="J393" s="135">
        <v>0.0</v>
      </c>
      <c r="K393" s="135">
        <v>0.0</v>
      </c>
      <c r="L393" s="137">
        <v>2.0</v>
      </c>
      <c r="M393" s="137">
        <v>1.0</v>
      </c>
      <c r="N393" s="137">
        <v>1.0</v>
      </c>
      <c r="O393" s="137">
        <v>5.0</v>
      </c>
      <c r="P393" s="137">
        <v>2.0</v>
      </c>
      <c r="Q393" s="137">
        <v>11.0</v>
      </c>
      <c r="R393" s="137">
        <v>5.0</v>
      </c>
      <c r="S393" s="137">
        <v>13.0</v>
      </c>
      <c r="T393" s="137">
        <v>11.0</v>
      </c>
      <c r="U393" s="137">
        <v>18.0</v>
      </c>
      <c r="V393" s="137">
        <v>20.0</v>
      </c>
      <c r="W393" s="137">
        <v>46.0</v>
      </c>
      <c r="X393" s="137">
        <v>34.0</v>
      </c>
      <c r="Y393" s="137">
        <v>93.0</v>
      </c>
      <c r="Z393" s="137">
        <v>74.0</v>
      </c>
      <c r="AA393" s="137">
        <v>131.0</v>
      </c>
      <c r="AB393" s="137">
        <v>94.0</v>
      </c>
      <c r="AC393" s="137">
        <v>180.0</v>
      </c>
      <c r="AD393" s="137">
        <v>108.0</v>
      </c>
      <c r="AE393" s="137">
        <v>199.0</v>
      </c>
      <c r="AF393" s="137">
        <v>110.0</v>
      </c>
      <c r="AG393" s="137">
        <v>153.0</v>
      </c>
      <c r="AH393" s="137">
        <v>112.0</v>
      </c>
      <c r="AI393" s="137">
        <v>129.0</v>
      </c>
      <c r="AJ393" s="137">
        <v>92.0</v>
      </c>
      <c r="AK393" s="137">
        <v>106.0</v>
      </c>
      <c r="AL393" s="137">
        <v>83.0</v>
      </c>
      <c r="AM393" s="137">
        <v>98.0</v>
      </c>
      <c r="AN393" s="134">
        <v>1923.0</v>
      </c>
    </row>
    <row r="394">
      <c r="A394" s="132" t="s">
        <v>202</v>
      </c>
      <c r="B394" s="136" t="s">
        <v>198</v>
      </c>
      <c r="C394" s="137">
        <v>266.0</v>
      </c>
      <c r="D394" s="137">
        <v>164.0</v>
      </c>
      <c r="E394" s="137">
        <v>102.0</v>
      </c>
      <c r="F394" s="137">
        <v>0.0</v>
      </c>
      <c r="G394" s="137">
        <v>0.0</v>
      </c>
      <c r="H394" s="137">
        <v>0.0</v>
      </c>
      <c r="I394" s="137">
        <v>0.0</v>
      </c>
      <c r="J394" s="137">
        <v>0.0</v>
      </c>
      <c r="K394" s="137">
        <v>1.0</v>
      </c>
      <c r="L394" s="137">
        <v>8.0</v>
      </c>
      <c r="M394" s="137">
        <v>7.0</v>
      </c>
      <c r="N394" s="137">
        <v>15.0</v>
      </c>
      <c r="O394" s="137">
        <v>13.0</v>
      </c>
      <c r="P394" s="137">
        <v>15.0</v>
      </c>
      <c r="Q394" s="137">
        <v>2.0</v>
      </c>
      <c r="R394" s="137">
        <v>12.0</v>
      </c>
      <c r="S394" s="137">
        <v>10.0</v>
      </c>
      <c r="T394" s="137">
        <v>1.0</v>
      </c>
      <c r="U394" s="137">
        <v>4.0</v>
      </c>
      <c r="V394" s="137">
        <v>9.0</v>
      </c>
      <c r="W394" s="137">
        <v>3.0</v>
      </c>
      <c r="X394" s="137">
        <v>14.0</v>
      </c>
      <c r="Y394" s="137">
        <v>15.0</v>
      </c>
      <c r="Z394" s="137">
        <v>22.0</v>
      </c>
      <c r="AA394" s="137">
        <v>2.0</v>
      </c>
      <c r="AB394" s="137">
        <v>18.0</v>
      </c>
      <c r="AC394" s="137">
        <v>11.0</v>
      </c>
      <c r="AD394" s="137">
        <v>15.0</v>
      </c>
      <c r="AE394" s="137">
        <v>13.0</v>
      </c>
      <c r="AF394" s="137">
        <v>5.0</v>
      </c>
      <c r="AG394" s="137">
        <v>11.0</v>
      </c>
      <c r="AH394" s="137">
        <v>8.0</v>
      </c>
      <c r="AI394" s="137">
        <v>3.0</v>
      </c>
      <c r="AJ394" s="137">
        <v>11.0</v>
      </c>
      <c r="AK394" s="137">
        <v>6.0</v>
      </c>
      <c r="AL394" s="137">
        <v>11.0</v>
      </c>
      <c r="AM394" s="137">
        <v>1.0</v>
      </c>
      <c r="AN394" s="137">
        <v>265.0</v>
      </c>
    </row>
    <row r="395">
      <c r="A395" s="104"/>
      <c r="B395" s="136" t="s">
        <v>199</v>
      </c>
      <c r="C395" s="137">
        <v>90.0</v>
      </c>
      <c r="D395" s="137">
        <v>57.0</v>
      </c>
      <c r="E395" s="137">
        <v>33.0</v>
      </c>
      <c r="F395" s="137">
        <v>0.0</v>
      </c>
      <c r="G395" s="137">
        <v>0.0</v>
      </c>
      <c r="H395" s="137">
        <v>0.0</v>
      </c>
      <c r="I395" s="137">
        <v>0.0</v>
      </c>
      <c r="J395" s="137">
        <v>0.0</v>
      </c>
      <c r="K395" s="137">
        <v>0.0</v>
      </c>
      <c r="L395" s="137">
        <v>4.0</v>
      </c>
      <c r="M395" s="137">
        <v>3.0</v>
      </c>
      <c r="N395" s="137">
        <v>5.0</v>
      </c>
      <c r="O395" s="137">
        <v>0.0</v>
      </c>
      <c r="P395" s="137">
        <v>7.0</v>
      </c>
      <c r="Q395" s="137">
        <v>3.0</v>
      </c>
      <c r="R395" s="137">
        <v>3.0</v>
      </c>
      <c r="S395" s="137">
        <v>1.0</v>
      </c>
      <c r="T395" s="137">
        <v>0.0</v>
      </c>
      <c r="U395" s="137">
        <v>1.0</v>
      </c>
      <c r="V395" s="137">
        <v>9.0</v>
      </c>
      <c r="W395" s="137">
        <v>2.0</v>
      </c>
      <c r="X395" s="137">
        <v>2.0</v>
      </c>
      <c r="Y395" s="137">
        <v>11.0</v>
      </c>
      <c r="Z395" s="137">
        <v>9.0</v>
      </c>
      <c r="AA395" s="137">
        <v>2.0</v>
      </c>
      <c r="AB395" s="137">
        <v>6.0</v>
      </c>
      <c r="AC395" s="137">
        <v>0.0</v>
      </c>
      <c r="AD395" s="137">
        <v>1.0</v>
      </c>
      <c r="AE395" s="137">
        <v>5.0</v>
      </c>
      <c r="AF395" s="137">
        <v>1.0</v>
      </c>
      <c r="AG395" s="137">
        <v>0.0</v>
      </c>
      <c r="AH395" s="137">
        <v>2.0</v>
      </c>
      <c r="AI395" s="137">
        <v>1.0</v>
      </c>
      <c r="AJ395" s="137">
        <v>7.0</v>
      </c>
      <c r="AK395" s="137">
        <v>1.0</v>
      </c>
      <c r="AL395" s="137">
        <v>1.0</v>
      </c>
      <c r="AM395" s="137">
        <v>3.0</v>
      </c>
      <c r="AN395" s="137">
        <v>89.0</v>
      </c>
    </row>
    <row r="396">
      <c r="A396" s="132" t="s">
        <v>203</v>
      </c>
      <c r="B396" s="136" t="s">
        <v>198</v>
      </c>
      <c r="C396" s="137">
        <v>108.0</v>
      </c>
      <c r="D396" s="137">
        <v>50.0</v>
      </c>
      <c r="E396" s="137">
        <v>58.0</v>
      </c>
      <c r="F396" s="135">
        <v>0.0</v>
      </c>
      <c r="G396" s="135">
        <v>0.0</v>
      </c>
      <c r="H396" s="135">
        <v>0.0</v>
      </c>
      <c r="I396" s="135">
        <v>0.0</v>
      </c>
      <c r="J396" s="135">
        <v>0.0</v>
      </c>
      <c r="K396" s="135">
        <v>0.0</v>
      </c>
      <c r="L396" s="135">
        <v>0.0</v>
      </c>
      <c r="M396" s="135">
        <v>0.0</v>
      </c>
      <c r="N396" s="135">
        <v>0.0</v>
      </c>
      <c r="O396" s="135">
        <v>0.0</v>
      </c>
      <c r="P396" s="135">
        <v>0.0</v>
      </c>
      <c r="Q396" s="135">
        <v>0.0</v>
      </c>
      <c r="R396" s="135">
        <v>0.0</v>
      </c>
      <c r="S396" s="135">
        <v>0.0</v>
      </c>
      <c r="T396" s="135">
        <v>0.0</v>
      </c>
      <c r="U396" s="135">
        <v>0.0</v>
      </c>
      <c r="V396" s="135">
        <v>0.0</v>
      </c>
      <c r="W396" s="135">
        <v>0.0</v>
      </c>
      <c r="X396" s="135">
        <v>0.0</v>
      </c>
      <c r="Y396" s="135">
        <v>0.0</v>
      </c>
      <c r="Z396" s="135">
        <v>0.0</v>
      </c>
      <c r="AA396" s="135">
        <v>0.0</v>
      </c>
      <c r="AB396" s="135">
        <v>0.0</v>
      </c>
      <c r="AC396" s="135">
        <v>0.0</v>
      </c>
      <c r="AD396" s="135">
        <v>0.0</v>
      </c>
      <c r="AE396" s="135">
        <v>0.0</v>
      </c>
      <c r="AF396" s="137">
        <v>15.0</v>
      </c>
      <c r="AG396" s="137">
        <v>27.0</v>
      </c>
      <c r="AH396" s="137">
        <v>18.0</v>
      </c>
      <c r="AI396" s="137">
        <v>18.0</v>
      </c>
      <c r="AJ396" s="137">
        <v>12.0</v>
      </c>
      <c r="AK396" s="137">
        <v>10.0</v>
      </c>
      <c r="AL396" s="137">
        <v>5.0</v>
      </c>
      <c r="AM396" s="137">
        <v>3.0</v>
      </c>
      <c r="AN396" s="137">
        <v>107.0</v>
      </c>
    </row>
    <row r="397">
      <c r="A397" s="104"/>
      <c r="B397" s="136" t="s">
        <v>199</v>
      </c>
      <c r="C397" s="134">
        <v>1142.0</v>
      </c>
      <c r="D397" s="137">
        <v>518.0</v>
      </c>
      <c r="E397" s="137">
        <v>624.0</v>
      </c>
      <c r="F397" s="135">
        <v>0.0</v>
      </c>
      <c r="G397" s="135">
        <v>0.0</v>
      </c>
      <c r="H397" s="135">
        <v>0.0</v>
      </c>
      <c r="I397" s="135">
        <v>0.0</v>
      </c>
      <c r="J397" s="135">
        <v>0.0</v>
      </c>
      <c r="K397" s="135">
        <v>0.0</v>
      </c>
      <c r="L397" s="135">
        <v>0.0</v>
      </c>
      <c r="M397" s="135">
        <v>0.0</v>
      </c>
      <c r="N397" s="135">
        <v>0.0</v>
      </c>
      <c r="O397" s="135">
        <v>0.0</v>
      </c>
      <c r="P397" s="135">
        <v>0.0</v>
      </c>
      <c r="Q397" s="135">
        <v>0.0</v>
      </c>
      <c r="R397" s="135">
        <v>0.0</v>
      </c>
      <c r="S397" s="135">
        <v>0.0</v>
      </c>
      <c r="T397" s="135">
        <v>0.0</v>
      </c>
      <c r="U397" s="135">
        <v>0.0</v>
      </c>
      <c r="V397" s="135">
        <v>0.0</v>
      </c>
      <c r="W397" s="135">
        <v>0.0</v>
      </c>
      <c r="X397" s="135">
        <v>0.0</v>
      </c>
      <c r="Y397" s="135">
        <v>0.0</v>
      </c>
      <c r="Z397" s="135">
        <v>0.0</v>
      </c>
      <c r="AA397" s="135">
        <v>0.0</v>
      </c>
      <c r="AB397" s="135">
        <v>0.0</v>
      </c>
      <c r="AC397" s="135">
        <v>0.0</v>
      </c>
      <c r="AD397" s="135">
        <v>0.0</v>
      </c>
      <c r="AE397" s="135">
        <v>0.0</v>
      </c>
      <c r="AF397" s="137">
        <v>169.0</v>
      </c>
      <c r="AG397" s="137">
        <v>224.0</v>
      </c>
      <c r="AH397" s="137">
        <v>166.0</v>
      </c>
      <c r="AI397" s="137">
        <v>219.0</v>
      </c>
      <c r="AJ397" s="137">
        <v>116.0</v>
      </c>
      <c r="AK397" s="137">
        <v>117.0</v>
      </c>
      <c r="AL397" s="137">
        <v>67.0</v>
      </c>
      <c r="AM397" s="137">
        <v>64.0</v>
      </c>
      <c r="AN397" s="134">
        <v>1086.0</v>
      </c>
    </row>
    <row r="398">
      <c r="A398" s="132" t="s">
        <v>204</v>
      </c>
      <c r="B398" s="136" t="s">
        <v>198</v>
      </c>
      <c r="C398" s="137">
        <v>14.0</v>
      </c>
      <c r="D398" s="137">
        <v>7.0</v>
      </c>
      <c r="E398" s="137">
        <v>7.0</v>
      </c>
      <c r="F398" s="135">
        <v>0.0</v>
      </c>
      <c r="G398" s="135">
        <v>0.0</v>
      </c>
      <c r="H398" s="135">
        <v>0.0</v>
      </c>
      <c r="I398" s="135">
        <v>0.0</v>
      </c>
      <c r="J398" s="135">
        <v>0.0</v>
      </c>
      <c r="K398" s="135">
        <v>0.0</v>
      </c>
      <c r="L398" s="135">
        <v>0.0</v>
      </c>
      <c r="M398" s="135">
        <v>0.0</v>
      </c>
      <c r="N398" s="135">
        <v>0.0</v>
      </c>
      <c r="O398" s="135">
        <v>0.0</v>
      </c>
      <c r="P398" s="135">
        <v>0.0</v>
      </c>
      <c r="Q398" s="135">
        <v>0.0</v>
      </c>
      <c r="R398" s="135">
        <v>0.0</v>
      </c>
      <c r="S398" s="135">
        <v>0.0</v>
      </c>
      <c r="T398" s="135">
        <v>0.0</v>
      </c>
      <c r="U398" s="135">
        <v>0.0</v>
      </c>
      <c r="V398" s="135">
        <v>0.0</v>
      </c>
      <c r="W398" s="135">
        <v>0.0</v>
      </c>
      <c r="X398" s="135">
        <v>0.0</v>
      </c>
      <c r="Y398" s="135">
        <v>0.0</v>
      </c>
      <c r="Z398" s="135">
        <v>0.0</v>
      </c>
      <c r="AA398" s="135">
        <v>0.0</v>
      </c>
      <c r="AB398" s="135">
        <v>0.0</v>
      </c>
      <c r="AC398" s="135">
        <v>0.0</v>
      </c>
      <c r="AD398" s="135">
        <v>0.0</v>
      </c>
      <c r="AE398" s="135">
        <v>0.0</v>
      </c>
      <c r="AF398" s="137">
        <v>1.0</v>
      </c>
      <c r="AG398" s="137">
        <v>1.0</v>
      </c>
      <c r="AH398" s="137">
        <v>2.0</v>
      </c>
      <c r="AI398" s="137">
        <v>1.0</v>
      </c>
      <c r="AJ398" s="137">
        <v>0.0</v>
      </c>
      <c r="AK398" s="137">
        <v>1.0</v>
      </c>
      <c r="AL398" s="137">
        <v>4.0</v>
      </c>
      <c r="AM398" s="137">
        <v>4.0</v>
      </c>
      <c r="AN398" s="137">
        <v>11.0</v>
      </c>
    </row>
    <row r="399">
      <c r="A399" s="104"/>
      <c r="B399" s="136" t="s">
        <v>199</v>
      </c>
      <c r="C399" s="137">
        <v>817.0</v>
      </c>
      <c r="D399" s="137">
        <v>369.0</v>
      </c>
      <c r="E399" s="137">
        <v>448.0</v>
      </c>
      <c r="F399" s="135">
        <v>0.0</v>
      </c>
      <c r="G399" s="135">
        <v>0.0</v>
      </c>
      <c r="H399" s="135">
        <v>0.0</v>
      </c>
      <c r="I399" s="135">
        <v>0.0</v>
      </c>
      <c r="J399" s="135">
        <v>0.0</v>
      </c>
      <c r="K399" s="135">
        <v>0.0</v>
      </c>
      <c r="L399" s="135">
        <v>0.0</v>
      </c>
      <c r="M399" s="135">
        <v>0.0</v>
      </c>
      <c r="N399" s="135">
        <v>0.0</v>
      </c>
      <c r="O399" s="135">
        <v>0.0</v>
      </c>
      <c r="P399" s="135">
        <v>0.0</v>
      </c>
      <c r="Q399" s="135">
        <v>0.0</v>
      </c>
      <c r="R399" s="135">
        <v>0.0</v>
      </c>
      <c r="S399" s="135">
        <v>0.0</v>
      </c>
      <c r="T399" s="135">
        <v>0.0</v>
      </c>
      <c r="U399" s="135">
        <v>0.0</v>
      </c>
      <c r="V399" s="135">
        <v>0.0</v>
      </c>
      <c r="W399" s="135">
        <v>0.0</v>
      </c>
      <c r="X399" s="135">
        <v>0.0</v>
      </c>
      <c r="Y399" s="135">
        <v>0.0</v>
      </c>
      <c r="Z399" s="135">
        <v>0.0</v>
      </c>
      <c r="AA399" s="135">
        <v>0.0</v>
      </c>
      <c r="AB399" s="135">
        <v>0.0</v>
      </c>
      <c r="AC399" s="135">
        <v>0.0</v>
      </c>
      <c r="AD399" s="135">
        <v>0.0</v>
      </c>
      <c r="AE399" s="135">
        <v>0.0</v>
      </c>
      <c r="AF399" s="137">
        <v>76.0</v>
      </c>
      <c r="AG399" s="137">
        <v>91.0</v>
      </c>
      <c r="AH399" s="137">
        <v>76.0</v>
      </c>
      <c r="AI399" s="137">
        <v>110.0</v>
      </c>
      <c r="AJ399" s="137">
        <v>91.0</v>
      </c>
      <c r="AK399" s="137">
        <v>95.0</v>
      </c>
      <c r="AL399" s="137">
        <v>126.0</v>
      </c>
      <c r="AM399" s="137">
        <v>152.0</v>
      </c>
      <c r="AN399" s="137">
        <v>781.0</v>
      </c>
    </row>
    <row r="400">
      <c r="A400" s="132" t="s">
        <v>205</v>
      </c>
      <c r="B400" s="136" t="s">
        <v>198</v>
      </c>
      <c r="C400" s="137">
        <v>159.0</v>
      </c>
      <c r="D400" s="137">
        <v>61.0</v>
      </c>
      <c r="E400" s="137">
        <v>98.0</v>
      </c>
      <c r="F400" s="137">
        <v>1.0</v>
      </c>
      <c r="G400" s="137">
        <v>0.0</v>
      </c>
      <c r="H400" s="137">
        <v>1.0</v>
      </c>
      <c r="I400" s="137">
        <v>0.0</v>
      </c>
      <c r="J400" s="137">
        <v>0.0</v>
      </c>
      <c r="K400" s="137">
        <v>1.0</v>
      </c>
      <c r="L400" s="137">
        <v>1.0</v>
      </c>
      <c r="M400" s="137">
        <v>3.0</v>
      </c>
      <c r="N400" s="137">
        <v>5.0</v>
      </c>
      <c r="O400" s="137">
        <v>1.0</v>
      </c>
      <c r="P400" s="137">
        <v>1.0</v>
      </c>
      <c r="Q400" s="137">
        <v>1.0</v>
      </c>
      <c r="R400" s="137">
        <v>2.0</v>
      </c>
      <c r="S400" s="137">
        <v>1.0</v>
      </c>
      <c r="T400" s="137">
        <v>0.0</v>
      </c>
      <c r="U400" s="137">
        <v>1.0</v>
      </c>
      <c r="V400" s="137">
        <v>2.0</v>
      </c>
      <c r="W400" s="137">
        <v>5.0</v>
      </c>
      <c r="X400" s="137">
        <v>2.0</v>
      </c>
      <c r="Y400" s="137">
        <v>9.0</v>
      </c>
      <c r="Z400" s="137">
        <v>4.0</v>
      </c>
      <c r="AA400" s="137">
        <v>13.0</v>
      </c>
      <c r="AB400" s="137">
        <v>4.0</v>
      </c>
      <c r="AC400" s="137">
        <v>5.0</v>
      </c>
      <c r="AD400" s="137">
        <v>11.0</v>
      </c>
      <c r="AE400" s="137">
        <v>15.0</v>
      </c>
      <c r="AF400" s="137">
        <v>7.0</v>
      </c>
      <c r="AG400" s="137">
        <v>13.0</v>
      </c>
      <c r="AH400" s="137">
        <v>4.0</v>
      </c>
      <c r="AI400" s="137">
        <v>11.0</v>
      </c>
      <c r="AJ400" s="137">
        <v>8.0</v>
      </c>
      <c r="AK400" s="137">
        <v>12.0</v>
      </c>
      <c r="AL400" s="137">
        <v>8.0</v>
      </c>
      <c r="AM400" s="137">
        <v>7.0</v>
      </c>
      <c r="AN400" s="137">
        <v>158.0</v>
      </c>
    </row>
    <row r="401">
      <c r="A401" s="98"/>
      <c r="B401" s="136" t="s">
        <v>199</v>
      </c>
      <c r="C401" s="137">
        <v>16.0</v>
      </c>
      <c r="D401" s="137">
        <v>7.0</v>
      </c>
      <c r="E401" s="137">
        <v>9.0</v>
      </c>
      <c r="F401" s="137">
        <v>0.0</v>
      </c>
      <c r="G401" s="137">
        <v>0.0</v>
      </c>
      <c r="H401" s="137">
        <v>0.0</v>
      </c>
      <c r="I401" s="137">
        <v>0.0</v>
      </c>
      <c r="J401" s="137">
        <v>2.0</v>
      </c>
      <c r="K401" s="137">
        <v>0.0</v>
      </c>
      <c r="L401" s="137">
        <v>0.0</v>
      </c>
      <c r="M401" s="137">
        <v>0.0</v>
      </c>
      <c r="N401" s="137">
        <v>0.0</v>
      </c>
      <c r="O401" s="137">
        <v>1.0</v>
      </c>
      <c r="P401" s="137">
        <v>0.0</v>
      </c>
      <c r="Q401" s="137">
        <v>0.0</v>
      </c>
      <c r="R401" s="137">
        <v>0.0</v>
      </c>
      <c r="S401" s="137">
        <v>0.0</v>
      </c>
      <c r="T401" s="137">
        <v>1.0</v>
      </c>
      <c r="U401" s="137">
        <v>1.0</v>
      </c>
      <c r="V401" s="137">
        <v>2.0</v>
      </c>
      <c r="W401" s="137">
        <v>3.0</v>
      </c>
      <c r="X401" s="137">
        <v>1.0</v>
      </c>
      <c r="Y401" s="137">
        <v>3.0</v>
      </c>
      <c r="Z401" s="137">
        <v>0.0</v>
      </c>
      <c r="AA401" s="137">
        <v>1.0</v>
      </c>
      <c r="AB401" s="137">
        <v>0.0</v>
      </c>
      <c r="AC401" s="137">
        <v>0.0</v>
      </c>
      <c r="AD401" s="137">
        <v>1.0</v>
      </c>
      <c r="AE401" s="137">
        <v>0.0</v>
      </c>
      <c r="AF401" s="137">
        <v>0.0</v>
      </c>
      <c r="AG401" s="137">
        <v>0.0</v>
      </c>
      <c r="AH401" s="137">
        <v>0.0</v>
      </c>
      <c r="AI401" s="137">
        <v>0.0</v>
      </c>
      <c r="AJ401" s="137">
        <v>0.0</v>
      </c>
      <c r="AK401" s="137">
        <v>0.0</v>
      </c>
      <c r="AL401" s="137">
        <v>0.0</v>
      </c>
      <c r="AM401" s="137">
        <v>0.0</v>
      </c>
      <c r="AN401" s="137">
        <v>16.0</v>
      </c>
    </row>
    <row r="402">
      <c r="A402" s="104"/>
      <c r="B402" s="136" t="s">
        <v>206</v>
      </c>
      <c r="C402" s="137">
        <v>544.0</v>
      </c>
      <c r="D402" s="137">
        <v>54.0</v>
      </c>
      <c r="E402" s="137">
        <v>490.0</v>
      </c>
      <c r="F402" s="137">
        <v>1.0</v>
      </c>
      <c r="G402" s="137">
        <v>0.0</v>
      </c>
      <c r="H402" s="137">
        <v>0.0</v>
      </c>
      <c r="I402" s="137">
        <v>0.0</v>
      </c>
      <c r="J402" s="137">
        <v>0.0</v>
      </c>
      <c r="K402" s="137">
        <v>1.0</v>
      </c>
      <c r="L402" s="137">
        <v>11.0</v>
      </c>
      <c r="M402" s="137">
        <v>39.0</v>
      </c>
      <c r="N402" s="137">
        <v>4.0</v>
      </c>
      <c r="O402" s="137">
        <v>63.0</v>
      </c>
      <c r="P402" s="137">
        <v>8.0</v>
      </c>
      <c r="Q402" s="137">
        <v>81.0</v>
      </c>
      <c r="R402" s="137">
        <v>8.0</v>
      </c>
      <c r="S402" s="137">
        <v>39.0</v>
      </c>
      <c r="T402" s="137">
        <v>12.0</v>
      </c>
      <c r="U402" s="137">
        <v>93.0</v>
      </c>
      <c r="V402" s="137">
        <v>0.0</v>
      </c>
      <c r="W402" s="137">
        <v>60.0</v>
      </c>
      <c r="X402" s="137">
        <v>4.0</v>
      </c>
      <c r="Y402" s="137">
        <v>63.0</v>
      </c>
      <c r="Z402" s="137">
        <v>0.0</v>
      </c>
      <c r="AA402" s="137">
        <v>19.0</v>
      </c>
      <c r="AB402" s="137">
        <v>2.0</v>
      </c>
      <c r="AC402" s="137">
        <v>12.0</v>
      </c>
      <c r="AD402" s="137">
        <v>0.0</v>
      </c>
      <c r="AE402" s="137">
        <v>5.0</v>
      </c>
      <c r="AF402" s="137">
        <v>0.0</v>
      </c>
      <c r="AG402" s="137">
        <v>4.0</v>
      </c>
      <c r="AH402" s="137">
        <v>2.0</v>
      </c>
      <c r="AI402" s="137">
        <v>9.0</v>
      </c>
      <c r="AJ402" s="137">
        <v>2.0</v>
      </c>
      <c r="AK402" s="137">
        <v>1.0</v>
      </c>
      <c r="AL402" s="137">
        <v>0.0</v>
      </c>
      <c r="AM402" s="137">
        <v>1.0</v>
      </c>
      <c r="AN402" s="137">
        <v>544.0</v>
      </c>
    </row>
    <row r="403">
      <c r="A403" s="132" t="s">
        <v>207</v>
      </c>
      <c r="B403" s="136" t="s">
        <v>198</v>
      </c>
      <c r="C403" s="134">
        <v>81909.0</v>
      </c>
      <c r="D403" s="134">
        <v>23074.0</v>
      </c>
      <c r="E403" s="134">
        <v>58835.0</v>
      </c>
      <c r="F403" s="137">
        <v>958.0</v>
      </c>
      <c r="G403" s="137">
        <v>855.0</v>
      </c>
      <c r="H403" s="137">
        <v>514.0</v>
      </c>
      <c r="I403" s="137">
        <v>476.0</v>
      </c>
      <c r="J403" s="137">
        <v>462.0</v>
      </c>
      <c r="K403" s="137">
        <v>452.0</v>
      </c>
      <c r="L403" s="137">
        <v>438.0</v>
      </c>
      <c r="M403" s="137">
        <v>756.0</v>
      </c>
      <c r="N403" s="137">
        <v>366.0</v>
      </c>
      <c r="O403" s="134">
        <v>1074.0</v>
      </c>
      <c r="P403" s="137">
        <v>413.0</v>
      </c>
      <c r="Q403" s="134">
        <v>1566.0</v>
      </c>
      <c r="R403" s="137">
        <v>440.0</v>
      </c>
      <c r="S403" s="134">
        <v>1845.0</v>
      </c>
      <c r="T403" s="137">
        <v>519.0</v>
      </c>
      <c r="U403" s="134">
        <v>2302.0</v>
      </c>
      <c r="V403" s="137">
        <v>733.0</v>
      </c>
      <c r="W403" s="134">
        <v>3117.0</v>
      </c>
      <c r="X403" s="134">
        <v>1042.0</v>
      </c>
      <c r="Y403" s="134">
        <v>4249.0</v>
      </c>
      <c r="Z403" s="134">
        <v>1537.0</v>
      </c>
      <c r="AA403" s="134">
        <v>5958.0</v>
      </c>
      <c r="AB403" s="134">
        <v>2093.0</v>
      </c>
      <c r="AC403" s="134">
        <v>7302.0</v>
      </c>
      <c r="AD403" s="134">
        <v>2450.0</v>
      </c>
      <c r="AE403" s="134">
        <v>7369.0</v>
      </c>
      <c r="AF403" s="134">
        <v>3005.0</v>
      </c>
      <c r="AG403" s="134">
        <v>6795.0</v>
      </c>
      <c r="AH403" s="134">
        <v>3085.0</v>
      </c>
      <c r="AI403" s="134">
        <v>5819.0</v>
      </c>
      <c r="AJ403" s="134">
        <v>2539.0</v>
      </c>
      <c r="AK403" s="134">
        <v>4281.0</v>
      </c>
      <c r="AL403" s="134">
        <v>2480.0</v>
      </c>
      <c r="AM403" s="134">
        <v>4619.0</v>
      </c>
      <c r="AN403" s="134">
        <v>80948.0</v>
      </c>
    </row>
    <row r="404">
      <c r="A404" s="98"/>
      <c r="B404" s="136" t="s">
        <v>199</v>
      </c>
      <c r="C404" s="134">
        <v>6031.0</v>
      </c>
      <c r="D404" s="134">
        <v>2104.0</v>
      </c>
      <c r="E404" s="134">
        <v>3927.0</v>
      </c>
      <c r="F404" s="137">
        <v>175.0</v>
      </c>
      <c r="G404" s="137">
        <v>209.0</v>
      </c>
      <c r="H404" s="137">
        <v>50.0</v>
      </c>
      <c r="I404" s="137">
        <v>55.0</v>
      </c>
      <c r="J404" s="137">
        <v>3.0</v>
      </c>
      <c r="K404" s="137">
        <v>15.0</v>
      </c>
      <c r="L404" s="137">
        <v>7.0</v>
      </c>
      <c r="M404" s="137">
        <v>12.0</v>
      </c>
      <c r="N404" s="137">
        <v>7.0</v>
      </c>
      <c r="O404" s="137">
        <v>8.0</v>
      </c>
      <c r="P404" s="137">
        <v>9.0</v>
      </c>
      <c r="Q404" s="137">
        <v>23.0</v>
      </c>
      <c r="R404" s="137">
        <v>9.0</v>
      </c>
      <c r="S404" s="137">
        <v>33.0</v>
      </c>
      <c r="T404" s="137">
        <v>20.0</v>
      </c>
      <c r="U404" s="137">
        <v>70.0</v>
      </c>
      <c r="V404" s="137">
        <v>36.0</v>
      </c>
      <c r="W404" s="137">
        <v>107.0</v>
      </c>
      <c r="X404" s="137">
        <v>58.0</v>
      </c>
      <c r="Y404" s="137">
        <v>188.0</v>
      </c>
      <c r="Z404" s="137">
        <v>109.0</v>
      </c>
      <c r="AA404" s="137">
        <v>329.0</v>
      </c>
      <c r="AB404" s="137">
        <v>168.0</v>
      </c>
      <c r="AC404" s="137">
        <v>384.0</v>
      </c>
      <c r="AD404" s="137">
        <v>234.0</v>
      </c>
      <c r="AE404" s="137">
        <v>473.0</v>
      </c>
      <c r="AF404" s="137">
        <v>289.0</v>
      </c>
      <c r="AG404" s="137">
        <v>590.0</v>
      </c>
      <c r="AH404" s="137">
        <v>369.0</v>
      </c>
      <c r="AI404" s="137">
        <v>496.0</v>
      </c>
      <c r="AJ404" s="137">
        <v>251.0</v>
      </c>
      <c r="AK404" s="137">
        <v>398.0</v>
      </c>
      <c r="AL404" s="137">
        <v>310.0</v>
      </c>
      <c r="AM404" s="137">
        <v>537.0</v>
      </c>
      <c r="AN404" s="134">
        <v>5960.0</v>
      </c>
    </row>
    <row r="405">
      <c r="A405" s="98"/>
      <c r="B405" s="136" t="s">
        <v>206</v>
      </c>
      <c r="C405" s="137">
        <v>91.0</v>
      </c>
      <c r="D405" s="137">
        <v>28.0</v>
      </c>
      <c r="E405" s="137">
        <v>63.0</v>
      </c>
      <c r="F405" s="137">
        <v>4.0</v>
      </c>
      <c r="G405" s="137">
        <v>3.0</v>
      </c>
      <c r="H405" s="137">
        <v>0.0</v>
      </c>
      <c r="I405" s="137">
        <v>4.0</v>
      </c>
      <c r="J405" s="137">
        <v>9.0</v>
      </c>
      <c r="K405" s="137">
        <v>14.0</v>
      </c>
      <c r="L405" s="137">
        <v>6.0</v>
      </c>
      <c r="M405" s="137">
        <v>9.0</v>
      </c>
      <c r="N405" s="137">
        <v>1.0</v>
      </c>
      <c r="O405" s="137">
        <v>1.0</v>
      </c>
      <c r="P405" s="137">
        <v>0.0</v>
      </c>
      <c r="Q405" s="137">
        <v>3.0</v>
      </c>
      <c r="R405" s="137">
        <v>2.0</v>
      </c>
      <c r="S405" s="137">
        <v>2.0</v>
      </c>
      <c r="T405" s="137">
        <v>0.0</v>
      </c>
      <c r="U405" s="137">
        <v>3.0</v>
      </c>
      <c r="V405" s="137">
        <v>0.0</v>
      </c>
      <c r="W405" s="137">
        <v>6.0</v>
      </c>
      <c r="X405" s="137">
        <v>3.0</v>
      </c>
      <c r="Y405" s="137">
        <v>2.0</v>
      </c>
      <c r="Z405" s="137">
        <v>0.0</v>
      </c>
      <c r="AA405" s="137">
        <v>5.0</v>
      </c>
      <c r="AB405" s="137">
        <v>1.0</v>
      </c>
      <c r="AC405" s="137">
        <v>1.0</v>
      </c>
      <c r="AD405" s="137">
        <v>1.0</v>
      </c>
      <c r="AE405" s="137">
        <v>2.0</v>
      </c>
      <c r="AF405" s="137">
        <v>1.0</v>
      </c>
      <c r="AG405" s="137">
        <v>3.0</v>
      </c>
      <c r="AH405" s="137">
        <v>0.0</v>
      </c>
      <c r="AI405" s="137">
        <v>0.0</v>
      </c>
      <c r="AJ405" s="137">
        <v>0.0</v>
      </c>
      <c r="AK405" s="137">
        <v>4.0</v>
      </c>
      <c r="AL405" s="137">
        <v>0.0</v>
      </c>
      <c r="AM405" s="137">
        <v>1.0</v>
      </c>
      <c r="AN405" s="137">
        <v>85.0</v>
      </c>
    </row>
    <row r="406">
      <c r="A406" s="98"/>
      <c r="B406" s="136" t="s">
        <v>200</v>
      </c>
      <c r="C406" s="134">
        <v>8113.0</v>
      </c>
      <c r="D406" s="134">
        <v>2614.0</v>
      </c>
      <c r="E406" s="134">
        <v>5499.0</v>
      </c>
      <c r="F406" s="137">
        <v>365.0</v>
      </c>
      <c r="G406" s="137">
        <v>322.0</v>
      </c>
      <c r="H406" s="137">
        <v>106.0</v>
      </c>
      <c r="I406" s="137">
        <v>135.0</v>
      </c>
      <c r="J406" s="137">
        <v>55.0</v>
      </c>
      <c r="K406" s="137">
        <v>70.0</v>
      </c>
      <c r="L406" s="137">
        <v>24.0</v>
      </c>
      <c r="M406" s="137">
        <v>99.0</v>
      </c>
      <c r="N406" s="137">
        <v>21.0</v>
      </c>
      <c r="O406" s="137">
        <v>103.0</v>
      </c>
      <c r="P406" s="137">
        <v>26.0</v>
      </c>
      <c r="Q406" s="137">
        <v>131.0</v>
      </c>
      <c r="R406" s="137">
        <v>28.0</v>
      </c>
      <c r="S406" s="137">
        <v>161.0</v>
      </c>
      <c r="T406" s="137">
        <v>48.0</v>
      </c>
      <c r="U406" s="137">
        <v>232.0</v>
      </c>
      <c r="V406" s="137">
        <v>67.0</v>
      </c>
      <c r="W406" s="137">
        <v>282.0</v>
      </c>
      <c r="X406" s="137">
        <v>88.0</v>
      </c>
      <c r="Y406" s="137">
        <v>358.0</v>
      </c>
      <c r="Z406" s="137">
        <v>180.0</v>
      </c>
      <c r="AA406" s="137">
        <v>608.0</v>
      </c>
      <c r="AB406" s="137">
        <v>196.0</v>
      </c>
      <c r="AC406" s="137">
        <v>598.0</v>
      </c>
      <c r="AD406" s="137">
        <v>251.0</v>
      </c>
      <c r="AE406" s="137">
        <v>620.0</v>
      </c>
      <c r="AF406" s="137">
        <v>332.0</v>
      </c>
      <c r="AG406" s="137">
        <v>565.0</v>
      </c>
      <c r="AH406" s="137">
        <v>349.0</v>
      </c>
      <c r="AI406" s="137">
        <v>513.0</v>
      </c>
      <c r="AJ406" s="137">
        <v>242.0</v>
      </c>
      <c r="AK406" s="137">
        <v>337.0</v>
      </c>
      <c r="AL406" s="137">
        <v>236.0</v>
      </c>
      <c r="AM406" s="137">
        <v>364.0</v>
      </c>
      <c r="AN406" s="134">
        <v>8044.0</v>
      </c>
    </row>
    <row r="407">
      <c r="A407" s="104"/>
      <c r="B407" s="136" t="s">
        <v>201</v>
      </c>
      <c r="C407" s="134">
        <v>7718.0</v>
      </c>
      <c r="D407" s="134">
        <v>3525.0</v>
      </c>
      <c r="E407" s="134">
        <v>4193.0</v>
      </c>
      <c r="F407" s="137">
        <v>339.0</v>
      </c>
      <c r="G407" s="137">
        <v>354.0</v>
      </c>
      <c r="H407" s="137">
        <v>153.0</v>
      </c>
      <c r="I407" s="137">
        <v>153.0</v>
      </c>
      <c r="J407" s="137">
        <v>68.0</v>
      </c>
      <c r="K407" s="137">
        <v>90.0</v>
      </c>
      <c r="L407" s="137">
        <v>45.0</v>
      </c>
      <c r="M407" s="137">
        <v>159.0</v>
      </c>
      <c r="N407" s="137">
        <v>50.0</v>
      </c>
      <c r="O407" s="137">
        <v>97.0</v>
      </c>
      <c r="P407" s="137">
        <v>41.0</v>
      </c>
      <c r="Q407" s="137">
        <v>134.0</v>
      </c>
      <c r="R407" s="137">
        <v>93.0</v>
      </c>
      <c r="S407" s="137">
        <v>129.0</v>
      </c>
      <c r="T407" s="137">
        <v>108.0</v>
      </c>
      <c r="U407" s="137">
        <v>207.0</v>
      </c>
      <c r="V407" s="137">
        <v>79.0</v>
      </c>
      <c r="W407" s="137">
        <v>274.0</v>
      </c>
      <c r="X407" s="137">
        <v>132.0</v>
      </c>
      <c r="Y407" s="137">
        <v>189.0</v>
      </c>
      <c r="Z407" s="137">
        <v>220.0</v>
      </c>
      <c r="AA407" s="137">
        <v>354.0</v>
      </c>
      <c r="AB407" s="137">
        <v>257.0</v>
      </c>
      <c r="AC407" s="137">
        <v>393.0</v>
      </c>
      <c r="AD407" s="137">
        <v>260.0</v>
      </c>
      <c r="AE407" s="137">
        <v>359.0</v>
      </c>
      <c r="AF407" s="137">
        <v>440.0</v>
      </c>
      <c r="AG407" s="137">
        <v>427.0</v>
      </c>
      <c r="AH407" s="137">
        <v>415.0</v>
      </c>
      <c r="AI407" s="137">
        <v>215.0</v>
      </c>
      <c r="AJ407" s="137">
        <v>346.0</v>
      </c>
      <c r="AK407" s="137">
        <v>357.0</v>
      </c>
      <c r="AL407" s="137">
        <v>479.0</v>
      </c>
      <c r="AM407" s="137">
        <v>302.0</v>
      </c>
      <c r="AN407" s="134">
        <v>7715.0</v>
      </c>
    </row>
    <row r="408">
      <c r="A408" s="132" t="s">
        <v>208</v>
      </c>
      <c r="B408" s="136" t="s">
        <v>198</v>
      </c>
      <c r="C408" s="137">
        <v>184.0</v>
      </c>
      <c r="D408" s="137">
        <v>107.0</v>
      </c>
      <c r="E408" s="137">
        <v>77.0</v>
      </c>
      <c r="F408" s="137">
        <v>46.0</v>
      </c>
      <c r="G408" s="137">
        <v>46.0</v>
      </c>
      <c r="H408" s="137">
        <v>36.0</v>
      </c>
      <c r="I408" s="137">
        <v>13.0</v>
      </c>
      <c r="J408" s="137">
        <v>22.0</v>
      </c>
      <c r="K408" s="137">
        <v>7.0</v>
      </c>
      <c r="L408" s="137">
        <v>2.0</v>
      </c>
      <c r="M408" s="137">
        <v>4.0</v>
      </c>
      <c r="N408" s="137">
        <v>1.0</v>
      </c>
      <c r="O408" s="137">
        <v>7.0</v>
      </c>
      <c r="P408" s="135">
        <v>0.0</v>
      </c>
      <c r="Q408" s="135">
        <v>0.0</v>
      </c>
      <c r="R408" s="135">
        <v>0.0</v>
      </c>
      <c r="S408" s="135">
        <v>0.0</v>
      </c>
      <c r="T408" s="135">
        <v>0.0</v>
      </c>
      <c r="U408" s="135">
        <v>0.0</v>
      </c>
      <c r="V408" s="135">
        <v>0.0</v>
      </c>
      <c r="W408" s="135">
        <v>0.0</v>
      </c>
      <c r="X408" s="135">
        <v>0.0</v>
      </c>
      <c r="Y408" s="135">
        <v>0.0</v>
      </c>
      <c r="Z408" s="135">
        <v>0.0</v>
      </c>
      <c r="AA408" s="135">
        <v>0.0</v>
      </c>
      <c r="AB408" s="135">
        <v>0.0</v>
      </c>
      <c r="AC408" s="135">
        <v>0.0</v>
      </c>
      <c r="AD408" s="135">
        <v>0.0</v>
      </c>
      <c r="AE408" s="135">
        <v>0.0</v>
      </c>
      <c r="AF408" s="135">
        <v>0.0</v>
      </c>
      <c r="AG408" s="135">
        <v>0.0</v>
      </c>
      <c r="AH408" s="135">
        <v>0.0</v>
      </c>
      <c r="AI408" s="135">
        <v>0.0</v>
      </c>
      <c r="AJ408" s="135">
        <v>0.0</v>
      </c>
      <c r="AK408" s="135">
        <v>0.0</v>
      </c>
      <c r="AL408" s="135">
        <v>0.0</v>
      </c>
      <c r="AM408" s="135">
        <v>0.0</v>
      </c>
      <c r="AN408" s="137">
        <v>223.0</v>
      </c>
    </row>
    <row r="409">
      <c r="A409" s="98"/>
      <c r="B409" s="136" t="s">
        <v>199</v>
      </c>
      <c r="C409" s="137">
        <v>705.0</v>
      </c>
      <c r="D409" s="137">
        <v>399.0</v>
      </c>
      <c r="E409" s="137">
        <v>306.0</v>
      </c>
      <c r="F409" s="137">
        <v>314.0</v>
      </c>
      <c r="G409" s="137">
        <v>251.0</v>
      </c>
      <c r="H409" s="137">
        <v>55.0</v>
      </c>
      <c r="I409" s="137">
        <v>34.0</v>
      </c>
      <c r="J409" s="137">
        <v>22.0</v>
      </c>
      <c r="K409" s="137">
        <v>8.0</v>
      </c>
      <c r="L409" s="137">
        <v>5.0</v>
      </c>
      <c r="M409" s="137">
        <v>11.0</v>
      </c>
      <c r="N409" s="137">
        <v>3.0</v>
      </c>
      <c r="O409" s="137">
        <v>2.0</v>
      </c>
      <c r="P409" s="135">
        <v>0.0</v>
      </c>
      <c r="Q409" s="135">
        <v>0.0</v>
      </c>
      <c r="R409" s="135">
        <v>0.0</v>
      </c>
      <c r="S409" s="135">
        <v>0.0</v>
      </c>
      <c r="T409" s="135">
        <v>0.0</v>
      </c>
      <c r="U409" s="135">
        <v>0.0</v>
      </c>
      <c r="V409" s="135">
        <v>0.0</v>
      </c>
      <c r="W409" s="135">
        <v>0.0</v>
      </c>
      <c r="X409" s="135">
        <v>0.0</v>
      </c>
      <c r="Y409" s="135">
        <v>0.0</v>
      </c>
      <c r="Z409" s="135">
        <v>0.0</v>
      </c>
      <c r="AA409" s="135">
        <v>0.0</v>
      </c>
      <c r="AB409" s="135">
        <v>0.0</v>
      </c>
      <c r="AC409" s="135">
        <v>0.0</v>
      </c>
      <c r="AD409" s="135">
        <v>0.0</v>
      </c>
      <c r="AE409" s="135">
        <v>0.0</v>
      </c>
      <c r="AF409" s="135">
        <v>0.0</v>
      </c>
      <c r="AG409" s="135">
        <v>0.0</v>
      </c>
      <c r="AH409" s="135">
        <v>0.0</v>
      </c>
      <c r="AI409" s="135">
        <v>0.0</v>
      </c>
      <c r="AJ409" s="135">
        <v>0.0</v>
      </c>
      <c r="AK409" s="135">
        <v>0.0</v>
      </c>
      <c r="AL409" s="135">
        <v>0.0</v>
      </c>
      <c r="AM409" s="135">
        <v>0.0</v>
      </c>
      <c r="AN409" s="137">
        <v>663.0</v>
      </c>
    </row>
    <row r="410">
      <c r="A410" s="98"/>
      <c r="B410" s="136" t="s">
        <v>206</v>
      </c>
      <c r="C410" s="137">
        <v>34.0</v>
      </c>
      <c r="D410" s="137">
        <v>19.0</v>
      </c>
      <c r="E410" s="137">
        <v>15.0</v>
      </c>
      <c r="F410" s="137">
        <v>9.0</v>
      </c>
      <c r="G410" s="137">
        <v>4.0</v>
      </c>
      <c r="H410" s="137">
        <v>0.0</v>
      </c>
      <c r="I410" s="137">
        <v>0.0</v>
      </c>
      <c r="J410" s="137">
        <v>7.0</v>
      </c>
      <c r="K410" s="137">
        <v>5.0</v>
      </c>
      <c r="L410" s="137">
        <v>3.0</v>
      </c>
      <c r="M410" s="137">
        <v>6.0</v>
      </c>
      <c r="N410" s="137">
        <v>0.0</v>
      </c>
      <c r="O410" s="137">
        <v>0.0</v>
      </c>
      <c r="P410" s="135">
        <v>0.0</v>
      </c>
      <c r="Q410" s="135">
        <v>0.0</v>
      </c>
      <c r="R410" s="135">
        <v>0.0</v>
      </c>
      <c r="S410" s="135">
        <v>0.0</v>
      </c>
      <c r="T410" s="135">
        <v>0.0</v>
      </c>
      <c r="U410" s="135">
        <v>0.0</v>
      </c>
      <c r="V410" s="135">
        <v>0.0</v>
      </c>
      <c r="W410" s="135">
        <v>0.0</v>
      </c>
      <c r="X410" s="135">
        <v>0.0</v>
      </c>
      <c r="Y410" s="135">
        <v>0.0</v>
      </c>
      <c r="Z410" s="135">
        <v>0.0</v>
      </c>
      <c r="AA410" s="135">
        <v>0.0</v>
      </c>
      <c r="AB410" s="135">
        <v>0.0</v>
      </c>
      <c r="AC410" s="135">
        <v>0.0</v>
      </c>
      <c r="AD410" s="135">
        <v>0.0</v>
      </c>
      <c r="AE410" s="135">
        <v>0.0</v>
      </c>
      <c r="AF410" s="135">
        <v>0.0</v>
      </c>
      <c r="AG410" s="135">
        <v>0.0</v>
      </c>
      <c r="AH410" s="135">
        <v>0.0</v>
      </c>
      <c r="AI410" s="135">
        <v>0.0</v>
      </c>
      <c r="AJ410" s="135">
        <v>0.0</v>
      </c>
      <c r="AK410" s="135">
        <v>0.0</v>
      </c>
      <c r="AL410" s="135">
        <v>0.0</v>
      </c>
      <c r="AM410" s="135">
        <v>0.0</v>
      </c>
      <c r="AN410" s="137">
        <v>30.0</v>
      </c>
    </row>
    <row r="411">
      <c r="A411" s="98"/>
      <c r="B411" s="136" t="s">
        <v>200</v>
      </c>
      <c r="C411" s="137">
        <v>236.0</v>
      </c>
      <c r="D411" s="137">
        <v>111.0</v>
      </c>
      <c r="E411" s="137">
        <v>125.0</v>
      </c>
      <c r="F411" s="137">
        <v>68.0</v>
      </c>
      <c r="G411" s="137">
        <v>91.0</v>
      </c>
      <c r="H411" s="137">
        <v>25.0</v>
      </c>
      <c r="I411" s="137">
        <v>20.0</v>
      </c>
      <c r="J411" s="137">
        <v>7.0</v>
      </c>
      <c r="K411" s="137">
        <v>7.0</v>
      </c>
      <c r="L411" s="137">
        <v>7.0</v>
      </c>
      <c r="M411" s="137">
        <v>6.0</v>
      </c>
      <c r="N411" s="137">
        <v>4.0</v>
      </c>
      <c r="O411" s="137">
        <v>1.0</v>
      </c>
      <c r="P411" s="135">
        <v>0.0</v>
      </c>
      <c r="Q411" s="135">
        <v>0.0</v>
      </c>
      <c r="R411" s="135">
        <v>0.0</v>
      </c>
      <c r="S411" s="135">
        <v>0.0</v>
      </c>
      <c r="T411" s="135">
        <v>0.0</v>
      </c>
      <c r="U411" s="135">
        <v>0.0</v>
      </c>
      <c r="V411" s="135">
        <v>0.0</v>
      </c>
      <c r="W411" s="135">
        <v>0.0</v>
      </c>
      <c r="X411" s="135">
        <v>0.0</v>
      </c>
      <c r="Y411" s="135">
        <v>0.0</v>
      </c>
      <c r="Z411" s="135">
        <v>0.0</v>
      </c>
      <c r="AA411" s="135">
        <v>0.0</v>
      </c>
      <c r="AB411" s="135">
        <v>0.0</v>
      </c>
      <c r="AC411" s="135">
        <v>0.0</v>
      </c>
      <c r="AD411" s="135">
        <v>0.0</v>
      </c>
      <c r="AE411" s="135">
        <v>0.0</v>
      </c>
      <c r="AF411" s="135">
        <v>0.0</v>
      </c>
      <c r="AG411" s="135">
        <v>0.0</v>
      </c>
      <c r="AH411" s="135">
        <v>0.0</v>
      </c>
      <c r="AI411" s="135">
        <v>0.0</v>
      </c>
      <c r="AJ411" s="135">
        <v>0.0</v>
      </c>
      <c r="AK411" s="135">
        <v>0.0</v>
      </c>
      <c r="AL411" s="135">
        <v>0.0</v>
      </c>
      <c r="AM411" s="135">
        <v>0.0</v>
      </c>
      <c r="AN411" s="137">
        <v>236.0</v>
      </c>
    </row>
    <row r="412">
      <c r="A412" s="104"/>
      <c r="B412" s="136" t="s">
        <v>201</v>
      </c>
      <c r="C412" s="137">
        <v>27.0</v>
      </c>
      <c r="D412" s="137">
        <v>20.0</v>
      </c>
      <c r="E412" s="137">
        <v>7.0</v>
      </c>
      <c r="F412" s="137">
        <v>11.0</v>
      </c>
      <c r="G412" s="137">
        <v>1.0</v>
      </c>
      <c r="H412" s="137">
        <v>4.0</v>
      </c>
      <c r="I412" s="137">
        <v>3.0</v>
      </c>
      <c r="J412" s="137">
        <v>3.0</v>
      </c>
      <c r="K412" s="137">
        <v>1.0</v>
      </c>
      <c r="L412" s="137">
        <v>2.0</v>
      </c>
      <c r="M412" s="137">
        <v>2.0</v>
      </c>
      <c r="N412" s="137">
        <v>0.0</v>
      </c>
      <c r="O412" s="137">
        <v>0.0</v>
      </c>
      <c r="P412" s="135">
        <v>0.0</v>
      </c>
      <c r="Q412" s="135">
        <v>0.0</v>
      </c>
      <c r="R412" s="135">
        <v>0.0</v>
      </c>
      <c r="S412" s="135">
        <v>0.0</v>
      </c>
      <c r="T412" s="135">
        <v>0.0</v>
      </c>
      <c r="U412" s="135">
        <v>0.0</v>
      </c>
      <c r="V412" s="135">
        <v>0.0</v>
      </c>
      <c r="W412" s="135">
        <v>0.0</v>
      </c>
      <c r="X412" s="135">
        <v>0.0</v>
      </c>
      <c r="Y412" s="135">
        <v>0.0</v>
      </c>
      <c r="Z412" s="135">
        <v>0.0</v>
      </c>
      <c r="AA412" s="135">
        <v>0.0</v>
      </c>
      <c r="AB412" s="135">
        <v>0.0</v>
      </c>
      <c r="AC412" s="135">
        <v>0.0</v>
      </c>
      <c r="AD412" s="135">
        <v>0.0</v>
      </c>
      <c r="AE412" s="135">
        <v>0.0</v>
      </c>
      <c r="AF412" s="135">
        <v>0.0</v>
      </c>
      <c r="AG412" s="135">
        <v>0.0</v>
      </c>
      <c r="AH412" s="135">
        <v>0.0</v>
      </c>
      <c r="AI412" s="135">
        <v>0.0</v>
      </c>
      <c r="AJ412" s="135">
        <v>0.0</v>
      </c>
      <c r="AK412" s="135">
        <v>0.0</v>
      </c>
      <c r="AL412" s="135">
        <v>0.0</v>
      </c>
      <c r="AM412" s="135">
        <v>0.0</v>
      </c>
      <c r="AN412" s="137">
        <v>27.0</v>
      </c>
    </row>
    <row r="413">
      <c r="A413" s="138" t="s">
        <v>225</v>
      </c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</row>
    <row r="414">
      <c r="A414" s="132" t="s">
        <v>197</v>
      </c>
      <c r="B414" s="133" t="s">
        <v>198</v>
      </c>
      <c r="C414" s="134">
        <v>107108.0</v>
      </c>
      <c r="D414" s="134">
        <v>40076.0</v>
      </c>
      <c r="E414" s="134">
        <v>67032.0</v>
      </c>
      <c r="F414" s="135">
        <v>0.0</v>
      </c>
      <c r="G414" s="135">
        <v>0.0</v>
      </c>
      <c r="H414" s="135">
        <v>0.0</v>
      </c>
      <c r="I414" s="135">
        <v>0.0</v>
      </c>
      <c r="J414" s="135">
        <v>0.0</v>
      </c>
      <c r="K414" s="135">
        <v>0.0</v>
      </c>
      <c r="L414" s="137">
        <v>102.0</v>
      </c>
      <c r="M414" s="137">
        <v>177.0</v>
      </c>
      <c r="N414" s="137">
        <v>111.0</v>
      </c>
      <c r="O414" s="137">
        <v>253.0</v>
      </c>
      <c r="P414" s="137">
        <v>207.0</v>
      </c>
      <c r="Q414" s="137">
        <v>588.0</v>
      </c>
      <c r="R414" s="137">
        <v>379.0</v>
      </c>
      <c r="S414" s="137">
        <v>909.0</v>
      </c>
      <c r="T414" s="137">
        <v>755.0</v>
      </c>
      <c r="U414" s="134">
        <v>1580.0</v>
      </c>
      <c r="V414" s="134">
        <v>1275.0</v>
      </c>
      <c r="W414" s="134">
        <v>2902.0</v>
      </c>
      <c r="X414" s="134">
        <v>2385.0</v>
      </c>
      <c r="Y414" s="134">
        <v>5206.0</v>
      </c>
      <c r="Z414" s="134">
        <v>3899.0</v>
      </c>
      <c r="AA414" s="134">
        <v>7769.0</v>
      </c>
      <c r="AB414" s="134">
        <v>5199.0</v>
      </c>
      <c r="AC414" s="134">
        <v>8974.0</v>
      </c>
      <c r="AD414" s="134">
        <v>5585.0</v>
      </c>
      <c r="AE414" s="134">
        <v>9235.0</v>
      </c>
      <c r="AF414" s="134">
        <v>5651.0</v>
      </c>
      <c r="AG414" s="134">
        <v>8410.0</v>
      </c>
      <c r="AH414" s="134">
        <v>5629.0</v>
      </c>
      <c r="AI414" s="134">
        <v>7774.0</v>
      </c>
      <c r="AJ414" s="134">
        <v>4350.0</v>
      </c>
      <c r="AK414" s="134">
        <v>6239.0</v>
      </c>
      <c r="AL414" s="134">
        <v>4549.0</v>
      </c>
      <c r="AM414" s="134">
        <v>7016.0</v>
      </c>
      <c r="AN414" s="134">
        <v>107068.0</v>
      </c>
    </row>
    <row r="415">
      <c r="A415" s="98"/>
      <c r="B415" s="136" t="s">
        <v>199</v>
      </c>
      <c r="C415" s="134">
        <v>73431.0</v>
      </c>
      <c r="D415" s="134">
        <v>27402.0</v>
      </c>
      <c r="E415" s="134">
        <v>46029.0</v>
      </c>
      <c r="F415" s="135">
        <v>0.0</v>
      </c>
      <c r="G415" s="135">
        <v>0.0</v>
      </c>
      <c r="H415" s="135">
        <v>0.0</v>
      </c>
      <c r="I415" s="135">
        <v>0.0</v>
      </c>
      <c r="J415" s="135">
        <v>0.0</v>
      </c>
      <c r="K415" s="135">
        <v>0.0</v>
      </c>
      <c r="L415" s="137">
        <v>31.0</v>
      </c>
      <c r="M415" s="137">
        <v>57.0</v>
      </c>
      <c r="N415" s="137">
        <v>67.0</v>
      </c>
      <c r="O415" s="137">
        <v>90.0</v>
      </c>
      <c r="P415" s="137">
        <v>119.0</v>
      </c>
      <c r="Q415" s="137">
        <v>267.0</v>
      </c>
      <c r="R415" s="137">
        <v>205.0</v>
      </c>
      <c r="S415" s="137">
        <v>406.0</v>
      </c>
      <c r="T415" s="137">
        <v>379.0</v>
      </c>
      <c r="U415" s="137">
        <v>829.0</v>
      </c>
      <c r="V415" s="137">
        <v>740.0</v>
      </c>
      <c r="W415" s="134">
        <v>1713.0</v>
      </c>
      <c r="X415" s="134">
        <v>1422.0</v>
      </c>
      <c r="Y415" s="134">
        <v>3261.0</v>
      </c>
      <c r="Z415" s="134">
        <v>2531.0</v>
      </c>
      <c r="AA415" s="134">
        <v>5100.0</v>
      </c>
      <c r="AB415" s="134">
        <v>3329.0</v>
      </c>
      <c r="AC415" s="134">
        <v>5958.0</v>
      </c>
      <c r="AD415" s="134">
        <v>3730.0</v>
      </c>
      <c r="AE415" s="134">
        <v>6287.0</v>
      </c>
      <c r="AF415" s="134">
        <v>3962.0</v>
      </c>
      <c r="AG415" s="134">
        <v>6294.0</v>
      </c>
      <c r="AH415" s="134">
        <v>4136.0</v>
      </c>
      <c r="AI415" s="134">
        <v>5809.0</v>
      </c>
      <c r="AJ415" s="134">
        <v>3331.0</v>
      </c>
      <c r="AK415" s="134">
        <v>4529.0</v>
      </c>
      <c r="AL415" s="134">
        <v>3420.0</v>
      </c>
      <c r="AM415" s="134">
        <v>5429.0</v>
      </c>
      <c r="AN415" s="134">
        <v>73209.0</v>
      </c>
    </row>
    <row r="416">
      <c r="A416" s="98"/>
      <c r="B416" s="136" t="s">
        <v>200</v>
      </c>
      <c r="C416" s="134">
        <v>70112.0</v>
      </c>
      <c r="D416" s="134">
        <v>25387.0</v>
      </c>
      <c r="E416" s="134">
        <v>44725.0</v>
      </c>
      <c r="F416" s="135">
        <v>0.0</v>
      </c>
      <c r="G416" s="135">
        <v>0.0</v>
      </c>
      <c r="H416" s="135">
        <v>0.0</v>
      </c>
      <c r="I416" s="135">
        <v>0.0</v>
      </c>
      <c r="J416" s="135">
        <v>0.0</v>
      </c>
      <c r="K416" s="135">
        <v>0.0</v>
      </c>
      <c r="L416" s="137">
        <v>53.0</v>
      </c>
      <c r="M416" s="137">
        <v>120.0</v>
      </c>
      <c r="N416" s="137">
        <v>81.0</v>
      </c>
      <c r="O416" s="137">
        <v>213.0</v>
      </c>
      <c r="P416" s="137">
        <v>141.0</v>
      </c>
      <c r="Q416" s="137">
        <v>402.0</v>
      </c>
      <c r="R416" s="137">
        <v>264.0</v>
      </c>
      <c r="S416" s="137">
        <v>670.0</v>
      </c>
      <c r="T416" s="137">
        <v>520.0</v>
      </c>
      <c r="U416" s="134">
        <v>1072.0</v>
      </c>
      <c r="V416" s="137">
        <v>821.0</v>
      </c>
      <c r="W416" s="134">
        <v>1979.0</v>
      </c>
      <c r="X416" s="134">
        <v>1509.0</v>
      </c>
      <c r="Y416" s="134">
        <v>3630.0</v>
      </c>
      <c r="Z416" s="134">
        <v>2553.0</v>
      </c>
      <c r="AA416" s="134">
        <v>5217.0</v>
      </c>
      <c r="AB416" s="134">
        <v>3237.0</v>
      </c>
      <c r="AC416" s="134">
        <v>6202.0</v>
      </c>
      <c r="AD416" s="134">
        <v>3604.0</v>
      </c>
      <c r="AE416" s="134">
        <v>6172.0</v>
      </c>
      <c r="AF416" s="134">
        <v>3576.0</v>
      </c>
      <c r="AG416" s="134">
        <v>5708.0</v>
      </c>
      <c r="AH416" s="134">
        <v>3616.0</v>
      </c>
      <c r="AI416" s="134">
        <v>5101.0</v>
      </c>
      <c r="AJ416" s="134">
        <v>2748.0</v>
      </c>
      <c r="AK416" s="134">
        <v>3881.0</v>
      </c>
      <c r="AL416" s="134">
        <v>2664.0</v>
      </c>
      <c r="AM416" s="134">
        <v>4358.0</v>
      </c>
      <c r="AN416" s="134">
        <v>69961.0</v>
      </c>
    </row>
    <row r="417">
      <c r="A417" s="104"/>
      <c r="B417" s="136" t="s">
        <v>201</v>
      </c>
      <c r="C417" s="137">
        <v>349.0</v>
      </c>
      <c r="D417" s="137">
        <v>186.0</v>
      </c>
      <c r="E417" s="137">
        <v>163.0</v>
      </c>
      <c r="F417" s="135">
        <v>0.0</v>
      </c>
      <c r="G417" s="135">
        <v>0.0</v>
      </c>
      <c r="H417" s="135">
        <v>0.0</v>
      </c>
      <c r="I417" s="135">
        <v>0.0</v>
      </c>
      <c r="J417" s="135">
        <v>0.0</v>
      </c>
      <c r="K417" s="135">
        <v>0.0</v>
      </c>
      <c r="L417" s="137">
        <v>0.0</v>
      </c>
      <c r="M417" s="137">
        <v>0.0</v>
      </c>
      <c r="N417" s="137">
        <v>0.0</v>
      </c>
      <c r="O417" s="137">
        <v>0.0</v>
      </c>
      <c r="P417" s="137">
        <v>1.0</v>
      </c>
      <c r="Q417" s="137">
        <v>0.0</v>
      </c>
      <c r="R417" s="137">
        <v>4.0</v>
      </c>
      <c r="S417" s="137">
        <v>0.0</v>
      </c>
      <c r="T417" s="137">
        <v>5.0</v>
      </c>
      <c r="U417" s="137">
        <v>1.0</v>
      </c>
      <c r="V417" s="137">
        <v>12.0</v>
      </c>
      <c r="W417" s="137">
        <v>3.0</v>
      </c>
      <c r="X417" s="137">
        <v>16.0</v>
      </c>
      <c r="Y417" s="137">
        <v>17.0</v>
      </c>
      <c r="Z417" s="137">
        <v>20.0</v>
      </c>
      <c r="AA417" s="137">
        <v>27.0</v>
      </c>
      <c r="AB417" s="137">
        <v>15.0</v>
      </c>
      <c r="AC417" s="137">
        <v>29.0</v>
      </c>
      <c r="AD417" s="137">
        <v>35.0</v>
      </c>
      <c r="AE417" s="137">
        <v>21.0</v>
      </c>
      <c r="AF417" s="137">
        <v>34.0</v>
      </c>
      <c r="AG417" s="137">
        <v>17.0</v>
      </c>
      <c r="AH417" s="137">
        <v>34.0</v>
      </c>
      <c r="AI417" s="137">
        <v>30.0</v>
      </c>
      <c r="AJ417" s="137">
        <v>7.0</v>
      </c>
      <c r="AK417" s="137">
        <v>12.0</v>
      </c>
      <c r="AL417" s="137">
        <v>3.0</v>
      </c>
      <c r="AM417" s="137">
        <v>6.0</v>
      </c>
      <c r="AN417" s="137">
        <v>349.0</v>
      </c>
    </row>
    <row r="418">
      <c r="A418" s="132" t="s">
        <v>202</v>
      </c>
      <c r="B418" s="136" t="s">
        <v>198</v>
      </c>
      <c r="C418" s="137">
        <v>326.0</v>
      </c>
      <c r="D418" s="137">
        <v>190.0</v>
      </c>
      <c r="E418" s="137">
        <v>136.0</v>
      </c>
      <c r="F418" s="137">
        <v>9.0</v>
      </c>
      <c r="G418" s="137">
        <v>0.0</v>
      </c>
      <c r="H418" s="137">
        <v>4.0</v>
      </c>
      <c r="I418" s="137">
        <v>10.0</v>
      </c>
      <c r="J418" s="137">
        <v>3.0</v>
      </c>
      <c r="K418" s="137">
        <v>2.0</v>
      </c>
      <c r="L418" s="137">
        <v>17.0</v>
      </c>
      <c r="M418" s="137">
        <v>7.0</v>
      </c>
      <c r="N418" s="137">
        <v>12.0</v>
      </c>
      <c r="O418" s="137">
        <v>4.0</v>
      </c>
      <c r="P418" s="137">
        <v>17.0</v>
      </c>
      <c r="Q418" s="137">
        <v>7.0</v>
      </c>
      <c r="R418" s="137">
        <v>12.0</v>
      </c>
      <c r="S418" s="137">
        <v>11.0</v>
      </c>
      <c r="T418" s="137">
        <v>9.0</v>
      </c>
      <c r="U418" s="137">
        <v>19.0</v>
      </c>
      <c r="V418" s="137">
        <v>13.0</v>
      </c>
      <c r="W418" s="137">
        <v>3.0</v>
      </c>
      <c r="X418" s="137">
        <v>14.0</v>
      </c>
      <c r="Y418" s="137">
        <v>11.0</v>
      </c>
      <c r="Z418" s="137">
        <v>10.0</v>
      </c>
      <c r="AA418" s="137">
        <v>8.0</v>
      </c>
      <c r="AB418" s="137">
        <v>3.0</v>
      </c>
      <c r="AC418" s="137">
        <v>17.0</v>
      </c>
      <c r="AD418" s="137">
        <v>26.0</v>
      </c>
      <c r="AE418" s="137">
        <v>12.0</v>
      </c>
      <c r="AF418" s="137">
        <v>11.0</v>
      </c>
      <c r="AG418" s="137">
        <v>20.0</v>
      </c>
      <c r="AH418" s="137">
        <v>5.0</v>
      </c>
      <c r="AI418" s="137">
        <v>2.0</v>
      </c>
      <c r="AJ418" s="137">
        <v>17.0</v>
      </c>
      <c r="AK418" s="137">
        <v>1.0</v>
      </c>
      <c r="AL418" s="137">
        <v>8.0</v>
      </c>
      <c r="AM418" s="137">
        <v>2.0</v>
      </c>
      <c r="AN418" s="137">
        <v>325.0</v>
      </c>
    </row>
    <row r="419">
      <c r="A419" s="104"/>
      <c r="B419" s="136" t="s">
        <v>199</v>
      </c>
      <c r="C419" s="137">
        <v>57.0</v>
      </c>
      <c r="D419" s="137">
        <v>45.0</v>
      </c>
      <c r="E419" s="137">
        <v>12.0</v>
      </c>
      <c r="F419" s="137">
        <v>2.0</v>
      </c>
      <c r="G419" s="137">
        <v>0.0</v>
      </c>
      <c r="H419" s="137">
        <v>2.0</v>
      </c>
      <c r="I419" s="137">
        <v>0.0</v>
      </c>
      <c r="J419" s="137">
        <v>1.0</v>
      </c>
      <c r="K419" s="137">
        <v>0.0</v>
      </c>
      <c r="L419" s="137">
        <v>5.0</v>
      </c>
      <c r="M419" s="137">
        <v>0.0</v>
      </c>
      <c r="N419" s="137">
        <v>1.0</v>
      </c>
      <c r="O419" s="137">
        <v>0.0</v>
      </c>
      <c r="P419" s="137">
        <v>1.0</v>
      </c>
      <c r="Q419" s="137">
        <v>2.0</v>
      </c>
      <c r="R419" s="137">
        <v>0.0</v>
      </c>
      <c r="S419" s="137">
        <v>0.0</v>
      </c>
      <c r="T419" s="137">
        <v>5.0</v>
      </c>
      <c r="U419" s="137">
        <v>2.0</v>
      </c>
      <c r="V419" s="137">
        <v>1.0</v>
      </c>
      <c r="W419" s="137">
        <v>1.0</v>
      </c>
      <c r="X419" s="137">
        <v>6.0</v>
      </c>
      <c r="Y419" s="137">
        <v>3.0</v>
      </c>
      <c r="Z419" s="137">
        <v>1.0</v>
      </c>
      <c r="AA419" s="137">
        <v>1.0</v>
      </c>
      <c r="AB419" s="137">
        <v>0.0</v>
      </c>
      <c r="AC419" s="137">
        <v>1.0</v>
      </c>
      <c r="AD419" s="137">
        <v>8.0</v>
      </c>
      <c r="AE419" s="137">
        <v>1.0</v>
      </c>
      <c r="AF419" s="137">
        <v>7.0</v>
      </c>
      <c r="AG419" s="137">
        <v>1.0</v>
      </c>
      <c r="AH419" s="137">
        <v>2.0</v>
      </c>
      <c r="AI419" s="137">
        <v>0.0</v>
      </c>
      <c r="AJ419" s="137">
        <v>2.0</v>
      </c>
      <c r="AK419" s="137">
        <v>0.0</v>
      </c>
      <c r="AL419" s="137">
        <v>1.0</v>
      </c>
      <c r="AM419" s="137">
        <v>0.0</v>
      </c>
      <c r="AN419" s="137">
        <v>57.0</v>
      </c>
    </row>
    <row r="420">
      <c r="A420" s="132" t="s">
        <v>203</v>
      </c>
      <c r="B420" s="136" t="s">
        <v>198</v>
      </c>
      <c r="C420" s="137">
        <v>0.0</v>
      </c>
      <c r="D420" s="137">
        <v>0.0</v>
      </c>
      <c r="E420" s="137">
        <v>0.0</v>
      </c>
      <c r="F420" s="135">
        <v>0.0</v>
      </c>
      <c r="G420" s="135">
        <v>0.0</v>
      </c>
      <c r="H420" s="135">
        <v>0.0</v>
      </c>
      <c r="I420" s="135">
        <v>0.0</v>
      </c>
      <c r="J420" s="135">
        <v>0.0</v>
      </c>
      <c r="K420" s="135">
        <v>0.0</v>
      </c>
      <c r="L420" s="135">
        <v>0.0</v>
      </c>
      <c r="M420" s="135">
        <v>0.0</v>
      </c>
      <c r="N420" s="135">
        <v>0.0</v>
      </c>
      <c r="O420" s="135">
        <v>0.0</v>
      </c>
      <c r="P420" s="135">
        <v>0.0</v>
      </c>
      <c r="Q420" s="135">
        <v>0.0</v>
      </c>
      <c r="R420" s="135">
        <v>0.0</v>
      </c>
      <c r="S420" s="135">
        <v>0.0</v>
      </c>
      <c r="T420" s="135">
        <v>0.0</v>
      </c>
      <c r="U420" s="135">
        <v>0.0</v>
      </c>
      <c r="V420" s="135">
        <v>0.0</v>
      </c>
      <c r="W420" s="135">
        <v>0.0</v>
      </c>
      <c r="X420" s="135">
        <v>0.0</v>
      </c>
      <c r="Y420" s="135">
        <v>0.0</v>
      </c>
      <c r="Z420" s="135">
        <v>0.0</v>
      </c>
      <c r="AA420" s="135">
        <v>0.0</v>
      </c>
      <c r="AB420" s="135">
        <v>0.0</v>
      </c>
      <c r="AC420" s="135">
        <v>0.0</v>
      </c>
      <c r="AD420" s="135">
        <v>0.0</v>
      </c>
      <c r="AE420" s="135">
        <v>0.0</v>
      </c>
      <c r="AF420" s="137">
        <v>0.0</v>
      </c>
      <c r="AG420" s="137">
        <v>0.0</v>
      </c>
      <c r="AH420" s="137">
        <v>0.0</v>
      </c>
      <c r="AI420" s="137">
        <v>0.0</v>
      </c>
      <c r="AJ420" s="137">
        <v>0.0</v>
      </c>
      <c r="AK420" s="137">
        <v>0.0</v>
      </c>
      <c r="AL420" s="137">
        <v>0.0</v>
      </c>
      <c r="AM420" s="137">
        <v>0.0</v>
      </c>
      <c r="AN420" s="137">
        <v>0.0</v>
      </c>
    </row>
    <row r="421">
      <c r="A421" s="104"/>
      <c r="B421" s="136" t="s">
        <v>199</v>
      </c>
      <c r="C421" s="137">
        <v>452.0</v>
      </c>
      <c r="D421" s="137">
        <v>194.0</v>
      </c>
      <c r="E421" s="137">
        <v>258.0</v>
      </c>
      <c r="F421" s="135">
        <v>0.0</v>
      </c>
      <c r="G421" s="135">
        <v>0.0</v>
      </c>
      <c r="H421" s="135">
        <v>0.0</v>
      </c>
      <c r="I421" s="135">
        <v>0.0</v>
      </c>
      <c r="J421" s="135">
        <v>0.0</v>
      </c>
      <c r="K421" s="135">
        <v>0.0</v>
      </c>
      <c r="L421" s="135">
        <v>0.0</v>
      </c>
      <c r="M421" s="135">
        <v>0.0</v>
      </c>
      <c r="N421" s="135">
        <v>0.0</v>
      </c>
      <c r="O421" s="135">
        <v>0.0</v>
      </c>
      <c r="P421" s="135">
        <v>0.0</v>
      </c>
      <c r="Q421" s="135">
        <v>0.0</v>
      </c>
      <c r="R421" s="135">
        <v>0.0</v>
      </c>
      <c r="S421" s="135">
        <v>0.0</v>
      </c>
      <c r="T421" s="135">
        <v>0.0</v>
      </c>
      <c r="U421" s="135">
        <v>0.0</v>
      </c>
      <c r="V421" s="135">
        <v>0.0</v>
      </c>
      <c r="W421" s="135">
        <v>0.0</v>
      </c>
      <c r="X421" s="135">
        <v>0.0</v>
      </c>
      <c r="Y421" s="135">
        <v>0.0</v>
      </c>
      <c r="Z421" s="135">
        <v>0.0</v>
      </c>
      <c r="AA421" s="135">
        <v>0.0</v>
      </c>
      <c r="AB421" s="135">
        <v>0.0</v>
      </c>
      <c r="AC421" s="135">
        <v>0.0</v>
      </c>
      <c r="AD421" s="135">
        <v>0.0</v>
      </c>
      <c r="AE421" s="135">
        <v>0.0</v>
      </c>
      <c r="AF421" s="137">
        <v>56.0</v>
      </c>
      <c r="AG421" s="137">
        <v>80.0</v>
      </c>
      <c r="AH421" s="137">
        <v>71.0</v>
      </c>
      <c r="AI421" s="137">
        <v>66.0</v>
      </c>
      <c r="AJ421" s="137">
        <v>33.0</v>
      </c>
      <c r="AK421" s="137">
        <v>57.0</v>
      </c>
      <c r="AL421" s="137">
        <v>34.0</v>
      </c>
      <c r="AM421" s="137">
        <v>55.0</v>
      </c>
      <c r="AN421" s="137">
        <v>451.0</v>
      </c>
    </row>
    <row r="422">
      <c r="A422" s="132" t="s">
        <v>204</v>
      </c>
      <c r="B422" s="136" t="s">
        <v>198</v>
      </c>
      <c r="C422" s="137">
        <v>1.0</v>
      </c>
      <c r="D422" s="137">
        <v>0.0</v>
      </c>
      <c r="E422" s="137">
        <v>1.0</v>
      </c>
      <c r="F422" s="135">
        <v>0.0</v>
      </c>
      <c r="G422" s="135">
        <v>0.0</v>
      </c>
      <c r="H422" s="135">
        <v>0.0</v>
      </c>
      <c r="I422" s="135">
        <v>0.0</v>
      </c>
      <c r="J422" s="135">
        <v>0.0</v>
      </c>
      <c r="K422" s="135">
        <v>0.0</v>
      </c>
      <c r="L422" s="135">
        <v>0.0</v>
      </c>
      <c r="M422" s="135">
        <v>0.0</v>
      </c>
      <c r="N422" s="135">
        <v>0.0</v>
      </c>
      <c r="O422" s="135">
        <v>0.0</v>
      </c>
      <c r="P422" s="135">
        <v>0.0</v>
      </c>
      <c r="Q422" s="135">
        <v>0.0</v>
      </c>
      <c r="R422" s="135">
        <v>0.0</v>
      </c>
      <c r="S422" s="135">
        <v>0.0</v>
      </c>
      <c r="T422" s="135">
        <v>0.0</v>
      </c>
      <c r="U422" s="135">
        <v>0.0</v>
      </c>
      <c r="V422" s="135">
        <v>0.0</v>
      </c>
      <c r="W422" s="135">
        <v>0.0</v>
      </c>
      <c r="X422" s="135">
        <v>0.0</v>
      </c>
      <c r="Y422" s="135">
        <v>0.0</v>
      </c>
      <c r="Z422" s="135">
        <v>0.0</v>
      </c>
      <c r="AA422" s="135">
        <v>0.0</v>
      </c>
      <c r="AB422" s="135">
        <v>0.0</v>
      </c>
      <c r="AC422" s="135">
        <v>0.0</v>
      </c>
      <c r="AD422" s="135">
        <v>0.0</v>
      </c>
      <c r="AE422" s="135">
        <v>0.0</v>
      </c>
      <c r="AF422" s="137">
        <v>0.0</v>
      </c>
      <c r="AG422" s="137">
        <v>0.0</v>
      </c>
      <c r="AH422" s="137">
        <v>0.0</v>
      </c>
      <c r="AI422" s="137">
        <v>0.0</v>
      </c>
      <c r="AJ422" s="137">
        <v>0.0</v>
      </c>
      <c r="AK422" s="137">
        <v>0.0</v>
      </c>
      <c r="AL422" s="137">
        <v>0.0</v>
      </c>
      <c r="AM422" s="137">
        <v>1.0</v>
      </c>
      <c r="AN422" s="137">
        <v>1.0</v>
      </c>
    </row>
    <row r="423">
      <c r="A423" s="104"/>
      <c r="B423" s="136" t="s">
        <v>199</v>
      </c>
      <c r="C423" s="137">
        <v>460.0</v>
      </c>
      <c r="D423" s="137">
        <v>199.0</v>
      </c>
      <c r="E423" s="137">
        <v>261.0</v>
      </c>
      <c r="F423" s="135">
        <v>0.0</v>
      </c>
      <c r="G423" s="135">
        <v>0.0</v>
      </c>
      <c r="H423" s="135">
        <v>0.0</v>
      </c>
      <c r="I423" s="135">
        <v>0.0</v>
      </c>
      <c r="J423" s="135">
        <v>0.0</v>
      </c>
      <c r="K423" s="135">
        <v>0.0</v>
      </c>
      <c r="L423" s="135">
        <v>0.0</v>
      </c>
      <c r="M423" s="135">
        <v>0.0</v>
      </c>
      <c r="N423" s="135">
        <v>0.0</v>
      </c>
      <c r="O423" s="135">
        <v>0.0</v>
      </c>
      <c r="P423" s="135">
        <v>0.0</v>
      </c>
      <c r="Q423" s="135">
        <v>0.0</v>
      </c>
      <c r="R423" s="135">
        <v>0.0</v>
      </c>
      <c r="S423" s="135">
        <v>0.0</v>
      </c>
      <c r="T423" s="135">
        <v>0.0</v>
      </c>
      <c r="U423" s="135">
        <v>0.0</v>
      </c>
      <c r="V423" s="135">
        <v>0.0</v>
      </c>
      <c r="W423" s="135">
        <v>0.0</v>
      </c>
      <c r="X423" s="135">
        <v>0.0</v>
      </c>
      <c r="Y423" s="135">
        <v>0.0</v>
      </c>
      <c r="Z423" s="135">
        <v>0.0</v>
      </c>
      <c r="AA423" s="135">
        <v>0.0</v>
      </c>
      <c r="AB423" s="135">
        <v>0.0</v>
      </c>
      <c r="AC423" s="135">
        <v>0.0</v>
      </c>
      <c r="AD423" s="135">
        <v>0.0</v>
      </c>
      <c r="AE423" s="135">
        <v>0.0</v>
      </c>
      <c r="AF423" s="137">
        <v>28.0</v>
      </c>
      <c r="AG423" s="137">
        <v>38.0</v>
      </c>
      <c r="AH423" s="137">
        <v>40.0</v>
      </c>
      <c r="AI423" s="137">
        <v>44.0</v>
      </c>
      <c r="AJ423" s="137">
        <v>52.0</v>
      </c>
      <c r="AK423" s="137">
        <v>55.0</v>
      </c>
      <c r="AL423" s="137">
        <v>79.0</v>
      </c>
      <c r="AM423" s="137">
        <v>124.0</v>
      </c>
      <c r="AN423" s="137">
        <v>460.0</v>
      </c>
    </row>
    <row r="424">
      <c r="A424" s="132" t="s">
        <v>205</v>
      </c>
      <c r="B424" s="136" t="s">
        <v>198</v>
      </c>
      <c r="C424" s="137">
        <v>3.0</v>
      </c>
      <c r="D424" s="137">
        <v>1.0</v>
      </c>
      <c r="E424" s="137">
        <v>2.0</v>
      </c>
      <c r="F424" s="137">
        <v>0.0</v>
      </c>
      <c r="G424" s="137">
        <v>0.0</v>
      </c>
      <c r="H424" s="137">
        <v>0.0</v>
      </c>
      <c r="I424" s="137">
        <v>0.0</v>
      </c>
      <c r="J424" s="137">
        <v>0.0</v>
      </c>
      <c r="K424" s="137">
        <v>0.0</v>
      </c>
      <c r="L424" s="137">
        <v>0.0</v>
      </c>
      <c r="M424" s="137">
        <v>0.0</v>
      </c>
      <c r="N424" s="137">
        <v>0.0</v>
      </c>
      <c r="O424" s="137">
        <v>0.0</v>
      </c>
      <c r="P424" s="137">
        <v>0.0</v>
      </c>
      <c r="Q424" s="137">
        <v>0.0</v>
      </c>
      <c r="R424" s="137">
        <v>0.0</v>
      </c>
      <c r="S424" s="137">
        <v>0.0</v>
      </c>
      <c r="T424" s="137">
        <v>0.0</v>
      </c>
      <c r="U424" s="137">
        <v>1.0</v>
      </c>
      <c r="V424" s="137">
        <v>1.0</v>
      </c>
      <c r="W424" s="137">
        <v>0.0</v>
      </c>
      <c r="X424" s="137">
        <v>0.0</v>
      </c>
      <c r="Y424" s="137">
        <v>0.0</v>
      </c>
      <c r="Z424" s="137">
        <v>0.0</v>
      </c>
      <c r="AA424" s="137">
        <v>0.0</v>
      </c>
      <c r="AB424" s="137">
        <v>0.0</v>
      </c>
      <c r="AC424" s="137">
        <v>1.0</v>
      </c>
      <c r="AD424" s="137">
        <v>0.0</v>
      </c>
      <c r="AE424" s="137">
        <v>0.0</v>
      </c>
      <c r="AF424" s="137">
        <v>0.0</v>
      </c>
      <c r="AG424" s="137">
        <v>0.0</v>
      </c>
      <c r="AH424" s="137">
        <v>0.0</v>
      </c>
      <c r="AI424" s="137">
        <v>0.0</v>
      </c>
      <c r="AJ424" s="137">
        <v>0.0</v>
      </c>
      <c r="AK424" s="137">
        <v>0.0</v>
      </c>
      <c r="AL424" s="137">
        <v>0.0</v>
      </c>
      <c r="AM424" s="137">
        <v>0.0</v>
      </c>
      <c r="AN424" s="137">
        <v>3.0</v>
      </c>
    </row>
    <row r="425">
      <c r="A425" s="98"/>
      <c r="B425" s="136" t="s">
        <v>199</v>
      </c>
      <c r="C425" s="137">
        <v>1.0</v>
      </c>
      <c r="D425" s="137">
        <v>1.0</v>
      </c>
      <c r="E425" s="137">
        <v>0.0</v>
      </c>
      <c r="F425" s="137">
        <v>0.0</v>
      </c>
      <c r="G425" s="137">
        <v>0.0</v>
      </c>
      <c r="H425" s="137">
        <v>0.0</v>
      </c>
      <c r="I425" s="137">
        <v>0.0</v>
      </c>
      <c r="J425" s="137">
        <v>0.0</v>
      </c>
      <c r="K425" s="137">
        <v>0.0</v>
      </c>
      <c r="L425" s="137">
        <v>1.0</v>
      </c>
      <c r="M425" s="137">
        <v>0.0</v>
      </c>
      <c r="N425" s="137">
        <v>0.0</v>
      </c>
      <c r="O425" s="137">
        <v>0.0</v>
      </c>
      <c r="P425" s="137">
        <v>0.0</v>
      </c>
      <c r="Q425" s="137">
        <v>0.0</v>
      </c>
      <c r="R425" s="137">
        <v>0.0</v>
      </c>
      <c r="S425" s="137">
        <v>0.0</v>
      </c>
      <c r="T425" s="137">
        <v>0.0</v>
      </c>
      <c r="U425" s="137">
        <v>0.0</v>
      </c>
      <c r="V425" s="137">
        <v>0.0</v>
      </c>
      <c r="W425" s="137">
        <v>0.0</v>
      </c>
      <c r="X425" s="137">
        <v>0.0</v>
      </c>
      <c r="Y425" s="137">
        <v>0.0</v>
      </c>
      <c r="Z425" s="137">
        <v>0.0</v>
      </c>
      <c r="AA425" s="137">
        <v>0.0</v>
      </c>
      <c r="AB425" s="137">
        <v>0.0</v>
      </c>
      <c r="AC425" s="137">
        <v>0.0</v>
      </c>
      <c r="AD425" s="137">
        <v>0.0</v>
      </c>
      <c r="AE425" s="137">
        <v>0.0</v>
      </c>
      <c r="AF425" s="137">
        <v>0.0</v>
      </c>
      <c r="AG425" s="137">
        <v>0.0</v>
      </c>
      <c r="AH425" s="137">
        <v>0.0</v>
      </c>
      <c r="AI425" s="137">
        <v>0.0</v>
      </c>
      <c r="AJ425" s="137">
        <v>0.0</v>
      </c>
      <c r="AK425" s="137">
        <v>0.0</v>
      </c>
      <c r="AL425" s="137">
        <v>0.0</v>
      </c>
      <c r="AM425" s="137">
        <v>0.0</v>
      </c>
      <c r="AN425" s="137">
        <v>1.0</v>
      </c>
    </row>
    <row r="426">
      <c r="A426" s="104"/>
      <c r="B426" s="136" t="s">
        <v>206</v>
      </c>
      <c r="C426" s="137">
        <v>6.0</v>
      </c>
      <c r="D426" s="137">
        <v>3.0</v>
      </c>
      <c r="E426" s="137">
        <v>3.0</v>
      </c>
      <c r="F426" s="137">
        <v>0.0</v>
      </c>
      <c r="G426" s="137">
        <v>0.0</v>
      </c>
      <c r="H426" s="137">
        <v>0.0</v>
      </c>
      <c r="I426" s="137">
        <v>0.0</v>
      </c>
      <c r="J426" s="137">
        <v>0.0</v>
      </c>
      <c r="K426" s="137">
        <v>0.0</v>
      </c>
      <c r="L426" s="137">
        <v>0.0</v>
      </c>
      <c r="M426" s="137">
        <v>0.0</v>
      </c>
      <c r="N426" s="137">
        <v>1.0</v>
      </c>
      <c r="O426" s="137">
        <v>1.0</v>
      </c>
      <c r="P426" s="137">
        <v>1.0</v>
      </c>
      <c r="Q426" s="137">
        <v>0.0</v>
      </c>
      <c r="R426" s="137">
        <v>0.0</v>
      </c>
      <c r="S426" s="137">
        <v>0.0</v>
      </c>
      <c r="T426" s="137">
        <v>0.0</v>
      </c>
      <c r="U426" s="137">
        <v>2.0</v>
      </c>
      <c r="V426" s="137">
        <v>0.0</v>
      </c>
      <c r="W426" s="137">
        <v>0.0</v>
      </c>
      <c r="X426" s="137">
        <v>0.0</v>
      </c>
      <c r="Y426" s="137">
        <v>0.0</v>
      </c>
      <c r="Z426" s="137">
        <v>0.0</v>
      </c>
      <c r="AA426" s="137">
        <v>0.0</v>
      </c>
      <c r="AB426" s="137">
        <v>1.0</v>
      </c>
      <c r="AC426" s="137">
        <v>0.0</v>
      </c>
      <c r="AD426" s="137">
        <v>0.0</v>
      </c>
      <c r="AE426" s="137">
        <v>0.0</v>
      </c>
      <c r="AF426" s="137">
        <v>0.0</v>
      </c>
      <c r="AG426" s="137">
        <v>0.0</v>
      </c>
      <c r="AH426" s="137">
        <v>0.0</v>
      </c>
      <c r="AI426" s="137">
        <v>0.0</v>
      </c>
      <c r="AJ426" s="137">
        <v>0.0</v>
      </c>
      <c r="AK426" s="137">
        <v>0.0</v>
      </c>
      <c r="AL426" s="137">
        <v>0.0</v>
      </c>
      <c r="AM426" s="137">
        <v>0.0</v>
      </c>
      <c r="AN426" s="137">
        <v>6.0</v>
      </c>
    </row>
    <row r="427">
      <c r="A427" s="132" t="s">
        <v>207</v>
      </c>
      <c r="B427" s="136" t="s">
        <v>198</v>
      </c>
      <c r="C427" s="134">
        <v>30148.0</v>
      </c>
      <c r="D427" s="134">
        <v>8214.0</v>
      </c>
      <c r="E427" s="134">
        <v>21934.0</v>
      </c>
      <c r="F427" s="137">
        <v>113.0</v>
      </c>
      <c r="G427" s="137">
        <v>122.0</v>
      </c>
      <c r="H427" s="137">
        <v>151.0</v>
      </c>
      <c r="I427" s="137">
        <v>121.0</v>
      </c>
      <c r="J427" s="137">
        <v>152.0</v>
      </c>
      <c r="K427" s="137">
        <v>170.0</v>
      </c>
      <c r="L427" s="137">
        <v>155.0</v>
      </c>
      <c r="M427" s="137">
        <v>312.0</v>
      </c>
      <c r="N427" s="137">
        <v>134.0</v>
      </c>
      <c r="O427" s="137">
        <v>366.0</v>
      </c>
      <c r="P427" s="137">
        <v>133.0</v>
      </c>
      <c r="Q427" s="137">
        <v>559.0</v>
      </c>
      <c r="R427" s="137">
        <v>171.0</v>
      </c>
      <c r="S427" s="137">
        <v>600.0</v>
      </c>
      <c r="T427" s="137">
        <v>178.0</v>
      </c>
      <c r="U427" s="137">
        <v>787.0</v>
      </c>
      <c r="V427" s="137">
        <v>275.0</v>
      </c>
      <c r="W427" s="134">
        <v>1136.0</v>
      </c>
      <c r="X427" s="137">
        <v>452.0</v>
      </c>
      <c r="Y427" s="134">
        <v>1620.0</v>
      </c>
      <c r="Z427" s="137">
        <v>582.0</v>
      </c>
      <c r="AA427" s="134">
        <v>2203.0</v>
      </c>
      <c r="AB427" s="137">
        <v>808.0</v>
      </c>
      <c r="AC427" s="134">
        <v>2735.0</v>
      </c>
      <c r="AD427" s="137">
        <v>969.0</v>
      </c>
      <c r="AE427" s="134">
        <v>2861.0</v>
      </c>
      <c r="AF427" s="134">
        <v>1003.0</v>
      </c>
      <c r="AG427" s="134">
        <v>2436.0</v>
      </c>
      <c r="AH427" s="134">
        <v>1087.0</v>
      </c>
      <c r="AI427" s="134">
        <v>2217.0</v>
      </c>
      <c r="AJ427" s="137">
        <v>828.0</v>
      </c>
      <c r="AK427" s="134">
        <v>1786.0</v>
      </c>
      <c r="AL427" s="134">
        <v>1023.0</v>
      </c>
      <c r="AM427" s="134">
        <v>1903.0</v>
      </c>
      <c r="AN427" s="134">
        <v>30020.0</v>
      </c>
    </row>
    <row r="428">
      <c r="A428" s="98"/>
      <c r="B428" s="136" t="s">
        <v>199</v>
      </c>
      <c r="C428" s="134">
        <v>4625.0</v>
      </c>
      <c r="D428" s="134">
        <v>1305.0</v>
      </c>
      <c r="E428" s="134">
        <v>3320.0</v>
      </c>
      <c r="F428" s="137">
        <v>3.0</v>
      </c>
      <c r="G428" s="137">
        <v>11.0</v>
      </c>
      <c r="H428" s="137">
        <v>12.0</v>
      </c>
      <c r="I428" s="137">
        <v>10.0</v>
      </c>
      <c r="J428" s="137">
        <v>8.0</v>
      </c>
      <c r="K428" s="137">
        <v>12.0</v>
      </c>
      <c r="L428" s="137">
        <v>18.0</v>
      </c>
      <c r="M428" s="137">
        <v>27.0</v>
      </c>
      <c r="N428" s="137">
        <v>15.0</v>
      </c>
      <c r="O428" s="137">
        <v>27.0</v>
      </c>
      <c r="P428" s="137">
        <v>16.0</v>
      </c>
      <c r="Q428" s="137">
        <v>52.0</v>
      </c>
      <c r="R428" s="137">
        <v>15.0</v>
      </c>
      <c r="S428" s="137">
        <v>55.0</v>
      </c>
      <c r="T428" s="137">
        <v>21.0</v>
      </c>
      <c r="U428" s="137">
        <v>77.0</v>
      </c>
      <c r="V428" s="137">
        <v>35.0</v>
      </c>
      <c r="W428" s="137">
        <v>134.0</v>
      </c>
      <c r="X428" s="137">
        <v>60.0</v>
      </c>
      <c r="Y428" s="137">
        <v>202.0</v>
      </c>
      <c r="Z428" s="137">
        <v>64.0</v>
      </c>
      <c r="AA428" s="137">
        <v>328.0</v>
      </c>
      <c r="AB428" s="137">
        <v>126.0</v>
      </c>
      <c r="AC428" s="137">
        <v>356.0</v>
      </c>
      <c r="AD428" s="137">
        <v>160.0</v>
      </c>
      <c r="AE428" s="137">
        <v>425.0</v>
      </c>
      <c r="AF428" s="137">
        <v>176.0</v>
      </c>
      <c r="AG428" s="137">
        <v>426.0</v>
      </c>
      <c r="AH428" s="137">
        <v>189.0</v>
      </c>
      <c r="AI428" s="137">
        <v>444.0</v>
      </c>
      <c r="AJ428" s="137">
        <v>178.0</v>
      </c>
      <c r="AK428" s="137">
        <v>354.0</v>
      </c>
      <c r="AL428" s="137">
        <v>209.0</v>
      </c>
      <c r="AM428" s="137">
        <v>380.0</v>
      </c>
      <c r="AN428" s="134">
        <v>4602.0</v>
      </c>
    </row>
    <row r="429">
      <c r="A429" s="98"/>
      <c r="B429" s="136" t="s">
        <v>206</v>
      </c>
      <c r="C429" s="137">
        <v>916.0</v>
      </c>
      <c r="D429" s="137">
        <v>32.0</v>
      </c>
      <c r="E429" s="137">
        <v>884.0</v>
      </c>
      <c r="F429" s="137">
        <v>1.0</v>
      </c>
      <c r="G429" s="137">
        <v>1.0</v>
      </c>
      <c r="H429" s="137">
        <v>0.0</v>
      </c>
      <c r="I429" s="137">
        <v>5.0</v>
      </c>
      <c r="J429" s="137">
        <v>4.0</v>
      </c>
      <c r="K429" s="137">
        <v>8.0</v>
      </c>
      <c r="L429" s="137">
        <v>1.0</v>
      </c>
      <c r="M429" s="137">
        <v>44.0</v>
      </c>
      <c r="N429" s="137">
        <v>0.0</v>
      </c>
      <c r="O429" s="137">
        <v>96.0</v>
      </c>
      <c r="P429" s="137">
        <v>1.0</v>
      </c>
      <c r="Q429" s="137">
        <v>112.0</v>
      </c>
      <c r="R429" s="137">
        <v>0.0</v>
      </c>
      <c r="S429" s="137">
        <v>93.0</v>
      </c>
      <c r="T429" s="137">
        <v>1.0</v>
      </c>
      <c r="U429" s="137">
        <v>115.0</v>
      </c>
      <c r="V429" s="137">
        <v>2.0</v>
      </c>
      <c r="W429" s="137">
        <v>103.0</v>
      </c>
      <c r="X429" s="137">
        <v>3.0</v>
      </c>
      <c r="Y429" s="137">
        <v>122.0</v>
      </c>
      <c r="Z429" s="137">
        <v>2.0</v>
      </c>
      <c r="AA429" s="137">
        <v>72.0</v>
      </c>
      <c r="AB429" s="137">
        <v>4.0</v>
      </c>
      <c r="AC429" s="137">
        <v>46.0</v>
      </c>
      <c r="AD429" s="137">
        <v>5.0</v>
      </c>
      <c r="AE429" s="137">
        <v>34.0</v>
      </c>
      <c r="AF429" s="137">
        <v>4.0</v>
      </c>
      <c r="AG429" s="137">
        <v>16.0</v>
      </c>
      <c r="AH429" s="137">
        <v>4.0</v>
      </c>
      <c r="AI429" s="137">
        <v>11.0</v>
      </c>
      <c r="AJ429" s="137">
        <v>0.0</v>
      </c>
      <c r="AK429" s="137">
        <v>5.0</v>
      </c>
      <c r="AL429" s="137">
        <v>0.0</v>
      </c>
      <c r="AM429" s="137">
        <v>1.0</v>
      </c>
      <c r="AN429" s="137">
        <v>916.0</v>
      </c>
    </row>
    <row r="430">
      <c r="A430" s="98"/>
      <c r="B430" s="136" t="s">
        <v>200</v>
      </c>
      <c r="C430" s="134">
        <v>6422.0</v>
      </c>
      <c r="D430" s="134">
        <v>1798.0</v>
      </c>
      <c r="E430" s="134">
        <v>4624.0</v>
      </c>
      <c r="F430" s="137">
        <v>424.0</v>
      </c>
      <c r="G430" s="137">
        <v>450.0</v>
      </c>
      <c r="H430" s="137">
        <v>111.0</v>
      </c>
      <c r="I430" s="137">
        <v>126.0</v>
      </c>
      <c r="J430" s="137">
        <v>54.0</v>
      </c>
      <c r="K430" s="137">
        <v>91.0</v>
      </c>
      <c r="L430" s="137">
        <v>41.0</v>
      </c>
      <c r="M430" s="137">
        <v>151.0</v>
      </c>
      <c r="N430" s="137">
        <v>38.0</v>
      </c>
      <c r="O430" s="137">
        <v>181.0</v>
      </c>
      <c r="P430" s="137">
        <v>40.0</v>
      </c>
      <c r="Q430" s="137">
        <v>220.0</v>
      </c>
      <c r="R430" s="137">
        <v>37.0</v>
      </c>
      <c r="S430" s="137">
        <v>235.0</v>
      </c>
      <c r="T430" s="137">
        <v>51.0</v>
      </c>
      <c r="U430" s="137">
        <v>242.0</v>
      </c>
      <c r="V430" s="137">
        <v>42.0</v>
      </c>
      <c r="W430" s="137">
        <v>277.0</v>
      </c>
      <c r="X430" s="137">
        <v>81.0</v>
      </c>
      <c r="Y430" s="137">
        <v>366.0</v>
      </c>
      <c r="Z430" s="137">
        <v>110.0</v>
      </c>
      <c r="AA430" s="137">
        <v>416.0</v>
      </c>
      <c r="AB430" s="137">
        <v>118.0</v>
      </c>
      <c r="AC430" s="137">
        <v>413.0</v>
      </c>
      <c r="AD430" s="137">
        <v>117.0</v>
      </c>
      <c r="AE430" s="137">
        <v>390.0</v>
      </c>
      <c r="AF430" s="137">
        <v>149.0</v>
      </c>
      <c r="AG430" s="137">
        <v>330.0</v>
      </c>
      <c r="AH430" s="137">
        <v>163.0</v>
      </c>
      <c r="AI430" s="137">
        <v>276.0</v>
      </c>
      <c r="AJ430" s="137">
        <v>118.0</v>
      </c>
      <c r="AK430" s="137">
        <v>227.0</v>
      </c>
      <c r="AL430" s="137">
        <v>104.0</v>
      </c>
      <c r="AM430" s="137">
        <v>233.0</v>
      </c>
      <c r="AN430" s="134">
        <v>6393.0</v>
      </c>
    </row>
    <row r="431">
      <c r="A431" s="104"/>
      <c r="B431" s="136" t="s">
        <v>201</v>
      </c>
      <c r="C431" s="134">
        <v>2981.0</v>
      </c>
      <c r="D431" s="134">
        <v>1305.0</v>
      </c>
      <c r="E431" s="134">
        <v>1676.0</v>
      </c>
      <c r="F431" s="137">
        <v>18.0</v>
      </c>
      <c r="G431" s="137">
        <v>21.0</v>
      </c>
      <c r="H431" s="137">
        <v>54.0</v>
      </c>
      <c r="I431" s="137">
        <v>64.0</v>
      </c>
      <c r="J431" s="137">
        <v>61.0</v>
      </c>
      <c r="K431" s="137">
        <v>59.0</v>
      </c>
      <c r="L431" s="137">
        <v>73.0</v>
      </c>
      <c r="M431" s="137">
        <v>94.0</v>
      </c>
      <c r="N431" s="137">
        <v>68.0</v>
      </c>
      <c r="O431" s="137">
        <v>105.0</v>
      </c>
      <c r="P431" s="137">
        <v>84.0</v>
      </c>
      <c r="Q431" s="137">
        <v>83.0</v>
      </c>
      <c r="R431" s="137">
        <v>68.0</v>
      </c>
      <c r="S431" s="137">
        <v>100.0</v>
      </c>
      <c r="T431" s="137">
        <v>84.0</v>
      </c>
      <c r="U431" s="137">
        <v>104.0</v>
      </c>
      <c r="V431" s="137">
        <v>80.0</v>
      </c>
      <c r="W431" s="137">
        <v>149.0</v>
      </c>
      <c r="X431" s="137">
        <v>71.0</v>
      </c>
      <c r="Y431" s="137">
        <v>132.0</v>
      </c>
      <c r="Z431" s="137">
        <v>92.0</v>
      </c>
      <c r="AA431" s="137">
        <v>121.0</v>
      </c>
      <c r="AB431" s="137">
        <v>102.0</v>
      </c>
      <c r="AC431" s="137">
        <v>138.0</v>
      </c>
      <c r="AD431" s="137">
        <v>95.0</v>
      </c>
      <c r="AE431" s="137">
        <v>135.0</v>
      </c>
      <c r="AF431" s="137">
        <v>87.0</v>
      </c>
      <c r="AG431" s="137">
        <v>85.0</v>
      </c>
      <c r="AH431" s="137">
        <v>130.0</v>
      </c>
      <c r="AI431" s="137">
        <v>98.0</v>
      </c>
      <c r="AJ431" s="137">
        <v>53.0</v>
      </c>
      <c r="AK431" s="137">
        <v>67.0</v>
      </c>
      <c r="AL431" s="137">
        <v>85.0</v>
      </c>
      <c r="AM431" s="137">
        <v>121.0</v>
      </c>
      <c r="AN431" s="134">
        <v>2980.0</v>
      </c>
    </row>
    <row r="432">
      <c r="A432" s="132" t="s">
        <v>208</v>
      </c>
      <c r="B432" s="136" t="s">
        <v>198</v>
      </c>
      <c r="C432" s="137">
        <v>8.0</v>
      </c>
      <c r="D432" s="137">
        <v>5.0</v>
      </c>
      <c r="E432" s="137">
        <v>3.0</v>
      </c>
      <c r="F432" s="137">
        <v>1.0</v>
      </c>
      <c r="G432" s="137">
        <v>3.0</v>
      </c>
      <c r="H432" s="137">
        <v>4.0</v>
      </c>
      <c r="I432" s="137">
        <v>0.0</v>
      </c>
      <c r="J432" s="137">
        <v>0.0</v>
      </c>
      <c r="K432" s="137">
        <v>0.0</v>
      </c>
      <c r="L432" s="137">
        <v>0.0</v>
      </c>
      <c r="M432" s="137">
        <v>0.0</v>
      </c>
      <c r="N432" s="137">
        <v>0.0</v>
      </c>
      <c r="O432" s="137">
        <v>0.0</v>
      </c>
      <c r="P432" s="135">
        <v>0.0</v>
      </c>
      <c r="Q432" s="135">
        <v>0.0</v>
      </c>
      <c r="R432" s="135">
        <v>0.0</v>
      </c>
      <c r="S432" s="135">
        <v>0.0</v>
      </c>
      <c r="T432" s="135">
        <v>0.0</v>
      </c>
      <c r="U432" s="135">
        <v>0.0</v>
      </c>
      <c r="V432" s="135">
        <v>0.0</v>
      </c>
      <c r="W432" s="135">
        <v>0.0</v>
      </c>
      <c r="X432" s="135">
        <v>0.0</v>
      </c>
      <c r="Y432" s="135">
        <v>0.0</v>
      </c>
      <c r="Z432" s="135">
        <v>0.0</v>
      </c>
      <c r="AA432" s="135">
        <v>0.0</v>
      </c>
      <c r="AB432" s="135">
        <v>0.0</v>
      </c>
      <c r="AC432" s="135">
        <v>0.0</v>
      </c>
      <c r="AD432" s="135">
        <v>0.0</v>
      </c>
      <c r="AE432" s="135">
        <v>0.0</v>
      </c>
      <c r="AF432" s="135">
        <v>0.0</v>
      </c>
      <c r="AG432" s="135">
        <v>0.0</v>
      </c>
      <c r="AH432" s="135">
        <v>0.0</v>
      </c>
      <c r="AI432" s="135">
        <v>0.0</v>
      </c>
      <c r="AJ432" s="135">
        <v>0.0</v>
      </c>
      <c r="AK432" s="135">
        <v>0.0</v>
      </c>
      <c r="AL432" s="135">
        <v>0.0</v>
      </c>
      <c r="AM432" s="135">
        <v>0.0</v>
      </c>
      <c r="AN432" s="137">
        <v>8.0</v>
      </c>
    </row>
    <row r="433">
      <c r="A433" s="98"/>
      <c r="B433" s="136" t="s">
        <v>199</v>
      </c>
      <c r="C433" s="137">
        <v>23.0</v>
      </c>
      <c r="D433" s="137">
        <v>11.0</v>
      </c>
      <c r="E433" s="137">
        <v>12.0</v>
      </c>
      <c r="F433" s="137">
        <v>5.0</v>
      </c>
      <c r="G433" s="137">
        <v>11.0</v>
      </c>
      <c r="H433" s="137">
        <v>6.0</v>
      </c>
      <c r="I433" s="137">
        <v>1.0</v>
      </c>
      <c r="J433" s="137">
        <v>0.0</v>
      </c>
      <c r="K433" s="137">
        <v>0.0</v>
      </c>
      <c r="L433" s="137">
        <v>0.0</v>
      </c>
      <c r="M433" s="137">
        <v>0.0</v>
      </c>
      <c r="N433" s="137">
        <v>0.0</v>
      </c>
      <c r="O433" s="137">
        <v>0.0</v>
      </c>
      <c r="P433" s="135">
        <v>0.0</v>
      </c>
      <c r="Q433" s="135">
        <v>0.0</v>
      </c>
      <c r="R433" s="135">
        <v>0.0</v>
      </c>
      <c r="S433" s="135">
        <v>0.0</v>
      </c>
      <c r="T433" s="135">
        <v>0.0</v>
      </c>
      <c r="U433" s="135">
        <v>0.0</v>
      </c>
      <c r="V433" s="135">
        <v>0.0</v>
      </c>
      <c r="W433" s="135">
        <v>0.0</v>
      </c>
      <c r="X433" s="135">
        <v>0.0</v>
      </c>
      <c r="Y433" s="135">
        <v>0.0</v>
      </c>
      <c r="Z433" s="135">
        <v>0.0</v>
      </c>
      <c r="AA433" s="135">
        <v>0.0</v>
      </c>
      <c r="AB433" s="135">
        <v>0.0</v>
      </c>
      <c r="AC433" s="135">
        <v>0.0</v>
      </c>
      <c r="AD433" s="135">
        <v>0.0</v>
      </c>
      <c r="AE433" s="135">
        <v>0.0</v>
      </c>
      <c r="AF433" s="135">
        <v>0.0</v>
      </c>
      <c r="AG433" s="135">
        <v>0.0</v>
      </c>
      <c r="AH433" s="135">
        <v>0.0</v>
      </c>
      <c r="AI433" s="135">
        <v>0.0</v>
      </c>
      <c r="AJ433" s="135">
        <v>0.0</v>
      </c>
      <c r="AK433" s="135">
        <v>0.0</v>
      </c>
      <c r="AL433" s="135">
        <v>0.0</v>
      </c>
      <c r="AM433" s="135">
        <v>0.0</v>
      </c>
      <c r="AN433" s="137">
        <v>23.0</v>
      </c>
    </row>
    <row r="434">
      <c r="A434" s="98"/>
      <c r="B434" s="136" t="s">
        <v>206</v>
      </c>
      <c r="C434" s="137">
        <v>0.0</v>
      </c>
      <c r="D434" s="137">
        <v>0.0</v>
      </c>
      <c r="E434" s="137">
        <v>0.0</v>
      </c>
      <c r="F434" s="137">
        <v>0.0</v>
      </c>
      <c r="G434" s="137">
        <v>0.0</v>
      </c>
      <c r="H434" s="137">
        <v>0.0</v>
      </c>
      <c r="I434" s="137">
        <v>0.0</v>
      </c>
      <c r="J434" s="137">
        <v>0.0</v>
      </c>
      <c r="K434" s="137">
        <v>0.0</v>
      </c>
      <c r="L434" s="137">
        <v>0.0</v>
      </c>
      <c r="M434" s="137">
        <v>0.0</v>
      </c>
      <c r="N434" s="137">
        <v>0.0</v>
      </c>
      <c r="O434" s="137">
        <v>0.0</v>
      </c>
      <c r="P434" s="135">
        <v>0.0</v>
      </c>
      <c r="Q434" s="135">
        <v>0.0</v>
      </c>
      <c r="R434" s="135">
        <v>0.0</v>
      </c>
      <c r="S434" s="135">
        <v>0.0</v>
      </c>
      <c r="T434" s="135">
        <v>0.0</v>
      </c>
      <c r="U434" s="135">
        <v>0.0</v>
      </c>
      <c r="V434" s="135">
        <v>0.0</v>
      </c>
      <c r="W434" s="135">
        <v>0.0</v>
      </c>
      <c r="X434" s="135">
        <v>0.0</v>
      </c>
      <c r="Y434" s="135">
        <v>0.0</v>
      </c>
      <c r="Z434" s="135">
        <v>0.0</v>
      </c>
      <c r="AA434" s="135">
        <v>0.0</v>
      </c>
      <c r="AB434" s="135">
        <v>0.0</v>
      </c>
      <c r="AC434" s="135">
        <v>0.0</v>
      </c>
      <c r="AD434" s="135">
        <v>0.0</v>
      </c>
      <c r="AE434" s="135">
        <v>0.0</v>
      </c>
      <c r="AF434" s="135">
        <v>0.0</v>
      </c>
      <c r="AG434" s="135">
        <v>0.0</v>
      </c>
      <c r="AH434" s="135">
        <v>0.0</v>
      </c>
      <c r="AI434" s="135">
        <v>0.0</v>
      </c>
      <c r="AJ434" s="135">
        <v>0.0</v>
      </c>
      <c r="AK434" s="135">
        <v>0.0</v>
      </c>
      <c r="AL434" s="135">
        <v>0.0</v>
      </c>
      <c r="AM434" s="135">
        <v>0.0</v>
      </c>
      <c r="AN434" s="137">
        <v>0.0</v>
      </c>
    </row>
    <row r="435">
      <c r="A435" s="98"/>
      <c r="B435" s="136" t="s">
        <v>200</v>
      </c>
      <c r="C435" s="137">
        <v>0.0</v>
      </c>
      <c r="D435" s="137">
        <v>0.0</v>
      </c>
      <c r="E435" s="137">
        <v>0.0</v>
      </c>
      <c r="F435" s="137">
        <v>0.0</v>
      </c>
      <c r="G435" s="137">
        <v>0.0</v>
      </c>
      <c r="H435" s="137">
        <v>0.0</v>
      </c>
      <c r="I435" s="137">
        <v>0.0</v>
      </c>
      <c r="J435" s="137">
        <v>0.0</v>
      </c>
      <c r="K435" s="137">
        <v>0.0</v>
      </c>
      <c r="L435" s="137">
        <v>0.0</v>
      </c>
      <c r="M435" s="137">
        <v>0.0</v>
      </c>
      <c r="N435" s="137">
        <v>0.0</v>
      </c>
      <c r="O435" s="137">
        <v>0.0</v>
      </c>
      <c r="P435" s="135">
        <v>0.0</v>
      </c>
      <c r="Q435" s="135">
        <v>0.0</v>
      </c>
      <c r="R435" s="135">
        <v>0.0</v>
      </c>
      <c r="S435" s="135">
        <v>0.0</v>
      </c>
      <c r="T435" s="135">
        <v>0.0</v>
      </c>
      <c r="U435" s="135">
        <v>0.0</v>
      </c>
      <c r="V435" s="135">
        <v>0.0</v>
      </c>
      <c r="W435" s="135">
        <v>0.0</v>
      </c>
      <c r="X435" s="135">
        <v>0.0</v>
      </c>
      <c r="Y435" s="135">
        <v>0.0</v>
      </c>
      <c r="Z435" s="135">
        <v>0.0</v>
      </c>
      <c r="AA435" s="135">
        <v>0.0</v>
      </c>
      <c r="AB435" s="135">
        <v>0.0</v>
      </c>
      <c r="AC435" s="135">
        <v>0.0</v>
      </c>
      <c r="AD435" s="135">
        <v>0.0</v>
      </c>
      <c r="AE435" s="135">
        <v>0.0</v>
      </c>
      <c r="AF435" s="135">
        <v>0.0</v>
      </c>
      <c r="AG435" s="135">
        <v>0.0</v>
      </c>
      <c r="AH435" s="135">
        <v>0.0</v>
      </c>
      <c r="AI435" s="135">
        <v>0.0</v>
      </c>
      <c r="AJ435" s="135">
        <v>0.0</v>
      </c>
      <c r="AK435" s="135">
        <v>0.0</v>
      </c>
      <c r="AL435" s="135">
        <v>0.0</v>
      </c>
      <c r="AM435" s="135">
        <v>0.0</v>
      </c>
      <c r="AN435" s="137">
        <v>0.0</v>
      </c>
    </row>
    <row r="436">
      <c r="A436" s="104"/>
      <c r="B436" s="136" t="s">
        <v>201</v>
      </c>
      <c r="C436" s="137">
        <v>0.0</v>
      </c>
      <c r="D436" s="137">
        <v>0.0</v>
      </c>
      <c r="E436" s="137">
        <v>0.0</v>
      </c>
      <c r="F436" s="137">
        <v>0.0</v>
      </c>
      <c r="G436" s="137">
        <v>0.0</v>
      </c>
      <c r="H436" s="137">
        <v>0.0</v>
      </c>
      <c r="I436" s="137">
        <v>0.0</v>
      </c>
      <c r="J436" s="137">
        <v>0.0</v>
      </c>
      <c r="K436" s="137">
        <v>0.0</v>
      </c>
      <c r="L436" s="137">
        <v>0.0</v>
      </c>
      <c r="M436" s="137">
        <v>0.0</v>
      </c>
      <c r="N436" s="137">
        <v>0.0</v>
      </c>
      <c r="O436" s="137">
        <v>0.0</v>
      </c>
      <c r="P436" s="135">
        <v>0.0</v>
      </c>
      <c r="Q436" s="135">
        <v>0.0</v>
      </c>
      <c r="R436" s="135">
        <v>0.0</v>
      </c>
      <c r="S436" s="135">
        <v>0.0</v>
      </c>
      <c r="T436" s="135">
        <v>0.0</v>
      </c>
      <c r="U436" s="135">
        <v>0.0</v>
      </c>
      <c r="V436" s="135">
        <v>0.0</v>
      </c>
      <c r="W436" s="135">
        <v>0.0</v>
      </c>
      <c r="X436" s="135">
        <v>0.0</v>
      </c>
      <c r="Y436" s="135">
        <v>0.0</v>
      </c>
      <c r="Z436" s="135">
        <v>0.0</v>
      </c>
      <c r="AA436" s="135">
        <v>0.0</v>
      </c>
      <c r="AB436" s="135">
        <v>0.0</v>
      </c>
      <c r="AC436" s="135">
        <v>0.0</v>
      </c>
      <c r="AD436" s="135">
        <v>0.0</v>
      </c>
      <c r="AE436" s="135">
        <v>0.0</v>
      </c>
      <c r="AF436" s="135">
        <v>0.0</v>
      </c>
      <c r="AG436" s="135">
        <v>0.0</v>
      </c>
      <c r="AH436" s="135">
        <v>0.0</v>
      </c>
      <c r="AI436" s="135">
        <v>0.0</v>
      </c>
      <c r="AJ436" s="135">
        <v>0.0</v>
      </c>
      <c r="AK436" s="135">
        <v>0.0</v>
      </c>
      <c r="AL436" s="135">
        <v>0.0</v>
      </c>
      <c r="AM436" s="135">
        <v>0.0</v>
      </c>
      <c r="AN436" s="137">
        <v>0.0</v>
      </c>
    </row>
    <row r="437">
      <c r="A437" s="138" t="s">
        <v>226</v>
      </c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</row>
    <row r="438">
      <c r="A438" s="132" t="s">
        <v>197</v>
      </c>
      <c r="B438" s="133" t="s">
        <v>198</v>
      </c>
      <c r="C438" s="134">
        <v>97855.0</v>
      </c>
      <c r="D438" s="134">
        <v>33877.0</v>
      </c>
      <c r="E438" s="134">
        <v>63978.0</v>
      </c>
      <c r="F438" s="135">
        <v>0.0</v>
      </c>
      <c r="G438" s="135">
        <v>0.0</v>
      </c>
      <c r="H438" s="135">
        <v>0.0</v>
      </c>
      <c r="I438" s="135">
        <v>0.0</v>
      </c>
      <c r="J438" s="135">
        <v>0.0</v>
      </c>
      <c r="K438" s="135">
        <v>0.0</v>
      </c>
      <c r="L438" s="137">
        <v>37.0</v>
      </c>
      <c r="M438" s="137">
        <v>68.0</v>
      </c>
      <c r="N438" s="137">
        <v>76.0</v>
      </c>
      <c r="O438" s="137">
        <v>153.0</v>
      </c>
      <c r="P438" s="137">
        <v>142.0</v>
      </c>
      <c r="Q438" s="137">
        <v>284.0</v>
      </c>
      <c r="R438" s="137">
        <v>238.0</v>
      </c>
      <c r="S438" s="137">
        <v>540.0</v>
      </c>
      <c r="T438" s="137">
        <v>444.0</v>
      </c>
      <c r="U438" s="134">
        <v>1047.0</v>
      </c>
      <c r="V438" s="137">
        <v>874.0</v>
      </c>
      <c r="W438" s="134">
        <v>2042.0</v>
      </c>
      <c r="X438" s="134">
        <v>1605.0</v>
      </c>
      <c r="Y438" s="134">
        <v>3870.0</v>
      </c>
      <c r="Z438" s="134">
        <v>2940.0</v>
      </c>
      <c r="AA438" s="134">
        <v>7043.0</v>
      </c>
      <c r="AB438" s="134">
        <v>4193.0</v>
      </c>
      <c r="AC438" s="134">
        <v>8960.0</v>
      </c>
      <c r="AD438" s="134">
        <v>5037.0</v>
      </c>
      <c r="AE438" s="134">
        <v>9429.0</v>
      </c>
      <c r="AF438" s="134">
        <v>5475.0</v>
      </c>
      <c r="AG438" s="134">
        <v>9213.0</v>
      </c>
      <c r="AH438" s="134">
        <v>5159.0</v>
      </c>
      <c r="AI438" s="134">
        <v>8289.0</v>
      </c>
      <c r="AJ438" s="134">
        <v>3893.0</v>
      </c>
      <c r="AK438" s="134">
        <v>6480.0</v>
      </c>
      <c r="AL438" s="134">
        <v>3764.0</v>
      </c>
      <c r="AM438" s="134">
        <v>6560.0</v>
      </c>
      <c r="AN438" s="134">
        <v>97735.0</v>
      </c>
    </row>
    <row r="439">
      <c r="A439" s="98"/>
      <c r="B439" s="136" t="s">
        <v>199</v>
      </c>
      <c r="C439" s="134">
        <v>62007.0</v>
      </c>
      <c r="D439" s="134">
        <v>21290.0</v>
      </c>
      <c r="E439" s="134">
        <v>40717.0</v>
      </c>
      <c r="F439" s="135">
        <v>0.0</v>
      </c>
      <c r="G439" s="135">
        <v>0.0</v>
      </c>
      <c r="H439" s="135">
        <v>0.0</v>
      </c>
      <c r="I439" s="135">
        <v>0.0</v>
      </c>
      <c r="J439" s="135">
        <v>0.0</v>
      </c>
      <c r="K439" s="135">
        <v>0.0</v>
      </c>
      <c r="L439" s="137">
        <v>16.0</v>
      </c>
      <c r="M439" s="137">
        <v>52.0</v>
      </c>
      <c r="N439" s="137">
        <v>63.0</v>
      </c>
      <c r="O439" s="137">
        <v>106.0</v>
      </c>
      <c r="P439" s="137">
        <v>100.0</v>
      </c>
      <c r="Q439" s="137">
        <v>181.0</v>
      </c>
      <c r="R439" s="137">
        <v>188.0</v>
      </c>
      <c r="S439" s="137">
        <v>394.0</v>
      </c>
      <c r="T439" s="137">
        <v>357.0</v>
      </c>
      <c r="U439" s="137">
        <v>769.0</v>
      </c>
      <c r="V439" s="137">
        <v>632.0</v>
      </c>
      <c r="W439" s="134">
        <v>1376.0</v>
      </c>
      <c r="X439" s="134">
        <v>1138.0</v>
      </c>
      <c r="Y439" s="134">
        <v>2910.0</v>
      </c>
      <c r="Z439" s="134">
        <v>2217.0</v>
      </c>
      <c r="AA439" s="134">
        <v>5266.0</v>
      </c>
      <c r="AB439" s="134">
        <v>3055.0</v>
      </c>
      <c r="AC439" s="134">
        <v>6741.0</v>
      </c>
      <c r="AD439" s="134">
        <v>3657.0</v>
      </c>
      <c r="AE439" s="134">
        <v>6900.0</v>
      </c>
      <c r="AF439" s="134">
        <v>2917.0</v>
      </c>
      <c r="AG439" s="134">
        <v>4823.0</v>
      </c>
      <c r="AH439" s="134">
        <v>2892.0</v>
      </c>
      <c r="AI439" s="134">
        <v>4422.0</v>
      </c>
      <c r="AJ439" s="134">
        <v>2037.0</v>
      </c>
      <c r="AK439" s="134">
        <v>3403.0</v>
      </c>
      <c r="AL439" s="134">
        <v>2021.0</v>
      </c>
      <c r="AM439" s="134">
        <v>3374.0</v>
      </c>
      <c r="AN439" s="134">
        <v>61869.0</v>
      </c>
    </row>
    <row r="440">
      <c r="A440" s="98"/>
      <c r="B440" s="136" t="s">
        <v>200</v>
      </c>
      <c r="C440" s="134">
        <v>52611.0</v>
      </c>
      <c r="D440" s="134">
        <v>17175.0</v>
      </c>
      <c r="E440" s="134">
        <v>35436.0</v>
      </c>
      <c r="F440" s="135">
        <v>0.0</v>
      </c>
      <c r="G440" s="135">
        <v>0.0</v>
      </c>
      <c r="H440" s="135">
        <v>0.0</v>
      </c>
      <c r="I440" s="135">
        <v>0.0</v>
      </c>
      <c r="J440" s="135">
        <v>0.0</v>
      </c>
      <c r="K440" s="135">
        <v>0.0</v>
      </c>
      <c r="L440" s="137">
        <v>20.0</v>
      </c>
      <c r="M440" s="137">
        <v>62.0</v>
      </c>
      <c r="N440" s="137">
        <v>129.0</v>
      </c>
      <c r="O440" s="137">
        <v>213.0</v>
      </c>
      <c r="P440" s="137">
        <v>113.0</v>
      </c>
      <c r="Q440" s="137">
        <v>248.0</v>
      </c>
      <c r="R440" s="137">
        <v>157.0</v>
      </c>
      <c r="S440" s="137">
        <v>423.0</v>
      </c>
      <c r="T440" s="137">
        <v>323.0</v>
      </c>
      <c r="U440" s="137">
        <v>788.0</v>
      </c>
      <c r="V440" s="137">
        <v>490.0</v>
      </c>
      <c r="W440" s="134">
        <v>1264.0</v>
      </c>
      <c r="X440" s="137">
        <v>906.0</v>
      </c>
      <c r="Y440" s="134">
        <v>2488.0</v>
      </c>
      <c r="Z440" s="134">
        <v>1521.0</v>
      </c>
      <c r="AA440" s="134">
        <v>4096.0</v>
      </c>
      <c r="AB440" s="134">
        <v>2147.0</v>
      </c>
      <c r="AC440" s="134">
        <v>5039.0</v>
      </c>
      <c r="AD440" s="134">
        <v>2452.0</v>
      </c>
      <c r="AE440" s="134">
        <v>5103.0</v>
      </c>
      <c r="AF440" s="134">
        <v>2672.0</v>
      </c>
      <c r="AG440" s="134">
        <v>4951.0</v>
      </c>
      <c r="AH440" s="134">
        <v>2613.0</v>
      </c>
      <c r="AI440" s="134">
        <v>4383.0</v>
      </c>
      <c r="AJ440" s="134">
        <v>1873.0</v>
      </c>
      <c r="AK440" s="134">
        <v>3289.0</v>
      </c>
      <c r="AL440" s="134">
        <v>1759.0</v>
      </c>
      <c r="AM440" s="134">
        <v>3089.0</v>
      </c>
      <c r="AN440" s="134">
        <v>52458.0</v>
      </c>
    </row>
    <row r="441">
      <c r="A441" s="104"/>
      <c r="B441" s="136" t="s">
        <v>201</v>
      </c>
      <c r="C441" s="134">
        <v>2119.0</v>
      </c>
      <c r="D441" s="137">
        <v>855.0</v>
      </c>
      <c r="E441" s="134">
        <v>1264.0</v>
      </c>
      <c r="F441" s="135">
        <v>0.0</v>
      </c>
      <c r="G441" s="135">
        <v>0.0</v>
      </c>
      <c r="H441" s="135">
        <v>0.0</v>
      </c>
      <c r="I441" s="135">
        <v>0.0</v>
      </c>
      <c r="J441" s="135">
        <v>0.0</v>
      </c>
      <c r="K441" s="135">
        <v>0.0</v>
      </c>
      <c r="L441" s="137">
        <v>0.0</v>
      </c>
      <c r="M441" s="137">
        <v>0.0</v>
      </c>
      <c r="N441" s="137">
        <v>1.0</v>
      </c>
      <c r="O441" s="137">
        <v>0.0</v>
      </c>
      <c r="P441" s="137">
        <v>2.0</v>
      </c>
      <c r="Q441" s="137">
        <v>6.0</v>
      </c>
      <c r="R441" s="137">
        <v>14.0</v>
      </c>
      <c r="S441" s="137">
        <v>23.0</v>
      </c>
      <c r="T441" s="137">
        <v>23.0</v>
      </c>
      <c r="U441" s="137">
        <v>55.0</v>
      </c>
      <c r="V441" s="137">
        <v>33.0</v>
      </c>
      <c r="W441" s="137">
        <v>76.0</v>
      </c>
      <c r="X441" s="137">
        <v>58.0</v>
      </c>
      <c r="Y441" s="137">
        <v>120.0</v>
      </c>
      <c r="Z441" s="137">
        <v>77.0</v>
      </c>
      <c r="AA441" s="137">
        <v>145.0</v>
      </c>
      <c r="AB441" s="137">
        <v>101.0</v>
      </c>
      <c r="AC441" s="137">
        <v>176.0</v>
      </c>
      <c r="AD441" s="137">
        <v>121.0</v>
      </c>
      <c r="AE441" s="137">
        <v>213.0</v>
      </c>
      <c r="AF441" s="137">
        <v>163.0</v>
      </c>
      <c r="AG441" s="137">
        <v>179.0</v>
      </c>
      <c r="AH441" s="137">
        <v>125.0</v>
      </c>
      <c r="AI441" s="137">
        <v>125.0</v>
      </c>
      <c r="AJ441" s="137">
        <v>73.0</v>
      </c>
      <c r="AK441" s="137">
        <v>80.0</v>
      </c>
      <c r="AL441" s="137">
        <v>64.0</v>
      </c>
      <c r="AM441" s="137">
        <v>66.0</v>
      </c>
      <c r="AN441" s="134">
        <v>2119.0</v>
      </c>
    </row>
    <row r="442">
      <c r="A442" s="132" t="s">
        <v>202</v>
      </c>
      <c r="B442" s="136" t="s">
        <v>198</v>
      </c>
      <c r="C442" s="137">
        <v>527.0</v>
      </c>
      <c r="D442" s="137">
        <v>276.0</v>
      </c>
      <c r="E442" s="137">
        <v>251.0</v>
      </c>
      <c r="F442" s="137">
        <v>4.0</v>
      </c>
      <c r="G442" s="137">
        <v>4.0</v>
      </c>
      <c r="H442" s="137">
        <v>7.0</v>
      </c>
      <c r="I442" s="137">
        <v>6.0</v>
      </c>
      <c r="J442" s="137">
        <v>9.0</v>
      </c>
      <c r="K442" s="137">
        <v>10.0</v>
      </c>
      <c r="L442" s="137">
        <v>5.0</v>
      </c>
      <c r="M442" s="137">
        <v>5.0</v>
      </c>
      <c r="N442" s="137">
        <v>27.0</v>
      </c>
      <c r="O442" s="137">
        <v>23.0</v>
      </c>
      <c r="P442" s="137">
        <v>40.0</v>
      </c>
      <c r="Q442" s="137">
        <v>19.0</v>
      </c>
      <c r="R442" s="137">
        <v>23.0</v>
      </c>
      <c r="S442" s="137">
        <v>22.0</v>
      </c>
      <c r="T442" s="137">
        <v>12.0</v>
      </c>
      <c r="U442" s="137">
        <v>8.0</v>
      </c>
      <c r="V442" s="137">
        <v>15.0</v>
      </c>
      <c r="W442" s="137">
        <v>0.0</v>
      </c>
      <c r="X442" s="137">
        <v>21.0</v>
      </c>
      <c r="Y442" s="137">
        <v>14.0</v>
      </c>
      <c r="Z442" s="137">
        <v>38.0</v>
      </c>
      <c r="AA442" s="137">
        <v>25.0</v>
      </c>
      <c r="AB442" s="137">
        <v>19.0</v>
      </c>
      <c r="AC442" s="137">
        <v>36.0</v>
      </c>
      <c r="AD442" s="137">
        <v>18.0</v>
      </c>
      <c r="AE442" s="137">
        <v>26.0</v>
      </c>
      <c r="AF442" s="137">
        <v>9.0</v>
      </c>
      <c r="AG442" s="137">
        <v>18.0</v>
      </c>
      <c r="AH442" s="137">
        <v>5.0</v>
      </c>
      <c r="AI442" s="137">
        <v>5.0</v>
      </c>
      <c r="AJ442" s="137">
        <v>4.0</v>
      </c>
      <c r="AK442" s="137">
        <v>18.0</v>
      </c>
      <c r="AL442" s="137">
        <v>20.0</v>
      </c>
      <c r="AM442" s="137">
        <v>12.0</v>
      </c>
      <c r="AN442" s="137">
        <v>518.0</v>
      </c>
    </row>
    <row r="443">
      <c r="A443" s="104"/>
      <c r="B443" s="136" t="s">
        <v>199</v>
      </c>
      <c r="C443" s="137">
        <v>451.0</v>
      </c>
      <c r="D443" s="137">
        <v>294.0</v>
      </c>
      <c r="E443" s="137">
        <v>157.0</v>
      </c>
      <c r="F443" s="137">
        <v>14.0</v>
      </c>
      <c r="G443" s="137">
        <v>5.0</v>
      </c>
      <c r="H443" s="137">
        <v>11.0</v>
      </c>
      <c r="I443" s="137">
        <v>6.0</v>
      </c>
      <c r="J443" s="137">
        <v>6.0</v>
      </c>
      <c r="K443" s="137">
        <v>2.0</v>
      </c>
      <c r="L443" s="137">
        <v>8.0</v>
      </c>
      <c r="M443" s="137">
        <v>5.0</v>
      </c>
      <c r="N443" s="137">
        <v>32.0</v>
      </c>
      <c r="O443" s="137">
        <v>18.0</v>
      </c>
      <c r="P443" s="137">
        <v>49.0</v>
      </c>
      <c r="Q443" s="137">
        <v>18.0</v>
      </c>
      <c r="R443" s="137">
        <v>46.0</v>
      </c>
      <c r="S443" s="137">
        <v>13.0</v>
      </c>
      <c r="T443" s="137">
        <v>24.0</v>
      </c>
      <c r="U443" s="137">
        <v>16.0</v>
      </c>
      <c r="V443" s="137">
        <v>23.0</v>
      </c>
      <c r="W443" s="137">
        <v>5.0</v>
      </c>
      <c r="X443" s="137">
        <v>15.0</v>
      </c>
      <c r="Y443" s="137">
        <v>2.0</v>
      </c>
      <c r="Z443" s="137">
        <v>15.0</v>
      </c>
      <c r="AA443" s="137">
        <v>6.0</v>
      </c>
      <c r="AB443" s="137">
        <v>6.0</v>
      </c>
      <c r="AC443" s="137">
        <v>18.0</v>
      </c>
      <c r="AD443" s="137">
        <v>20.0</v>
      </c>
      <c r="AE443" s="137">
        <v>22.0</v>
      </c>
      <c r="AF443" s="137">
        <v>7.0</v>
      </c>
      <c r="AG443" s="137">
        <v>8.0</v>
      </c>
      <c r="AH443" s="137">
        <v>4.0</v>
      </c>
      <c r="AI443" s="137">
        <v>5.0</v>
      </c>
      <c r="AJ443" s="137">
        <v>6.0</v>
      </c>
      <c r="AK443" s="137">
        <v>4.0</v>
      </c>
      <c r="AL443" s="137">
        <v>8.0</v>
      </c>
      <c r="AM443" s="137">
        <v>4.0</v>
      </c>
      <c r="AN443" s="137">
        <v>440.0</v>
      </c>
    </row>
    <row r="444">
      <c r="A444" s="132" t="s">
        <v>203</v>
      </c>
      <c r="B444" s="136" t="s">
        <v>198</v>
      </c>
      <c r="C444" s="137">
        <v>0.0</v>
      </c>
      <c r="D444" s="137">
        <v>0.0</v>
      </c>
      <c r="E444" s="137">
        <v>0.0</v>
      </c>
      <c r="F444" s="135">
        <v>0.0</v>
      </c>
      <c r="G444" s="135">
        <v>0.0</v>
      </c>
      <c r="H444" s="135">
        <v>0.0</v>
      </c>
      <c r="I444" s="135">
        <v>0.0</v>
      </c>
      <c r="J444" s="135">
        <v>0.0</v>
      </c>
      <c r="K444" s="135">
        <v>0.0</v>
      </c>
      <c r="L444" s="135">
        <v>0.0</v>
      </c>
      <c r="M444" s="135">
        <v>0.0</v>
      </c>
      <c r="N444" s="135">
        <v>0.0</v>
      </c>
      <c r="O444" s="135">
        <v>0.0</v>
      </c>
      <c r="P444" s="135">
        <v>0.0</v>
      </c>
      <c r="Q444" s="135">
        <v>0.0</v>
      </c>
      <c r="R444" s="135">
        <v>0.0</v>
      </c>
      <c r="S444" s="135">
        <v>0.0</v>
      </c>
      <c r="T444" s="135">
        <v>0.0</v>
      </c>
      <c r="U444" s="135">
        <v>0.0</v>
      </c>
      <c r="V444" s="135">
        <v>0.0</v>
      </c>
      <c r="W444" s="135">
        <v>0.0</v>
      </c>
      <c r="X444" s="135">
        <v>0.0</v>
      </c>
      <c r="Y444" s="135">
        <v>0.0</v>
      </c>
      <c r="Z444" s="135">
        <v>0.0</v>
      </c>
      <c r="AA444" s="135">
        <v>0.0</v>
      </c>
      <c r="AB444" s="135">
        <v>0.0</v>
      </c>
      <c r="AC444" s="135">
        <v>0.0</v>
      </c>
      <c r="AD444" s="135">
        <v>0.0</v>
      </c>
      <c r="AE444" s="135">
        <v>0.0</v>
      </c>
      <c r="AF444" s="137">
        <v>0.0</v>
      </c>
      <c r="AG444" s="137">
        <v>0.0</v>
      </c>
      <c r="AH444" s="137">
        <v>0.0</v>
      </c>
      <c r="AI444" s="137">
        <v>0.0</v>
      </c>
      <c r="AJ444" s="137">
        <v>0.0</v>
      </c>
      <c r="AK444" s="137">
        <v>0.0</v>
      </c>
      <c r="AL444" s="137">
        <v>0.0</v>
      </c>
      <c r="AM444" s="137">
        <v>0.0</v>
      </c>
      <c r="AN444" s="137">
        <v>0.0</v>
      </c>
    </row>
    <row r="445">
      <c r="A445" s="104"/>
      <c r="B445" s="136" t="s">
        <v>199</v>
      </c>
      <c r="C445" s="134">
        <v>1343.0</v>
      </c>
      <c r="D445" s="137">
        <v>460.0</v>
      </c>
      <c r="E445" s="137">
        <v>883.0</v>
      </c>
      <c r="F445" s="135">
        <v>0.0</v>
      </c>
      <c r="G445" s="135">
        <v>0.0</v>
      </c>
      <c r="H445" s="135">
        <v>0.0</v>
      </c>
      <c r="I445" s="135">
        <v>0.0</v>
      </c>
      <c r="J445" s="135">
        <v>0.0</v>
      </c>
      <c r="K445" s="135">
        <v>0.0</v>
      </c>
      <c r="L445" s="135">
        <v>0.0</v>
      </c>
      <c r="M445" s="135">
        <v>0.0</v>
      </c>
      <c r="N445" s="135">
        <v>0.0</v>
      </c>
      <c r="O445" s="135">
        <v>0.0</v>
      </c>
      <c r="P445" s="135">
        <v>0.0</v>
      </c>
      <c r="Q445" s="135">
        <v>0.0</v>
      </c>
      <c r="R445" s="135">
        <v>0.0</v>
      </c>
      <c r="S445" s="135">
        <v>0.0</v>
      </c>
      <c r="T445" s="135">
        <v>0.0</v>
      </c>
      <c r="U445" s="135">
        <v>0.0</v>
      </c>
      <c r="V445" s="135">
        <v>0.0</v>
      </c>
      <c r="W445" s="135">
        <v>0.0</v>
      </c>
      <c r="X445" s="135">
        <v>0.0</v>
      </c>
      <c r="Y445" s="135">
        <v>0.0</v>
      </c>
      <c r="Z445" s="135">
        <v>0.0</v>
      </c>
      <c r="AA445" s="135">
        <v>0.0</v>
      </c>
      <c r="AB445" s="135">
        <v>0.0</v>
      </c>
      <c r="AC445" s="135">
        <v>0.0</v>
      </c>
      <c r="AD445" s="135">
        <v>0.0</v>
      </c>
      <c r="AE445" s="135">
        <v>0.0</v>
      </c>
      <c r="AF445" s="137">
        <v>127.0</v>
      </c>
      <c r="AG445" s="137">
        <v>244.0</v>
      </c>
      <c r="AH445" s="137">
        <v>144.0</v>
      </c>
      <c r="AI445" s="137">
        <v>271.0</v>
      </c>
      <c r="AJ445" s="137">
        <v>108.0</v>
      </c>
      <c r="AK445" s="137">
        <v>199.0</v>
      </c>
      <c r="AL445" s="137">
        <v>81.0</v>
      </c>
      <c r="AM445" s="137">
        <v>169.0</v>
      </c>
      <c r="AN445" s="134">
        <v>1343.0</v>
      </c>
    </row>
    <row r="446">
      <c r="A446" s="132" t="s">
        <v>204</v>
      </c>
      <c r="B446" s="136" t="s">
        <v>198</v>
      </c>
      <c r="C446" s="137">
        <v>0.0</v>
      </c>
      <c r="D446" s="137">
        <v>0.0</v>
      </c>
      <c r="E446" s="137">
        <v>0.0</v>
      </c>
      <c r="F446" s="135">
        <v>0.0</v>
      </c>
      <c r="G446" s="135">
        <v>0.0</v>
      </c>
      <c r="H446" s="135">
        <v>0.0</v>
      </c>
      <c r="I446" s="135">
        <v>0.0</v>
      </c>
      <c r="J446" s="135">
        <v>0.0</v>
      </c>
      <c r="K446" s="135">
        <v>0.0</v>
      </c>
      <c r="L446" s="135">
        <v>0.0</v>
      </c>
      <c r="M446" s="135">
        <v>0.0</v>
      </c>
      <c r="N446" s="135">
        <v>0.0</v>
      </c>
      <c r="O446" s="135">
        <v>0.0</v>
      </c>
      <c r="P446" s="135">
        <v>0.0</v>
      </c>
      <c r="Q446" s="135">
        <v>0.0</v>
      </c>
      <c r="R446" s="135">
        <v>0.0</v>
      </c>
      <c r="S446" s="135">
        <v>0.0</v>
      </c>
      <c r="T446" s="135">
        <v>0.0</v>
      </c>
      <c r="U446" s="135">
        <v>0.0</v>
      </c>
      <c r="V446" s="135">
        <v>0.0</v>
      </c>
      <c r="W446" s="135">
        <v>0.0</v>
      </c>
      <c r="X446" s="135">
        <v>0.0</v>
      </c>
      <c r="Y446" s="135">
        <v>0.0</v>
      </c>
      <c r="Z446" s="135">
        <v>0.0</v>
      </c>
      <c r="AA446" s="135">
        <v>0.0</v>
      </c>
      <c r="AB446" s="135">
        <v>0.0</v>
      </c>
      <c r="AC446" s="135">
        <v>0.0</v>
      </c>
      <c r="AD446" s="135">
        <v>0.0</v>
      </c>
      <c r="AE446" s="135">
        <v>0.0</v>
      </c>
      <c r="AF446" s="137">
        <v>0.0</v>
      </c>
      <c r="AG446" s="137">
        <v>0.0</v>
      </c>
      <c r="AH446" s="137">
        <v>0.0</v>
      </c>
      <c r="AI446" s="137">
        <v>0.0</v>
      </c>
      <c r="AJ446" s="137">
        <v>0.0</v>
      </c>
      <c r="AK446" s="137">
        <v>0.0</v>
      </c>
      <c r="AL446" s="137">
        <v>0.0</v>
      </c>
      <c r="AM446" s="137">
        <v>0.0</v>
      </c>
      <c r="AN446" s="137">
        <v>0.0</v>
      </c>
    </row>
    <row r="447">
      <c r="A447" s="104"/>
      <c r="B447" s="136" t="s">
        <v>199</v>
      </c>
      <c r="C447" s="137">
        <v>432.0</v>
      </c>
      <c r="D447" s="137">
        <v>133.0</v>
      </c>
      <c r="E447" s="137">
        <v>299.0</v>
      </c>
      <c r="F447" s="135">
        <v>0.0</v>
      </c>
      <c r="G447" s="135">
        <v>0.0</v>
      </c>
      <c r="H447" s="135">
        <v>0.0</v>
      </c>
      <c r="I447" s="135">
        <v>0.0</v>
      </c>
      <c r="J447" s="135">
        <v>0.0</v>
      </c>
      <c r="K447" s="135">
        <v>0.0</v>
      </c>
      <c r="L447" s="135">
        <v>0.0</v>
      </c>
      <c r="M447" s="135">
        <v>0.0</v>
      </c>
      <c r="N447" s="135">
        <v>0.0</v>
      </c>
      <c r="O447" s="135">
        <v>0.0</v>
      </c>
      <c r="P447" s="135">
        <v>0.0</v>
      </c>
      <c r="Q447" s="135">
        <v>0.0</v>
      </c>
      <c r="R447" s="135">
        <v>0.0</v>
      </c>
      <c r="S447" s="135">
        <v>0.0</v>
      </c>
      <c r="T447" s="135">
        <v>0.0</v>
      </c>
      <c r="U447" s="135">
        <v>0.0</v>
      </c>
      <c r="V447" s="135">
        <v>0.0</v>
      </c>
      <c r="W447" s="135">
        <v>0.0</v>
      </c>
      <c r="X447" s="135">
        <v>0.0</v>
      </c>
      <c r="Y447" s="135">
        <v>0.0</v>
      </c>
      <c r="Z447" s="135">
        <v>0.0</v>
      </c>
      <c r="AA447" s="135">
        <v>0.0</v>
      </c>
      <c r="AB447" s="135">
        <v>0.0</v>
      </c>
      <c r="AC447" s="135">
        <v>0.0</v>
      </c>
      <c r="AD447" s="135">
        <v>0.0</v>
      </c>
      <c r="AE447" s="135">
        <v>0.0</v>
      </c>
      <c r="AF447" s="137">
        <v>24.0</v>
      </c>
      <c r="AG447" s="137">
        <v>35.0</v>
      </c>
      <c r="AH447" s="137">
        <v>20.0</v>
      </c>
      <c r="AI447" s="137">
        <v>51.0</v>
      </c>
      <c r="AJ447" s="137">
        <v>28.0</v>
      </c>
      <c r="AK447" s="137">
        <v>55.0</v>
      </c>
      <c r="AL447" s="137">
        <v>61.0</v>
      </c>
      <c r="AM447" s="137">
        <v>158.0</v>
      </c>
      <c r="AN447" s="137">
        <v>431.0</v>
      </c>
    </row>
    <row r="448">
      <c r="A448" s="132" t="s">
        <v>205</v>
      </c>
      <c r="B448" s="136" t="s">
        <v>198</v>
      </c>
      <c r="C448" s="137">
        <v>1.0</v>
      </c>
      <c r="D448" s="137">
        <v>1.0</v>
      </c>
      <c r="E448" s="137">
        <v>0.0</v>
      </c>
      <c r="F448" s="137">
        <v>0.0</v>
      </c>
      <c r="G448" s="137">
        <v>0.0</v>
      </c>
      <c r="H448" s="137">
        <v>0.0</v>
      </c>
      <c r="I448" s="137">
        <v>0.0</v>
      </c>
      <c r="J448" s="137">
        <v>0.0</v>
      </c>
      <c r="K448" s="137">
        <v>0.0</v>
      </c>
      <c r="L448" s="137">
        <v>0.0</v>
      </c>
      <c r="M448" s="137">
        <v>0.0</v>
      </c>
      <c r="N448" s="137">
        <v>0.0</v>
      </c>
      <c r="O448" s="137">
        <v>0.0</v>
      </c>
      <c r="P448" s="137">
        <v>0.0</v>
      </c>
      <c r="Q448" s="137">
        <v>0.0</v>
      </c>
      <c r="R448" s="137">
        <v>0.0</v>
      </c>
      <c r="S448" s="137">
        <v>0.0</v>
      </c>
      <c r="T448" s="137">
        <v>0.0</v>
      </c>
      <c r="U448" s="137">
        <v>0.0</v>
      </c>
      <c r="V448" s="137">
        <v>0.0</v>
      </c>
      <c r="W448" s="137">
        <v>0.0</v>
      </c>
      <c r="X448" s="137">
        <v>0.0</v>
      </c>
      <c r="Y448" s="137">
        <v>0.0</v>
      </c>
      <c r="Z448" s="137">
        <v>1.0</v>
      </c>
      <c r="AA448" s="137">
        <v>0.0</v>
      </c>
      <c r="AB448" s="137">
        <v>0.0</v>
      </c>
      <c r="AC448" s="137">
        <v>0.0</v>
      </c>
      <c r="AD448" s="137">
        <v>0.0</v>
      </c>
      <c r="AE448" s="137">
        <v>0.0</v>
      </c>
      <c r="AF448" s="137">
        <v>0.0</v>
      </c>
      <c r="AG448" s="137">
        <v>0.0</v>
      </c>
      <c r="AH448" s="137">
        <v>0.0</v>
      </c>
      <c r="AI448" s="137">
        <v>0.0</v>
      </c>
      <c r="AJ448" s="137">
        <v>0.0</v>
      </c>
      <c r="AK448" s="137">
        <v>0.0</v>
      </c>
      <c r="AL448" s="137">
        <v>0.0</v>
      </c>
      <c r="AM448" s="137">
        <v>0.0</v>
      </c>
      <c r="AN448" s="137">
        <v>1.0</v>
      </c>
    </row>
    <row r="449">
      <c r="A449" s="98"/>
      <c r="B449" s="136" t="s">
        <v>199</v>
      </c>
      <c r="C449" s="137">
        <v>4.0</v>
      </c>
      <c r="D449" s="137">
        <v>1.0</v>
      </c>
      <c r="E449" s="137">
        <v>3.0</v>
      </c>
      <c r="F449" s="137">
        <v>0.0</v>
      </c>
      <c r="G449" s="137">
        <v>0.0</v>
      </c>
      <c r="H449" s="137">
        <v>0.0</v>
      </c>
      <c r="I449" s="137">
        <v>0.0</v>
      </c>
      <c r="J449" s="137">
        <v>0.0</v>
      </c>
      <c r="K449" s="137">
        <v>0.0</v>
      </c>
      <c r="L449" s="137">
        <v>0.0</v>
      </c>
      <c r="M449" s="137">
        <v>0.0</v>
      </c>
      <c r="N449" s="137">
        <v>0.0</v>
      </c>
      <c r="O449" s="137">
        <v>0.0</v>
      </c>
      <c r="P449" s="137">
        <v>0.0</v>
      </c>
      <c r="Q449" s="137">
        <v>0.0</v>
      </c>
      <c r="R449" s="137">
        <v>0.0</v>
      </c>
      <c r="S449" s="137">
        <v>0.0</v>
      </c>
      <c r="T449" s="137">
        <v>0.0</v>
      </c>
      <c r="U449" s="137">
        <v>1.0</v>
      </c>
      <c r="V449" s="137">
        <v>0.0</v>
      </c>
      <c r="W449" s="137">
        <v>0.0</v>
      </c>
      <c r="X449" s="137">
        <v>0.0</v>
      </c>
      <c r="Y449" s="137">
        <v>0.0</v>
      </c>
      <c r="Z449" s="137">
        <v>0.0</v>
      </c>
      <c r="AA449" s="137">
        <v>0.0</v>
      </c>
      <c r="AB449" s="137">
        <v>0.0</v>
      </c>
      <c r="AC449" s="137">
        <v>1.0</v>
      </c>
      <c r="AD449" s="137">
        <v>0.0</v>
      </c>
      <c r="AE449" s="137">
        <v>0.0</v>
      </c>
      <c r="AF449" s="137">
        <v>0.0</v>
      </c>
      <c r="AG449" s="137">
        <v>0.0</v>
      </c>
      <c r="AH449" s="137">
        <v>1.0</v>
      </c>
      <c r="AI449" s="137">
        <v>1.0</v>
      </c>
      <c r="AJ449" s="137">
        <v>0.0</v>
      </c>
      <c r="AK449" s="137">
        <v>0.0</v>
      </c>
      <c r="AL449" s="137">
        <v>0.0</v>
      </c>
      <c r="AM449" s="137">
        <v>0.0</v>
      </c>
      <c r="AN449" s="137">
        <v>4.0</v>
      </c>
    </row>
    <row r="450">
      <c r="A450" s="104"/>
      <c r="B450" s="136" t="s">
        <v>206</v>
      </c>
      <c r="C450" s="137">
        <v>471.0</v>
      </c>
      <c r="D450" s="137">
        <v>188.0</v>
      </c>
      <c r="E450" s="137">
        <v>283.0</v>
      </c>
      <c r="F450" s="137">
        <v>2.0</v>
      </c>
      <c r="G450" s="137">
        <v>0.0</v>
      </c>
      <c r="H450" s="137">
        <v>2.0</v>
      </c>
      <c r="I450" s="137">
        <v>1.0</v>
      </c>
      <c r="J450" s="137">
        <v>1.0</v>
      </c>
      <c r="K450" s="137">
        <v>4.0</v>
      </c>
      <c r="L450" s="137">
        <v>29.0</v>
      </c>
      <c r="M450" s="137">
        <v>62.0</v>
      </c>
      <c r="N450" s="137">
        <v>44.0</v>
      </c>
      <c r="O450" s="137">
        <v>67.0</v>
      </c>
      <c r="P450" s="137">
        <v>31.0</v>
      </c>
      <c r="Q450" s="137">
        <v>42.0</v>
      </c>
      <c r="R450" s="137">
        <v>19.0</v>
      </c>
      <c r="S450" s="137">
        <v>24.0</v>
      </c>
      <c r="T450" s="137">
        <v>17.0</v>
      </c>
      <c r="U450" s="137">
        <v>28.0</v>
      </c>
      <c r="V450" s="137">
        <v>10.0</v>
      </c>
      <c r="W450" s="137">
        <v>13.0</v>
      </c>
      <c r="X450" s="137">
        <v>5.0</v>
      </c>
      <c r="Y450" s="137">
        <v>26.0</v>
      </c>
      <c r="Z450" s="137">
        <v>12.0</v>
      </c>
      <c r="AA450" s="137">
        <v>5.0</v>
      </c>
      <c r="AB450" s="137">
        <v>6.0</v>
      </c>
      <c r="AC450" s="137">
        <v>5.0</v>
      </c>
      <c r="AD450" s="137">
        <v>4.0</v>
      </c>
      <c r="AE450" s="137">
        <v>4.0</v>
      </c>
      <c r="AF450" s="137">
        <v>2.0</v>
      </c>
      <c r="AG450" s="137">
        <v>0.0</v>
      </c>
      <c r="AH450" s="137">
        <v>2.0</v>
      </c>
      <c r="AI450" s="137">
        <v>2.0</v>
      </c>
      <c r="AJ450" s="137">
        <v>2.0</v>
      </c>
      <c r="AK450" s="137">
        <v>0.0</v>
      </c>
      <c r="AL450" s="137">
        <v>0.0</v>
      </c>
      <c r="AM450" s="137">
        <v>0.0</v>
      </c>
      <c r="AN450" s="137">
        <v>471.0</v>
      </c>
    </row>
    <row r="451">
      <c r="A451" s="132" t="s">
        <v>207</v>
      </c>
      <c r="B451" s="136" t="s">
        <v>198</v>
      </c>
      <c r="C451" s="134">
        <v>13153.0</v>
      </c>
      <c r="D451" s="134">
        <v>3223.0</v>
      </c>
      <c r="E451" s="134">
        <v>9930.0</v>
      </c>
      <c r="F451" s="137">
        <v>249.0</v>
      </c>
      <c r="G451" s="137">
        <v>192.0</v>
      </c>
      <c r="H451" s="137">
        <v>131.0</v>
      </c>
      <c r="I451" s="137">
        <v>98.0</v>
      </c>
      <c r="J451" s="137">
        <v>94.0</v>
      </c>
      <c r="K451" s="137">
        <v>96.0</v>
      </c>
      <c r="L451" s="137">
        <v>83.0</v>
      </c>
      <c r="M451" s="137">
        <v>128.0</v>
      </c>
      <c r="N451" s="137">
        <v>85.0</v>
      </c>
      <c r="O451" s="137">
        <v>211.0</v>
      </c>
      <c r="P451" s="137">
        <v>77.0</v>
      </c>
      <c r="Q451" s="137">
        <v>260.0</v>
      </c>
      <c r="R451" s="137">
        <v>92.0</v>
      </c>
      <c r="S451" s="137">
        <v>313.0</v>
      </c>
      <c r="T451" s="137">
        <v>76.0</v>
      </c>
      <c r="U451" s="137">
        <v>376.0</v>
      </c>
      <c r="V451" s="137">
        <v>107.0</v>
      </c>
      <c r="W451" s="137">
        <v>545.0</v>
      </c>
      <c r="X451" s="137">
        <v>137.0</v>
      </c>
      <c r="Y451" s="137">
        <v>706.0</v>
      </c>
      <c r="Z451" s="137">
        <v>206.0</v>
      </c>
      <c r="AA451" s="134">
        <v>1103.0</v>
      </c>
      <c r="AB451" s="137">
        <v>282.0</v>
      </c>
      <c r="AC451" s="134">
        <v>1218.0</v>
      </c>
      <c r="AD451" s="137">
        <v>300.0</v>
      </c>
      <c r="AE451" s="134">
        <v>1232.0</v>
      </c>
      <c r="AF451" s="137">
        <v>386.0</v>
      </c>
      <c r="AG451" s="134">
        <v>1118.0</v>
      </c>
      <c r="AH451" s="137">
        <v>357.0</v>
      </c>
      <c r="AI451" s="137">
        <v>970.0</v>
      </c>
      <c r="AJ451" s="137">
        <v>263.0</v>
      </c>
      <c r="AK451" s="137">
        <v>686.0</v>
      </c>
      <c r="AL451" s="137">
        <v>298.0</v>
      </c>
      <c r="AM451" s="137">
        <v>678.0</v>
      </c>
      <c r="AN451" s="134">
        <v>13069.0</v>
      </c>
    </row>
    <row r="452">
      <c r="A452" s="98"/>
      <c r="B452" s="136" t="s">
        <v>199</v>
      </c>
      <c r="C452" s="134">
        <v>3805.0</v>
      </c>
      <c r="D452" s="134">
        <v>1091.0</v>
      </c>
      <c r="E452" s="134">
        <v>2714.0</v>
      </c>
      <c r="F452" s="137">
        <v>9.0</v>
      </c>
      <c r="G452" s="137">
        <v>12.0</v>
      </c>
      <c r="H452" s="137">
        <v>14.0</v>
      </c>
      <c r="I452" s="137">
        <v>19.0</v>
      </c>
      <c r="J452" s="137">
        <v>26.0</v>
      </c>
      <c r="K452" s="137">
        <v>26.0</v>
      </c>
      <c r="L452" s="137">
        <v>38.0</v>
      </c>
      <c r="M452" s="137">
        <v>57.0</v>
      </c>
      <c r="N452" s="137">
        <v>45.0</v>
      </c>
      <c r="O452" s="137">
        <v>75.0</v>
      </c>
      <c r="P452" s="137">
        <v>22.0</v>
      </c>
      <c r="Q452" s="137">
        <v>123.0</v>
      </c>
      <c r="R452" s="137">
        <v>33.0</v>
      </c>
      <c r="S452" s="137">
        <v>129.0</v>
      </c>
      <c r="T452" s="137">
        <v>31.0</v>
      </c>
      <c r="U452" s="137">
        <v>156.0</v>
      </c>
      <c r="V452" s="137">
        <v>43.0</v>
      </c>
      <c r="W452" s="137">
        <v>207.0</v>
      </c>
      <c r="X452" s="137">
        <v>49.0</v>
      </c>
      <c r="Y452" s="137">
        <v>286.0</v>
      </c>
      <c r="Z452" s="137">
        <v>112.0</v>
      </c>
      <c r="AA452" s="137">
        <v>377.0</v>
      </c>
      <c r="AB452" s="137">
        <v>130.0</v>
      </c>
      <c r="AC452" s="137">
        <v>370.0</v>
      </c>
      <c r="AD452" s="137">
        <v>161.0</v>
      </c>
      <c r="AE452" s="137">
        <v>269.0</v>
      </c>
      <c r="AF452" s="137">
        <v>121.0</v>
      </c>
      <c r="AG452" s="137">
        <v>202.0</v>
      </c>
      <c r="AH452" s="137">
        <v>126.0</v>
      </c>
      <c r="AI452" s="137">
        <v>168.0</v>
      </c>
      <c r="AJ452" s="137">
        <v>66.0</v>
      </c>
      <c r="AK452" s="137">
        <v>131.0</v>
      </c>
      <c r="AL452" s="137">
        <v>65.0</v>
      </c>
      <c r="AM452" s="137">
        <v>107.0</v>
      </c>
      <c r="AN452" s="134">
        <v>3715.0</v>
      </c>
    </row>
    <row r="453">
      <c r="A453" s="98"/>
      <c r="B453" s="136" t="s">
        <v>206</v>
      </c>
      <c r="C453" s="137">
        <v>78.0</v>
      </c>
      <c r="D453" s="137">
        <v>3.0</v>
      </c>
      <c r="E453" s="137">
        <v>75.0</v>
      </c>
      <c r="F453" s="137">
        <v>1.0</v>
      </c>
      <c r="G453" s="137">
        <v>1.0</v>
      </c>
      <c r="H453" s="137">
        <v>0.0</v>
      </c>
      <c r="I453" s="137">
        <v>0.0</v>
      </c>
      <c r="J453" s="137">
        <v>0.0</v>
      </c>
      <c r="K453" s="137">
        <v>0.0</v>
      </c>
      <c r="L453" s="137">
        <v>0.0</v>
      </c>
      <c r="M453" s="137">
        <v>1.0</v>
      </c>
      <c r="N453" s="137">
        <v>0.0</v>
      </c>
      <c r="O453" s="137">
        <v>3.0</v>
      </c>
      <c r="P453" s="137">
        <v>0.0</v>
      </c>
      <c r="Q453" s="137">
        <v>13.0</v>
      </c>
      <c r="R453" s="137">
        <v>0.0</v>
      </c>
      <c r="S453" s="137">
        <v>11.0</v>
      </c>
      <c r="T453" s="137">
        <v>0.0</v>
      </c>
      <c r="U453" s="137">
        <v>9.0</v>
      </c>
      <c r="V453" s="137">
        <v>0.0</v>
      </c>
      <c r="W453" s="137">
        <v>16.0</v>
      </c>
      <c r="X453" s="137">
        <v>0.0</v>
      </c>
      <c r="Y453" s="137">
        <v>12.0</v>
      </c>
      <c r="Z453" s="137">
        <v>0.0</v>
      </c>
      <c r="AA453" s="137">
        <v>6.0</v>
      </c>
      <c r="AB453" s="137">
        <v>2.0</v>
      </c>
      <c r="AC453" s="137">
        <v>1.0</v>
      </c>
      <c r="AD453" s="137">
        <v>0.0</v>
      </c>
      <c r="AE453" s="137">
        <v>1.0</v>
      </c>
      <c r="AF453" s="137">
        <v>0.0</v>
      </c>
      <c r="AG453" s="137">
        <v>1.0</v>
      </c>
      <c r="AH453" s="137">
        <v>0.0</v>
      </c>
      <c r="AI453" s="137">
        <v>0.0</v>
      </c>
      <c r="AJ453" s="137">
        <v>0.0</v>
      </c>
      <c r="AK453" s="137">
        <v>0.0</v>
      </c>
      <c r="AL453" s="137">
        <v>0.0</v>
      </c>
      <c r="AM453" s="137">
        <v>0.0</v>
      </c>
      <c r="AN453" s="137">
        <v>78.0</v>
      </c>
    </row>
    <row r="454">
      <c r="A454" s="98"/>
      <c r="B454" s="136" t="s">
        <v>200</v>
      </c>
      <c r="C454" s="137">
        <v>819.0</v>
      </c>
      <c r="D454" s="137">
        <v>169.0</v>
      </c>
      <c r="E454" s="137">
        <v>650.0</v>
      </c>
      <c r="F454" s="137">
        <v>17.0</v>
      </c>
      <c r="G454" s="137">
        <v>26.0</v>
      </c>
      <c r="H454" s="137">
        <v>11.0</v>
      </c>
      <c r="I454" s="137">
        <v>13.0</v>
      </c>
      <c r="J454" s="137">
        <v>2.0</v>
      </c>
      <c r="K454" s="137">
        <v>4.0</v>
      </c>
      <c r="L454" s="137">
        <v>12.0</v>
      </c>
      <c r="M454" s="137">
        <v>16.0</v>
      </c>
      <c r="N454" s="137">
        <v>0.0</v>
      </c>
      <c r="O454" s="137">
        <v>26.0</v>
      </c>
      <c r="P454" s="137">
        <v>3.0</v>
      </c>
      <c r="Q454" s="137">
        <v>36.0</v>
      </c>
      <c r="R454" s="137">
        <v>5.0</v>
      </c>
      <c r="S454" s="137">
        <v>36.0</v>
      </c>
      <c r="T454" s="137">
        <v>5.0</v>
      </c>
      <c r="U454" s="137">
        <v>41.0</v>
      </c>
      <c r="V454" s="137">
        <v>4.0</v>
      </c>
      <c r="W454" s="137">
        <v>53.0</v>
      </c>
      <c r="X454" s="137">
        <v>11.0</v>
      </c>
      <c r="Y454" s="137">
        <v>55.0</v>
      </c>
      <c r="Z454" s="137">
        <v>15.0</v>
      </c>
      <c r="AA454" s="137">
        <v>108.0</v>
      </c>
      <c r="AB454" s="137">
        <v>14.0</v>
      </c>
      <c r="AC454" s="137">
        <v>84.0</v>
      </c>
      <c r="AD454" s="137">
        <v>20.0</v>
      </c>
      <c r="AE454" s="137">
        <v>44.0</v>
      </c>
      <c r="AF454" s="137">
        <v>20.0</v>
      </c>
      <c r="AG454" s="137">
        <v>41.0</v>
      </c>
      <c r="AH454" s="137">
        <v>15.0</v>
      </c>
      <c r="AI454" s="137">
        <v>38.0</v>
      </c>
      <c r="AJ454" s="137">
        <v>9.0</v>
      </c>
      <c r="AK454" s="137">
        <v>18.0</v>
      </c>
      <c r="AL454" s="137">
        <v>6.0</v>
      </c>
      <c r="AM454" s="137">
        <v>11.0</v>
      </c>
      <c r="AN454" s="137">
        <v>797.0</v>
      </c>
    </row>
    <row r="455">
      <c r="A455" s="104"/>
      <c r="B455" s="136" t="s">
        <v>201</v>
      </c>
      <c r="C455" s="137">
        <v>0.0</v>
      </c>
      <c r="D455" s="137">
        <v>0.0</v>
      </c>
      <c r="E455" s="137">
        <v>0.0</v>
      </c>
      <c r="F455" s="137">
        <v>0.0</v>
      </c>
      <c r="G455" s="137">
        <v>0.0</v>
      </c>
      <c r="H455" s="137">
        <v>0.0</v>
      </c>
      <c r="I455" s="137">
        <v>0.0</v>
      </c>
      <c r="J455" s="137">
        <v>0.0</v>
      </c>
      <c r="K455" s="137">
        <v>0.0</v>
      </c>
      <c r="L455" s="137">
        <v>0.0</v>
      </c>
      <c r="M455" s="137">
        <v>0.0</v>
      </c>
      <c r="N455" s="137">
        <v>0.0</v>
      </c>
      <c r="O455" s="137">
        <v>0.0</v>
      </c>
      <c r="P455" s="137">
        <v>0.0</v>
      </c>
      <c r="Q455" s="137">
        <v>0.0</v>
      </c>
      <c r="R455" s="137">
        <v>0.0</v>
      </c>
      <c r="S455" s="137">
        <v>0.0</v>
      </c>
      <c r="T455" s="137">
        <v>0.0</v>
      </c>
      <c r="U455" s="137">
        <v>0.0</v>
      </c>
      <c r="V455" s="137">
        <v>0.0</v>
      </c>
      <c r="W455" s="137">
        <v>0.0</v>
      </c>
      <c r="X455" s="137">
        <v>0.0</v>
      </c>
      <c r="Y455" s="137">
        <v>0.0</v>
      </c>
      <c r="Z455" s="137">
        <v>0.0</v>
      </c>
      <c r="AA455" s="137">
        <v>0.0</v>
      </c>
      <c r="AB455" s="137">
        <v>0.0</v>
      </c>
      <c r="AC455" s="137">
        <v>0.0</v>
      </c>
      <c r="AD455" s="137">
        <v>0.0</v>
      </c>
      <c r="AE455" s="137">
        <v>0.0</v>
      </c>
      <c r="AF455" s="137">
        <v>0.0</v>
      </c>
      <c r="AG455" s="137">
        <v>0.0</v>
      </c>
      <c r="AH455" s="137">
        <v>0.0</v>
      </c>
      <c r="AI455" s="137">
        <v>0.0</v>
      </c>
      <c r="AJ455" s="137">
        <v>0.0</v>
      </c>
      <c r="AK455" s="137">
        <v>0.0</v>
      </c>
      <c r="AL455" s="137">
        <v>0.0</v>
      </c>
      <c r="AM455" s="137">
        <v>0.0</v>
      </c>
      <c r="AN455" s="137">
        <v>0.0</v>
      </c>
    </row>
    <row r="456">
      <c r="A456" s="132" t="s">
        <v>208</v>
      </c>
      <c r="B456" s="136" t="s">
        <v>198</v>
      </c>
      <c r="C456" s="137">
        <v>8.0</v>
      </c>
      <c r="D456" s="137">
        <v>8.0</v>
      </c>
      <c r="E456" s="137">
        <v>0.0</v>
      </c>
      <c r="F456" s="137">
        <v>2.0</v>
      </c>
      <c r="G456" s="137">
        <v>0.0</v>
      </c>
      <c r="H456" s="137">
        <v>3.0</v>
      </c>
      <c r="I456" s="137">
        <v>0.0</v>
      </c>
      <c r="J456" s="137">
        <v>2.0</v>
      </c>
      <c r="K456" s="137">
        <v>0.0</v>
      </c>
      <c r="L456" s="137">
        <v>0.0</v>
      </c>
      <c r="M456" s="137">
        <v>0.0</v>
      </c>
      <c r="N456" s="137">
        <v>1.0</v>
      </c>
      <c r="O456" s="137">
        <v>0.0</v>
      </c>
      <c r="P456" s="135">
        <v>0.0</v>
      </c>
      <c r="Q456" s="135">
        <v>0.0</v>
      </c>
      <c r="R456" s="135">
        <v>0.0</v>
      </c>
      <c r="S456" s="135">
        <v>0.0</v>
      </c>
      <c r="T456" s="135">
        <v>0.0</v>
      </c>
      <c r="U456" s="135">
        <v>0.0</v>
      </c>
      <c r="V456" s="135">
        <v>0.0</v>
      </c>
      <c r="W456" s="135">
        <v>0.0</v>
      </c>
      <c r="X456" s="135">
        <v>0.0</v>
      </c>
      <c r="Y456" s="135">
        <v>0.0</v>
      </c>
      <c r="Z456" s="135">
        <v>0.0</v>
      </c>
      <c r="AA456" s="135">
        <v>0.0</v>
      </c>
      <c r="AB456" s="135">
        <v>0.0</v>
      </c>
      <c r="AC456" s="135">
        <v>0.0</v>
      </c>
      <c r="AD456" s="135">
        <v>0.0</v>
      </c>
      <c r="AE456" s="135">
        <v>0.0</v>
      </c>
      <c r="AF456" s="135">
        <v>0.0</v>
      </c>
      <c r="AG456" s="135">
        <v>0.0</v>
      </c>
      <c r="AH456" s="135">
        <v>0.0</v>
      </c>
      <c r="AI456" s="135">
        <v>0.0</v>
      </c>
      <c r="AJ456" s="135">
        <v>0.0</v>
      </c>
      <c r="AK456" s="135">
        <v>0.0</v>
      </c>
      <c r="AL456" s="135">
        <v>0.0</v>
      </c>
      <c r="AM456" s="135">
        <v>0.0</v>
      </c>
      <c r="AN456" s="137">
        <v>8.0</v>
      </c>
    </row>
    <row r="457">
      <c r="A457" s="98"/>
      <c r="B457" s="136" t="s">
        <v>199</v>
      </c>
      <c r="C457" s="137">
        <v>34.0</v>
      </c>
      <c r="D457" s="137">
        <v>24.0</v>
      </c>
      <c r="E457" s="137">
        <v>10.0</v>
      </c>
      <c r="F457" s="137">
        <v>19.0</v>
      </c>
      <c r="G457" s="137">
        <v>3.0</v>
      </c>
      <c r="H457" s="137">
        <v>1.0</v>
      </c>
      <c r="I457" s="137">
        <v>5.0</v>
      </c>
      <c r="J457" s="137">
        <v>4.0</v>
      </c>
      <c r="K457" s="137">
        <v>0.0</v>
      </c>
      <c r="L457" s="137">
        <v>0.0</v>
      </c>
      <c r="M457" s="137">
        <v>1.0</v>
      </c>
      <c r="N457" s="137">
        <v>0.0</v>
      </c>
      <c r="O457" s="137">
        <v>1.0</v>
      </c>
      <c r="P457" s="135">
        <v>0.0</v>
      </c>
      <c r="Q457" s="135">
        <v>0.0</v>
      </c>
      <c r="R457" s="135">
        <v>0.0</v>
      </c>
      <c r="S457" s="135">
        <v>0.0</v>
      </c>
      <c r="T457" s="135">
        <v>0.0</v>
      </c>
      <c r="U457" s="135">
        <v>0.0</v>
      </c>
      <c r="V457" s="135">
        <v>0.0</v>
      </c>
      <c r="W457" s="135">
        <v>0.0</v>
      </c>
      <c r="X457" s="135">
        <v>0.0</v>
      </c>
      <c r="Y457" s="135">
        <v>0.0</v>
      </c>
      <c r="Z457" s="135">
        <v>0.0</v>
      </c>
      <c r="AA457" s="135">
        <v>0.0</v>
      </c>
      <c r="AB457" s="135">
        <v>0.0</v>
      </c>
      <c r="AC457" s="135">
        <v>0.0</v>
      </c>
      <c r="AD457" s="135">
        <v>0.0</v>
      </c>
      <c r="AE457" s="135">
        <v>0.0</v>
      </c>
      <c r="AF457" s="135">
        <v>0.0</v>
      </c>
      <c r="AG457" s="135">
        <v>0.0</v>
      </c>
      <c r="AH457" s="135">
        <v>0.0</v>
      </c>
      <c r="AI457" s="135">
        <v>0.0</v>
      </c>
      <c r="AJ457" s="135">
        <v>0.0</v>
      </c>
      <c r="AK457" s="135">
        <v>0.0</v>
      </c>
      <c r="AL457" s="135">
        <v>0.0</v>
      </c>
      <c r="AM457" s="135">
        <v>0.0</v>
      </c>
      <c r="AN457" s="137">
        <v>34.0</v>
      </c>
    </row>
    <row r="458">
      <c r="A458" s="98"/>
      <c r="B458" s="136" t="s">
        <v>206</v>
      </c>
      <c r="C458" s="137">
        <v>0.0</v>
      </c>
      <c r="D458" s="137">
        <v>0.0</v>
      </c>
      <c r="E458" s="137">
        <v>0.0</v>
      </c>
      <c r="F458" s="137">
        <v>0.0</v>
      </c>
      <c r="G458" s="137">
        <v>0.0</v>
      </c>
      <c r="H458" s="137">
        <v>0.0</v>
      </c>
      <c r="I458" s="137">
        <v>0.0</v>
      </c>
      <c r="J458" s="137">
        <v>0.0</v>
      </c>
      <c r="K458" s="137">
        <v>0.0</v>
      </c>
      <c r="L458" s="137">
        <v>0.0</v>
      </c>
      <c r="M458" s="137">
        <v>0.0</v>
      </c>
      <c r="N458" s="137">
        <v>0.0</v>
      </c>
      <c r="O458" s="137">
        <v>0.0</v>
      </c>
      <c r="P458" s="135">
        <v>0.0</v>
      </c>
      <c r="Q458" s="135">
        <v>0.0</v>
      </c>
      <c r="R458" s="135">
        <v>0.0</v>
      </c>
      <c r="S458" s="135">
        <v>0.0</v>
      </c>
      <c r="T458" s="135">
        <v>0.0</v>
      </c>
      <c r="U458" s="135">
        <v>0.0</v>
      </c>
      <c r="V458" s="135">
        <v>0.0</v>
      </c>
      <c r="W458" s="135">
        <v>0.0</v>
      </c>
      <c r="X458" s="135">
        <v>0.0</v>
      </c>
      <c r="Y458" s="135">
        <v>0.0</v>
      </c>
      <c r="Z458" s="135">
        <v>0.0</v>
      </c>
      <c r="AA458" s="135">
        <v>0.0</v>
      </c>
      <c r="AB458" s="135">
        <v>0.0</v>
      </c>
      <c r="AC458" s="135">
        <v>0.0</v>
      </c>
      <c r="AD458" s="135">
        <v>0.0</v>
      </c>
      <c r="AE458" s="135">
        <v>0.0</v>
      </c>
      <c r="AF458" s="135">
        <v>0.0</v>
      </c>
      <c r="AG458" s="135">
        <v>0.0</v>
      </c>
      <c r="AH458" s="135">
        <v>0.0</v>
      </c>
      <c r="AI458" s="135">
        <v>0.0</v>
      </c>
      <c r="AJ458" s="135">
        <v>0.0</v>
      </c>
      <c r="AK458" s="135">
        <v>0.0</v>
      </c>
      <c r="AL458" s="135">
        <v>0.0</v>
      </c>
      <c r="AM458" s="135">
        <v>0.0</v>
      </c>
      <c r="AN458" s="137">
        <v>0.0</v>
      </c>
    </row>
    <row r="459">
      <c r="A459" s="98"/>
      <c r="B459" s="136" t="s">
        <v>200</v>
      </c>
      <c r="C459" s="137">
        <v>2.0</v>
      </c>
      <c r="D459" s="137">
        <v>1.0</v>
      </c>
      <c r="E459" s="137">
        <v>1.0</v>
      </c>
      <c r="F459" s="137">
        <v>1.0</v>
      </c>
      <c r="G459" s="137">
        <v>1.0</v>
      </c>
      <c r="H459" s="137">
        <v>0.0</v>
      </c>
      <c r="I459" s="137">
        <v>0.0</v>
      </c>
      <c r="J459" s="137">
        <v>0.0</v>
      </c>
      <c r="K459" s="137">
        <v>0.0</v>
      </c>
      <c r="L459" s="137">
        <v>0.0</v>
      </c>
      <c r="M459" s="137">
        <v>0.0</v>
      </c>
      <c r="N459" s="137">
        <v>0.0</v>
      </c>
      <c r="O459" s="137">
        <v>0.0</v>
      </c>
      <c r="P459" s="135">
        <v>0.0</v>
      </c>
      <c r="Q459" s="135">
        <v>0.0</v>
      </c>
      <c r="R459" s="135">
        <v>0.0</v>
      </c>
      <c r="S459" s="135">
        <v>0.0</v>
      </c>
      <c r="T459" s="135">
        <v>0.0</v>
      </c>
      <c r="U459" s="135">
        <v>0.0</v>
      </c>
      <c r="V459" s="135">
        <v>0.0</v>
      </c>
      <c r="W459" s="135">
        <v>0.0</v>
      </c>
      <c r="X459" s="135">
        <v>0.0</v>
      </c>
      <c r="Y459" s="135">
        <v>0.0</v>
      </c>
      <c r="Z459" s="135">
        <v>0.0</v>
      </c>
      <c r="AA459" s="135">
        <v>0.0</v>
      </c>
      <c r="AB459" s="135">
        <v>0.0</v>
      </c>
      <c r="AC459" s="135">
        <v>0.0</v>
      </c>
      <c r="AD459" s="135">
        <v>0.0</v>
      </c>
      <c r="AE459" s="135">
        <v>0.0</v>
      </c>
      <c r="AF459" s="135">
        <v>0.0</v>
      </c>
      <c r="AG459" s="135">
        <v>0.0</v>
      </c>
      <c r="AH459" s="135">
        <v>0.0</v>
      </c>
      <c r="AI459" s="135">
        <v>0.0</v>
      </c>
      <c r="AJ459" s="135">
        <v>0.0</v>
      </c>
      <c r="AK459" s="135">
        <v>0.0</v>
      </c>
      <c r="AL459" s="135">
        <v>0.0</v>
      </c>
      <c r="AM459" s="135">
        <v>0.0</v>
      </c>
      <c r="AN459" s="137">
        <v>2.0</v>
      </c>
    </row>
    <row r="460">
      <c r="A460" s="104"/>
      <c r="B460" s="136" t="s">
        <v>201</v>
      </c>
      <c r="C460" s="137">
        <v>0.0</v>
      </c>
      <c r="D460" s="137">
        <v>0.0</v>
      </c>
      <c r="E460" s="137">
        <v>0.0</v>
      </c>
      <c r="F460" s="137">
        <v>0.0</v>
      </c>
      <c r="G460" s="137">
        <v>0.0</v>
      </c>
      <c r="H460" s="137">
        <v>0.0</v>
      </c>
      <c r="I460" s="137">
        <v>0.0</v>
      </c>
      <c r="J460" s="137">
        <v>0.0</v>
      </c>
      <c r="K460" s="137">
        <v>0.0</v>
      </c>
      <c r="L460" s="137">
        <v>0.0</v>
      </c>
      <c r="M460" s="137">
        <v>0.0</v>
      </c>
      <c r="N460" s="137">
        <v>0.0</v>
      </c>
      <c r="O460" s="137">
        <v>0.0</v>
      </c>
      <c r="P460" s="135">
        <v>0.0</v>
      </c>
      <c r="Q460" s="135">
        <v>0.0</v>
      </c>
      <c r="R460" s="135">
        <v>0.0</v>
      </c>
      <c r="S460" s="135">
        <v>0.0</v>
      </c>
      <c r="T460" s="135">
        <v>0.0</v>
      </c>
      <c r="U460" s="135">
        <v>0.0</v>
      </c>
      <c r="V460" s="135">
        <v>0.0</v>
      </c>
      <c r="W460" s="135">
        <v>0.0</v>
      </c>
      <c r="X460" s="135">
        <v>0.0</v>
      </c>
      <c r="Y460" s="135">
        <v>0.0</v>
      </c>
      <c r="Z460" s="135">
        <v>0.0</v>
      </c>
      <c r="AA460" s="135">
        <v>0.0</v>
      </c>
      <c r="AB460" s="135">
        <v>0.0</v>
      </c>
      <c r="AC460" s="135">
        <v>0.0</v>
      </c>
      <c r="AD460" s="135">
        <v>0.0</v>
      </c>
      <c r="AE460" s="135">
        <v>0.0</v>
      </c>
      <c r="AF460" s="135">
        <v>0.0</v>
      </c>
      <c r="AG460" s="135">
        <v>0.0</v>
      </c>
      <c r="AH460" s="135">
        <v>0.0</v>
      </c>
      <c r="AI460" s="135">
        <v>0.0</v>
      </c>
      <c r="AJ460" s="135">
        <v>0.0</v>
      </c>
      <c r="AK460" s="135">
        <v>0.0</v>
      </c>
      <c r="AL460" s="135">
        <v>0.0</v>
      </c>
      <c r="AM460" s="135">
        <v>0.0</v>
      </c>
      <c r="AN460" s="137">
        <v>0.0</v>
      </c>
    </row>
    <row r="461">
      <c r="A461" s="138" t="s">
        <v>227</v>
      </c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</row>
    <row r="462">
      <c r="A462" s="132" t="s">
        <v>197</v>
      </c>
      <c r="B462" s="133" t="s">
        <v>198</v>
      </c>
      <c r="C462" s="134">
        <v>34002.0</v>
      </c>
      <c r="D462" s="134">
        <v>12582.0</v>
      </c>
      <c r="E462" s="134">
        <v>21420.0</v>
      </c>
      <c r="F462" s="135">
        <v>0.0</v>
      </c>
      <c r="G462" s="135">
        <v>0.0</v>
      </c>
      <c r="H462" s="135">
        <v>0.0</v>
      </c>
      <c r="I462" s="135">
        <v>0.0</v>
      </c>
      <c r="J462" s="135">
        <v>0.0</v>
      </c>
      <c r="K462" s="135">
        <v>0.0</v>
      </c>
      <c r="L462" s="137">
        <v>27.0</v>
      </c>
      <c r="M462" s="137">
        <v>41.0</v>
      </c>
      <c r="N462" s="137">
        <v>21.0</v>
      </c>
      <c r="O462" s="137">
        <v>82.0</v>
      </c>
      <c r="P462" s="137">
        <v>59.0</v>
      </c>
      <c r="Q462" s="137">
        <v>141.0</v>
      </c>
      <c r="R462" s="137">
        <v>114.0</v>
      </c>
      <c r="S462" s="137">
        <v>275.0</v>
      </c>
      <c r="T462" s="137">
        <v>227.0</v>
      </c>
      <c r="U462" s="137">
        <v>534.0</v>
      </c>
      <c r="V462" s="137">
        <v>441.0</v>
      </c>
      <c r="W462" s="134">
        <v>1069.0</v>
      </c>
      <c r="X462" s="137">
        <v>659.0</v>
      </c>
      <c r="Y462" s="134">
        <v>1789.0</v>
      </c>
      <c r="Z462" s="134">
        <v>1219.0</v>
      </c>
      <c r="AA462" s="134">
        <v>2657.0</v>
      </c>
      <c r="AB462" s="134">
        <v>1680.0</v>
      </c>
      <c r="AC462" s="134">
        <v>3041.0</v>
      </c>
      <c r="AD462" s="134">
        <v>1758.0</v>
      </c>
      <c r="AE462" s="134">
        <v>3160.0</v>
      </c>
      <c r="AF462" s="134">
        <v>1888.0</v>
      </c>
      <c r="AG462" s="134">
        <v>2761.0</v>
      </c>
      <c r="AH462" s="134">
        <v>1825.0</v>
      </c>
      <c r="AI462" s="134">
        <v>2343.0</v>
      </c>
      <c r="AJ462" s="134">
        <v>1312.0</v>
      </c>
      <c r="AK462" s="134">
        <v>1649.0</v>
      </c>
      <c r="AL462" s="134">
        <v>1352.0</v>
      </c>
      <c r="AM462" s="134">
        <v>1878.0</v>
      </c>
      <c r="AN462" s="134">
        <v>33746.0</v>
      </c>
    </row>
    <row r="463">
      <c r="A463" s="98"/>
      <c r="B463" s="136" t="s">
        <v>199</v>
      </c>
      <c r="C463" s="134">
        <v>20751.0</v>
      </c>
      <c r="D463" s="134">
        <v>7772.0</v>
      </c>
      <c r="E463" s="134">
        <v>12979.0</v>
      </c>
      <c r="F463" s="135">
        <v>0.0</v>
      </c>
      <c r="G463" s="135">
        <v>0.0</v>
      </c>
      <c r="H463" s="135">
        <v>0.0</v>
      </c>
      <c r="I463" s="135">
        <v>0.0</v>
      </c>
      <c r="J463" s="135">
        <v>0.0</v>
      </c>
      <c r="K463" s="135">
        <v>0.0</v>
      </c>
      <c r="L463" s="137">
        <v>9.0</v>
      </c>
      <c r="M463" s="137">
        <v>12.0</v>
      </c>
      <c r="N463" s="137">
        <v>12.0</v>
      </c>
      <c r="O463" s="137">
        <v>31.0</v>
      </c>
      <c r="P463" s="137">
        <v>31.0</v>
      </c>
      <c r="Q463" s="137">
        <v>74.0</v>
      </c>
      <c r="R463" s="137">
        <v>65.0</v>
      </c>
      <c r="S463" s="137">
        <v>121.0</v>
      </c>
      <c r="T463" s="137">
        <v>118.0</v>
      </c>
      <c r="U463" s="137">
        <v>287.0</v>
      </c>
      <c r="V463" s="137">
        <v>231.0</v>
      </c>
      <c r="W463" s="137">
        <v>557.0</v>
      </c>
      <c r="X463" s="137">
        <v>373.0</v>
      </c>
      <c r="Y463" s="134">
        <v>1000.0</v>
      </c>
      <c r="Z463" s="137">
        <v>692.0</v>
      </c>
      <c r="AA463" s="134">
        <v>1533.0</v>
      </c>
      <c r="AB463" s="137">
        <v>967.0</v>
      </c>
      <c r="AC463" s="134">
        <v>1729.0</v>
      </c>
      <c r="AD463" s="134">
        <v>1023.0</v>
      </c>
      <c r="AE463" s="134">
        <v>1813.0</v>
      </c>
      <c r="AF463" s="134">
        <v>1266.0</v>
      </c>
      <c r="AG463" s="134">
        <v>1797.0</v>
      </c>
      <c r="AH463" s="134">
        <v>1124.0</v>
      </c>
      <c r="AI463" s="134">
        <v>1514.0</v>
      </c>
      <c r="AJ463" s="137">
        <v>915.0</v>
      </c>
      <c r="AK463" s="134">
        <v>1136.0</v>
      </c>
      <c r="AL463" s="137">
        <v>946.0</v>
      </c>
      <c r="AM463" s="134">
        <v>1375.0</v>
      </c>
      <c r="AN463" s="134">
        <v>20497.0</v>
      </c>
    </row>
    <row r="464">
      <c r="A464" s="98"/>
      <c r="B464" s="136" t="s">
        <v>200</v>
      </c>
      <c r="C464" s="134">
        <v>19074.0</v>
      </c>
      <c r="D464" s="134">
        <v>6807.0</v>
      </c>
      <c r="E464" s="134">
        <v>12267.0</v>
      </c>
      <c r="F464" s="135">
        <v>0.0</v>
      </c>
      <c r="G464" s="135">
        <v>0.0</v>
      </c>
      <c r="H464" s="135">
        <v>0.0</v>
      </c>
      <c r="I464" s="135">
        <v>0.0</v>
      </c>
      <c r="J464" s="135">
        <v>0.0</v>
      </c>
      <c r="K464" s="135">
        <v>0.0</v>
      </c>
      <c r="L464" s="137">
        <v>16.0</v>
      </c>
      <c r="M464" s="137">
        <v>21.0</v>
      </c>
      <c r="N464" s="137">
        <v>13.0</v>
      </c>
      <c r="O464" s="137">
        <v>43.0</v>
      </c>
      <c r="P464" s="137">
        <v>39.0</v>
      </c>
      <c r="Q464" s="137">
        <v>90.0</v>
      </c>
      <c r="R464" s="137">
        <v>61.0</v>
      </c>
      <c r="S464" s="137">
        <v>149.0</v>
      </c>
      <c r="T464" s="137">
        <v>128.0</v>
      </c>
      <c r="U464" s="137">
        <v>315.0</v>
      </c>
      <c r="V464" s="137">
        <v>239.0</v>
      </c>
      <c r="W464" s="137">
        <v>619.0</v>
      </c>
      <c r="X464" s="137">
        <v>365.0</v>
      </c>
      <c r="Y464" s="134">
        <v>1050.0</v>
      </c>
      <c r="Z464" s="137">
        <v>696.0</v>
      </c>
      <c r="AA464" s="134">
        <v>1588.0</v>
      </c>
      <c r="AB464" s="137">
        <v>889.0</v>
      </c>
      <c r="AC464" s="134">
        <v>1753.0</v>
      </c>
      <c r="AD464" s="137">
        <v>941.0</v>
      </c>
      <c r="AE464" s="134">
        <v>1805.0</v>
      </c>
      <c r="AF464" s="134">
        <v>1033.0</v>
      </c>
      <c r="AG464" s="134">
        <v>1621.0</v>
      </c>
      <c r="AH464" s="137">
        <v>948.0</v>
      </c>
      <c r="AI464" s="134">
        <v>1339.0</v>
      </c>
      <c r="AJ464" s="137">
        <v>725.0</v>
      </c>
      <c r="AK464" s="137">
        <v>881.0</v>
      </c>
      <c r="AL464" s="137">
        <v>714.0</v>
      </c>
      <c r="AM464" s="137">
        <v>993.0</v>
      </c>
      <c r="AN464" s="134">
        <v>18841.0</v>
      </c>
    </row>
    <row r="465">
      <c r="A465" s="104"/>
      <c r="B465" s="136" t="s">
        <v>201</v>
      </c>
      <c r="C465" s="137">
        <v>3.0</v>
      </c>
      <c r="D465" s="137">
        <v>1.0</v>
      </c>
      <c r="E465" s="137">
        <v>2.0</v>
      </c>
      <c r="F465" s="135">
        <v>0.0</v>
      </c>
      <c r="G465" s="135">
        <v>0.0</v>
      </c>
      <c r="H465" s="135">
        <v>0.0</v>
      </c>
      <c r="I465" s="135">
        <v>0.0</v>
      </c>
      <c r="J465" s="135">
        <v>0.0</v>
      </c>
      <c r="K465" s="135">
        <v>0.0</v>
      </c>
      <c r="L465" s="137">
        <v>0.0</v>
      </c>
      <c r="M465" s="137">
        <v>0.0</v>
      </c>
      <c r="N465" s="137">
        <v>0.0</v>
      </c>
      <c r="O465" s="137">
        <v>0.0</v>
      </c>
      <c r="P465" s="137">
        <v>0.0</v>
      </c>
      <c r="Q465" s="137">
        <v>0.0</v>
      </c>
      <c r="R465" s="137">
        <v>0.0</v>
      </c>
      <c r="S465" s="137">
        <v>0.0</v>
      </c>
      <c r="T465" s="137">
        <v>0.0</v>
      </c>
      <c r="U465" s="137">
        <v>0.0</v>
      </c>
      <c r="V465" s="137">
        <v>0.0</v>
      </c>
      <c r="W465" s="137">
        <v>0.0</v>
      </c>
      <c r="X465" s="137">
        <v>0.0</v>
      </c>
      <c r="Y465" s="137">
        <v>0.0</v>
      </c>
      <c r="Z465" s="137">
        <v>0.0</v>
      </c>
      <c r="AA465" s="137">
        <v>0.0</v>
      </c>
      <c r="AB465" s="137">
        <v>0.0</v>
      </c>
      <c r="AC465" s="137">
        <v>0.0</v>
      </c>
      <c r="AD465" s="137">
        <v>0.0</v>
      </c>
      <c r="AE465" s="137">
        <v>1.0</v>
      </c>
      <c r="AF465" s="137">
        <v>0.0</v>
      </c>
      <c r="AG465" s="137">
        <v>1.0</v>
      </c>
      <c r="AH465" s="137">
        <v>0.0</v>
      </c>
      <c r="AI465" s="137">
        <v>0.0</v>
      </c>
      <c r="AJ465" s="137">
        <v>0.0</v>
      </c>
      <c r="AK465" s="137">
        <v>0.0</v>
      </c>
      <c r="AL465" s="137">
        <v>1.0</v>
      </c>
      <c r="AM465" s="137">
        <v>0.0</v>
      </c>
      <c r="AN465" s="137">
        <v>3.0</v>
      </c>
    </row>
    <row r="466">
      <c r="A466" s="132" t="s">
        <v>202</v>
      </c>
      <c r="B466" s="136" t="s">
        <v>198</v>
      </c>
      <c r="C466" s="137">
        <v>315.0</v>
      </c>
      <c r="D466" s="137">
        <v>198.0</v>
      </c>
      <c r="E466" s="137">
        <v>117.0</v>
      </c>
      <c r="F466" s="137">
        <v>0.0</v>
      </c>
      <c r="G466" s="137">
        <v>2.0</v>
      </c>
      <c r="H466" s="137">
        <v>1.0</v>
      </c>
      <c r="I466" s="137">
        <v>1.0</v>
      </c>
      <c r="J466" s="137">
        <v>4.0</v>
      </c>
      <c r="K466" s="137">
        <v>0.0</v>
      </c>
      <c r="L466" s="137">
        <v>20.0</v>
      </c>
      <c r="M466" s="137">
        <v>9.0</v>
      </c>
      <c r="N466" s="137">
        <v>8.0</v>
      </c>
      <c r="O466" s="137">
        <v>10.0</v>
      </c>
      <c r="P466" s="137">
        <v>23.0</v>
      </c>
      <c r="Q466" s="137">
        <v>11.0</v>
      </c>
      <c r="R466" s="137">
        <v>31.0</v>
      </c>
      <c r="S466" s="137">
        <v>8.0</v>
      </c>
      <c r="T466" s="137">
        <v>13.0</v>
      </c>
      <c r="U466" s="137">
        <v>15.0</v>
      </c>
      <c r="V466" s="137">
        <v>21.0</v>
      </c>
      <c r="W466" s="137">
        <v>13.0</v>
      </c>
      <c r="X466" s="137">
        <v>9.0</v>
      </c>
      <c r="Y466" s="137">
        <v>12.0</v>
      </c>
      <c r="Z466" s="137">
        <v>8.0</v>
      </c>
      <c r="AA466" s="137">
        <v>10.0</v>
      </c>
      <c r="AB466" s="137">
        <v>10.0</v>
      </c>
      <c r="AC466" s="137">
        <v>15.0</v>
      </c>
      <c r="AD466" s="137">
        <v>27.0</v>
      </c>
      <c r="AE466" s="137">
        <v>8.0</v>
      </c>
      <c r="AF466" s="137">
        <v>13.0</v>
      </c>
      <c r="AG466" s="137">
        <v>2.0</v>
      </c>
      <c r="AH466" s="137">
        <v>2.0</v>
      </c>
      <c r="AI466" s="137">
        <v>0.0</v>
      </c>
      <c r="AJ466" s="137">
        <v>3.0</v>
      </c>
      <c r="AK466" s="137">
        <v>1.0</v>
      </c>
      <c r="AL466" s="137">
        <v>5.0</v>
      </c>
      <c r="AM466" s="137">
        <v>0.0</v>
      </c>
      <c r="AN466" s="137">
        <v>305.0</v>
      </c>
    </row>
    <row r="467">
      <c r="A467" s="104"/>
      <c r="B467" s="136" t="s">
        <v>199</v>
      </c>
      <c r="C467" s="137">
        <v>38.0</v>
      </c>
      <c r="D467" s="137">
        <v>21.0</v>
      </c>
      <c r="E467" s="137">
        <v>17.0</v>
      </c>
      <c r="F467" s="137">
        <v>0.0</v>
      </c>
      <c r="G467" s="137">
        <v>0.0</v>
      </c>
      <c r="H467" s="137">
        <v>1.0</v>
      </c>
      <c r="I467" s="137">
        <v>2.0</v>
      </c>
      <c r="J467" s="137">
        <v>1.0</v>
      </c>
      <c r="K467" s="137">
        <v>0.0</v>
      </c>
      <c r="L467" s="137">
        <v>1.0</v>
      </c>
      <c r="M467" s="137">
        <v>0.0</v>
      </c>
      <c r="N467" s="137">
        <v>2.0</v>
      </c>
      <c r="O467" s="137">
        <v>1.0</v>
      </c>
      <c r="P467" s="137">
        <v>1.0</v>
      </c>
      <c r="Q467" s="137">
        <v>3.0</v>
      </c>
      <c r="R467" s="137">
        <v>1.0</v>
      </c>
      <c r="S467" s="137">
        <v>1.0</v>
      </c>
      <c r="T467" s="137">
        <v>3.0</v>
      </c>
      <c r="U467" s="137">
        <v>4.0</v>
      </c>
      <c r="V467" s="137">
        <v>4.0</v>
      </c>
      <c r="W467" s="137">
        <v>0.0</v>
      </c>
      <c r="X467" s="137">
        <v>0.0</v>
      </c>
      <c r="Y467" s="137">
        <v>1.0</v>
      </c>
      <c r="Z467" s="137">
        <v>0.0</v>
      </c>
      <c r="AA467" s="137">
        <v>1.0</v>
      </c>
      <c r="AB467" s="137">
        <v>2.0</v>
      </c>
      <c r="AC467" s="137">
        <v>0.0</v>
      </c>
      <c r="AD467" s="137">
        <v>4.0</v>
      </c>
      <c r="AE467" s="137">
        <v>3.0</v>
      </c>
      <c r="AF467" s="137">
        <v>0.0</v>
      </c>
      <c r="AG467" s="137">
        <v>0.0</v>
      </c>
      <c r="AH467" s="137">
        <v>1.0</v>
      </c>
      <c r="AI467" s="137">
        <v>0.0</v>
      </c>
      <c r="AJ467" s="137">
        <v>0.0</v>
      </c>
      <c r="AK467" s="137">
        <v>0.0</v>
      </c>
      <c r="AL467" s="137">
        <v>0.0</v>
      </c>
      <c r="AM467" s="137">
        <v>1.0</v>
      </c>
      <c r="AN467" s="137">
        <v>38.0</v>
      </c>
    </row>
    <row r="468">
      <c r="A468" s="132" t="s">
        <v>203</v>
      </c>
      <c r="B468" s="136" t="s">
        <v>198</v>
      </c>
      <c r="C468" s="137">
        <v>1.0</v>
      </c>
      <c r="D468" s="137">
        <v>0.0</v>
      </c>
      <c r="E468" s="137">
        <v>1.0</v>
      </c>
      <c r="F468" s="135">
        <v>0.0</v>
      </c>
      <c r="G468" s="135">
        <v>0.0</v>
      </c>
      <c r="H468" s="135">
        <v>0.0</v>
      </c>
      <c r="I468" s="135">
        <v>0.0</v>
      </c>
      <c r="J468" s="135">
        <v>0.0</v>
      </c>
      <c r="K468" s="135">
        <v>0.0</v>
      </c>
      <c r="L468" s="135">
        <v>0.0</v>
      </c>
      <c r="M468" s="135">
        <v>0.0</v>
      </c>
      <c r="N468" s="135">
        <v>0.0</v>
      </c>
      <c r="O468" s="135">
        <v>0.0</v>
      </c>
      <c r="P468" s="135">
        <v>0.0</v>
      </c>
      <c r="Q468" s="135">
        <v>0.0</v>
      </c>
      <c r="R468" s="135">
        <v>0.0</v>
      </c>
      <c r="S468" s="135">
        <v>0.0</v>
      </c>
      <c r="T468" s="135">
        <v>0.0</v>
      </c>
      <c r="U468" s="135">
        <v>0.0</v>
      </c>
      <c r="V468" s="135">
        <v>0.0</v>
      </c>
      <c r="W468" s="135">
        <v>0.0</v>
      </c>
      <c r="X468" s="135">
        <v>0.0</v>
      </c>
      <c r="Y468" s="135">
        <v>0.0</v>
      </c>
      <c r="Z468" s="135">
        <v>0.0</v>
      </c>
      <c r="AA468" s="135">
        <v>0.0</v>
      </c>
      <c r="AB468" s="135">
        <v>0.0</v>
      </c>
      <c r="AC468" s="135">
        <v>0.0</v>
      </c>
      <c r="AD468" s="135">
        <v>0.0</v>
      </c>
      <c r="AE468" s="135">
        <v>0.0</v>
      </c>
      <c r="AF468" s="137">
        <v>0.0</v>
      </c>
      <c r="AG468" s="137">
        <v>1.0</v>
      </c>
      <c r="AH468" s="137">
        <v>0.0</v>
      </c>
      <c r="AI468" s="137">
        <v>0.0</v>
      </c>
      <c r="AJ468" s="137">
        <v>0.0</v>
      </c>
      <c r="AK468" s="137">
        <v>0.0</v>
      </c>
      <c r="AL468" s="137">
        <v>0.0</v>
      </c>
      <c r="AM468" s="137">
        <v>0.0</v>
      </c>
      <c r="AN468" s="137">
        <v>1.0</v>
      </c>
    </row>
    <row r="469">
      <c r="A469" s="104"/>
      <c r="B469" s="136" t="s">
        <v>199</v>
      </c>
      <c r="C469" s="137">
        <v>83.0</v>
      </c>
      <c r="D469" s="137">
        <v>38.0</v>
      </c>
      <c r="E469" s="137">
        <v>45.0</v>
      </c>
      <c r="F469" s="135">
        <v>0.0</v>
      </c>
      <c r="G469" s="135">
        <v>0.0</v>
      </c>
      <c r="H469" s="135">
        <v>0.0</v>
      </c>
      <c r="I469" s="135">
        <v>0.0</v>
      </c>
      <c r="J469" s="135">
        <v>0.0</v>
      </c>
      <c r="K469" s="135">
        <v>0.0</v>
      </c>
      <c r="L469" s="135">
        <v>0.0</v>
      </c>
      <c r="M469" s="135">
        <v>0.0</v>
      </c>
      <c r="N469" s="135">
        <v>0.0</v>
      </c>
      <c r="O469" s="135">
        <v>0.0</v>
      </c>
      <c r="P469" s="135">
        <v>0.0</v>
      </c>
      <c r="Q469" s="135">
        <v>0.0</v>
      </c>
      <c r="R469" s="135">
        <v>0.0</v>
      </c>
      <c r="S469" s="135">
        <v>0.0</v>
      </c>
      <c r="T469" s="135">
        <v>0.0</v>
      </c>
      <c r="U469" s="135">
        <v>0.0</v>
      </c>
      <c r="V469" s="135">
        <v>0.0</v>
      </c>
      <c r="W469" s="135">
        <v>0.0</v>
      </c>
      <c r="X469" s="135">
        <v>0.0</v>
      </c>
      <c r="Y469" s="135">
        <v>0.0</v>
      </c>
      <c r="Z469" s="135">
        <v>0.0</v>
      </c>
      <c r="AA469" s="135">
        <v>0.0</v>
      </c>
      <c r="AB469" s="135">
        <v>0.0</v>
      </c>
      <c r="AC469" s="135">
        <v>0.0</v>
      </c>
      <c r="AD469" s="135">
        <v>0.0</v>
      </c>
      <c r="AE469" s="135">
        <v>0.0</v>
      </c>
      <c r="AF469" s="137">
        <v>8.0</v>
      </c>
      <c r="AG469" s="137">
        <v>19.0</v>
      </c>
      <c r="AH469" s="137">
        <v>13.0</v>
      </c>
      <c r="AI469" s="137">
        <v>11.0</v>
      </c>
      <c r="AJ469" s="137">
        <v>11.0</v>
      </c>
      <c r="AK469" s="137">
        <v>8.0</v>
      </c>
      <c r="AL469" s="137">
        <v>6.0</v>
      </c>
      <c r="AM469" s="137">
        <v>7.0</v>
      </c>
      <c r="AN469" s="137">
        <v>83.0</v>
      </c>
    </row>
    <row r="470">
      <c r="A470" s="132" t="s">
        <v>204</v>
      </c>
      <c r="B470" s="136" t="s">
        <v>198</v>
      </c>
      <c r="C470" s="137">
        <v>2.0</v>
      </c>
      <c r="D470" s="137">
        <v>1.0</v>
      </c>
      <c r="E470" s="137">
        <v>1.0</v>
      </c>
      <c r="F470" s="135">
        <v>0.0</v>
      </c>
      <c r="G470" s="135">
        <v>0.0</v>
      </c>
      <c r="H470" s="135">
        <v>0.0</v>
      </c>
      <c r="I470" s="135">
        <v>0.0</v>
      </c>
      <c r="J470" s="135">
        <v>0.0</v>
      </c>
      <c r="K470" s="135">
        <v>0.0</v>
      </c>
      <c r="L470" s="135">
        <v>0.0</v>
      </c>
      <c r="M470" s="135">
        <v>0.0</v>
      </c>
      <c r="N470" s="135">
        <v>0.0</v>
      </c>
      <c r="O470" s="135">
        <v>0.0</v>
      </c>
      <c r="P470" s="135">
        <v>0.0</v>
      </c>
      <c r="Q470" s="135">
        <v>0.0</v>
      </c>
      <c r="R470" s="135">
        <v>0.0</v>
      </c>
      <c r="S470" s="135">
        <v>0.0</v>
      </c>
      <c r="T470" s="135">
        <v>0.0</v>
      </c>
      <c r="U470" s="135">
        <v>0.0</v>
      </c>
      <c r="V470" s="135">
        <v>0.0</v>
      </c>
      <c r="W470" s="135">
        <v>0.0</v>
      </c>
      <c r="X470" s="135">
        <v>0.0</v>
      </c>
      <c r="Y470" s="135">
        <v>0.0</v>
      </c>
      <c r="Z470" s="135">
        <v>0.0</v>
      </c>
      <c r="AA470" s="135">
        <v>0.0</v>
      </c>
      <c r="AB470" s="135">
        <v>0.0</v>
      </c>
      <c r="AC470" s="135">
        <v>0.0</v>
      </c>
      <c r="AD470" s="135">
        <v>0.0</v>
      </c>
      <c r="AE470" s="135">
        <v>0.0</v>
      </c>
      <c r="AF470" s="137">
        <v>1.0</v>
      </c>
      <c r="AG470" s="137">
        <v>0.0</v>
      </c>
      <c r="AH470" s="137">
        <v>0.0</v>
      </c>
      <c r="AI470" s="137">
        <v>1.0</v>
      </c>
      <c r="AJ470" s="137">
        <v>0.0</v>
      </c>
      <c r="AK470" s="137">
        <v>0.0</v>
      </c>
      <c r="AL470" s="137">
        <v>0.0</v>
      </c>
      <c r="AM470" s="137">
        <v>0.0</v>
      </c>
      <c r="AN470" s="137">
        <v>2.0</v>
      </c>
    </row>
    <row r="471">
      <c r="A471" s="104"/>
      <c r="B471" s="136" t="s">
        <v>199</v>
      </c>
      <c r="C471" s="137">
        <v>94.0</v>
      </c>
      <c r="D471" s="137">
        <v>35.0</v>
      </c>
      <c r="E471" s="137">
        <v>59.0</v>
      </c>
      <c r="F471" s="135">
        <v>0.0</v>
      </c>
      <c r="G471" s="135">
        <v>0.0</v>
      </c>
      <c r="H471" s="135">
        <v>0.0</v>
      </c>
      <c r="I471" s="135">
        <v>0.0</v>
      </c>
      <c r="J471" s="135">
        <v>0.0</v>
      </c>
      <c r="K471" s="135">
        <v>0.0</v>
      </c>
      <c r="L471" s="135">
        <v>0.0</v>
      </c>
      <c r="M471" s="135">
        <v>0.0</v>
      </c>
      <c r="N471" s="135">
        <v>0.0</v>
      </c>
      <c r="O471" s="135">
        <v>0.0</v>
      </c>
      <c r="P471" s="135">
        <v>0.0</v>
      </c>
      <c r="Q471" s="135">
        <v>0.0</v>
      </c>
      <c r="R471" s="135">
        <v>0.0</v>
      </c>
      <c r="S471" s="135">
        <v>0.0</v>
      </c>
      <c r="T471" s="135">
        <v>0.0</v>
      </c>
      <c r="U471" s="135">
        <v>0.0</v>
      </c>
      <c r="V471" s="135">
        <v>0.0</v>
      </c>
      <c r="W471" s="135">
        <v>0.0</v>
      </c>
      <c r="X471" s="135">
        <v>0.0</v>
      </c>
      <c r="Y471" s="135">
        <v>0.0</v>
      </c>
      <c r="Z471" s="135">
        <v>0.0</v>
      </c>
      <c r="AA471" s="135">
        <v>0.0</v>
      </c>
      <c r="AB471" s="135">
        <v>0.0</v>
      </c>
      <c r="AC471" s="135">
        <v>0.0</v>
      </c>
      <c r="AD471" s="135">
        <v>0.0</v>
      </c>
      <c r="AE471" s="135">
        <v>0.0</v>
      </c>
      <c r="AF471" s="137">
        <v>3.0</v>
      </c>
      <c r="AG471" s="137">
        <v>9.0</v>
      </c>
      <c r="AH471" s="137">
        <v>3.0</v>
      </c>
      <c r="AI471" s="137">
        <v>15.0</v>
      </c>
      <c r="AJ471" s="137">
        <v>14.0</v>
      </c>
      <c r="AK471" s="137">
        <v>9.0</v>
      </c>
      <c r="AL471" s="137">
        <v>15.0</v>
      </c>
      <c r="AM471" s="137">
        <v>26.0</v>
      </c>
      <c r="AN471" s="137">
        <v>94.0</v>
      </c>
    </row>
    <row r="472">
      <c r="A472" s="132" t="s">
        <v>205</v>
      </c>
      <c r="B472" s="136" t="s">
        <v>198</v>
      </c>
      <c r="C472" s="137">
        <v>0.0</v>
      </c>
      <c r="D472" s="137">
        <v>0.0</v>
      </c>
      <c r="E472" s="137">
        <v>0.0</v>
      </c>
      <c r="F472" s="137">
        <v>0.0</v>
      </c>
      <c r="G472" s="137">
        <v>0.0</v>
      </c>
      <c r="H472" s="137">
        <v>0.0</v>
      </c>
      <c r="I472" s="137">
        <v>0.0</v>
      </c>
      <c r="J472" s="137">
        <v>0.0</v>
      </c>
      <c r="K472" s="137">
        <v>0.0</v>
      </c>
      <c r="L472" s="137">
        <v>0.0</v>
      </c>
      <c r="M472" s="137">
        <v>0.0</v>
      </c>
      <c r="N472" s="137">
        <v>0.0</v>
      </c>
      <c r="O472" s="137">
        <v>0.0</v>
      </c>
      <c r="P472" s="137">
        <v>0.0</v>
      </c>
      <c r="Q472" s="137">
        <v>0.0</v>
      </c>
      <c r="R472" s="137">
        <v>0.0</v>
      </c>
      <c r="S472" s="137">
        <v>0.0</v>
      </c>
      <c r="T472" s="137">
        <v>0.0</v>
      </c>
      <c r="U472" s="137">
        <v>0.0</v>
      </c>
      <c r="V472" s="137">
        <v>0.0</v>
      </c>
      <c r="W472" s="137">
        <v>0.0</v>
      </c>
      <c r="X472" s="137">
        <v>0.0</v>
      </c>
      <c r="Y472" s="137">
        <v>0.0</v>
      </c>
      <c r="Z472" s="137">
        <v>0.0</v>
      </c>
      <c r="AA472" s="137">
        <v>0.0</v>
      </c>
      <c r="AB472" s="137">
        <v>0.0</v>
      </c>
      <c r="AC472" s="137">
        <v>0.0</v>
      </c>
      <c r="AD472" s="137">
        <v>0.0</v>
      </c>
      <c r="AE472" s="137">
        <v>0.0</v>
      </c>
      <c r="AF472" s="137">
        <v>0.0</v>
      </c>
      <c r="AG472" s="137">
        <v>0.0</v>
      </c>
      <c r="AH472" s="137">
        <v>0.0</v>
      </c>
      <c r="AI472" s="137">
        <v>0.0</v>
      </c>
      <c r="AJ472" s="137">
        <v>0.0</v>
      </c>
      <c r="AK472" s="137">
        <v>0.0</v>
      </c>
      <c r="AL472" s="137">
        <v>0.0</v>
      </c>
      <c r="AM472" s="137">
        <v>0.0</v>
      </c>
      <c r="AN472" s="137">
        <v>0.0</v>
      </c>
    </row>
    <row r="473">
      <c r="A473" s="98"/>
      <c r="B473" s="136" t="s">
        <v>199</v>
      </c>
      <c r="C473" s="137">
        <v>0.0</v>
      </c>
      <c r="D473" s="137">
        <v>0.0</v>
      </c>
      <c r="E473" s="137">
        <v>0.0</v>
      </c>
      <c r="F473" s="137">
        <v>0.0</v>
      </c>
      <c r="G473" s="137">
        <v>0.0</v>
      </c>
      <c r="H473" s="137">
        <v>0.0</v>
      </c>
      <c r="I473" s="137">
        <v>0.0</v>
      </c>
      <c r="J473" s="137">
        <v>0.0</v>
      </c>
      <c r="K473" s="137">
        <v>0.0</v>
      </c>
      <c r="L473" s="137">
        <v>0.0</v>
      </c>
      <c r="M473" s="137">
        <v>0.0</v>
      </c>
      <c r="N473" s="137">
        <v>0.0</v>
      </c>
      <c r="O473" s="137">
        <v>0.0</v>
      </c>
      <c r="P473" s="137">
        <v>0.0</v>
      </c>
      <c r="Q473" s="137">
        <v>0.0</v>
      </c>
      <c r="R473" s="137">
        <v>0.0</v>
      </c>
      <c r="S473" s="137">
        <v>0.0</v>
      </c>
      <c r="T473" s="137">
        <v>0.0</v>
      </c>
      <c r="U473" s="137">
        <v>0.0</v>
      </c>
      <c r="V473" s="137">
        <v>0.0</v>
      </c>
      <c r="W473" s="137">
        <v>0.0</v>
      </c>
      <c r="X473" s="137">
        <v>0.0</v>
      </c>
      <c r="Y473" s="137">
        <v>0.0</v>
      </c>
      <c r="Z473" s="137">
        <v>0.0</v>
      </c>
      <c r="AA473" s="137">
        <v>0.0</v>
      </c>
      <c r="AB473" s="137">
        <v>0.0</v>
      </c>
      <c r="AC473" s="137">
        <v>0.0</v>
      </c>
      <c r="AD473" s="137">
        <v>0.0</v>
      </c>
      <c r="AE473" s="137">
        <v>0.0</v>
      </c>
      <c r="AF473" s="137">
        <v>0.0</v>
      </c>
      <c r="AG473" s="137">
        <v>0.0</v>
      </c>
      <c r="AH473" s="137">
        <v>0.0</v>
      </c>
      <c r="AI473" s="137">
        <v>0.0</v>
      </c>
      <c r="AJ473" s="137">
        <v>0.0</v>
      </c>
      <c r="AK473" s="137">
        <v>0.0</v>
      </c>
      <c r="AL473" s="137">
        <v>0.0</v>
      </c>
      <c r="AM473" s="137">
        <v>0.0</v>
      </c>
      <c r="AN473" s="137">
        <v>0.0</v>
      </c>
    </row>
    <row r="474">
      <c r="A474" s="104"/>
      <c r="B474" s="136" t="s">
        <v>206</v>
      </c>
      <c r="C474" s="137">
        <v>14.0</v>
      </c>
      <c r="D474" s="137">
        <v>3.0</v>
      </c>
      <c r="E474" s="137">
        <v>11.0</v>
      </c>
      <c r="F474" s="137">
        <v>0.0</v>
      </c>
      <c r="G474" s="137">
        <v>0.0</v>
      </c>
      <c r="H474" s="137">
        <v>0.0</v>
      </c>
      <c r="I474" s="137">
        <v>0.0</v>
      </c>
      <c r="J474" s="137">
        <v>0.0</v>
      </c>
      <c r="K474" s="137">
        <v>0.0</v>
      </c>
      <c r="L474" s="137">
        <v>0.0</v>
      </c>
      <c r="M474" s="137">
        <v>2.0</v>
      </c>
      <c r="N474" s="137">
        <v>0.0</v>
      </c>
      <c r="O474" s="137">
        <v>2.0</v>
      </c>
      <c r="P474" s="137">
        <v>0.0</v>
      </c>
      <c r="Q474" s="137">
        <v>0.0</v>
      </c>
      <c r="R474" s="137">
        <v>2.0</v>
      </c>
      <c r="S474" s="137">
        <v>4.0</v>
      </c>
      <c r="T474" s="137">
        <v>0.0</v>
      </c>
      <c r="U474" s="137">
        <v>1.0</v>
      </c>
      <c r="V474" s="137">
        <v>0.0</v>
      </c>
      <c r="W474" s="137">
        <v>1.0</v>
      </c>
      <c r="X474" s="137">
        <v>0.0</v>
      </c>
      <c r="Y474" s="137">
        <v>0.0</v>
      </c>
      <c r="Z474" s="137">
        <v>0.0</v>
      </c>
      <c r="AA474" s="137">
        <v>1.0</v>
      </c>
      <c r="AB474" s="137">
        <v>0.0</v>
      </c>
      <c r="AC474" s="137">
        <v>0.0</v>
      </c>
      <c r="AD474" s="137">
        <v>0.0</v>
      </c>
      <c r="AE474" s="137">
        <v>0.0</v>
      </c>
      <c r="AF474" s="137">
        <v>0.0</v>
      </c>
      <c r="AG474" s="137">
        <v>0.0</v>
      </c>
      <c r="AH474" s="137">
        <v>0.0</v>
      </c>
      <c r="AI474" s="137">
        <v>0.0</v>
      </c>
      <c r="AJ474" s="137">
        <v>0.0</v>
      </c>
      <c r="AK474" s="137">
        <v>0.0</v>
      </c>
      <c r="AL474" s="137">
        <v>1.0</v>
      </c>
      <c r="AM474" s="137">
        <v>0.0</v>
      </c>
      <c r="AN474" s="137">
        <v>14.0</v>
      </c>
    </row>
    <row r="475">
      <c r="A475" s="132" t="s">
        <v>207</v>
      </c>
      <c r="B475" s="136" t="s">
        <v>198</v>
      </c>
      <c r="C475" s="134">
        <v>11977.0</v>
      </c>
      <c r="D475" s="134">
        <v>4629.0</v>
      </c>
      <c r="E475" s="134">
        <v>7348.0</v>
      </c>
      <c r="F475" s="137">
        <v>29.0</v>
      </c>
      <c r="G475" s="137">
        <v>18.0</v>
      </c>
      <c r="H475" s="137">
        <v>54.0</v>
      </c>
      <c r="I475" s="137">
        <v>38.0</v>
      </c>
      <c r="J475" s="137">
        <v>33.0</v>
      </c>
      <c r="K475" s="137">
        <v>42.0</v>
      </c>
      <c r="L475" s="137">
        <v>46.0</v>
      </c>
      <c r="M475" s="137">
        <v>67.0</v>
      </c>
      <c r="N475" s="137">
        <v>23.0</v>
      </c>
      <c r="O475" s="137">
        <v>84.0</v>
      </c>
      <c r="P475" s="137">
        <v>36.0</v>
      </c>
      <c r="Q475" s="137">
        <v>130.0</v>
      </c>
      <c r="R475" s="137">
        <v>36.0</v>
      </c>
      <c r="S475" s="137">
        <v>165.0</v>
      </c>
      <c r="T475" s="137">
        <v>53.0</v>
      </c>
      <c r="U475" s="137">
        <v>280.0</v>
      </c>
      <c r="V475" s="137">
        <v>105.0</v>
      </c>
      <c r="W475" s="137">
        <v>429.0</v>
      </c>
      <c r="X475" s="137">
        <v>224.0</v>
      </c>
      <c r="Y475" s="137">
        <v>554.0</v>
      </c>
      <c r="Z475" s="137">
        <v>252.0</v>
      </c>
      <c r="AA475" s="137">
        <v>716.0</v>
      </c>
      <c r="AB475" s="137">
        <v>456.0</v>
      </c>
      <c r="AC475" s="137">
        <v>755.0</v>
      </c>
      <c r="AD475" s="137">
        <v>590.0</v>
      </c>
      <c r="AE475" s="137">
        <v>857.0</v>
      </c>
      <c r="AF475" s="137">
        <v>603.0</v>
      </c>
      <c r="AG475" s="137">
        <v>822.0</v>
      </c>
      <c r="AH475" s="137">
        <v>643.0</v>
      </c>
      <c r="AI475" s="137">
        <v>760.0</v>
      </c>
      <c r="AJ475" s="137">
        <v>570.0</v>
      </c>
      <c r="AK475" s="137">
        <v>649.0</v>
      </c>
      <c r="AL475" s="137">
        <v>876.0</v>
      </c>
      <c r="AM475" s="137">
        <v>982.0</v>
      </c>
      <c r="AN475" s="134">
        <v>11902.0</v>
      </c>
    </row>
    <row r="476">
      <c r="A476" s="98"/>
      <c r="B476" s="136" t="s">
        <v>199</v>
      </c>
      <c r="C476" s="134">
        <v>1819.0</v>
      </c>
      <c r="D476" s="137">
        <v>752.0</v>
      </c>
      <c r="E476" s="134">
        <v>1067.0</v>
      </c>
      <c r="F476" s="137">
        <v>7.0</v>
      </c>
      <c r="G476" s="137">
        <v>8.0</v>
      </c>
      <c r="H476" s="137">
        <v>4.0</v>
      </c>
      <c r="I476" s="137">
        <v>0.0</v>
      </c>
      <c r="J476" s="137">
        <v>5.0</v>
      </c>
      <c r="K476" s="137">
        <v>4.0</v>
      </c>
      <c r="L476" s="137">
        <v>3.0</v>
      </c>
      <c r="M476" s="137">
        <v>13.0</v>
      </c>
      <c r="N476" s="137">
        <v>1.0</v>
      </c>
      <c r="O476" s="137">
        <v>10.0</v>
      </c>
      <c r="P476" s="137">
        <v>4.0</v>
      </c>
      <c r="Q476" s="137">
        <v>16.0</v>
      </c>
      <c r="R476" s="137">
        <v>3.0</v>
      </c>
      <c r="S476" s="137">
        <v>23.0</v>
      </c>
      <c r="T476" s="137">
        <v>4.0</v>
      </c>
      <c r="U476" s="137">
        <v>41.0</v>
      </c>
      <c r="V476" s="137">
        <v>20.0</v>
      </c>
      <c r="W476" s="137">
        <v>53.0</v>
      </c>
      <c r="X476" s="137">
        <v>40.0</v>
      </c>
      <c r="Y476" s="137">
        <v>74.0</v>
      </c>
      <c r="Z476" s="137">
        <v>36.0</v>
      </c>
      <c r="AA476" s="137">
        <v>108.0</v>
      </c>
      <c r="AB476" s="137">
        <v>51.0</v>
      </c>
      <c r="AC476" s="137">
        <v>83.0</v>
      </c>
      <c r="AD476" s="137">
        <v>74.0</v>
      </c>
      <c r="AE476" s="137">
        <v>126.0</v>
      </c>
      <c r="AF476" s="137">
        <v>113.0</v>
      </c>
      <c r="AG476" s="137">
        <v>96.0</v>
      </c>
      <c r="AH476" s="137">
        <v>144.0</v>
      </c>
      <c r="AI476" s="137">
        <v>140.0</v>
      </c>
      <c r="AJ476" s="137">
        <v>79.0</v>
      </c>
      <c r="AK476" s="137">
        <v>135.0</v>
      </c>
      <c r="AL476" s="137">
        <v>164.0</v>
      </c>
      <c r="AM476" s="137">
        <v>137.0</v>
      </c>
      <c r="AN476" s="134">
        <v>1796.0</v>
      </c>
    </row>
    <row r="477">
      <c r="A477" s="98"/>
      <c r="B477" s="136" t="s">
        <v>206</v>
      </c>
      <c r="C477" s="137">
        <v>381.0</v>
      </c>
      <c r="D477" s="137">
        <v>167.0</v>
      </c>
      <c r="E477" s="137">
        <v>214.0</v>
      </c>
      <c r="F477" s="137">
        <v>0.0</v>
      </c>
      <c r="G477" s="137">
        <v>1.0</v>
      </c>
      <c r="H477" s="137">
        <v>0.0</v>
      </c>
      <c r="I477" s="137">
        <v>2.0</v>
      </c>
      <c r="J477" s="137">
        <v>1.0</v>
      </c>
      <c r="K477" s="137">
        <v>0.0</v>
      </c>
      <c r="L477" s="137">
        <v>0.0</v>
      </c>
      <c r="M477" s="137">
        <v>0.0</v>
      </c>
      <c r="N477" s="137">
        <v>1.0</v>
      </c>
      <c r="O477" s="137">
        <v>2.0</v>
      </c>
      <c r="P477" s="137">
        <v>0.0</v>
      </c>
      <c r="Q477" s="137">
        <v>4.0</v>
      </c>
      <c r="R477" s="137">
        <v>3.0</v>
      </c>
      <c r="S477" s="137">
        <v>3.0</v>
      </c>
      <c r="T477" s="137">
        <v>2.0</v>
      </c>
      <c r="U477" s="137">
        <v>4.0</v>
      </c>
      <c r="V477" s="137">
        <v>10.0</v>
      </c>
      <c r="W477" s="137">
        <v>2.0</v>
      </c>
      <c r="X477" s="137">
        <v>12.0</v>
      </c>
      <c r="Y477" s="137">
        <v>14.0</v>
      </c>
      <c r="Z477" s="137">
        <v>3.0</v>
      </c>
      <c r="AA477" s="137">
        <v>25.0</v>
      </c>
      <c r="AB477" s="137">
        <v>15.0</v>
      </c>
      <c r="AC477" s="137">
        <v>34.0</v>
      </c>
      <c r="AD477" s="137">
        <v>30.0</v>
      </c>
      <c r="AE477" s="137">
        <v>21.0</v>
      </c>
      <c r="AF477" s="137">
        <v>25.0</v>
      </c>
      <c r="AG477" s="137">
        <v>34.0</v>
      </c>
      <c r="AH477" s="137">
        <v>26.0</v>
      </c>
      <c r="AI477" s="137">
        <v>25.0</v>
      </c>
      <c r="AJ477" s="137">
        <v>15.0</v>
      </c>
      <c r="AK477" s="137">
        <v>19.0</v>
      </c>
      <c r="AL477" s="137">
        <v>24.0</v>
      </c>
      <c r="AM477" s="137">
        <v>24.0</v>
      </c>
      <c r="AN477" s="137">
        <v>284.0</v>
      </c>
    </row>
    <row r="478">
      <c r="A478" s="98"/>
      <c r="B478" s="136" t="s">
        <v>200</v>
      </c>
      <c r="C478" s="137">
        <v>525.0</v>
      </c>
      <c r="D478" s="137">
        <v>140.0</v>
      </c>
      <c r="E478" s="137">
        <v>385.0</v>
      </c>
      <c r="F478" s="137">
        <v>14.0</v>
      </c>
      <c r="G478" s="137">
        <v>15.0</v>
      </c>
      <c r="H478" s="137">
        <v>2.0</v>
      </c>
      <c r="I478" s="137">
        <v>6.0</v>
      </c>
      <c r="J478" s="137">
        <v>2.0</v>
      </c>
      <c r="K478" s="137">
        <v>2.0</v>
      </c>
      <c r="L478" s="137">
        <v>3.0</v>
      </c>
      <c r="M478" s="137">
        <v>20.0</v>
      </c>
      <c r="N478" s="137">
        <v>0.0</v>
      </c>
      <c r="O478" s="137">
        <v>15.0</v>
      </c>
      <c r="P478" s="137">
        <v>6.0</v>
      </c>
      <c r="Q478" s="137">
        <v>32.0</v>
      </c>
      <c r="R478" s="137">
        <v>2.0</v>
      </c>
      <c r="S478" s="137">
        <v>17.0</v>
      </c>
      <c r="T478" s="137">
        <v>3.0</v>
      </c>
      <c r="U478" s="137">
        <v>34.0</v>
      </c>
      <c r="V478" s="137">
        <v>13.0</v>
      </c>
      <c r="W478" s="137">
        <v>38.0</v>
      </c>
      <c r="X478" s="137">
        <v>8.0</v>
      </c>
      <c r="Y478" s="137">
        <v>42.0</v>
      </c>
      <c r="Z478" s="137">
        <v>9.0</v>
      </c>
      <c r="AA478" s="137">
        <v>29.0</v>
      </c>
      <c r="AB478" s="137">
        <v>9.0</v>
      </c>
      <c r="AC478" s="137">
        <v>34.0</v>
      </c>
      <c r="AD478" s="137">
        <v>10.0</v>
      </c>
      <c r="AE478" s="137">
        <v>30.0</v>
      </c>
      <c r="AF478" s="137">
        <v>22.0</v>
      </c>
      <c r="AG478" s="137">
        <v>29.0</v>
      </c>
      <c r="AH478" s="137">
        <v>19.0</v>
      </c>
      <c r="AI478" s="137">
        <v>21.0</v>
      </c>
      <c r="AJ478" s="137">
        <v>10.0</v>
      </c>
      <c r="AK478" s="137">
        <v>15.0</v>
      </c>
      <c r="AL478" s="137">
        <v>8.0</v>
      </c>
      <c r="AM478" s="137">
        <v>6.0</v>
      </c>
      <c r="AN478" s="137">
        <v>501.0</v>
      </c>
    </row>
    <row r="479">
      <c r="A479" s="104"/>
      <c r="B479" s="136" t="s">
        <v>201</v>
      </c>
      <c r="C479" s="137">
        <v>10.0</v>
      </c>
      <c r="D479" s="137">
        <v>2.0</v>
      </c>
      <c r="E479" s="137">
        <v>8.0</v>
      </c>
      <c r="F479" s="137">
        <v>0.0</v>
      </c>
      <c r="G479" s="137">
        <v>0.0</v>
      </c>
      <c r="H479" s="137">
        <v>0.0</v>
      </c>
      <c r="I479" s="137">
        <v>0.0</v>
      </c>
      <c r="J479" s="137">
        <v>0.0</v>
      </c>
      <c r="K479" s="137">
        <v>0.0</v>
      </c>
      <c r="L479" s="137">
        <v>0.0</v>
      </c>
      <c r="M479" s="137">
        <v>0.0</v>
      </c>
      <c r="N479" s="137">
        <v>0.0</v>
      </c>
      <c r="O479" s="137">
        <v>0.0</v>
      </c>
      <c r="P479" s="137">
        <v>0.0</v>
      </c>
      <c r="Q479" s="137">
        <v>0.0</v>
      </c>
      <c r="R479" s="137">
        <v>0.0</v>
      </c>
      <c r="S479" s="137">
        <v>0.0</v>
      </c>
      <c r="T479" s="137">
        <v>0.0</v>
      </c>
      <c r="U479" s="137">
        <v>0.0</v>
      </c>
      <c r="V479" s="137">
        <v>0.0</v>
      </c>
      <c r="W479" s="137">
        <v>0.0</v>
      </c>
      <c r="X479" s="137">
        <v>0.0</v>
      </c>
      <c r="Y479" s="137">
        <v>0.0</v>
      </c>
      <c r="Z479" s="137">
        <v>0.0</v>
      </c>
      <c r="AA479" s="137">
        <v>1.0</v>
      </c>
      <c r="AB479" s="137">
        <v>1.0</v>
      </c>
      <c r="AC479" s="137">
        <v>0.0</v>
      </c>
      <c r="AD479" s="137">
        <v>0.0</v>
      </c>
      <c r="AE479" s="137">
        <v>1.0</v>
      </c>
      <c r="AF479" s="137">
        <v>0.0</v>
      </c>
      <c r="AG479" s="137">
        <v>1.0</v>
      </c>
      <c r="AH479" s="137">
        <v>0.0</v>
      </c>
      <c r="AI479" s="137">
        <v>2.0</v>
      </c>
      <c r="AJ479" s="137">
        <v>0.0</v>
      </c>
      <c r="AK479" s="137">
        <v>2.0</v>
      </c>
      <c r="AL479" s="137">
        <v>1.0</v>
      </c>
      <c r="AM479" s="137">
        <v>1.0</v>
      </c>
      <c r="AN479" s="137">
        <v>9.0</v>
      </c>
    </row>
    <row r="480">
      <c r="A480" s="132" t="s">
        <v>208</v>
      </c>
      <c r="B480" s="136" t="s">
        <v>198</v>
      </c>
      <c r="C480" s="137">
        <v>2.0</v>
      </c>
      <c r="D480" s="137">
        <v>2.0</v>
      </c>
      <c r="E480" s="137">
        <v>0.0</v>
      </c>
      <c r="F480" s="137">
        <v>0.0</v>
      </c>
      <c r="G480" s="137">
        <v>0.0</v>
      </c>
      <c r="H480" s="137">
        <v>1.0</v>
      </c>
      <c r="I480" s="137">
        <v>0.0</v>
      </c>
      <c r="J480" s="137">
        <v>1.0</v>
      </c>
      <c r="K480" s="137">
        <v>0.0</v>
      </c>
      <c r="L480" s="137">
        <v>0.0</v>
      </c>
      <c r="M480" s="137">
        <v>0.0</v>
      </c>
      <c r="N480" s="137">
        <v>0.0</v>
      </c>
      <c r="O480" s="137">
        <v>0.0</v>
      </c>
      <c r="P480" s="135">
        <v>0.0</v>
      </c>
      <c r="Q480" s="135">
        <v>0.0</v>
      </c>
      <c r="R480" s="135">
        <v>0.0</v>
      </c>
      <c r="S480" s="135">
        <v>0.0</v>
      </c>
      <c r="T480" s="135">
        <v>0.0</v>
      </c>
      <c r="U480" s="135">
        <v>0.0</v>
      </c>
      <c r="V480" s="135">
        <v>0.0</v>
      </c>
      <c r="W480" s="135">
        <v>0.0</v>
      </c>
      <c r="X480" s="135">
        <v>0.0</v>
      </c>
      <c r="Y480" s="135">
        <v>0.0</v>
      </c>
      <c r="Z480" s="135">
        <v>0.0</v>
      </c>
      <c r="AA480" s="135">
        <v>0.0</v>
      </c>
      <c r="AB480" s="135">
        <v>0.0</v>
      </c>
      <c r="AC480" s="135">
        <v>0.0</v>
      </c>
      <c r="AD480" s="135">
        <v>0.0</v>
      </c>
      <c r="AE480" s="135">
        <v>0.0</v>
      </c>
      <c r="AF480" s="135">
        <v>0.0</v>
      </c>
      <c r="AG480" s="135">
        <v>0.0</v>
      </c>
      <c r="AH480" s="135">
        <v>0.0</v>
      </c>
      <c r="AI480" s="135">
        <v>0.0</v>
      </c>
      <c r="AJ480" s="135">
        <v>0.0</v>
      </c>
      <c r="AK480" s="135">
        <v>0.0</v>
      </c>
      <c r="AL480" s="135">
        <v>0.0</v>
      </c>
      <c r="AM480" s="135">
        <v>0.0</v>
      </c>
      <c r="AN480" s="137">
        <v>2.0</v>
      </c>
    </row>
    <row r="481">
      <c r="A481" s="98"/>
      <c r="B481" s="136" t="s">
        <v>199</v>
      </c>
      <c r="C481" s="137">
        <v>5.0</v>
      </c>
      <c r="D481" s="137">
        <v>4.0</v>
      </c>
      <c r="E481" s="137">
        <v>1.0</v>
      </c>
      <c r="F481" s="137">
        <v>3.0</v>
      </c>
      <c r="G481" s="137">
        <v>1.0</v>
      </c>
      <c r="H481" s="137">
        <v>1.0</v>
      </c>
      <c r="I481" s="137">
        <v>0.0</v>
      </c>
      <c r="J481" s="137">
        <v>0.0</v>
      </c>
      <c r="K481" s="137">
        <v>0.0</v>
      </c>
      <c r="L481" s="137">
        <v>0.0</v>
      </c>
      <c r="M481" s="137">
        <v>0.0</v>
      </c>
      <c r="N481" s="137">
        <v>0.0</v>
      </c>
      <c r="O481" s="137">
        <v>0.0</v>
      </c>
      <c r="P481" s="135">
        <v>0.0</v>
      </c>
      <c r="Q481" s="135">
        <v>0.0</v>
      </c>
      <c r="R481" s="135">
        <v>0.0</v>
      </c>
      <c r="S481" s="135">
        <v>0.0</v>
      </c>
      <c r="T481" s="135">
        <v>0.0</v>
      </c>
      <c r="U481" s="135">
        <v>0.0</v>
      </c>
      <c r="V481" s="135">
        <v>0.0</v>
      </c>
      <c r="W481" s="135">
        <v>0.0</v>
      </c>
      <c r="X481" s="135">
        <v>0.0</v>
      </c>
      <c r="Y481" s="135">
        <v>0.0</v>
      </c>
      <c r="Z481" s="135">
        <v>0.0</v>
      </c>
      <c r="AA481" s="135">
        <v>0.0</v>
      </c>
      <c r="AB481" s="135">
        <v>0.0</v>
      </c>
      <c r="AC481" s="135">
        <v>0.0</v>
      </c>
      <c r="AD481" s="135">
        <v>0.0</v>
      </c>
      <c r="AE481" s="135">
        <v>0.0</v>
      </c>
      <c r="AF481" s="135">
        <v>0.0</v>
      </c>
      <c r="AG481" s="135">
        <v>0.0</v>
      </c>
      <c r="AH481" s="135">
        <v>0.0</v>
      </c>
      <c r="AI481" s="135">
        <v>0.0</v>
      </c>
      <c r="AJ481" s="135">
        <v>0.0</v>
      </c>
      <c r="AK481" s="135">
        <v>0.0</v>
      </c>
      <c r="AL481" s="135">
        <v>0.0</v>
      </c>
      <c r="AM481" s="135">
        <v>0.0</v>
      </c>
      <c r="AN481" s="137">
        <v>4.0</v>
      </c>
    </row>
    <row r="482">
      <c r="A482" s="98"/>
      <c r="B482" s="136" t="s">
        <v>206</v>
      </c>
      <c r="C482" s="137">
        <v>0.0</v>
      </c>
      <c r="D482" s="137">
        <v>0.0</v>
      </c>
      <c r="E482" s="137">
        <v>0.0</v>
      </c>
      <c r="F482" s="137">
        <v>0.0</v>
      </c>
      <c r="G482" s="137">
        <v>0.0</v>
      </c>
      <c r="H482" s="137">
        <v>0.0</v>
      </c>
      <c r="I482" s="137">
        <v>0.0</v>
      </c>
      <c r="J482" s="137">
        <v>0.0</v>
      </c>
      <c r="K482" s="137">
        <v>0.0</v>
      </c>
      <c r="L482" s="137">
        <v>0.0</v>
      </c>
      <c r="M482" s="137">
        <v>0.0</v>
      </c>
      <c r="N482" s="137">
        <v>0.0</v>
      </c>
      <c r="O482" s="137">
        <v>0.0</v>
      </c>
      <c r="P482" s="135">
        <v>0.0</v>
      </c>
      <c r="Q482" s="135">
        <v>0.0</v>
      </c>
      <c r="R482" s="135">
        <v>0.0</v>
      </c>
      <c r="S482" s="135">
        <v>0.0</v>
      </c>
      <c r="T482" s="135">
        <v>0.0</v>
      </c>
      <c r="U482" s="135">
        <v>0.0</v>
      </c>
      <c r="V482" s="135">
        <v>0.0</v>
      </c>
      <c r="W482" s="135">
        <v>0.0</v>
      </c>
      <c r="X482" s="135">
        <v>0.0</v>
      </c>
      <c r="Y482" s="135">
        <v>0.0</v>
      </c>
      <c r="Z482" s="135">
        <v>0.0</v>
      </c>
      <c r="AA482" s="135">
        <v>0.0</v>
      </c>
      <c r="AB482" s="135">
        <v>0.0</v>
      </c>
      <c r="AC482" s="135">
        <v>0.0</v>
      </c>
      <c r="AD482" s="135">
        <v>0.0</v>
      </c>
      <c r="AE482" s="135">
        <v>0.0</v>
      </c>
      <c r="AF482" s="135">
        <v>0.0</v>
      </c>
      <c r="AG482" s="135">
        <v>0.0</v>
      </c>
      <c r="AH482" s="135">
        <v>0.0</v>
      </c>
      <c r="AI482" s="135">
        <v>0.0</v>
      </c>
      <c r="AJ482" s="135">
        <v>0.0</v>
      </c>
      <c r="AK482" s="135">
        <v>0.0</v>
      </c>
      <c r="AL482" s="135">
        <v>0.0</v>
      </c>
      <c r="AM482" s="135">
        <v>0.0</v>
      </c>
      <c r="AN482" s="137">
        <v>0.0</v>
      </c>
    </row>
    <row r="483">
      <c r="A483" s="98"/>
      <c r="B483" s="136" t="s">
        <v>200</v>
      </c>
      <c r="C483" s="137">
        <v>6.0</v>
      </c>
      <c r="D483" s="137">
        <v>2.0</v>
      </c>
      <c r="E483" s="137">
        <v>4.0</v>
      </c>
      <c r="F483" s="137">
        <v>0.0</v>
      </c>
      <c r="G483" s="137">
        <v>0.0</v>
      </c>
      <c r="H483" s="137">
        <v>1.0</v>
      </c>
      <c r="I483" s="137">
        <v>0.0</v>
      </c>
      <c r="J483" s="137">
        <v>0.0</v>
      </c>
      <c r="K483" s="137">
        <v>4.0</v>
      </c>
      <c r="L483" s="137">
        <v>1.0</v>
      </c>
      <c r="M483" s="137">
        <v>0.0</v>
      </c>
      <c r="N483" s="137">
        <v>0.0</v>
      </c>
      <c r="O483" s="137">
        <v>0.0</v>
      </c>
      <c r="P483" s="135">
        <v>0.0</v>
      </c>
      <c r="Q483" s="135">
        <v>0.0</v>
      </c>
      <c r="R483" s="135">
        <v>0.0</v>
      </c>
      <c r="S483" s="135">
        <v>0.0</v>
      </c>
      <c r="T483" s="135">
        <v>0.0</v>
      </c>
      <c r="U483" s="135">
        <v>0.0</v>
      </c>
      <c r="V483" s="135">
        <v>0.0</v>
      </c>
      <c r="W483" s="135">
        <v>0.0</v>
      </c>
      <c r="X483" s="135">
        <v>0.0</v>
      </c>
      <c r="Y483" s="135">
        <v>0.0</v>
      </c>
      <c r="Z483" s="135">
        <v>0.0</v>
      </c>
      <c r="AA483" s="135">
        <v>0.0</v>
      </c>
      <c r="AB483" s="135">
        <v>0.0</v>
      </c>
      <c r="AC483" s="135">
        <v>0.0</v>
      </c>
      <c r="AD483" s="135">
        <v>0.0</v>
      </c>
      <c r="AE483" s="135">
        <v>0.0</v>
      </c>
      <c r="AF483" s="135">
        <v>0.0</v>
      </c>
      <c r="AG483" s="135">
        <v>0.0</v>
      </c>
      <c r="AH483" s="135">
        <v>0.0</v>
      </c>
      <c r="AI483" s="135">
        <v>0.0</v>
      </c>
      <c r="AJ483" s="135">
        <v>0.0</v>
      </c>
      <c r="AK483" s="135">
        <v>0.0</v>
      </c>
      <c r="AL483" s="135">
        <v>0.0</v>
      </c>
      <c r="AM483" s="135">
        <v>0.0</v>
      </c>
      <c r="AN483" s="137">
        <v>6.0</v>
      </c>
    </row>
    <row r="484">
      <c r="A484" s="104"/>
      <c r="B484" s="136" t="s">
        <v>201</v>
      </c>
      <c r="C484" s="137">
        <v>0.0</v>
      </c>
      <c r="D484" s="137">
        <v>0.0</v>
      </c>
      <c r="E484" s="137">
        <v>0.0</v>
      </c>
      <c r="F484" s="137">
        <v>0.0</v>
      </c>
      <c r="G484" s="137">
        <v>0.0</v>
      </c>
      <c r="H484" s="137">
        <v>0.0</v>
      </c>
      <c r="I484" s="137">
        <v>0.0</v>
      </c>
      <c r="J484" s="137">
        <v>0.0</v>
      </c>
      <c r="K484" s="137">
        <v>0.0</v>
      </c>
      <c r="L484" s="137">
        <v>0.0</v>
      </c>
      <c r="M484" s="137">
        <v>0.0</v>
      </c>
      <c r="N484" s="137">
        <v>0.0</v>
      </c>
      <c r="O484" s="137">
        <v>0.0</v>
      </c>
      <c r="P484" s="135">
        <v>0.0</v>
      </c>
      <c r="Q484" s="135">
        <v>0.0</v>
      </c>
      <c r="R484" s="135">
        <v>0.0</v>
      </c>
      <c r="S484" s="135">
        <v>0.0</v>
      </c>
      <c r="T484" s="135">
        <v>0.0</v>
      </c>
      <c r="U484" s="135">
        <v>0.0</v>
      </c>
      <c r="V484" s="135">
        <v>0.0</v>
      </c>
      <c r="W484" s="135">
        <v>0.0</v>
      </c>
      <c r="X484" s="135">
        <v>0.0</v>
      </c>
      <c r="Y484" s="135">
        <v>0.0</v>
      </c>
      <c r="Z484" s="135">
        <v>0.0</v>
      </c>
      <c r="AA484" s="135">
        <v>0.0</v>
      </c>
      <c r="AB484" s="135">
        <v>0.0</v>
      </c>
      <c r="AC484" s="135">
        <v>0.0</v>
      </c>
      <c r="AD484" s="135">
        <v>0.0</v>
      </c>
      <c r="AE484" s="135">
        <v>0.0</v>
      </c>
      <c r="AF484" s="135">
        <v>0.0</v>
      </c>
      <c r="AG484" s="135">
        <v>0.0</v>
      </c>
      <c r="AH484" s="135">
        <v>0.0</v>
      </c>
      <c r="AI484" s="135">
        <v>0.0</v>
      </c>
      <c r="AJ484" s="135">
        <v>0.0</v>
      </c>
      <c r="AK484" s="135">
        <v>0.0</v>
      </c>
      <c r="AL484" s="135">
        <v>0.0</v>
      </c>
      <c r="AM484" s="135">
        <v>0.0</v>
      </c>
      <c r="AN484" s="137">
        <v>0.0</v>
      </c>
    </row>
    <row r="485">
      <c r="A485" s="138" t="s">
        <v>228</v>
      </c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</row>
    <row r="486">
      <c r="A486" s="132" t="s">
        <v>197</v>
      </c>
      <c r="B486" s="133" t="s">
        <v>198</v>
      </c>
      <c r="C486" s="134">
        <v>68416.0</v>
      </c>
      <c r="D486" s="134">
        <v>24228.0</v>
      </c>
      <c r="E486" s="134">
        <v>44188.0</v>
      </c>
      <c r="F486" s="135">
        <v>0.0</v>
      </c>
      <c r="G486" s="135">
        <v>0.0</v>
      </c>
      <c r="H486" s="135">
        <v>0.0</v>
      </c>
      <c r="I486" s="135">
        <v>0.0</v>
      </c>
      <c r="J486" s="135">
        <v>0.0</v>
      </c>
      <c r="K486" s="135">
        <v>0.0</v>
      </c>
      <c r="L486" s="137">
        <v>42.0</v>
      </c>
      <c r="M486" s="137">
        <v>41.0</v>
      </c>
      <c r="N486" s="137">
        <v>47.0</v>
      </c>
      <c r="O486" s="137">
        <v>91.0</v>
      </c>
      <c r="P486" s="137">
        <v>93.0</v>
      </c>
      <c r="Q486" s="137">
        <v>188.0</v>
      </c>
      <c r="R486" s="137">
        <v>154.0</v>
      </c>
      <c r="S486" s="137">
        <v>289.0</v>
      </c>
      <c r="T486" s="137">
        <v>296.0</v>
      </c>
      <c r="U486" s="137">
        <v>619.0</v>
      </c>
      <c r="V486" s="137">
        <v>565.0</v>
      </c>
      <c r="W486" s="134">
        <v>1230.0</v>
      </c>
      <c r="X486" s="134">
        <v>1130.0</v>
      </c>
      <c r="Y486" s="134">
        <v>2298.0</v>
      </c>
      <c r="Z486" s="134">
        <v>2131.0</v>
      </c>
      <c r="AA486" s="134">
        <v>4596.0</v>
      </c>
      <c r="AB486" s="134">
        <v>3054.0</v>
      </c>
      <c r="AC486" s="134">
        <v>5828.0</v>
      </c>
      <c r="AD486" s="134">
        <v>3527.0</v>
      </c>
      <c r="AE486" s="134">
        <v>6457.0</v>
      </c>
      <c r="AF486" s="134">
        <v>3963.0</v>
      </c>
      <c r="AG486" s="134">
        <v>6573.0</v>
      </c>
      <c r="AH486" s="134">
        <v>3672.0</v>
      </c>
      <c r="AI486" s="134">
        <v>5909.0</v>
      </c>
      <c r="AJ486" s="134">
        <v>2793.0</v>
      </c>
      <c r="AK486" s="134">
        <v>4735.0</v>
      </c>
      <c r="AL486" s="134">
        <v>2761.0</v>
      </c>
      <c r="AM486" s="134">
        <v>5334.0</v>
      </c>
      <c r="AN486" s="134">
        <v>67560.0</v>
      </c>
    </row>
    <row r="487">
      <c r="A487" s="98"/>
      <c r="B487" s="136" t="s">
        <v>199</v>
      </c>
      <c r="C487" s="134">
        <v>36567.0</v>
      </c>
      <c r="D487" s="134">
        <v>13330.0</v>
      </c>
      <c r="E487" s="134">
        <v>23237.0</v>
      </c>
      <c r="F487" s="135">
        <v>0.0</v>
      </c>
      <c r="G487" s="135">
        <v>0.0</v>
      </c>
      <c r="H487" s="135">
        <v>0.0</v>
      </c>
      <c r="I487" s="135">
        <v>0.0</v>
      </c>
      <c r="J487" s="135">
        <v>0.0</v>
      </c>
      <c r="K487" s="135">
        <v>0.0</v>
      </c>
      <c r="L487" s="137">
        <v>16.0</v>
      </c>
      <c r="M487" s="137">
        <v>16.0</v>
      </c>
      <c r="N487" s="137">
        <v>31.0</v>
      </c>
      <c r="O487" s="137">
        <v>33.0</v>
      </c>
      <c r="P487" s="137">
        <v>51.0</v>
      </c>
      <c r="Q487" s="137">
        <v>61.0</v>
      </c>
      <c r="R487" s="137">
        <v>100.0</v>
      </c>
      <c r="S487" s="137">
        <v>138.0</v>
      </c>
      <c r="T487" s="137">
        <v>152.0</v>
      </c>
      <c r="U487" s="137">
        <v>294.0</v>
      </c>
      <c r="V487" s="137">
        <v>401.0</v>
      </c>
      <c r="W487" s="137">
        <v>591.0</v>
      </c>
      <c r="X487" s="137">
        <v>570.0</v>
      </c>
      <c r="Y487" s="134">
        <v>1157.0</v>
      </c>
      <c r="Z487" s="134">
        <v>1037.0</v>
      </c>
      <c r="AA487" s="134">
        <v>2186.0</v>
      </c>
      <c r="AB487" s="134">
        <v>1435.0</v>
      </c>
      <c r="AC487" s="134">
        <v>2655.0</v>
      </c>
      <c r="AD487" s="134">
        <v>1718.0</v>
      </c>
      <c r="AE487" s="134">
        <v>3191.0</v>
      </c>
      <c r="AF487" s="134">
        <v>2289.0</v>
      </c>
      <c r="AG487" s="134">
        <v>3783.0</v>
      </c>
      <c r="AH487" s="134">
        <v>2193.0</v>
      </c>
      <c r="AI487" s="134">
        <v>3386.0</v>
      </c>
      <c r="AJ487" s="134">
        <v>1695.0</v>
      </c>
      <c r="AK487" s="134">
        <v>2727.0</v>
      </c>
      <c r="AL487" s="134">
        <v>1642.0</v>
      </c>
      <c r="AM487" s="134">
        <v>3019.0</v>
      </c>
      <c r="AN487" s="134">
        <v>36430.0</v>
      </c>
    </row>
    <row r="488">
      <c r="A488" s="98"/>
      <c r="B488" s="136" t="s">
        <v>200</v>
      </c>
      <c r="C488" s="134">
        <v>30351.0</v>
      </c>
      <c r="D488" s="134">
        <v>10168.0</v>
      </c>
      <c r="E488" s="134">
        <v>20183.0</v>
      </c>
      <c r="F488" s="135">
        <v>0.0</v>
      </c>
      <c r="G488" s="135">
        <v>0.0</v>
      </c>
      <c r="H488" s="135">
        <v>0.0</v>
      </c>
      <c r="I488" s="135">
        <v>0.0</v>
      </c>
      <c r="J488" s="135">
        <v>0.0</v>
      </c>
      <c r="K488" s="135">
        <v>0.0</v>
      </c>
      <c r="L488" s="137">
        <v>26.0</v>
      </c>
      <c r="M488" s="137">
        <v>23.0</v>
      </c>
      <c r="N488" s="137">
        <v>19.0</v>
      </c>
      <c r="O488" s="137">
        <v>70.0</v>
      </c>
      <c r="P488" s="137">
        <v>39.0</v>
      </c>
      <c r="Q488" s="137">
        <v>109.0</v>
      </c>
      <c r="R488" s="137">
        <v>93.0</v>
      </c>
      <c r="S488" s="137">
        <v>147.0</v>
      </c>
      <c r="T488" s="137">
        <v>144.0</v>
      </c>
      <c r="U488" s="137">
        <v>303.0</v>
      </c>
      <c r="V488" s="137">
        <v>256.0</v>
      </c>
      <c r="W488" s="137">
        <v>590.0</v>
      </c>
      <c r="X488" s="137">
        <v>530.0</v>
      </c>
      <c r="Y488" s="134">
        <v>1153.0</v>
      </c>
      <c r="Z488" s="137">
        <v>916.0</v>
      </c>
      <c r="AA488" s="134">
        <v>2216.0</v>
      </c>
      <c r="AB488" s="134">
        <v>1176.0</v>
      </c>
      <c r="AC488" s="134">
        <v>2697.0</v>
      </c>
      <c r="AD488" s="134">
        <v>1434.0</v>
      </c>
      <c r="AE488" s="134">
        <v>2876.0</v>
      </c>
      <c r="AF488" s="134">
        <v>1646.0</v>
      </c>
      <c r="AG488" s="134">
        <v>3008.0</v>
      </c>
      <c r="AH488" s="134">
        <v>1577.0</v>
      </c>
      <c r="AI488" s="134">
        <v>2713.0</v>
      </c>
      <c r="AJ488" s="134">
        <v>1225.0</v>
      </c>
      <c r="AK488" s="134">
        <v>2165.0</v>
      </c>
      <c r="AL488" s="134">
        <v>1087.0</v>
      </c>
      <c r="AM488" s="134">
        <v>2113.0</v>
      </c>
      <c r="AN488" s="134">
        <v>30270.0</v>
      </c>
    </row>
    <row r="489">
      <c r="A489" s="104"/>
      <c r="B489" s="136" t="s">
        <v>201</v>
      </c>
      <c r="C489" s="137">
        <v>0.0</v>
      </c>
      <c r="D489" s="137">
        <v>0.0</v>
      </c>
      <c r="E489" s="137">
        <v>0.0</v>
      </c>
      <c r="F489" s="135">
        <v>0.0</v>
      </c>
      <c r="G489" s="135">
        <v>0.0</v>
      </c>
      <c r="H489" s="135">
        <v>0.0</v>
      </c>
      <c r="I489" s="135">
        <v>0.0</v>
      </c>
      <c r="J489" s="135">
        <v>0.0</v>
      </c>
      <c r="K489" s="135">
        <v>0.0</v>
      </c>
      <c r="L489" s="137">
        <v>0.0</v>
      </c>
      <c r="M489" s="137">
        <v>0.0</v>
      </c>
      <c r="N489" s="137">
        <v>0.0</v>
      </c>
      <c r="O489" s="137">
        <v>0.0</v>
      </c>
      <c r="P489" s="137">
        <v>0.0</v>
      </c>
      <c r="Q489" s="137">
        <v>0.0</v>
      </c>
      <c r="R489" s="137">
        <v>0.0</v>
      </c>
      <c r="S489" s="137">
        <v>0.0</v>
      </c>
      <c r="T489" s="137">
        <v>0.0</v>
      </c>
      <c r="U489" s="137">
        <v>0.0</v>
      </c>
      <c r="V489" s="137">
        <v>0.0</v>
      </c>
      <c r="W489" s="137">
        <v>0.0</v>
      </c>
      <c r="X489" s="137">
        <v>0.0</v>
      </c>
      <c r="Y489" s="137">
        <v>0.0</v>
      </c>
      <c r="Z489" s="137">
        <v>0.0</v>
      </c>
      <c r="AA489" s="137">
        <v>0.0</v>
      </c>
      <c r="AB489" s="137">
        <v>0.0</v>
      </c>
      <c r="AC489" s="137">
        <v>0.0</v>
      </c>
      <c r="AD489" s="137">
        <v>0.0</v>
      </c>
      <c r="AE489" s="137">
        <v>0.0</v>
      </c>
      <c r="AF489" s="137">
        <v>0.0</v>
      </c>
      <c r="AG489" s="137">
        <v>0.0</v>
      </c>
      <c r="AH489" s="137">
        <v>0.0</v>
      </c>
      <c r="AI489" s="137">
        <v>0.0</v>
      </c>
      <c r="AJ489" s="137">
        <v>0.0</v>
      </c>
      <c r="AK489" s="137">
        <v>0.0</v>
      </c>
      <c r="AL489" s="137">
        <v>0.0</v>
      </c>
      <c r="AM489" s="137">
        <v>0.0</v>
      </c>
      <c r="AN489" s="137">
        <v>0.0</v>
      </c>
    </row>
    <row r="490">
      <c r="A490" s="132" t="s">
        <v>202</v>
      </c>
      <c r="B490" s="136" t="s">
        <v>198</v>
      </c>
      <c r="C490" s="137">
        <v>217.0</v>
      </c>
      <c r="D490" s="137">
        <v>143.0</v>
      </c>
      <c r="E490" s="137">
        <v>74.0</v>
      </c>
      <c r="F490" s="137">
        <v>0.0</v>
      </c>
      <c r="G490" s="137">
        <v>0.0</v>
      </c>
      <c r="H490" s="137">
        <v>2.0</v>
      </c>
      <c r="I490" s="137">
        <v>0.0</v>
      </c>
      <c r="J490" s="137">
        <v>0.0</v>
      </c>
      <c r="K490" s="137">
        <v>0.0</v>
      </c>
      <c r="L490" s="137">
        <v>5.0</v>
      </c>
      <c r="M490" s="137">
        <v>8.0</v>
      </c>
      <c r="N490" s="137">
        <v>10.0</v>
      </c>
      <c r="O490" s="137">
        <v>3.0</v>
      </c>
      <c r="P490" s="137">
        <v>5.0</v>
      </c>
      <c r="Q490" s="137">
        <v>1.0</v>
      </c>
      <c r="R490" s="137">
        <v>4.0</v>
      </c>
      <c r="S490" s="137">
        <v>2.0</v>
      </c>
      <c r="T490" s="137">
        <v>22.0</v>
      </c>
      <c r="U490" s="137">
        <v>6.0</v>
      </c>
      <c r="V490" s="137">
        <v>5.0</v>
      </c>
      <c r="W490" s="137">
        <v>1.0</v>
      </c>
      <c r="X490" s="137">
        <v>8.0</v>
      </c>
      <c r="Y490" s="137">
        <v>3.0</v>
      </c>
      <c r="Z490" s="137">
        <v>16.0</v>
      </c>
      <c r="AA490" s="137">
        <v>10.0</v>
      </c>
      <c r="AB490" s="137">
        <v>24.0</v>
      </c>
      <c r="AC490" s="137">
        <v>9.0</v>
      </c>
      <c r="AD490" s="137">
        <v>20.0</v>
      </c>
      <c r="AE490" s="137">
        <v>3.0</v>
      </c>
      <c r="AF490" s="137">
        <v>12.0</v>
      </c>
      <c r="AG490" s="137">
        <v>14.0</v>
      </c>
      <c r="AH490" s="137">
        <v>4.0</v>
      </c>
      <c r="AI490" s="137">
        <v>11.0</v>
      </c>
      <c r="AJ490" s="137">
        <v>0.0</v>
      </c>
      <c r="AK490" s="137">
        <v>2.0</v>
      </c>
      <c r="AL490" s="137">
        <v>6.0</v>
      </c>
      <c r="AM490" s="137">
        <v>1.0</v>
      </c>
      <c r="AN490" s="137">
        <v>212.0</v>
      </c>
    </row>
    <row r="491">
      <c r="A491" s="104"/>
      <c r="B491" s="136" t="s">
        <v>199</v>
      </c>
      <c r="C491" s="137">
        <v>114.0</v>
      </c>
      <c r="D491" s="137">
        <v>74.0</v>
      </c>
      <c r="E491" s="137">
        <v>40.0</v>
      </c>
      <c r="F491" s="137">
        <v>0.0</v>
      </c>
      <c r="G491" s="137">
        <v>0.0</v>
      </c>
      <c r="H491" s="137">
        <v>5.0</v>
      </c>
      <c r="I491" s="137">
        <v>0.0</v>
      </c>
      <c r="J491" s="137">
        <v>2.0</v>
      </c>
      <c r="K491" s="137">
        <v>0.0</v>
      </c>
      <c r="L491" s="137">
        <v>0.0</v>
      </c>
      <c r="M491" s="137">
        <v>0.0</v>
      </c>
      <c r="N491" s="137">
        <v>0.0</v>
      </c>
      <c r="O491" s="137">
        <v>0.0</v>
      </c>
      <c r="P491" s="137">
        <v>1.0</v>
      </c>
      <c r="Q491" s="137">
        <v>5.0</v>
      </c>
      <c r="R491" s="137">
        <v>4.0</v>
      </c>
      <c r="S491" s="137">
        <v>0.0</v>
      </c>
      <c r="T491" s="137">
        <v>10.0</v>
      </c>
      <c r="U491" s="137">
        <v>3.0</v>
      </c>
      <c r="V491" s="137">
        <v>9.0</v>
      </c>
      <c r="W491" s="137">
        <v>0.0</v>
      </c>
      <c r="X491" s="137">
        <v>11.0</v>
      </c>
      <c r="Y491" s="137">
        <v>8.0</v>
      </c>
      <c r="Z491" s="137">
        <v>6.0</v>
      </c>
      <c r="AA491" s="137">
        <v>4.0</v>
      </c>
      <c r="AB491" s="137">
        <v>13.0</v>
      </c>
      <c r="AC491" s="137">
        <v>2.0</v>
      </c>
      <c r="AD491" s="137">
        <v>4.0</v>
      </c>
      <c r="AE491" s="137">
        <v>5.0</v>
      </c>
      <c r="AF491" s="137">
        <v>3.0</v>
      </c>
      <c r="AG491" s="137">
        <v>6.0</v>
      </c>
      <c r="AH491" s="137">
        <v>2.0</v>
      </c>
      <c r="AI491" s="137">
        <v>6.0</v>
      </c>
      <c r="AJ491" s="137">
        <v>0.0</v>
      </c>
      <c r="AK491" s="137">
        <v>1.0</v>
      </c>
      <c r="AL491" s="137">
        <v>4.0</v>
      </c>
      <c r="AM491" s="137">
        <v>0.0</v>
      </c>
      <c r="AN491" s="137">
        <v>114.0</v>
      </c>
    </row>
    <row r="492">
      <c r="A492" s="132" t="s">
        <v>203</v>
      </c>
      <c r="B492" s="136" t="s">
        <v>198</v>
      </c>
      <c r="C492" s="137">
        <v>89.0</v>
      </c>
      <c r="D492" s="137">
        <v>37.0</v>
      </c>
      <c r="E492" s="137">
        <v>52.0</v>
      </c>
      <c r="F492" s="135">
        <v>0.0</v>
      </c>
      <c r="G492" s="135">
        <v>0.0</v>
      </c>
      <c r="H492" s="135">
        <v>0.0</v>
      </c>
      <c r="I492" s="135">
        <v>0.0</v>
      </c>
      <c r="J492" s="135">
        <v>0.0</v>
      </c>
      <c r="K492" s="135">
        <v>0.0</v>
      </c>
      <c r="L492" s="135">
        <v>0.0</v>
      </c>
      <c r="M492" s="135">
        <v>0.0</v>
      </c>
      <c r="N492" s="135">
        <v>0.0</v>
      </c>
      <c r="O492" s="135">
        <v>0.0</v>
      </c>
      <c r="P492" s="135">
        <v>0.0</v>
      </c>
      <c r="Q492" s="135">
        <v>0.0</v>
      </c>
      <c r="R492" s="135">
        <v>0.0</v>
      </c>
      <c r="S492" s="135">
        <v>0.0</v>
      </c>
      <c r="T492" s="135">
        <v>0.0</v>
      </c>
      <c r="U492" s="135">
        <v>0.0</v>
      </c>
      <c r="V492" s="135">
        <v>0.0</v>
      </c>
      <c r="W492" s="135">
        <v>0.0</v>
      </c>
      <c r="X492" s="135">
        <v>0.0</v>
      </c>
      <c r="Y492" s="135">
        <v>0.0</v>
      </c>
      <c r="Z492" s="135">
        <v>0.0</v>
      </c>
      <c r="AA492" s="135">
        <v>0.0</v>
      </c>
      <c r="AB492" s="135">
        <v>0.0</v>
      </c>
      <c r="AC492" s="135">
        <v>0.0</v>
      </c>
      <c r="AD492" s="135">
        <v>0.0</v>
      </c>
      <c r="AE492" s="135">
        <v>0.0</v>
      </c>
      <c r="AF492" s="137">
        <v>7.0</v>
      </c>
      <c r="AG492" s="137">
        <v>16.0</v>
      </c>
      <c r="AH492" s="137">
        <v>11.0</v>
      </c>
      <c r="AI492" s="137">
        <v>8.0</v>
      </c>
      <c r="AJ492" s="137">
        <v>8.0</v>
      </c>
      <c r="AK492" s="137">
        <v>7.0</v>
      </c>
      <c r="AL492" s="137">
        <v>11.0</v>
      </c>
      <c r="AM492" s="137">
        <v>21.0</v>
      </c>
      <c r="AN492" s="137">
        <v>89.0</v>
      </c>
    </row>
    <row r="493">
      <c r="A493" s="104"/>
      <c r="B493" s="136" t="s">
        <v>199</v>
      </c>
      <c r="C493" s="134">
        <v>1658.0</v>
      </c>
      <c r="D493" s="137">
        <v>596.0</v>
      </c>
      <c r="E493" s="134">
        <v>1062.0</v>
      </c>
      <c r="F493" s="135">
        <v>0.0</v>
      </c>
      <c r="G493" s="135">
        <v>0.0</v>
      </c>
      <c r="H493" s="135">
        <v>0.0</v>
      </c>
      <c r="I493" s="135">
        <v>0.0</v>
      </c>
      <c r="J493" s="135">
        <v>0.0</v>
      </c>
      <c r="K493" s="135">
        <v>0.0</v>
      </c>
      <c r="L493" s="135">
        <v>0.0</v>
      </c>
      <c r="M493" s="135">
        <v>0.0</v>
      </c>
      <c r="N493" s="135">
        <v>0.0</v>
      </c>
      <c r="O493" s="135">
        <v>0.0</v>
      </c>
      <c r="P493" s="135">
        <v>0.0</v>
      </c>
      <c r="Q493" s="135">
        <v>0.0</v>
      </c>
      <c r="R493" s="135">
        <v>0.0</v>
      </c>
      <c r="S493" s="135">
        <v>0.0</v>
      </c>
      <c r="T493" s="135">
        <v>0.0</v>
      </c>
      <c r="U493" s="135">
        <v>0.0</v>
      </c>
      <c r="V493" s="135">
        <v>0.0</v>
      </c>
      <c r="W493" s="135">
        <v>0.0</v>
      </c>
      <c r="X493" s="135">
        <v>0.0</v>
      </c>
      <c r="Y493" s="135">
        <v>0.0</v>
      </c>
      <c r="Z493" s="135">
        <v>0.0</v>
      </c>
      <c r="AA493" s="135">
        <v>0.0</v>
      </c>
      <c r="AB493" s="135">
        <v>0.0</v>
      </c>
      <c r="AC493" s="135">
        <v>0.0</v>
      </c>
      <c r="AD493" s="135">
        <v>0.0</v>
      </c>
      <c r="AE493" s="135">
        <v>0.0</v>
      </c>
      <c r="AF493" s="137">
        <v>179.0</v>
      </c>
      <c r="AG493" s="137">
        <v>321.0</v>
      </c>
      <c r="AH493" s="137">
        <v>180.0</v>
      </c>
      <c r="AI493" s="137">
        <v>319.0</v>
      </c>
      <c r="AJ493" s="137">
        <v>134.0</v>
      </c>
      <c r="AK493" s="137">
        <v>217.0</v>
      </c>
      <c r="AL493" s="137">
        <v>103.0</v>
      </c>
      <c r="AM493" s="137">
        <v>205.0</v>
      </c>
      <c r="AN493" s="134">
        <v>1642.0</v>
      </c>
    </row>
    <row r="494">
      <c r="A494" s="132" t="s">
        <v>204</v>
      </c>
      <c r="B494" s="136" t="s">
        <v>198</v>
      </c>
      <c r="C494" s="137">
        <v>15.0</v>
      </c>
      <c r="D494" s="137">
        <v>5.0</v>
      </c>
      <c r="E494" s="137">
        <v>10.0</v>
      </c>
      <c r="F494" s="135">
        <v>0.0</v>
      </c>
      <c r="G494" s="135">
        <v>0.0</v>
      </c>
      <c r="H494" s="135">
        <v>0.0</v>
      </c>
      <c r="I494" s="135">
        <v>0.0</v>
      </c>
      <c r="J494" s="135">
        <v>0.0</v>
      </c>
      <c r="K494" s="135">
        <v>0.0</v>
      </c>
      <c r="L494" s="135">
        <v>0.0</v>
      </c>
      <c r="M494" s="135">
        <v>0.0</v>
      </c>
      <c r="N494" s="135">
        <v>0.0</v>
      </c>
      <c r="O494" s="135">
        <v>0.0</v>
      </c>
      <c r="P494" s="135">
        <v>0.0</v>
      </c>
      <c r="Q494" s="135">
        <v>0.0</v>
      </c>
      <c r="R494" s="135">
        <v>0.0</v>
      </c>
      <c r="S494" s="135">
        <v>0.0</v>
      </c>
      <c r="T494" s="135">
        <v>0.0</v>
      </c>
      <c r="U494" s="135">
        <v>0.0</v>
      </c>
      <c r="V494" s="135">
        <v>0.0</v>
      </c>
      <c r="W494" s="135">
        <v>0.0</v>
      </c>
      <c r="X494" s="135">
        <v>0.0</v>
      </c>
      <c r="Y494" s="135">
        <v>0.0</v>
      </c>
      <c r="Z494" s="135">
        <v>0.0</v>
      </c>
      <c r="AA494" s="135">
        <v>0.0</v>
      </c>
      <c r="AB494" s="135">
        <v>0.0</v>
      </c>
      <c r="AC494" s="135">
        <v>0.0</v>
      </c>
      <c r="AD494" s="135">
        <v>0.0</v>
      </c>
      <c r="AE494" s="135">
        <v>0.0</v>
      </c>
      <c r="AF494" s="137">
        <v>0.0</v>
      </c>
      <c r="AG494" s="137">
        <v>0.0</v>
      </c>
      <c r="AH494" s="137">
        <v>0.0</v>
      </c>
      <c r="AI494" s="137">
        <v>2.0</v>
      </c>
      <c r="AJ494" s="137">
        <v>1.0</v>
      </c>
      <c r="AK494" s="137">
        <v>1.0</v>
      </c>
      <c r="AL494" s="137">
        <v>4.0</v>
      </c>
      <c r="AM494" s="137">
        <v>7.0</v>
      </c>
      <c r="AN494" s="137">
        <v>15.0</v>
      </c>
    </row>
    <row r="495">
      <c r="A495" s="104"/>
      <c r="B495" s="136" t="s">
        <v>199</v>
      </c>
      <c r="C495" s="137">
        <v>505.0</v>
      </c>
      <c r="D495" s="137">
        <v>150.0</v>
      </c>
      <c r="E495" s="137">
        <v>355.0</v>
      </c>
      <c r="F495" s="135">
        <v>0.0</v>
      </c>
      <c r="G495" s="135">
        <v>0.0</v>
      </c>
      <c r="H495" s="135">
        <v>0.0</v>
      </c>
      <c r="I495" s="135">
        <v>0.0</v>
      </c>
      <c r="J495" s="135">
        <v>0.0</v>
      </c>
      <c r="K495" s="135">
        <v>0.0</v>
      </c>
      <c r="L495" s="135">
        <v>0.0</v>
      </c>
      <c r="M495" s="135">
        <v>0.0</v>
      </c>
      <c r="N495" s="135">
        <v>0.0</v>
      </c>
      <c r="O495" s="135">
        <v>0.0</v>
      </c>
      <c r="P495" s="135">
        <v>0.0</v>
      </c>
      <c r="Q495" s="135">
        <v>0.0</v>
      </c>
      <c r="R495" s="135">
        <v>0.0</v>
      </c>
      <c r="S495" s="135">
        <v>0.0</v>
      </c>
      <c r="T495" s="135">
        <v>0.0</v>
      </c>
      <c r="U495" s="135">
        <v>0.0</v>
      </c>
      <c r="V495" s="135">
        <v>0.0</v>
      </c>
      <c r="W495" s="135">
        <v>0.0</v>
      </c>
      <c r="X495" s="135">
        <v>0.0</v>
      </c>
      <c r="Y495" s="135">
        <v>0.0</v>
      </c>
      <c r="Z495" s="135">
        <v>0.0</v>
      </c>
      <c r="AA495" s="135">
        <v>0.0</v>
      </c>
      <c r="AB495" s="135">
        <v>0.0</v>
      </c>
      <c r="AC495" s="135">
        <v>0.0</v>
      </c>
      <c r="AD495" s="135">
        <v>0.0</v>
      </c>
      <c r="AE495" s="135">
        <v>0.0</v>
      </c>
      <c r="AF495" s="137">
        <v>15.0</v>
      </c>
      <c r="AG495" s="137">
        <v>49.0</v>
      </c>
      <c r="AH495" s="137">
        <v>35.0</v>
      </c>
      <c r="AI495" s="137">
        <v>58.0</v>
      </c>
      <c r="AJ495" s="137">
        <v>35.0</v>
      </c>
      <c r="AK495" s="137">
        <v>67.0</v>
      </c>
      <c r="AL495" s="137">
        <v>65.0</v>
      </c>
      <c r="AM495" s="137">
        <v>181.0</v>
      </c>
      <c r="AN495" s="137">
        <v>504.0</v>
      </c>
    </row>
    <row r="496">
      <c r="A496" s="132" t="s">
        <v>205</v>
      </c>
      <c r="B496" s="136" t="s">
        <v>198</v>
      </c>
      <c r="C496" s="137">
        <v>2.0</v>
      </c>
      <c r="D496" s="137">
        <v>1.0</v>
      </c>
      <c r="E496" s="137">
        <v>1.0</v>
      </c>
      <c r="F496" s="137">
        <v>0.0</v>
      </c>
      <c r="G496" s="137">
        <v>0.0</v>
      </c>
      <c r="H496" s="137">
        <v>0.0</v>
      </c>
      <c r="I496" s="137">
        <v>0.0</v>
      </c>
      <c r="J496" s="137">
        <v>1.0</v>
      </c>
      <c r="K496" s="137">
        <v>1.0</v>
      </c>
      <c r="L496" s="137">
        <v>0.0</v>
      </c>
      <c r="M496" s="137">
        <v>0.0</v>
      </c>
      <c r="N496" s="137">
        <v>0.0</v>
      </c>
      <c r="O496" s="137">
        <v>0.0</v>
      </c>
      <c r="P496" s="137">
        <v>0.0</v>
      </c>
      <c r="Q496" s="137">
        <v>0.0</v>
      </c>
      <c r="R496" s="137">
        <v>0.0</v>
      </c>
      <c r="S496" s="137">
        <v>0.0</v>
      </c>
      <c r="T496" s="137">
        <v>0.0</v>
      </c>
      <c r="U496" s="137">
        <v>0.0</v>
      </c>
      <c r="V496" s="137">
        <v>0.0</v>
      </c>
      <c r="W496" s="137">
        <v>0.0</v>
      </c>
      <c r="X496" s="137">
        <v>0.0</v>
      </c>
      <c r="Y496" s="137">
        <v>0.0</v>
      </c>
      <c r="Z496" s="137">
        <v>0.0</v>
      </c>
      <c r="AA496" s="137">
        <v>0.0</v>
      </c>
      <c r="AB496" s="137">
        <v>0.0</v>
      </c>
      <c r="AC496" s="137">
        <v>0.0</v>
      </c>
      <c r="AD496" s="137">
        <v>0.0</v>
      </c>
      <c r="AE496" s="137">
        <v>0.0</v>
      </c>
      <c r="AF496" s="137">
        <v>0.0</v>
      </c>
      <c r="AG496" s="137">
        <v>0.0</v>
      </c>
      <c r="AH496" s="137">
        <v>0.0</v>
      </c>
      <c r="AI496" s="137">
        <v>0.0</v>
      </c>
      <c r="AJ496" s="137">
        <v>0.0</v>
      </c>
      <c r="AK496" s="137">
        <v>0.0</v>
      </c>
      <c r="AL496" s="137">
        <v>0.0</v>
      </c>
      <c r="AM496" s="137">
        <v>0.0</v>
      </c>
      <c r="AN496" s="137">
        <v>2.0</v>
      </c>
    </row>
    <row r="497">
      <c r="A497" s="98"/>
      <c r="B497" s="136" t="s">
        <v>199</v>
      </c>
      <c r="C497" s="137">
        <v>0.0</v>
      </c>
      <c r="D497" s="137">
        <v>0.0</v>
      </c>
      <c r="E497" s="137">
        <v>0.0</v>
      </c>
      <c r="F497" s="137">
        <v>0.0</v>
      </c>
      <c r="G497" s="137">
        <v>0.0</v>
      </c>
      <c r="H497" s="137">
        <v>0.0</v>
      </c>
      <c r="I497" s="137">
        <v>0.0</v>
      </c>
      <c r="J497" s="137">
        <v>0.0</v>
      </c>
      <c r="K497" s="137">
        <v>0.0</v>
      </c>
      <c r="L497" s="137">
        <v>0.0</v>
      </c>
      <c r="M497" s="137">
        <v>0.0</v>
      </c>
      <c r="N497" s="137">
        <v>0.0</v>
      </c>
      <c r="O497" s="137">
        <v>0.0</v>
      </c>
      <c r="P497" s="137">
        <v>0.0</v>
      </c>
      <c r="Q497" s="137">
        <v>0.0</v>
      </c>
      <c r="R497" s="137">
        <v>0.0</v>
      </c>
      <c r="S497" s="137">
        <v>0.0</v>
      </c>
      <c r="T497" s="137">
        <v>0.0</v>
      </c>
      <c r="U497" s="137">
        <v>0.0</v>
      </c>
      <c r="V497" s="137">
        <v>0.0</v>
      </c>
      <c r="W497" s="137">
        <v>0.0</v>
      </c>
      <c r="X497" s="137">
        <v>0.0</v>
      </c>
      <c r="Y497" s="137">
        <v>0.0</v>
      </c>
      <c r="Z497" s="137">
        <v>0.0</v>
      </c>
      <c r="AA497" s="137">
        <v>0.0</v>
      </c>
      <c r="AB497" s="137">
        <v>0.0</v>
      </c>
      <c r="AC497" s="137">
        <v>0.0</v>
      </c>
      <c r="AD497" s="137">
        <v>0.0</v>
      </c>
      <c r="AE497" s="137">
        <v>0.0</v>
      </c>
      <c r="AF497" s="137">
        <v>0.0</v>
      </c>
      <c r="AG497" s="137">
        <v>0.0</v>
      </c>
      <c r="AH497" s="137">
        <v>0.0</v>
      </c>
      <c r="AI497" s="137">
        <v>0.0</v>
      </c>
      <c r="AJ497" s="137">
        <v>0.0</v>
      </c>
      <c r="AK497" s="137">
        <v>0.0</v>
      </c>
      <c r="AL497" s="137">
        <v>0.0</v>
      </c>
      <c r="AM497" s="137">
        <v>0.0</v>
      </c>
      <c r="AN497" s="137">
        <v>0.0</v>
      </c>
    </row>
    <row r="498">
      <c r="A498" s="104"/>
      <c r="B498" s="136" t="s">
        <v>206</v>
      </c>
      <c r="C498" s="137">
        <v>2.0</v>
      </c>
      <c r="D498" s="137">
        <v>0.0</v>
      </c>
      <c r="E498" s="137">
        <v>2.0</v>
      </c>
      <c r="F498" s="137">
        <v>0.0</v>
      </c>
      <c r="G498" s="137">
        <v>0.0</v>
      </c>
      <c r="H498" s="137">
        <v>0.0</v>
      </c>
      <c r="I498" s="137">
        <v>0.0</v>
      </c>
      <c r="J498" s="137">
        <v>0.0</v>
      </c>
      <c r="K498" s="137">
        <v>0.0</v>
      </c>
      <c r="L498" s="137">
        <v>0.0</v>
      </c>
      <c r="M498" s="137">
        <v>0.0</v>
      </c>
      <c r="N498" s="137">
        <v>0.0</v>
      </c>
      <c r="O498" s="137">
        <v>0.0</v>
      </c>
      <c r="P498" s="137">
        <v>0.0</v>
      </c>
      <c r="Q498" s="137">
        <v>0.0</v>
      </c>
      <c r="R498" s="137">
        <v>0.0</v>
      </c>
      <c r="S498" s="137">
        <v>0.0</v>
      </c>
      <c r="T498" s="137">
        <v>0.0</v>
      </c>
      <c r="U498" s="137">
        <v>0.0</v>
      </c>
      <c r="V498" s="137">
        <v>0.0</v>
      </c>
      <c r="W498" s="137">
        <v>0.0</v>
      </c>
      <c r="X498" s="137">
        <v>0.0</v>
      </c>
      <c r="Y498" s="137">
        <v>0.0</v>
      </c>
      <c r="Z498" s="137">
        <v>0.0</v>
      </c>
      <c r="AA498" s="137">
        <v>0.0</v>
      </c>
      <c r="AB498" s="137">
        <v>0.0</v>
      </c>
      <c r="AC498" s="137">
        <v>0.0</v>
      </c>
      <c r="AD498" s="137">
        <v>0.0</v>
      </c>
      <c r="AE498" s="137">
        <v>0.0</v>
      </c>
      <c r="AF498" s="137">
        <v>0.0</v>
      </c>
      <c r="AG498" s="137">
        <v>2.0</v>
      </c>
      <c r="AH498" s="137">
        <v>0.0</v>
      </c>
      <c r="AI498" s="137">
        <v>0.0</v>
      </c>
      <c r="AJ498" s="137">
        <v>0.0</v>
      </c>
      <c r="AK498" s="137">
        <v>0.0</v>
      </c>
      <c r="AL498" s="137">
        <v>0.0</v>
      </c>
      <c r="AM498" s="137">
        <v>0.0</v>
      </c>
      <c r="AN498" s="137">
        <v>2.0</v>
      </c>
    </row>
    <row r="499">
      <c r="A499" s="132" t="s">
        <v>207</v>
      </c>
      <c r="B499" s="136" t="s">
        <v>198</v>
      </c>
      <c r="C499" s="134">
        <v>9484.0</v>
      </c>
      <c r="D499" s="134">
        <v>2089.0</v>
      </c>
      <c r="E499" s="134">
        <v>7395.0</v>
      </c>
      <c r="F499" s="137">
        <v>44.0</v>
      </c>
      <c r="G499" s="137">
        <v>33.0</v>
      </c>
      <c r="H499" s="137">
        <v>41.0</v>
      </c>
      <c r="I499" s="137">
        <v>37.0</v>
      </c>
      <c r="J499" s="137">
        <v>34.0</v>
      </c>
      <c r="K499" s="137">
        <v>55.0</v>
      </c>
      <c r="L499" s="137">
        <v>55.0</v>
      </c>
      <c r="M499" s="137">
        <v>80.0</v>
      </c>
      <c r="N499" s="137">
        <v>58.0</v>
      </c>
      <c r="O499" s="137">
        <v>151.0</v>
      </c>
      <c r="P499" s="137">
        <v>52.0</v>
      </c>
      <c r="Q499" s="137">
        <v>192.0</v>
      </c>
      <c r="R499" s="137">
        <v>33.0</v>
      </c>
      <c r="S499" s="137">
        <v>176.0</v>
      </c>
      <c r="T499" s="137">
        <v>37.0</v>
      </c>
      <c r="U499" s="137">
        <v>288.0</v>
      </c>
      <c r="V499" s="137">
        <v>66.0</v>
      </c>
      <c r="W499" s="137">
        <v>349.0</v>
      </c>
      <c r="X499" s="137">
        <v>80.0</v>
      </c>
      <c r="Y499" s="137">
        <v>492.0</v>
      </c>
      <c r="Z499" s="137">
        <v>141.0</v>
      </c>
      <c r="AA499" s="137">
        <v>715.0</v>
      </c>
      <c r="AB499" s="137">
        <v>221.0</v>
      </c>
      <c r="AC499" s="137">
        <v>878.0</v>
      </c>
      <c r="AD499" s="137">
        <v>201.0</v>
      </c>
      <c r="AE499" s="137">
        <v>924.0</v>
      </c>
      <c r="AF499" s="137">
        <v>283.0</v>
      </c>
      <c r="AG499" s="137">
        <v>858.0</v>
      </c>
      <c r="AH499" s="137">
        <v>231.0</v>
      </c>
      <c r="AI499" s="137">
        <v>771.0</v>
      </c>
      <c r="AJ499" s="137">
        <v>226.0</v>
      </c>
      <c r="AK499" s="137">
        <v>599.0</v>
      </c>
      <c r="AL499" s="137">
        <v>286.0</v>
      </c>
      <c r="AM499" s="137">
        <v>797.0</v>
      </c>
      <c r="AN499" s="134">
        <v>9425.0</v>
      </c>
    </row>
    <row r="500">
      <c r="A500" s="98"/>
      <c r="B500" s="136" t="s">
        <v>199</v>
      </c>
      <c r="C500" s="134">
        <v>3820.0</v>
      </c>
      <c r="D500" s="137">
        <v>949.0</v>
      </c>
      <c r="E500" s="134">
        <v>2871.0</v>
      </c>
      <c r="F500" s="137">
        <v>1.0</v>
      </c>
      <c r="G500" s="137">
        <v>3.0</v>
      </c>
      <c r="H500" s="137">
        <v>2.0</v>
      </c>
      <c r="I500" s="137">
        <v>1.0</v>
      </c>
      <c r="J500" s="137">
        <v>5.0</v>
      </c>
      <c r="K500" s="137">
        <v>5.0</v>
      </c>
      <c r="L500" s="137">
        <v>15.0</v>
      </c>
      <c r="M500" s="137">
        <v>14.0</v>
      </c>
      <c r="N500" s="137">
        <v>16.0</v>
      </c>
      <c r="O500" s="137">
        <v>50.0</v>
      </c>
      <c r="P500" s="137">
        <v>15.0</v>
      </c>
      <c r="Q500" s="137">
        <v>61.0</v>
      </c>
      <c r="R500" s="137">
        <v>16.0</v>
      </c>
      <c r="S500" s="137">
        <v>71.0</v>
      </c>
      <c r="T500" s="137">
        <v>19.0</v>
      </c>
      <c r="U500" s="137">
        <v>89.0</v>
      </c>
      <c r="V500" s="137">
        <v>29.0</v>
      </c>
      <c r="W500" s="137">
        <v>140.0</v>
      </c>
      <c r="X500" s="137">
        <v>41.0</v>
      </c>
      <c r="Y500" s="137">
        <v>182.0</v>
      </c>
      <c r="Z500" s="137">
        <v>61.0</v>
      </c>
      <c r="AA500" s="137">
        <v>280.0</v>
      </c>
      <c r="AB500" s="137">
        <v>98.0</v>
      </c>
      <c r="AC500" s="137">
        <v>313.0</v>
      </c>
      <c r="AD500" s="137">
        <v>104.0</v>
      </c>
      <c r="AE500" s="137">
        <v>361.0</v>
      </c>
      <c r="AF500" s="137">
        <v>130.0</v>
      </c>
      <c r="AG500" s="137">
        <v>383.0</v>
      </c>
      <c r="AH500" s="137">
        <v>147.0</v>
      </c>
      <c r="AI500" s="137">
        <v>352.0</v>
      </c>
      <c r="AJ500" s="137">
        <v>127.0</v>
      </c>
      <c r="AK500" s="137">
        <v>249.0</v>
      </c>
      <c r="AL500" s="137">
        <v>123.0</v>
      </c>
      <c r="AM500" s="137">
        <v>317.0</v>
      </c>
      <c r="AN500" s="134">
        <v>3811.0</v>
      </c>
    </row>
    <row r="501">
      <c r="A501" s="98"/>
      <c r="B501" s="136" t="s">
        <v>206</v>
      </c>
      <c r="C501" s="137">
        <v>44.0</v>
      </c>
      <c r="D501" s="137">
        <v>9.0</v>
      </c>
      <c r="E501" s="137">
        <v>35.0</v>
      </c>
      <c r="F501" s="137">
        <v>5.0</v>
      </c>
      <c r="G501" s="137">
        <v>11.0</v>
      </c>
      <c r="H501" s="137">
        <v>0.0</v>
      </c>
      <c r="I501" s="137">
        <v>0.0</v>
      </c>
      <c r="J501" s="137">
        <v>0.0</v>
      </c>
      <c r="K501" s="137">
        <v>0.0</v>
      </c>
      <c r="L501" s="137">
        <v>0.0</v>
      </c>
      <c r="M501" s="137">
        <v>0.0</v>
      </c>
      <c r="N501" s="137">
        <v>0.0</v>
      </c>
      <c r="O501" s="137">
        <v>0.0</v>
      </c>
      <c r="P501" s="137">
        <v>0.0</v>
      </c>
      <c r="Q501" s="137">
        <v>3.0</v>
      </c>
      <c r="R501" s="137">
        <v>0.0</v>
      </c>
      <c r="S501" s="137">
        <v>2.0</v>
      </c>
      <c r="T501" s="137">
        <v>0.0</v>
      </c>
      <c r="U501" s="137">
        <v>1.0</v>
      </c>
      <c r="V501" s="137">
        <v>0.0</v>
      </c>
      <c r="W501" s="137">
        <v>2.0</v>
      </c>
      <c r="X501" s="137">
        <v>0.0</v>
      </c>
      <c r="Y501" s="137">
        <v>4.0</v>
      </c>
      <c r="Z501" s="137">
        <v>2.0</v>
      </c>
      <c r="AA501" s="137">
        <v>2.0</v>
      </c>
      <c r="AB501" s="137">
        <v>0.0</v>
      </c>
      <c r="AC501" s="137">
        <v>4.0</v>
      </c>
      <c r="AD501" s="137">
        <v>0.0</v>
      </c>
      <c r="AE501" s="137">
        <v>0.0</v>
      </c>
      <c r="AF501" s="137">
        <v>0.0</v>
      </c>
      <c r="AG501" s="137">
        <v>4.0</v>
      </c>
      <c r="AH501" s="137">
        <v>1.0</v>
      </c>
      <c r="AI501" s="137">
        <v>2.0</v>
      </c>
      <c r="AJ501" s="137">
        <v>0.0</v>
      </c>
      <c r="AK501" s="137">
        <v>0.0</v>
      </c>
      <c r="AL501" s="137">
        <v>1.0</v>
      </c>
      <c r="AM501" s="137">
        <v>0.0</v>
      </c>
      <c r="AN501" s="137">
        <v>46.0</v>
      </c>
    </row>
    <row r="502">
      <c r="A502" s="98"/>
      <c r="B502" s="136" t="s">
        <v>200</v>
      </c>
      <c r="C502" s="134">
        <v>3197.0</v>
      </c>
      <c r="D502" s="137">
        <v>869.0</v>
      </c>
      <c r="E502" s="134">
        <v>2328.0</v>
      </c>
      <c r="F502" s="137">
        <v>325.0</v>
      </c>
      <c r="G502" s="137">
        <v>355.0</v>
      </c>
      <c r="H502" s="137">
        <v>5.0</v>
      </c>
      <c r="I502" s="137">
        <v>12.0</v>
      </c>
      <c r="J502" s="137">
        <v>3.0</v>
      </c>
      <c r="K502" s="137">
        <v>24.0</v>
      </c>
      <c r="L502" s="137">
        <v>8.0</v>
      </c>
      <c r="M502" s="137">
        <v>19.0</v>
      </c>
      <c r="N502" s="137">
        <v>8.0</v>
      </c>
      <c r="O502" s="137">
        <v>42.0</v>
      </c>
      <c r="P502" s="137">
        <v>25.0</v>
      </c>
      <c r="Q502" s="137">
        <v>76.0</v>
      </c>
      <c r="R502" s="137">
        <v>13.0</v>
      </c>
      <c r="S502" s="137">
        <v>72.0</v>
      </c>
      <c r="T502" s="137">
        <v>19.0</v>
      </c>
      <c r="U502" s="137">
        <v>104.0</v>
      </c>
      <c r="V502" s="137">
        <v>27.0</v>
      </c>
      <c r="W502" s="137">
        <v>110.0</v>
      </c>
      <c r="X502" s="137">
        <v>24.0</v>
      </c>
      <c r="Y502" s="137">
        <v>157.0</v>
      </c>
      <c r="Z502" s="137">
        <v>45.0</v>
      </c>
      <c r="AA502" s="137">
        <v>216.0</v>
      </c>
      <c r="AB502" s="137">
        <v>60.0</v>
      </c>
      <c r="AC502" s="137">
        <v>228.0</v>
      </c>
      <c r="AD502" s="137">
        <v>61.0</v>
      </c>
      <c r="AE502" s="137">
        <v>227.0</v>
      </c>
      <c r="AF502" s="137">
        <v>74.0</v>
      </c>
      <c r="AG502" s="137">
        <v>209.0</v>
      </c>
      <c r="AH502" s="137">
        <v>81.0</v>
      </c>
      <c r="AI502" s="137">
        <v>223.0</v>
      </c>
      <c r="AJ502" s="137">
        <v>44.0</v>
      </c>
      <c r="AK502" s="137">
        <v>133.0</v>
      </c>
      <c r="AL502" s="137">
        <v>47.0</v>
      </c>
      <c r="AM502" s="137">
        <v>121.0</v>
      </c>
      <c r="AN502" s="134">
        <v>3075.0</v>
      </c>
    </row>
    <row r="503">
      <c r="A503" s="104"/>
      <c r="B503" s="136" t="s">
        <v>201</v>
      </c>
      <c r="C503" s="137">
        <v>0.0</v>
      </c>
      <c r="D503" s="137">
        <v>0.0</v>
      </c>
      <c r="E503" s="137">
        <v>0.0</v>
      </c>
      <c r="F503" s="137">
        <v>0.0</v>
      </c>
      <c r="G503" s="137">
        <v>0.0</v>
      </c>
      <c r="H503" s="137">
        <v>0.0</v>
      </c>
      <c r="I503" s="137">
        <v>0.0</v>
      </c>
      <c r="J503" s="137">
        <v>0.0</v>
      </c>
      <c r="K503" s="137">
        <v>0.0</v>
      </c>
      <c r="L503" s="137">
        <v>0.0</v>
      </c>
      <c r="M503" s="137">
        <v>0.0</v>
      </c>
      <c r="N503" s="137">
        <v>0.0</v>
      </c>
      <c r="O503" s="137">
        <v>0.0</v>
      </c>
      <c r="P503" s="137">
        <v>0.0</v>
      </c>
      <c r="Q503" s="137">
        <v>0.0</v>
      </c>
      <c r="R503" s="137">
        <v>0.0</v>
      </c>
      <c r="S503" s="137">
        <v>0.0</v>
      </c>
      <c r="T503" s="137">
        <v>0.0</v>
      </c>
      <c r="U503" s="137">
        <v>0.0</v>
      </c>
      <c r="V503" s="137">
        <v>0.0</v>
      </c>
      <c r="W503" s="137">
        <v>0.0</v>
      </c>
      <c r="X503" s="137">
        <v>0.0</v>
      </c>
      <c r="Y503" s="137">
        <v>0.0</v>
      </c>
      <c r="Z503" s="137">
        <v>0.0</v>
      </c>
      <c r="AA503" s="137">
        <v>0.0</v>
      </c>
      <c r="AB503" s="137">
        <v>0.0</v>
      </c>
      <c r="AC503" s="137">
        <v>0.0</v>
      </c>
      <c r="AD503" s="137">
        <v>0.0</v>
      </c>
      <c r="AE503" s="137">
        <v>0.0</v>
      </c>
      <c r="AF503" s="137">
        <v>0.0</v>
      </c>
      <c r="AG503" s="137">
        <v>0.0</v>
      </c>
      <c r="AH503" s="137">
        <v>0.0</v>
      </c>
      <c r="AI503" s="137">
        <v>0.0</v>
      </c>
      <c r="AJ503" s="137">
        <v>0.0</v>
      </c>
      <c r="AK503" s="137">
        <v>0.0</v>
      </c>
      <c r="AL503" s="137">
        <v>0.0</v>
      </c>
      <c r="AM503" s="137">
        <v>0.0</v>
      </c>
      <c r="AN503" s="137">
        <v>0.0</v>
      </c>
    </row>
    <row r="504">
      <c r="A504" s="132" t="s">
        <v>208</v>
      </c>
      <c r="B504" s="136" t="s">
        <v>198</v>
      </c>
      <c r="C504" s="137">
        <v>0.0</v>
      </c>
      <c r="D504" s="137">
        <v>0.0</v>
      </c>
      <c r="E504" s="137">
        <v>0.0</v>
      </c>
      <c r="F504" s="137">
        <v>0.0</v>
      </c>
      <c r="G504" s="137">
        <v>0.0</v>
      </c>
      <c r="H504" s="137">
        <v>0.0</v>
      </c>
      <c r="I504" s="137">
        <v>0.0</v>
      </c>
      <c r="J504" s="137">
        <v>0.0</v>
      </c>
      <c r="K504" s="137">
        <v>0.0</v>
      </c>
      <c r="L504" s="137">
        <v>0.0</v>
      </c>
      <c r="M504" s="137">
        <v>0.0</v>
      </c>
      <c r="N504" s="137">
        <v>0.0</v>
      </c>
      <c r="O504" s="137">
        <v>0.0</v>
      </c>
      <c r="P504" s="135">
        <v>0.0</v>
      </c>
      <c r="Q504" s="135">
        <v>0.0</v>
      </c>
      <c r="R504" s="135">
        <v>0.0</v>
      </c>
      <c r="S504" s="135">
        <v>0.0</v>
      </c>
      <c r="T504" s="135">
        <v>0.0</v>
      </c>
      <c r="U504" s="135">
        <v>0.0</v>
      </c>
      <c r="V504" s="135">
        <v>0.0</v>
      </c>
      <c r="W504" s="135">
        <v>0.0</v>
      </c>
      <c r="X504" s="135">
        <v>0.0</v>
      </c>
      <c r="Y504" s="135">
        <v>0.0</v>
      </c>
      <c r="Z504" s="135">
        <v>0.0</v>
      </c>
      <c r="AA504" s="135">
        <v>0.0</v>
      </c>
      <c r="AB504" s="135">
        <v>0.0</v>
      </c>
      <c r="AC504" s="135">
        <v>0.0</v>
      </c>
      <c r="AD504" s="135">
        <v>0.0</v>
      </c>
      <c r="AE504" s="135">
        <v>0.0</v>
      </c>
      <c r="AF504" s="135">
        <v>0.0</v>
      </c>
      <c r="AG504" s="135">
        <v>0.0</v>
      </c>
      <c r="AH504" s="135">
        <v>0.0</v>
      </c>
      <c r="AI504" s="135">
        <v>0.0</v>
      </c>
      <c r="AJ504" s="135">
        <v>0.0</v>
      </c>
      <c r="AK504" s="135">
        <v>0.0</v>
      </c>
      <c r="AL504" s="135">
        <v>0.0</v>
      </c>
      <c r="AM504" s="135">
        <v>0.0</v>
      </c>
      <c r="AN504" s="137">
        <v>0.0</v>
      </c>
    </row>
    <row r="505">
      <c r="A505" s="98"/>
      <c r="B505" s="136" t="s">
        <v>199</v>
      </c>
      <c r="C505" s="137">
        <v>20.0</v>
      </c>
      <c r="D505" s="137">
        <v>11.0</v>
      </c>
      <c r="E505" s="137">
        <v>9.0</v>
      </c>
      <c r="F505" s="137">
        <v>9.0</v>
      </c>
      <c r="G505" s="137">
        <v>9.0</v>
      </c>
      <c r="H505" s="137">
        <v>2.0</v>
      </c>
      <c r="I505" s="137">
        <v>0.0</v>
      </c>
      <c r="J505" s="137">
        <v>0.0</v>
      </c>
      <c r="K505" s="137">
        <v>0.0</v>
      </c>
      <c r="L505" s="137">
        <v>0.0</v>
      </c>
      <c r="M505" s="137">
        <v>0.0</v>
      </c>
      <c r="N505" s="137">
        <v>0.0</v>
      </c>
      <c r="O505" s="137">
        <v>0.0</v>
      </c>
      <c r="P505" s="135">
        <v>0.0</v>
      </c>
      <c r="Q505" s="135">
        <v>0.0</v>
      </c>
      <c r="R505" s="135">
        <v>0.0</v>
      </c>
      <c r="S505" s="135">
        <v>0.0</v>
      </c>
      <c r="T505" s="135">
        <v>0.0</v>
      </c>
      <c r="U505" s="135">
        <v>0.0</v>
      </c>
      <c r="V505" s="135">
        <v>0.0</v>
      </c>
      <c r="W505" s="135">
        <v>0.0</v>
      </c>
      <c r="X505" s="135">
        <v>0.0</v>
      </c>
      <c r="Y505" s="135">
        <v>0.0</v>
      </c>
      <c r="Z505" s="135">
        <v>0.0</v>
      </c>
      <c r="AA505" s="135">
        <v>0.0</v>
      </c>
      <c r="AB505" s="135">
        <v>0.0</v>
      </c>
      <c r="AC505" s="135">
        <v>0.0</v>
      </c>
      <c r="AD505" s="135">
        <v>0.0</v>
      </c>
      <c r="AE505" s="135">
        <v>0.0</v>
      </c>
      <c r="AF505" s="135">
        <v>0.0</v>
      </c>
      <c r="AG505" s="135">
        <v>0.0</v>
      </c>
      <c r="AH505" s="135">
        <v>0.0</v>
      </c>
      <c r="AI505" s="135">
        <v>0.0</v>
      </c>
      <c r="AJ505" s="135">
        <v>0.0</v>
      </c>
      <c r="AK505" s="135">
        <v>0.0</v>
      </c>
      <c r="AL505" s="135">
        <v>0.0</v>
      </c>
      <c r="AM505" s="135">
        <v>0.0</v>
      </c>
      <c r="AN505" s="137">
        <v>16.0</v>
      </c>
    </row>
    <row r="506">
      <c r="A506" s="98"/>
      <c r="B506" s="136" t="s">
        <v>206</v>
      </c>
      <c r="C506" s="137">
        <v>0.0</v>
      </c>
      <c r="D506" s="137">
        <v>0.0</v>
      </c>
      <c r="E506" s="137">
        <v>0.0</v>
      </c>
      <c r="F506" s="137">
        <v>0.0</v>
      </c>
      <c r="G506" s="137">
        <v>0.0</v>
      </c>
      <c r="H506" s="137">
        <v>0.0</v>
      </c>
      <c r="I506" s="137">
        <v>0.0</v>
      </c>
      <c r="J506" s="137">
        <v>0.0</v>
      </c>
      <c r="K506" s="137">
        <v>0.0</v>
      </c>
      <c r="L506" s="137">
        <v>0.0</v>
      </c>
      <c r="M506" s="137">
        <v>0.0</v>
      </c>
      <c r="N506" s="137">
        <v>0.0</v>
      </c>
      <c r="O506" s="137">
        <v>0.0</v>
      </c>
      <c r="P506" s="135">
        <v>0.0</v>
      </c>
      <c r="Q506" s="135">
        <v>0.0</v>
      </c>
      <c r="R506" s="135">
        <v>0.0</v>
      </c>
      <c r="S506" s="135">
        <v>0.0</v>
      </c>
      <c r="T506" s="135">
        <v>0.0</v>
      </c>
      <c r="U506" s="135">
        <v>0.0</v>
      </c>
      <c r="V506" s="135">
        <v>0.0</v>
      </c>
      <c r="W506" s="135">
        <v>0.0</v>
      </c>
      <c r="X506" s="135">
        <v>0.0</v>
      </c>
      <c r="Y506" s="135">
        <v>0.0</v>
      </c>
      <c r="Z506" s="135">
        <v>0.0</v>
      </c>
      <c r="AA506" s="135">
        <v>0.0</v>
      </c>
      <c r="AB506" s="135">
        <v>0.0</v>
      </c>
      <c r="AC506" s="135">
        <v>0.0</v>
      </c>
      <c r="AD506" s="135">
        <v>0.0</v>
      </c>
      <c r="AE506" s="135">
        <v>0.0</v>
      </c>
      <c r="AF506" s="135">
        <v>0.0</v>
      </c>
      <c r="AG506" s="135">
        <v>0.0</v>
      </c>
      <c r="AH506" s="135">
        <v>0.0</v>
      </c>
      <c r="AI506" s="135">
        <v>0.0</v>
      </c>
      <c r="AJ506" s="135">
        <v>0.0</v>
      </c>
      <c r="AK506" s="135">
        <v>0.0</v>
      </c>
      <c r="AL506" s="135">
        <v>0.0</v>
      </c>
      <c r="AM506" s="135">
        <v>0.0</v>
      </c>
      <c r="AN506" s="137">
        <v>0.0</v>
      </c>
    </row>
    <row r="507">
      <c r="A507" s="98"/>
      <c r="B507" s="136" t="s">
        <v>200</v>
      </c>
      <c r="C507" s="137">
        <v>0.0</v>
      </c>
      <c r="D507" s="137">
        <v>0.0</v>
      </c>
      <c r="E507" s="137">
        <v>0.0</v>
      </c>
      <c r="F507" s="137">
        <v>0.0</v>
      </c>
      <c r="G507" s="137">
        <v>0.0</v>
      </c>
      <c r="H507" s="137">
        <v>0.0</v>
      </c>
      <c r="I507" s="137">
        <v>0.0</v>
      </c>
      <c r="J507" s="137">
        <v>0.0</v>
      </c>
      <c r="K507" s="137">
        <v>0.0</v>
      </c>
      <c r="L507" s="137">
        <v>0.0</v>
      </c>
      <c r="M507" s="137">
        <v>0.0</v>
      </c>
      <c r="N507" s="137">
        <v>0.0</v>
      </c>
      <c r="O507" s="137">
        <v>0.0</v>
      </c>
      <c r="P507" s="135">
        <v>0.0</v>
      </c>
      <c r="Q507" s="135">
        <v>0.0</v>
      </c>
      <c r="R507" s="135">
        <v>0.0</v>
      </c>
      <c r="S507" s="135">
        <v>0.0</v>
      </c>
      <c r="T507" s="135">
        <v>0.0</v>
      </c>
      <c r="U507" s="135">
        <v>0.0</v>
      </c>
      <c r="V507" s="135">
        <v>0.0</v>
      </c>
      <c r="W507" s="135">
        <v>0.0</v>
      </c>
      <c r="X507" s="135">
        <v>0.0</v>
      </c>
      <c r="Y507" s="135">
        <v>0.0</v>
      </c>
      <c r="Z507" s="135">
        <v>0.0</v>
      </c>
      <c r="AA507" s="135">
        <v>0.0</v>
      </c>
      <c r="AB507" s="135">
        <v>0.0</v>
      </c>
      <c r="AC507" s="135">
        <v>0.0</v>
      </c>
      <c r="AD507" s="135">
        <v>0.0</v>
      </c>
      <c r="AE507" s="135">
        <v>0.0</v>
      </c>
      <c r="AF507" s="135">
        <v>0.0</v>
      </c>
      <c r="AG507" s="135">
        <v>0.0</v>
      </c>
      <c r="AH507" s="135">
        <v>0.0</v>
      </c>
      <c r="AI507" s="135">
        <v>0.0</v>
      </c>
      <c r="AJ507" s="135">
        <v>0.0</v>
      </c>
      <c r="AK507" s="135">
        <v>0.0</v>
      </c>
      <c r="AL507" s="135">
        <v>0.0</v>
      </c>
      <c r="AM507" s="135">
        <v>0.0</v>
      </c>
      <c r="AN507" s="137">
        <v>0.0</v>
      </c>
    </row>
    <row r="508">
      <c r="A508" s="104"/>
      <c r="B508" s="136" t="s">
        <v>201</v>
      </c>
      <c r="C508" s="137">
        <v>0.0</v>
      </c>
      <c r="D508" s="137">
        <v>0.0</v>
      </c>
      <c r="E508" s="137">
        <v>0.0</v>
      </c>
      <c r="F508" s="137">
        <v>0.0</v>
      </c>
      <c r="G508" s="137">
        <v>0.0</v>
      </c>
      <c r="H508" s="137">
        <v>0.0</v>
      </c>
      <c r="I508" s="137">
        <v>0.0</v>
      </c>
      <c r="J508" s="137">
        <v>0.0</v>
      </c>
      <c r="K508" s="137">
        <v>0.0</v>
      </c>
      <c r="L508" s="137">
        <v>0.0</v>
      </c>
      <c r="M508" s="137">
        <v>0.0</v>
      </c>
      <c r="N508" s="137">
        <v>0.0</v>
      </c>
      <c r="O508" s="137">
        <v>0.0</v>
      </c>
      <c r="P508" s="135">
        <v>0.0</v>
      </c>
      <c r="Q508" s="135">
        <v>0.0</v>
      </c>
      <c r="R508" s="135">
        <v>0.0</v>
      </c>
      <c r="S508" s="135">
        <v>0.0</v>
      </c>
      <c r="T508" s="135">
        <v>0.0</v>
      </c>
      <c r="U508" s="135">
        <v>0.0</v>
      </c>
      <c r="V508" s="135">
        <v>0.0</v>
      </c>
      <c r="W508" s="135">
        <v>0.0</v>
      </c>
      <c r="X508" s="135">
        <v>0.0</v>
      </c>
      <c r="Y508" s="135">
        <v>0.0</v>
      </c>
      <c r="Z508" s="135">
        <v>0.0</v>
      </c>
      <c r="AA508" s="135">
        <v>0.0</v>
      </c>
      <c r="AB508" s="135">
        <v>0.0</v>
      </c>
      <c r="AC508" s="135">
        <v>0.0</v>
      </c>
      <c r="AD508" s="135">
        <v>0.0</v>
      </c>
      <c r="AE508" s="135">
        <v>0.0</v>
      </c>
      <c r="AF508" s="135">
        <v>0.0</v>
      </c>
      <c r="AG508" s="135">
        <v>0.0</v>
      </c>
      <c r="AH508" s="135">
        <v>0.0</v>
      </c>
      <c r="AI508" s="135">
        <v>0.0</v>
      </c>
      <c r="AJ508" s="135">
        <v>0.0</v>
      </c>
      <c r="AK508" s="135">
        <v>0.0</v>
      </c>
      <c r="AL508" s="135">
        <v>0.0</v>
      </c>
      <c r="AM508" s="135">
        <v>0.0</v>
      </c>
      <c r="AN508" s="137">
        <v>0.0</v>
      </c>
    </row>
    <row r="509">
      <c r="A509" s="138" t="s">
        <v>229</v>
      </c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</row>
    <row r="510">
      <c r="A510" s="132" t="s">
        <v>197</v>
      </c>
      <c r="B510" s="133" t="s">
        <v>198</v>
      </c>
      <c r="C510" s="134">
        <v>101705.0</v>
      </c>
      <c r="D510" s="134">
        <v>36659.0</v>
      </c>
      <c r="E510" s="134">
        <v>65046.0</v>
      </c>
      <c r="F510" s="135">
        <v>0.0</v>
      </c>
      <c r="G510" s="135">
        <v>0.0</v>
      </c>
      <c r="H510" s="135">
        <v>0.0</v>
      </c>
      <c r="I510" s="135">
        <v>0.0</v>
      </c>
      <c r="J510" s="135">
        <v>0.0</v>
      </c>
      <c r="K510" s="135">
        <v>0.0</v>
      </c>
      <c r="L510" s="137">
        <v>109.0</v>
      </c>
      <c r="M510" s="137">
        <v>170.0</v>
      </c>
      <c r="N510" s="137">
        <v>132.0</v>
      </c>
      <c r="O510" s="137">
        <v>327.0</v>
      </c>
      <c r="P510" s="137">
        <v>221.0</v>
      </c>
      <c r="Q510" s="137">
        <v>683.0</v>
      </c>
      <c r="R510" s="137">
        <v>334.0</v>
      </c>
      <c r="S510" s="137">
        <v>896.0</v>
      </c>
      <c r="T510" s="137">
        <v>691.0</v>
      </c>
      <c r="U510" s="134">
        <v>1618.0</v>
      </c>
      <c r="V510" s="134">
        <v>1227.0</v>
      </c>
      <c r="W510" s="134">
        <v>2884.0</v>
      </c>
      <c r="X510" s="134">
        <v>2198.0</v>
      </c>
      <c r="Y510" s="134">
        <v>5416.0</v>
      </c>
      <c r="Z510" s="134">
        <v>3669.0</v>
      </c>
      <c r="AA510" s="134">
        <v>7823.0</v>
      </c>
      <c r="AB510" s="134">
        <v>4607.0</v>
      </c>
      <c r="AC510" s="134">
        <v>8715.0</v>
      </c>
      <c r="AD510" s="134">
        <v>5094.0</v>
      </c>
      <c r="AE510" s="134">
        <v>8708.0</v>
      </c>
      <c r="AF510" s="134">
        <v>5150.0</v>
      </c>
      <c r="AG510" s="134">
        <v>8181.0</v>
      </c>
      <c r="AH510" s="134">
        <v>4960.0</v>
      </c>
      <c r="AI510" s="134">
        <v>7307.0</v>
      </c>
      <c r="AJ510" s="134">
        <v>4038.0</v>
      </c>
      <c r="AK510" s="134">
        <v>5744.0</v>
      </c>
      <c r="AL510" s="134">
        <v>4229.0</v>
      </c>
      <c r="AM510" s="134">
        <v>6574.0</v>
      </c>
      <c r="AN510" s="134">
        <v>101670.0</v>
      </c>
    </row>
    <row r="511">
      <c r="A511" s="98"/>
      <c r="B511" s="136" t="s">
        <v>199</v>
      </c>
      <c r="C511" s="134">
        <v>42074.0</v>
      </c>
      <c r="D511" s="134">
        <v>15748.0</v>
      </c>
      <c r="E511" s="134">
        <v>26326.0</v>
      </c>
      <c r="F511" s="135">
        <v>0.0</v>
      </c>
      <c r="G511" s="135">
        <v>0.0</v>
      </c>
      <c r="H511" s="135">
        <v>0.0</v>
      </c>
      <c r="I511" s="135">
        <v>0.0</v>
      </c>
      <c r="J511" s="135">
        <v>0.0</v>
      </c>
      <c r="K511" s="135">
        <v>0.0</v>
      </c>
      <c r="L511" s="137">
        <v>16.0</v>
      </c>
      <c r="M511" s="137">
        <v>26.0</v>
      </c>
      <c r="N511" s="137">
        <v>32.0</v>
      </c>
      <c r="O511" s="137">
        <v>63.0</v>
      </c>
      <c r="P511" s="137">
        <v>76.0</v>
      </c>
      <c r="Q511" s="137">
        <v>154.0</v>
      </c>
      <c r="R511" s="137">
        <v>128.0</v>
      </c>
      <c r="S511" s="137">
        <v>284.0</v>
      </c>
      <c r="T511" s="137">
        <v>262.0</v>
      </c>
      <c r="U511" s="137">
        <v>526.0</v>
      </c>
      <c r="V511" s="137">
        <v>409.0</v>
      </c>
      <c r="W511" s="137">
        <v>955.0</v>
      </c>
      <c r="X511" s="137">
        <v>821.0</v>
      </c>
      <c r="Y511" s="134">
        <v>1995.0</v>
      </c>
      <c r="Z511" s="134">
        <v>1454.0</v>
      </c>
      <c r="AA511" s="134">
        <v>2958.0</v>
      </c>
      <c r="AB511" s="134">
        <v>1908.0</v>
      </c>
      <c r="AC511" s="134">
        <v>3534.0</v>
      </c>
      <c r="AD511" s="134">
        <v>2105.0</v>
      </c>
      <c r="AE511" s="134">
        <v>3740.0</v>
      </c>
      <c r="AF511" s="134">
        <v>2361.0</v>
      </c>
      <c r="AG511" s="134">
        <v>3568.0</v>
      </c>
      <c r="AH511" s="134">
        <v>2373.0</v>
      </c>
      <c r="AI511" s="134">
        <v>3266.0</v>
      </c>
      <c r="AJ511" s="134">
        <v>1884.0</v>
      </c>
      <c r="AK511" s="134">
        <v>2464.0</v>
      </c>
      <c r="AL511" s="134">
        <v>1919.0</v>
      </c>
      <c r="AM511" s="134">
        <v>2793.0</v>
      </c>
      <c r="AN511" s="134">
        <v>41978.0</v>
      </c>
    </row>
    <row r="512">
      <c r="A512" s="98"/>
      <c r="B512" s="136" t="s">
        <v>200</v>
      </c>
      <c r="C512" s="134">
        <v>40652.0</v>
      </c>
      <c r="D512" s="134">
        <v>13782.0</v>
      </c>
      <c r="E512" s="134">
        <v>26870.0</v>
      </c>
      <c r="F512" s="135">
        <v>0.0</v>
      </c>
      <c r="G512" s="135">
        <v>0.0</v>
      </c>
      <c r="H512" s="135">
        <v>0.0</v>
      </c>
      <c r="I512" s="135">
        <v>0.0</v>
      </c>
      <c r="J512" s="135">
        <v>0.0</v>
      </c>
      <c r="K512" s="135">
        <v>0.0</v>
      </c>
      <c r="L512" s="137">
        <v>44.0</v>
      </c>
      <c r="M512" s="137">
        <v>100.0</v>
      </c>
      <c r="N512" s="137">
        <v>57.0</v>
      </c>
      <c r="O512" s="137">
        <v>248.0</v>
      </c>
      <c r="P512" s="137">
        <v>121.0</v>
      </c>
      <c r="Q512" s="137">
        <v>380.0</v>
      </c>
      <c r="R512" s="137">
        <v>187.0</v>
      </c>
      <c r="S512" s="137">
        <v>506.0</v>
      </c>
      <c r="T512" s="137">
        <v>307.0</v>
      </c>
      <c r="U512" s="137">
        <v>881.0</v>
      </c>
      <c r="V512" s="137">
        <v>563.0</v>
      </c>
      <c r="W512" s="134">
        <v>1407.0</v>
      </c>
      <c r="X512" s="137">
        <v>995.0</v>
      </c>
      <c r="Y512" s="134">
        <v>2530.0</v>
      </c>
      <c r="Z512" s="134">
        <v>1548.0</v>
      </c>
      <c r="AA512" s="134">
        <v>3501.0</v>
      </c>
      <c r="AB512" s="134">
        <v>1826.0</v>
      </c>
      <c r="AC512" s="134">
        <v>3729.0</v>
      </c>
      <c r="AD512" s="134">
        <v>1829.0</v>
      </c>
      <c r="AE512" s="134">
        <v>3554.0</v>
      </c>
      <c r="AF512" s="134">
        <v>1918.0</v>
      </c>
      <c r="AG512" s="134">
        <v>3197.0</v>
      </c>
      <c r="AH512" s="134">
        <v>1814.0</v>
      </c>
      <c r="AI512" s="134">
        <v>2932.0</v>
      </c>
      <c r="AJ512" s="134">
        <v>1365.0</v>
      </c>
      <c r="AK512" s="134">
        <v>1998.0</v>
      </c>
      <c r="AL512" s="134">
        <v>1208.0</v>
      </c>
      <c r="AM512" s="134">
        <v>1907.0</v>
      </c>
      <c r="AN512" s="134">
        <v>40621.0</v>
      </c>
    </row>
    <row r="513">
      <c r="A513" s="104"/>
      <c r="B513" s="136" t="s">
        <v>201</v>
      </c>
      <c r="C513" s="137">
        <v>121.0</v>
      </c>
      <c r="D513" s="137">
        <v>48.0</v>
      </c>
      <c r="E513" s="137">
        <v>73.0</v>
      </c>
      <c r="F513" s="135">
        <v>0.0</v>
      </c>
      <c r="G513" s="135">
        <v>0.0</v>
      </c>
      <c r="H513" s="135">
        <v>0.0</v>
      </c>
      <c r="I513" s="135">
        <v>0.0</v>
      </c>
      <c r="J513" s="135">
        <v>0.0</v>
      </c>
      <c r="K513" s="135">
        <v>0.0</v>
      </c>
      <c r="L513" s="137">
        <v>1.0</v>
      </c>
      <c r="M513" s="137">
        <v>1.0</v>
      </c>
      <c r="N513" s="137">
        <v>0.0</v>
      </c>
      <c r="O513" s="137">
        <v>0.0</v>
      </c>
      <c r="P513" s="137">
        <v>1.0</v>
      </c>
      <c r="Q513" s="137">
        <v>0.0</v>
      </c>
      <c r="R513" s="137">
        <v>1.0</v>
      </c>
      <c r="S513" s="137">
        <v>1.0</v>
      </c>
      <c r="T513" s="137">
        <v>0.0</v>
      </c>
      <c r="U513" s="137">
        <v>4.0</v>
      </c>
      <c r="V513" s="137">
        <v>6.0</v>
      </c>
      <c r="W513" s="137">
        <v>7.0</v>
      </c>
      <c r="X513" s="137">
        <v>2.0</v>
      </c>
      <c r="Y513" s="137">
        <v>8.0</v>
      </c>
      <c r="Z513" s="137">
        <v>7.0</v>
      </c>
      <c r="AA513" s="137">
        <v>12.0</v>
      </c>
      <c r="AB513" s="137">
        <v>1.0</v>
      </c>
      <c r="AC513" s="137">
        <v>9.0</v>
      </c>
      <c r="AD513" s="137">
        <v>7.0</v>
      </c>
      <c r="AE513" s="137">
        <v>7.0</v>
      </c>
      <c r="AF513" s="137">
        <v>8.0</v>
      </c>
      <c r="AG513" s="137">
        <v>8.0</v>
      </c>
      <c r="AH513" s="137">
        <v>3.0</v>
      </c>
      <c r="AI513" s="137">
        <v>7.0</v>
      </c>
      <c r="AJ513" s="137">
        <v>7.0</v>
      </c>
      <c r="AK513" s="137">
        <v>4.0</v>
      </c>
      <c r="AL513" s="137">
        <v>4.0</v>
      </c>
      <c r="AM513" s="137">
        <v>5.0</v>
      </c>
      <c r="AN513" s="137">
        <v>121.0</v>
      </c>
    </row>
    <row r="514">
      <c r="A514" s="132" t="s">
        <v>202</v>
      </c>
      <c r="B514" s="136" t="s">
        <v>198</v>
      </c>
      <c r="C514" s="137">
        <v>28.0</v>
      </c>
      <c r="D514" s="137">
        <v>15.0</v>
      </c>
      <c r="E514" s="137">
        <v>13.0</v>
      </c>
      <c r="F514" s="137">
        <v>0.0</v>
      </c>
      <c r="G514" s="137">
        <v>0.0</v>
      </c>
      <c r="H514" s="137">
        <v>0.0</v>
      </c>
      <c r="I514" s="137">
        <v>0.0</v>
      </c>
      <c r="J514" s="137">
        <v>0.0</v>
      </c>
      <c r="K514" s="137">
        <v>0.0</v>
      </c>
      <c r="L514" s="137">
        <v>1.0</v>
      </c>
      <c r="M514" s="137">
        <v>0.0</v>
      </c>
      <c r="N514" s="137">
        <v>0.0</v>
      </c>
      <c r="O514" s="137">
        <v>0.0</v>
      </c>
      <c r="P514" s="137">
        <v>1.0</v>
      </c>
      <c r="Q514" s="137">
        <v>0.0</v>
      </c>
      <c r="R514" s="137">
        <v>0.0</v>
      </c>
      <c r="S514" s="137">
        <v>0.0</v>
      </c>
      <c r="T514" s="137">
        <v>2.0</v>
      </c>
      <c r="U514" s="137">
        <v>0.0</v>
      </c>
      <c r="V514" s="137">
        <v>0.0</v>
      </c>
      <c r="W514" s="137">
        <v>2.0</v>
      </c>
      <c r="X514" s="137">
        <v>0.0</v>
      </c>
      <c r="Y514" s="137">
        <v>2.0</v>
      </c>
      <c r="Z514" s="137">
        <v>0.0</v>
      </c>
      <c r="AA514" s="137">
        <v>0.0</v>
      </c>
      <c r="AB514" s="137">
        <v>6.0</v>
      </c>
      <c r="AC514" s="137">
        <v>1.0</v>
      </c>
      <c r="AD514" s="137">
        <v>0.0</v>
      </c>
      <c r="AE514" s="137">
        <v>1.0</v>
      </c>
      <c r="AF514" s="137">
        <v>1.0</v>
      </c>
      <c r="AG514" s="137">
        <v>1.0</v>
      </c>
      <c r="AH514" s="137">
        <v>0.0</v>
      </c>
      <c r="AI514" s="137">
        <v>3.0</v>
      </c>
      <c r="AJ514" s="137">
        <v>1.0</v>
      </c>
      <c r="AK514" s="137">
        <v>1.0</v>
      </c>
      <c r="AL514" s="137">
        <v>3.0</v>
      </c>
      <c r="AM514" s="137">
        <v>2.0</v>
      </c>
      <c r="AN514" s="137">
        <v>28.0</v>
      </c>
    </row>
    <row r="515">
      <c r="A515" s="104"/>
      <c r="B515" s="136" t="s">
        <v>199</v>
      </c>
      <c r="C515" s="137">
        <v>16.0</v>
      </c>
      <c r="D515" s="137">
        <v>6.0</v>
      </c>
      <c r="E515" s="137">
        <v>10.0</v>
      </c>
      <c r="F515" s="137">
        <v>0.0</v>
      </c>
      <c r="G515" s="137">
        <v>0.0</v>
      </c>
      <c r="H515" s="137">
        <v>0.0</v>
      </c>
      <c r="I515" s="137">
        <v>0.0</v>
      </c>
      <c r="J515" s="137">
        <v>0.0</v>
      </c>
      <c r="K515" s="137">
        <v>0.0</v>
      </c>
      <c r="L515" s="137">
        <v>0.0</v>
      </c>
      <c r="M515" s="137">
        <v>0.0</v>
      </c>
      <c r="N515" s="137">
        <v>0.0</v>
      </c>
      <c r="O515" s="137">
        <v>0.0</v>
      </c>
      <c r="P515" s="137">
        <v>2.0</v>
      </c>
      <c r="Q515" s="137">
        <v>0.0</v>
      </c>
      <c r="R515" s="137">
        <v>0.0</v>
      </c>
      <c r="S515" s="137">
        <v>0.0</v>
      </c>
      <c r="T515" s="137">
        <v>0.0</v>
      </c>
      <c r="U515" s="137">
        <v>0.0</v>
      </c>
      <c r="V515" s="137">
        <v>2.0</v>
      </c>
      <c r="W515" s="137">
        <v>6.0</v>
      </c>
      <c r="X515" s="137">
        <v>0.0</v>
      </c>
      <c r="Y515" s="137">
        <v>0.0</v>
      </c>
      <c r="Z515" s="137">
        <v>0.0</v>
      </c>
      <c r="AA515" s="137">
        <v>0.0</v>
      </c>
      <c r="AB515" s="137">
        <v>0.0</v>
      </c>
      <c r="AC515" s="137">
        <v>0.0</v>
      </c>
      <c r="AD515" s="137">
        <v>1.0</v>
      </c>
      <c r="AE515" s="137">
        <v>0.0</v>
      </c>
      <c r="AF515" s="137">
        <v>0.0</v>
      </c>
      <c r="AG515" s="137">
        <v>0.0</v>
      </c>
      <c r="AH515" s="137">
        <v>0.0</v>
      </c>
      <c r="AI515" s="137">
        <v>4.0</v>
      </c>
      <c r="AJ515" s="137">
        <v>1.0</v>
      </c>
      <c r="AK515" s="137">
        <v>0.0</v>
      </c>
      <c r="AL515" s="137">
        <v>0.0</v>
      </c>
      <c r="AM515" s="137">
        <v>0.0</v>
      </c>
      <c r="AN515" s="137">
        <v>16.0</v>
      </c>
    </row>
    <row r="516">
      <c r="A516" s="132" t="s">
        <v>203</v>
      </c>
      <c r="B516" s="136" t="s">
        <v>198</v>
      </c>
      <c r="C516" s="137">
        <v>13.0</v>
      </c>
      <c r="D516" s="137">
        <v>5.0</v>
      </c>
      <c r="E516" s="137">
        <v>8.0</v>
      </c>
      <c r="F516" s="135">
        <v>0.0</v>
      </c>
      <c r="G516" s="135">
        <v>0.0</v>
      </c>
      <c r="H516" s="135">
        <v>0.0</v>
      </c>
      <c r="I516" s="135">
        <v>0.0</v>
      </c>
      <c r="J516" s="135">
        <v>0.0</v>
      </c>
      <c r="K516" s="135">
        <v>0.0</v>
      </c>
      <c r="L516" s="135">
        <v>0.0</v>
      </c>
      <c r="M516" s="135">
        <v>0.0</v>
      </c>
      <c r="N516" s="135">
        <v>0.0</v>
      </c>
      <c r="O516" s="135">
        <v>0.0</v>
      </c>
      <c r="P516" s="135">
        <v>0.0</v>
      </c>
      <c r="Q516" s="135">
        <v>0.0</v>
      </c>
      <c r="R516" s="135">
        <v>0.0</v>
      </c>
      <c r="S516" s="135">
        <v>0.0</v>
      </c>
      <c r="T516" s="135">
        <v>0.0</v>
      </c>
      <c r="U516" s="135">
        <v>0.0</v>
      </c>
      <c r="V516" s="135">
        <v>0.0</v>
      </c>
      <c r="W516" s="135">
        <v>0.0</v>
      </c>
      <c r="X516" s="135">
        <v>0.0</v>
      </c>
      <c r="Y516" s="135">
        <v>0.0</v>
      </c>
      <c r="Z516" s="135">
        <v>0.0</v>
      </c>
      <c r="AA516" s="135">
        <v>0.0</v>
      </c>
      <c r="AB516" s="135">
        <v>0.0</v>
      </c>
      <c r="AC516" s="135">
        <v>0.0</v>
      </c>
      <c r="AD516" s="135">
        <v>0.0</v>
      </c>
      <c r="AE516" s="135">
        <v>0.0</v>
      </c>
      <c r="AF516" s="137">
        <v>0.0</v>
      </c>
      <c r="AG516" s="137">
        <v>3.0</v>
      </c>
      <c r="AH516" s="137">
        <v>1.0</v>
      </c>
      <c r="AI516" s="137">
        <v>1.0</v>
      </c>
      <c r="AJ516" s="137">
        <v>1.0</v>
      </c>
      <c r="AK516" s="137">
        <v>2.0</v>
      </c>
      <c r="AL516" s="137">
        <v>3.0</v>
      </c>
      <c r="AM516" s="137">
        <v>2.0</v>
      </c>
      <c r="AN516" s="137">
        <v>12.0</v>
      </c>
    </row>
    <row r="517">
      <c r="A517" s="104"/>
      <c r="B517" s="136" t="s">
        <v>199</v>
      </c>
      <c r="C517" s="137">
        <v>891.0</v>
      </c>
      <c r="D517" s="137">
        <v>423.0</v>
      </c>
      <c r="E517" s="137">
        <v>468.0</v>
      </c>
      <c r="F517" s="135">
        <v>0.0</v>
      </c>
      <c r="G517" s="135">
        <v>0.0</v>
      </c>
      <c r="H517" s="135">
        <v>0.0</v>
      </c>
      <c r="I517" s="135">
        <v>0.0</v>
      </c>
      <c r="J517" s="135">
        <v>0.0</v>
      </c>
      <c r="K517" s="135">
        <v>0.0</v>
      </c>
      <c r="L517" s="135">
        <v>0.0</v>
      </c>
      <c r="M517" s="135">
        <v>0.0</v>
      </c>
      <c r="N517" s="135">
        <v>0.0</v>
      </c>
      <c r="O517" s="135">
        <v>0.0</v>
      </c>
      <c r="P517" s="135">
        <v>0.0</v>
      </c>
      <c r="Q517" s="135">
        <v>0.0</v>
      </c>
      <c r="R517" s="135">
        <v>0.0</v>
      </c>
      <c r="S517" s="135">
        <v>0.0</v>
      </c>
      <c r="T517" s="135">
        <v>0.0</v>
      </c>
      <c r="U517" s="135">
        <v>0.0</v>
      </c>
      <c r="V517" s="135">
        <v>0.0</v>
      </c>
      <c r="W517" s="135">
        <v>0.0</v>
      </c>
      <c r="X517" s="135">
        <v>0.0</v>
      </c>
      <c r="Y517" s="135">
        <v>0.0</v>
      </c>
      <c r="Z517" s="135">
        <v>0.0</v>
      </c>
      <c r="AA517" s="135">
        <v>0.0</v>
      </c>
      <c r="AB517" s="135">
        <v>0.0</v>
      </c>
      <c r="AC517" s="135">
        <v>0.0</v>
      </c>
      <c r="AD517" s="135">
        <v>0.0</v>
      </c>
      <c r="AE517" s="135">
        <v>0.0</v>
      </c>
      <c r="AF517" s="137">
        <v>109.0</v>
      </c>
      <c r="AG517" s="137">
        <v>118.0</v>
      </c>
      <c r="AH517" s="137">
        <v>123.0</v>
      </c>
      <c r="AI517" s="137">
        <v>132.0</v>
      </c>
      <c r="AJ517" s="137">
        <v>111.0</v>
      </c>
      <c r="AK517" s="137">
        <v>120.0</v>
      </c>
      <c r="AL517" s="137">
        <v>80.0</v>
      </c>
      <c r="AM517" s="137">
        <v>98.0</v>
      </c>
      <c r="AN517" s="137">
        <v>891.0</v>
      </c>
    </row>
    <row r="518">
      <c r="A518" s="132" t="s">
        <v>204</v>
      </c>
      <c r="B518" s="136" t="s">
        <v>198</v>
      </c>
      <c r="C518" s="137">
        <v>3.0</v>
      </c>
      <c r="D518" s="137">
        <v>2.0</v>
      </c>
      <c r="E518" s="137">
        <v>1.0</v>
      </c>
      <c r="F518" s="135">
        <v>0.0</v>
      </c>
      <c r="G518" s="135">
        <v>0.0</v>
      </c>
      <c r="H518" s="135">
        <v>0.0</v>
      </c>
      <c r="I518" s="135">
        <v>0.0</v>
      </c>
      <c r="J518" s="135">
        <v>0.0</v>
      </c>
      <c r="K518" s="135">
        <v>0.0</v>
      </c>
      <c r="L518" s="135">
        <v>0.0</v>
      </c>
      <c r="M518" s="135">
        <v>0.0</v>
      </c>
      <c r="N518" s="135">
        <v>0.0</v>
      </c>
      <c r="O518" s="135">
        <v>0.0</v>
      </c>
      <c r="P518" s="135">
        <v>0.0</v>
      </c>
      <c r="Q518" s="135">
        <v>0.0</v>
      </c>
      <c r="R518" s="135">
        <v>0.0</v>
      </c>
      <c r="S518" s="135">
        <v>0.0</v>
      </c>
      <c r="T518" s="135">
        <v>0.0</v>
      </c>
      <c r="U518" s="135">
        <v>0.0</v>
      </c>
      <c r="V518" s="135">
        <v>0.0</v>
      </c>
      <c r="W518" s="135">
        <v>0.0</v>
      </c>
      <c r="X518" s="135">
        <v>0.0</v>
      </c>
      <c r="Y518" s="135">
        <v>0.0</v>
      </c>
      <c r="Z518" s="135">
        <v>0.0</v>
      </c>
      <c r="AA518" s="135">
        <v>0.0</v>
      </c>
      <c r="AB518" s="135">
        <v>0.0</v>
      </c>
      <c r="AC518" s="135">
        <v>0.0</v>
      </c>
      <c r="AD518" s="135">
        <v>0.0</v>
      </c>
      <c r="AE518" s="135">
        <v>0.0</v>
      </c>
      <c r="AF518" s="137">
        <v>0.0</v>
      </c>
      <c r="AG518" s="137">
        <v>0.0</v>
      </c>
      <c r="AH518" s="137">
        <v>0.0</v>
      </c>
      <c r="AI518" s="137">
        <v>0.0</v>
      </c>
      <c r="AJ518" s="137">
        <v>0.0</v>
      </c>
      <c r="AK518" s="137">
        <v>0.0</v>
      </c>
      <c r="AL518" s="137">
        <v>2.0</v>
      </c>
      <c r="AM518" s="137">
        <v>1.0</v>
      </c>
      <c r="AN518" s="137">
        <v>3.0</v>
      </c>
    </row>
    <row r="519">
      <c r="A519" s="104"/>
      <c r="B519" s="136" t="s">
        <v>199</v>
      </c>
      <c r="C519" s="137">
        <v>581.0</v>
      </c>
      <c r="D519" s="137">
        <v>258.0</v>
      </c>
      <c r="E519" s="137">
        <v>323.0</v>
      </c>
      <c r="F519" s="135">
        <v>0.0</v>
      </c>
      <c r="G519" s="135">
        <v>0.0</v>
      </c>
      <c r="H519" s="135">
        <v>0.0</v>
      </c>
      <c r="I519" s="135">
        <v>0.0</v>
      </c>
      <c r="J519" s="135">
        <v>0.0</v>
      </c>
      <c r="K519" s="135">
        <v>0.0</v>
      </c>
      <c r="L519" s="135">
        <v>0.0</v>
      </c>
      <c r="M519" s="135">
        <v>0.0</v>
      </c>
      <c r="N519" s="135">
        <v>0.0</v>
      </c>
      <c r="O519" s="135">
        <v>0.0</v>
      </c>
      <c r="P519" s="135">
        <v>0.0</v>
      </c>
      <c r="Q519" s="135">
        <v>0.0</v>
      </c>
      <c r="R519" s="135">
        <v>0.0</v>
      </c>
      <c r="S519" s="135">
        <v>0.0</v>
      </c>
      <c r="T519" s="135">
        <v>0.0</v>
      </c>
      <c r="U519" s="135">
        <v>0.0</v>
      </c>
      <c r="V519" s="135">
        <v>0.0</v>
      </c>
      <c r="W519" s="135">
        <v>0.0</v>
      </c>
      <c r="X519" s="135">
        <v>0.0</v>
      </c>
      <c r="Y519" s="135">
        <v>0.0</v>
      </c>
      <c r="Z519" s="135">
        <v>0.0</v>
      </c>
      <c r="AA519" s="135">
        <v>0.0</v>
      </c>
      <c r="AB519" s="135">
        <v>0.0</v>
      </c>
      <c r="AC519" s="135">
        <v>0.0</v>
      </c>
      <c r="AD519" s="135">
        <v>0.0</v>
      </c>
      <c r="AE519" s="135">
        <v>0.0</v>
      </c>
      <c r="AF519" s="137">
        <v>40.0</v>
      </c>
      <c r="AG519" s="137">
        <v>71.0</v>
      </c>
      <c r="AH519" s="137">
        <v>73.0</v>
      </c>
      <c r="AI519" s="137">
        <v>69.0</v>
      </c>
      <c r="AJ519" s="137">
        <v>56.0</v>
      </c>
      <c r="AK519" s="137">
        <v>64.0</v>
      </c>
      <c r="AL519" s="137">
        <v>89.0</v>
      </c>
      <c r="AM519" s="137">
        <v>119.0</v>
      </c>
      <c r="AN519" s="137">
        <v>581.0</v>
      </c>
    </row>
    <row r="520">
      <c r="A520" s="132" t="s">
        <v>205</v>
      </c>
      <c r="B520" s="136" t="s">
        <v>198</v>
      </c>
      <c r="C520" s="137">
        <v>1.0</v>
      </c>
      <c r="D520" s="137">
        <v>0.0</v>
      </c>
      <c r="E520" s="137">
        <v>1.0</v>
      </c>
      <c r="F520" s="137">
        <v>0.0</v>
      </c>
      <c r="G520" s="137">
        <v>0.0</v>
      </c>
      <c r="H520" s="137">
        <v>0.0</v>
      </c>
      <c r="I520" s="137">
        <v>0.0</v>
      </c>
      <c r="J520" s="137">
        <v>0.0</v>
      </c>
      <c r="K520" s="137">
        <v>0.0</v>
      </c>
      <c r="L520" s="137">
        <v>0.0</v>
      </c>
      <c r="M520" s="137">
        <v>0.0</v>
      </c>
      <c r="N520" s="137">
        <v>0.0</v>
      </c>
      <c r="O520" s="137">
        <v>0.0</v>
      </c>
      <c r="P520" s="137">
        <v>0.0</v>
      </c>
      <c r="Q520" s="137">
        <v>0.0</v>
      </c>
      <c r="R520" s="137">
        <v>0.0</v>
      </c>
      <c r="S520" s="137">
        <v>1.0</v>
      </c>
      <c r="T520" s="137">
        <v>0.0</v>
      </c>
      <c r="U520" s="137">
        <v>0.0</v>
      </c>
      <c r="V520" s="137">
        <v>0.0</v>
      </c>
      <c r="W520" s="137">
        <v>0.0</v>
      </c>
      <c r="X520" s="137">
        <v>0.0</v>
      </c>
      <c r="Y520" s="137">
        <v>0.0</v>
      </c>
      <c r="Z520" s="137">
        <v>0.0</v>
      </c>
      <c r="AA520" s="137">
        <v>0.0</v>
      </c>
      <c r="AB520" s="137">
        <v>0.0</v>
      </c>
      <c r="AC520" s="137">
        <v>0.0</v>
      </c>
      <c r="AD520" s="137">
        <v>0.0</v>
      </c>
      <c r="AE520" s="137">
        <v>0.0</v>
      </c>
      <c r="AF520" s="137">
        <v>0.0</v>
      </c>
      <c r="AG520" s="137">
        <v>0.0</v>
      </c>
      <c r="AH520" s="137">
        <v>0.0</v>
      </c>
      <c r="AI520" s="137">
        <v>0.0</v>
      </c>
      <c r="AJ520" s="137">
        <v>0.0</v>
      </c>
      <c r="AK520" s="137">
        <v>0.0</v>
      </c>
      <c r="AL520" s="137">
        <v>0.0</v>
      </c>
      <c r="AM520" s="137">
        <v>0.0</v>
      </c>
      <c r="AN520" s="137">
        <v>1.0</v>
      </c>
    </row>
    <row r="521">
      <c r="A521" s="98"/>
      <c r="B521" s="136" t="s">
        <v>199</v>
      </c>
      <c r="C521" s="137">
        <v>3.0</v>
      </c>
      <c r="D521" s="137">
        <v>2.0</v>
      </c>
      <c r="E521" s="137">
        <v>1.0</v>
      </c>
      <c r="F521" s="137">
        <v>0.0</v>
      </c>
      <c r="G521" s="137">
        <v>0.0</v>
      </c>
      <c r="H521" s="137">
        <v>0.0</v>
      </c>
      <c r="I521" s="137">
        <v>0.0</v>
      </c>
      <c r="J521" s="137">
        <v>0.0</v>
      </c>
      <c r="K521" s="137">
        <v>0.0</v>
      </c>
      <c r="L521" s="137">
        <v>0.0</v>
      </c>
      <c r="M521" s="137">
        <v>0.0</v>
      </c>
      <c r="N521" s="137">
        <v>0.0</v>
      </c>
      <c r="O521" s="137">
        <v>0.0</v>
      </c>
      <c r="P521" s="137">
        <v>0.0</v>
      </c>
      <c r="Q521" s="137">
        <v>0.0</v>
      </c>
      <c r="R521" s="137">
        <v>0.0</v>
      </c>
      <c r="S521" s="137">
        <v>0.0</v>
      </c>
      <c r="T521" s="137">
        <v>0.0</v>
      </c>
      <c r="U521" s="137">
        <v>0.0</v>
      </c>
      <c r="V521" s="137">
        <v>0.0</v>
      </c>
      <c r="W521" s="137">
        <v>0.0</v>
      </c>
      <c r="X521" s="137">
        <v>1.0</v>
      </c>
      <c r="Y521" s="137">
        <v>0.0</v>
      </c>
      <c r="Z521" s="137">
        <v>0.0</v>
      </c>
      <c r="AA521" s="137">
        <v>0.0</v>
      </c>
      <c r="AB521" s="137">
        <v>0.0</v>
      </c>
      <c r="AC521" s="137">
        <v>1.0</v>
      </c>
      <c r="AD521" s="137">
        <v>0.0</v>
      </c>
      <c r="AE521" s="137">
        <v>0.0</v>
      </c>
      <c r="AF521" s="137">
        <v>0.0</v>
      </c>
      <c r="AG521" s="137">
        <v>0.0</v>
      </c>
      <c r="AH521" s="137">
        <v>1.0</v>
      </c>
      <c r="AI521" s="137">
        <v>0.0</v>
      </c>
      <c r="AJ521" s="137">
        <v>0.0</v>
      </c>
      <c r="AK521" s="137">
        <v>0.0</v>
      </c>
      <c r="AL521" s="137">
        <v>0.0</v>
      </c>
      <c r="AM521" s="137">
        <v>0.0</v>
      </c>
      <c r="AN521" s="137">
        <v>3.0</v>
      </c>
    </row>
    <row r="522">
      <c r="A522" s="104"/>
      <c r="B522" s="136" t="s">
        <v>206</v>
      </c>
      <c r="C522" s="137">
        <v>100.0</v>
      </c>
      <c r="D522" s="137">
        <v>28.0</v>
      </c>
      <c r="E522" s="137">
        <v>72.0</v>
      </c>
      <c r="F522" s="137">
        <v>0.0</v>
      </c>
      <c r="G522" s="137">
        <v>0.0</v>
      </c>
      <c r="H522" s="137">
        <v>0.0</v>
      </c>
      <c r="I522" s="137">
        <v>0.0</v>
      </c>
      <c r="J522" s="137">
        <v>0.0</v>
      </c>
      <c r="K522" s="137">
        <v>1.0</v>
      </c>
      <c r="L522" s="137">
        <v>4.0</v>
      </c>
      <c r="M522" s="137">
        <v>11.0</v>
      </c>
      <c r="N522" s="137">
        <v>6.0</v>
      </c>
      <c r="O522" s="137">
        <v>19.0</v>
      </c>
      <c r="P522" s="137">
        <v>5.0</v>
      </c>
      <c r="Q522" s="137">
        <v>6.0</v>
      </c>
      <c r="R522" s="137">
        <v>6.0</v>
      </c>
      <c r="S522" s="137">
        <v>11.0</v>
      </c>
      <c r="T522" s="137">
        <v>2.0</v>
      </c>
      <c r="U522" s="137">
        <v>5.0</v>
      </c>
      <c r="V522" s="137">
        <v>2.0</v>
      </c>
      <c r="W522" s="137">
        <v>11.0</v>
      </c>
      <c r="X522" s="137">
        <v>2.0</v>
      </c>
      <c r="Y522" s="137">
        <v>4.0</v>
      </c>
      <c r="Z522" s="137">
        <v>0.0</v>
      </c>
      <c r="AA522" s="137">
        <v>2.0</v>
      </c>
      <c r="AB522" s="137">
        <v>1.0</v>
      </c>
      <c r="AC522" s="137">
        <v>0.0</v>
      </c>
      <c r="AD522" s="137">
        <v>0.0</v>
      </c>
      <c r="AE522" s="137">
        <v>2.0</v>
      </c>
      <c r="AF522" s="137">
        <v>0.0</v>
      </c>
      <c r="AG522" s="137">
        <v>0.0</v>
      </c>
      <c r="AH522" s="137">
        <v>0.0</v>
      </c>
      <c r="AI522" s="137">
        <v>0.0</v>
      </c>
      <c r="AJ522" s="137">
        <v>0.0</v>
      </c>
      <c r="AK522" s="137">
        <v>0.0</v>
      </c>
      <c r="AL522" s="137">
        <v>0.0</v>
      </c>
      <c r="AM522" s="137">
        <v>0.0</v>
      </c>
      <c r="AN522" s="137">
        <v>100.0</v>
      </c>
    </row>
    <row r="523">
      <c r="A523" s="132" t="s">
        <v>207</v>
      </c>
      <c r="B523" s="136" t="s">
        <v>198</v>
      </c>
      <c r="C523" s="134">
        <v>7930.0</v>
      </c>
      <c r="D523" s="134">
        <v>2092.0</v>
      </c>
      <c r="E523" s="134">
        <v>5838.0</v>
      </c>
      <c r="F523" s="137">
        <v>50.0</v>
      </c>
      <c r="G523" s="137">
        <v>43.0</v>
      </c>
      <c r="H523" s="137">
        <v>52.0</v>
      </c>
      <c r="I523" s="137">
        <v>52.0</v>
      </c>
      <c r="J523" s="137">
        <v>51.0</v>
      </c>
      <c r="K523" s="137">
        <v>66.0</v>
      </c>
      <c r="L523" s="137">
        <v>66.0</v>
      </c>
      <c r="M523" s="137">
        <v>115.0</v>
      </c>
      <c r="N523" s="137">
        <v>50.0</v>
      </c>
      <c r="O523" s="137">
        <v>154.0</v>
      </c>
      <c r="P523" s="137">
        <v>60.0</v>
      </c>
      <c r="Q523" s="137">
        <v>242.0</v>
      </c>
      <c r="R523" s="137">
        <v>76.0</v>
      </c>
      <c r="S523" s="137">
        <v>232.0</v>
      </c>
      <c r="T523" s="137">
        <v>78.0</v>
      </c>
      <c r="U523" s="137">
        <v>317.0</v>
      </c>
      <c r="V523" s="137">
        <v>107.0</v>
      </c>
      <c r="W523" s="137">
        <v>453.0</v>
      </c>
      <c r="X523" s="137">
        <v>165.0</v>
      </c>
      <c r="Y523" s="137">
        <v>652.0</v>
      </c>
      <c r="Z523" s="137">
        <v>184.0</v>
      </c>
      <c r="AA523" s="137">
        <v>694.0</v>
      </c>
      <c r="AB523" s="137">
        <v>200.0</v>
      </c>
      <c r="AC523" s="137">
        <v>715.0</v>
      </c>
      <c r="AD523" s="137">
        <v>230.0</v>
      </c>
      <c r="AE523" s="137">
        <v>609.0</v>
      </c>
      <c r="AF523" s="137">
        <v>198.0</v>
      </c>
      <c r="AG523" s="137">
        <v>530.0</v>
      </c>
      <c r="AH523" s="137">
        <v>189.0</v>
      </c>
      <c r="AI523" s="137">
        <v>387.0</v>
      </c>
      <c r="AJ523" s="137">
        <v>164.0</v>
      </c>
      <c r="AK523" s="137">
        <v>280.0</v>
      </c>
      <c r="AL523" s="137">
        <v>172.0</v>
      </c>
      <c r="AM523" s="137">
        <v>297.0</v>
      </c>
      <c r="AN523" s="134">
        <v>7914.0</v>
      </c>
    </row>
    <row r="524">
      <c r="A524" s="98"/>
      <c r="B524" s="136" t="s">
        <v>199</v>
      </c>
      <c r="C524" s="134">
        <v>1146.0</v>
      </c>
      <c r="D524" s="137">
        <v>386.0</v>
      </c>
      <c r="E524" s="137">
        <v>760.0</v>
      </c>
      <c r="F524" s="137">
        <v>4.0</v>
      </c>
      <c r="G524" s="137">
        <v>2.0</v>
      </c>
      <c r="H524" s="137">
        <v>0.0</v>
      </c>
      <c r="I524" s="137">
        <v>2.0</v>
      </c>
      <c r="J524" s="137">
        <v>2.0</v>
      </c>
      <c r="K524" s="137">
        <v>4.0</v>
      </c>
      <c r="L524" s="137">
        <v>6.0</v>
      </c>
      <c r="M524" s="137">
        <v>7.0</v>
      </c>
      <c r="N524" s="137">
        <v>13.0</v>
      </c>
      <c r="O524" s="137">
        <v>5.0</v>
      </c>
      <c r="P524" s="137">
        <v>16.0</v>
      </c>
      <c r="Q524" s="137">
        <v>15.0</v>
      </c>
      <c r="R524" s="137">
        <v>10.0</v>
      </c>
      <c r="S524" s="137">
        <v>14.0</v>
      </c>
      <c r="T524" s="137">
        <v>14.0</v>
      </c>
      <c r="U524" s="137">
        <v>18.0</v>
      </c>
      <c r="V524" s="137">
        <v>13.0</v>
      </c>
      <c r="W524" s="137">
        <v>40.0</v>
      </c>
      <c r="X524" s="137">
        <v>25.0</v>
      </c>
      <c r="Y524" s="137">
        <v>68.0</v>
      </c>
      <c r="Z524" s="137">
        <v>39.0</v>
      </c>
      <c r="AA524" s="137">
        <v>75.0</v>
      </c>
      <c r="AB524" s="137">
        <v>34.0</v>
      </c>
      <c r="AC524" s="137">
        <v>91.0</v>
      </c>
      <c r="AD524" s="137">
        <v>38.0</v>
      </c>
      <c r="AE524" s="137">
        <v>87.0</v>
      </c>
      <c r="AF524" s="137">
        <v>41.0</v>
      </c>
      <c r="AG524" s="137">
        <v>108.0</v>
      </c>
      <c r="AH524" s="137">
        <v>48.0</v>
      </c>
      <c r="AI524" s="137">
        <v>89.0</v>
      </c>
      <c r="AJ524" s="137">
        <v>35.0</v>
      </c>
      <c r="AK524" s="137">
        <v>64.0</v>
      </c>
      <c r="AL524" s="137">
        <v>48.0</v>
      </c>
      <c r="AM524" s="137">
        <v>71.0</v>
      </c>
      <c r="AN524" s="134">
        <v>1145.0</v>
      </c>
    </row>
    <row r="525">
      <c r="A525" s="98"/>
      <c r="B525" s="136" t="s">
        <v>206</v>
      </c>
      <c r="C525" s="137">
        <v>33.0</v>
      </c>
      <c r="D525" s="137">
        <v>3.0</v>
      </c>
      <c r="E525" s="137">
        <v>30.0</v>
      </c>
      <c r="F525" s="137">
        <v>0.0</v>
      </c>
      <c r="G525" s="137">
        <v>1.0</v>
      </c>
      <c r="H525" s="137">
        <v>0.0</v>
      </c>
      <c r="I525" s="137">
        <v>0.0</v>
      </c>
      <c r="J525" s="137">
        <v>0.0</v>
      </c>
      <c r="K525" s="137">
        <v>0.0</v>
      </c>
      <c r="L525" s="137">
        <v>0.0</v>
      </c>
      <c r="M525" s="137">
        <v>4.0</v>
      </c>
      <c r="N525" s="137">
        <v>0.0</v>
      </c>
      <c r="O525" s="137">
        <v>7.0</v>
      </c>
      <c r="P525" s="137">
        <v>0.0</v>
      </c>
      <c r="Q525" s="137">
        <v>2.0</v>
      </c>
      <c r="R525" s="137">
        <v>0.0</v>
      </c>
      <c r="S525" s="137">
        <v>6.0</v>
      </c>
      <c r="T525" s="137">
        <v>1.0</v>
      </c>
      <c r="U525" s="137">
        <v>2.0</v>
      </c>
      <c r="V525" s="137">
        <v>2.0</v>
      </c>
      <c r="W525" s="137">
        <v>5.0</v>
      </c>
      <c r="X525" s="137">
        <v>0.0</v>
      </c>
      <c r="Y525" s="137">
        <v>1.0</v>
      </c>
      <c r="Z525" s="137">
        <v>0.0</v>
      </c>
      <c r="AA525" s="137">
        <v>1.0</v>
      </c>
      <c r="AB525" s="137">
        <v>0.0</v>
      </c>
      <c r="AC525" s="137">
        <v>0.0</v>
      </c>
      <c r="AD525" s="137">
        <v>0.0</v>
      </c>
      <c r="AE525" s="137">
        <v>0.0</v>
      </c>
      <c r="AF525" s="137">
        <v>0.0</v>
      </c>
      <c r="AG525" s="137">
        <v>1.0</v>
      </c>
      <c r="AH525" s="137">
        <v>0.0</v>
      </c>
      <c r="AI525" s="137">
        <v>0.0</v>
      </c>
      <c r="AJ525" s="137">
        <v>0.0</v>
      </c>
      <c r="AK525" s="137">
        <v>0.0</v>
      </c>
      <c r="AL525" s="137">
        <v>0.0</v>
      </c>
      <c r="AM525" s="137">
        <v>0.0</v>
      </c>
      <c r="AN525" s="137">
        <v>33.0</v>
      </c>
    </row>
    <row r="526">
      <c r="A526" s="98"/>
      <c r="B526" s="136" t="s">
        <v>200</v>
      </c>
      <c r="C526" s="134">
        <v>1291.0</v>
      </c>
      <c r="D526" s="137">
        <v>403.0</v>
      </c>
      <c r="E526" s="137">
        <v>888.0</v>
      </c>
      <c r="F526" s="137">
        <v>98.0</v>
      </c>
      <c r="G526" s="137">
        <v>84.0</v>
      </c>
      <c r="H526" s="137">
        <v>44.0</v>
      </c>
      <c r="I526" s="137">
        <v>20.0</v>
      </c>
      <c r="J526" s="137">
        <v>18.0</v>
      </c>
      <c r="K526" s="137">
        <v>15.0</v>
      </c>
      <c r="L526" s="137">
        <v>11.0</v>
      </c>
      <c r="M526" s="137">
        <v>38.0</v>
      </c>
      <c r="N526" s="137">
        <v>8.0</v>
      </c>
      <c r="O526" s="137">
        <v>48.0</v>
      </c>
      <c r="P526" s="137">
        <v>5.0</v>
      </c>
      <c r="Q526" s="137">
        <v>71.0</v>
      </c>
      <c r="R526" s="137">
        <v>11.0</v>
      </c>
      <c r="S526" s="137">
        <v>39.0</v>
      </c>
      <c r="T526" s="137">
        <v>10.0</v>
      </c>
      <c r="U526" s="137">
        <v>30.0</v>
      </c>
      <c r="V526" s="137">
        <v>13.0</v>
      </c>
      <c r="W526" s="137">
        <v>59.0</v>
      </c>
      <c r="X526" s="137">
        <v>14.0</v>
      </c>
      <c r="Y526" s="137">
        <v>75.0</v>
      </c>
      <c r="Z526" s="137">
        <v>20.0</v>
      </c>
      <c r="AA526" s="137">
        <v>100.0</v>
      </c>
      <c r="AB526" s="137">
        <v>24.0</v>
      </c>
      <c r="AC526" s="137">
        <v>85.0</v>
      </c>
      <c r="AD526" s="137">
        <v>23.0</v>
      </c>
      <c r="AE526" s="137">
        <v>69.0</v>
      </c>
      <c r="AF526" s="137">
        <v>43.0</v>
      </c>
      <c r="AG526" s="137">
        <v>57.0</v>
      </c>
      <c r="AH526" s="137">
        <v>30.0</v>
      </c>
      <c r="AI526" s="137">
        <v>43.0</v>
      </c>
      <c r="AJ526" s="137">
        <v>23.0</v>
      </c>
      <c r="AK526" s="137">
        <v>20.0</v>
      </c>
      <c r="AL526" s="137">
        <v>8.0</v>
      </c>
      <c r="AM526" s="137">
        <v>35.0</v>
      </c>
      <c r="AN526" s="134">
        <v>1291.0</v>
      </c>
    </row>
    <row r="527">
      <c r="A527" s="104"/>
      <c r="B527" s="136" t="s">
        <v>201</v>
      </c>
      <c r="C527" s="137">
        <v>187.0</v>
      </c>
      <c r="D527" s="137">
        <v>43.0</v>
      </c>
      <c r="E527" s="137">
        <v>144.0</v>
      </c>
      <c r="F527" s="137">
        <v>1.0</v>
      </c>
      <c r="G527" s="137">
        <v>0.0</v>
      </c>
      <c r="H527" s="137">
        <v>0.0</v>
      </c>
      <c r="I527" s="137">
        <v>0.0</v>
      </c>
      <c r="J527" s="137">
        <v>0.0</v>
      </c>
      <c r="K527" s="137">
        <v>0.0</v>
      </c>
      <c r="L527" s="137">
        <v>0.0</v>
      </c>
      <c r="M527" s="137">
        <v>1.0</v>
      </c>
      <c r="N527" s="137">
        <v>0.0</v>
      </c>
      <c r="O527" s="137">
        <v>4.0</v>
      </c>
      <c r="P527" s="137">
        <v>0.0</v>
      </c>
      <c r="Q527" s="137">
        <v>1.0</v>
      </c>
      <c r="R527" s="137">
        <v>0.0</v>
      </c>
      <c r="S527" s="137">
        <v>8.0</v>
      </c>
      <c r="T527" s="137">
        <v>0.0</v>
      </c>
      <c r="U527" s="137">
        <v>4.0</v>
      </c>
      <c r="V527" s="137">
        <v>0.0</v>
      </c>
      <c r="W527" s="137">
        <v>2.0</v>
      </c>
      <c r="X527" s="137">
        <v>0.0</v>
      </c>
      <c r="Y527" s="137">
        <v>3.0</v>
      </c>
      <c r="Z527" s="137">
        <v>0.0</v>
      </c>
      <c r="AA527" s="137">
        <v>3.0</v>
      </c>
      <c r="AB527" s="137">
        <v>0.0</v>
      </c>
      <c r="AC527" s="137">
        <v>15.0</v>
      </c>
      <c r="AD527" s="137">
        <v>2.0</v>
      </c>
      <c r="AE527" s="137">
        <v>19.0</v>
      </c>
      <c r="AF527" s="137">
        <v>7.0</v>
      </c>
      <c r="AG527" s="137">
        <v>25.0</v>
      </c>
      <c r="AH527" s="137">
        <v>6.0</v>
      </c>
      <c r="AI527" s="137">
        <v>8.0</v>
      </c>
      <c r="AJ527" s="137">
        <v>22.0</v>
      </c>
      <c r="AK527" s="137">
        <v>31.0</v>
      </c>
      <c r="AL527" s="137">
        <v>5.0</v>
      </c>
      <c r="AM527" s="137">
        <v>20.0</v>
      </c>
      <c r="AN527" s="137">
        <v>187.0</v>
      </c>
    </row>
    <row r="528">
      <c r="A528" s="132" t="s">
        <v>208</v>
      </c>
      <c r="B528" s="136" t="s">
        <v>198</v>
      </c>
      <c r="C528" s="137">
        <v>19.0</v>
      </c>
      <c r="D528" s="137">
        <v>10.0</v>
      </c>
      <c r="E528" s="137">
        <v>9.0</v>
      </c>
      <c r="F528" s="137">
        <v>9.0</v>
      </c>
      <c r="G528" s="137">
        <v>9.0</v>
      </c>
      <c r="H528" s="137">
        <v>1.0</v>
      </c>
      <c r="I528" s="137">
        <v>0.0</v>
      </c>
      <c r="J528" s="137">
        <v>0.0</v>
      </c>
      <c r="K528" s="137">
        <v>0.0</v>
      </c>
      <c r="L528" s="137">
        <v>0.0</v>
      </c>
      <c r="M528" s="137">
        <v>0.0</v>
      </c>
      <c r="N528" s="137">
        <v>0.0</v>
      </c>
      <c r="O528" s="137">
        <v>0.0</v>
      </c>
      <c r="P528" s="135">
        <v>0.0</v>
      </c>
      <c r="Q528" s="135">
        <v>0.0</v>
      </c>
      <c r="R528" s="135">
        <v>0.0</v>
      </c>
      <c r="S528" s="135">
        <v>0.0</v>
      </c>
      <c r="T528" s="135">
        <v>0.0</v>
      </c>
      <c r="U528" s="135">
        <v>0.0</v>
      </c>
      <c r="V528" s="135">
        <v>0.0</v>
      </c>
      <c r="W528" s="135">
        <v>0.0</v>
      </c>
      <c r="X528" s="135">
        <v>0.0</v>
      </c>
      <c r="Y528" s="135">
        <v>0.0</v>
      </c>
      <c r="Z528" s="135">
        <v>0.0</v>
      </c>
      <c r="AA528" s="135">
        <v>0.0</v>
      </c>
      <c r="AB528" s="135">
        <v>0.0</v>
      </c>
      <c r="AC528" s="135">
        <v>0.0</v>
      </c>
      <c r="AD528" s="135">
        <v>0.0</v>
      </c>
      <c r="AE528" s="135">
        <v>0.0</v>
      </c>
      <c r="AF528" s="135">
        <v>0.0</v>
      </c>
      <c r="AG528" s="135">
        <v>0.0</v>
      </c>
      <c r="AH528" s="135">
        <v>0.0</v>
      </c>
      <c r="AI528" s="135">
        <v>0.0</v>
      </c>
      <c r="AJ528" s="135">
        <v>0.0</v>
      </c>
      <c r="AK528" s="135">
        <v>0.0</v>
      </c>
      <c r="AL528" s="135">
        <v>0.0</v>
      </c>
      <c r="AM528" s="135">
        <v>0.0</v>
      </c>
      <c r="AN528" s="137">
        <v>19.0</v>
      </c>
    </row>
    <row r="529">
      <c r="A529" s="98"/>
      <c r="B529" s="136" t="s">
        <v>199</v>
      </c>
      <c r="C529" s="137">
        <v>47.0</v>
      </c>
      <c r="D529" s="137">
        <v>22.0</v>
      </c>
      <c r="E529" s="137">
        <v>25.0</v>
      </c>
      <c r="F529" s="137">
        <v>19.0</v>
      </c>
      <c r="G529" s="137">
        <v>15.0</v>
      </c>
      <c r="H529" s="137">
        <v>3.0</v>
      </c>
      <c r="I529" s="137">
        <v>9.0</v>
      </c>
      <c r="J529" s="137">
        <v>0.0</v>
      </c>
      <c r="K529" s="137">
        <v>1.0</v>
      </c>
      <c r="L529" s="137">
        <v>0.0</v>
      </c>
      <c r="M529" s="137">
        <v>0.0</v>
      </c>
      <c r="N529" s="137">
        <v>0.0</v>
      </c>
      <c r="O529" s="137">
        <v>0.0</v>
      </c>
      <c r="P529" s="135">
        <v>0.0</v>
      </c>
      <c r="Q529" s="135">
        <v>0.0</v>
      </c>
      <c r="R529" s="135">
        <v>0.0</v>
      </c>
      <c r="S529" s="135">
        <v>0.0</v>
      </c>
      <c r="T529" s="135">
        <v>0.0</v>
      </c>
      <c r="U529" s="135">
        <v>0.0</v>
      </c>
      <c r="V529" s="135">
        <v>0.0</v>
      </c>
      <c r="W529" s="135">
        <v>0.0</v>
      </c>
      <c r="X529" s="135">
        <v>0.0</v>
      </c>
      <c r="Y529" s="135">
        <v>0.0</v>
      </c>
      <c r="Z529" s="135">
        <v>0.0</v>
      </c>
      <c r="AA529" s="135">
        <v>0.0</v>
      </c>
      <c r="AB529" s="135">
        <v>0.0</v>
      </c>
      <c r="AC529" s="135">
        <v>0.0</v>
      </c>
      <c r="AD529" s="135">
        <v>0.0</v>
      </c>
      <c r="AE529" s="135">
        <v>0.0</v>
      </c>
      <c r="AF529" s="135">
        <v>0.0</v>
      </c>
      <c r="AG529" s="135">
        <v>0.0</v>
      </c>
      <c r="AH529" s="135">
        <v>0.0</v>
      </c>
      <c r="AI529" s="135">
        <v>0.0</v>
      </c>
      <c r="AJ529" s="135">
        <v>0.0</v>
      </c>
      <c r="AK529" s="135">
        <v>0.0</v>
      </c>
      <c r="AL529" s="135">
        <v>0.0</v>
      </c>
      <c r="AM529" s="135">
        <v>0.0</v>
      </c>
      <c r="AN529" s="137">
        <v>47.0</v>
      </c>
    </row>
    <row r="530">
      <c r="A530" s="98"/>
      <c r="B530" s="136" t="s">
        <v>206</v>
      </c>
      <c r="C530" s="137">
        <v>6.0</v>
      </c>
      <c r="D530" s="137">
        <v>2.0</v>
      </c>
      <c r="E530" s="137">
        <v>4.0</v>
      </c>
      <c r="F530" s="137">
        <v>2.0</v>
      </c>
      <c r="G530" s="137">
        <v>4.0</v>
      </c>
      <c r="H530" s="137">
        <v>0.0</v>
      </c>
      <c r="I530" s="137">
        <v>0.0</v>
      </c>
      <c r="J530" s="137">
        <v>0.0</v>
      </c>
      <c r="K530" s="137">
        <v>0.0</v>
      </c>
      <c r="L530" s="137">
        <v>0.0</v>
      </c>
      <c r="M530" s="137">
        <v>0.0</v>
      </c>
      <c r="N530" s="137">
        <v>0.0</v>
      </c>
      <c r="O530" s="137">
        <v>0.0</v>
      </c>
      <c r="P530" s="135">
        <v>0.0</v>
      </c>
      <c r="Q530" s="135">
        <v>0.0</v>
      </c>
      <c r="R530" s="135">
        <v>0.0</v>
      </c>
      <c r="S530" s="135">
        <v>0.0</v>
      </c>
      <c r="T530" s="135">
        <v>0.0</v>
      </c>
      <c r="U530" s="135">
        <v>0.0</v>
      </c>
      <c r="V530" s="135">
        <v>0.0</v>
      </c>
      <c r="W530" s="135">
        <v>0.0</v>
      </c>
      <c r="X530" s="135">
        <v>0.0</v>
      </c>
      <c r="Y530" s="135">
        <v>0.0</v>
      </c>
      <c r="Z530" s="135">
        <v>0.0</v>
      </c>
      <c r="AA530" s="135">
        <v>0.0</v>
      </c>
      <c r="AB530" s="135">
        <v>0.0</v>
      </c>
      <c r="AC530" s="135">
        <v>0.0</v>
      </c>
      <c r="AD530" s="135">
        <v>0.0</v>
      </c>
      <c r="AE530" s="135">
        <v>0.0</v>
      </c>
      <c r="AF530" s="135">
        <v>0.0</v>
      </c>
      <c r="AG530" s="135">
        <v>0.0</v>
      </c>
      <c r="AH530" s="135">
        <v>0.0</v>
      </c>
      <c r="AI530" s="135">
        <v>0.0</v>
      </c>
      <c r="AJ530" s="135">
        <v>0.0</v>
      </c>
      <c r="AK530" s="135">
        <v>0.0</v>
      </c>
      <c r="AL530" s="135">
        <v>0.0</v>
      </c>
      <c r="AM530" s="135">
        <v>0.0</v>
      </c>
      <c r="AN530" s="137">
        <v>6.0</v>
      </c>
    </row>
    <row r="531">
      <c r="A531" s="98"/>
      <c r="B531" s="136" t="s">
        <v>200</v>
      </c>
      <c r="C531" s="137">
        <v>19.0</v>
      </c>
      <c r="D531" s="137">
        <v>8.0</v>
      </c>
      <c r="E531" s="137">
        <v>11.0</v>
      </c>
      <c r="F531" s="137">
        <v>7.0</v>
      </c>
      <c r="G531" s="137">
        <v>10.0</v>
      </c>
      <c r="H531" s="137">
        <v>1.0</v>
      </c>
      <c r="I531" s="137">
        <v>0.0</v>
      </c>
      <c r="J531" s="137">
        <v>0.0</v>
      </c>
      <c r="K531" s="137">
        <v>0.0</v>
      </c>
      <c r="L531" s="137">
        <v>0.0</v>
      </c>
      <c r="M531" s="137">
        <v>1.0</v>
      </c>
      <c r="N531" s="137">
        <v>0.0</v>
      </c>
      <c r="O531" s="137">
        <v>0.0</v>
      </c>
      <c r="P531" s="135">
        <v>0.0</v>
      </c>
      <c r="Q531" s="135">
        <v>0.0</v>
      </c>
      <c r="R531" s="135">
        <v>0.0</v>
      </c>
      <c r="S531" s="135">
        <v>0.0</v>
      </c>
      <c r="T531" s="135">
        <v>0.0</v>
      </c>
      <c r="U531" s="135">
        <v>0.0</v>
      </c>
      <c r="V531" s="135">
        <v>0.0</v>
      </c>
      <c r="W531" s="135">
        <v>0.0</v>
      </c>
      <c r="X531" s="135">
        <v>0.0</v>
      </c>
      <c r="Y531" s="135">
        <v>0.0</v>
      </c>
      <c r="Z531" s="135">
        <v>0.0</v>
      </c>
      <c r="AA531" s="135">
        <v>0.0</v>
      </c>
      <c r="AB531" s="135">
        <v>0.0</v>
      </c>
      <c r="AC531" s="135">
        <v>0.0</v>
      </c>
      <c r="AD531" s="135">
        <v>0.0</v>
      </c>
      <c r="AE531" s="135">
        <v>0.0</v>
      </c>
      <c r="AF531" s="135">
        <v>0.0</v>
      </c>
      <c r="AG531" s="135">
        <v>0.0</v>
      </c>
      <c r="AH531" s="135">
        <v>0.0</v>
      </c>
      <c r="AI531" s="135">
        <v>0.0</v>
      </c>
      <c r="AJ531" s="135">
        <v>0.0</v>
      </c>
      <c r="AK531" s="135">
        <v>0.0</v>
      </c>
      <c r="AL531" s="135">
        <v>0.0</v>
      </c>
      <c r="AM531" s="135">
        <v>0.0</v>
      </c>
      <c r="AN531" s="137">
        <v>19.0</v>
      </c>
    </row>
    <row r="532">
      <c r="A532" s="104"/>
      <c r="B532" s="136" t="s">
        <v>201</v>
      </c>
      <c r="C532" s="137">
        <v>1.0</v>
      </c>
      <c r="D532" s="137">
        <v>0.0</v>
      </c>
      <c r="E532" s="137">
        <v>1.0</v>
      </c>
      <c r="F532" s="137">
        <v>0.0</v>
      </c>
      <c r="G532" s="137">
        <v>1.0</v>
      </c>
      <c r="H532" s="137">
        <v>0.0</v>
      </c>
      <c r="I532" s="137">
        <v>0.0</v>
      </c>
      <c r="J532" s="137">
        <v>0.0</v>
      </c>
      <c r="K532" s="137">
        <v>0.0</v>
      </c>
      <c r="L532" s="137">
        <v>0.0</v>
      </c>
      <c r="M532" s="137">
        <v>0.0</v>
      </c>
      <c r="N532" s="137">
        <v>0.0</v>
      </c>
      <c r="O532" s="137">
        <v>0.0</v>
      </c>
      <c r="P532" s="135">
        <v>0.0</v>
      </c>
      <c r="Q532" s="135">
        <v>0.0</v>
      </c>
      <c r="R532" s="135">
        <v>0.0</v>
      </c>
      <c r="S532" s="135">
        <v>0.0</v>
      </c>
      <c r="T532" s="135">
        <v>0.0</v>
      </c>
      <c r="U532" s="135">
        <v>0.0</v>
      </c>
      <c r="V532" s="135">
        <v>0.0</v>
      </c>
      <c r="W532" s="135">
        <v>0.0</v>
      </c>
      <c r="X532" s="135">
        <v>0.0</v>
      </c>
      <c r="Y532" s="135">
        <v>0.0</v>
      </c>
      <c r="Z532" s="135">
        <v>0.0</v>
      </c>
      <c r="AA532" s="135">
        <v>0.0</v>
      </c>
      <c r="AB532" s="135">
        <v>0.0</v>
      </c>
      <c r="AC532" s="135">
        <v>0.0</v>
      </c>
      <c r="AD532" s="135">
        <v>0.0</v>
      </c>
      <c r="AE532" s="135">
        <v>0.0</v>
      </c>
      <c r="AF532" s="135">
        <v>0.0</v>
      </c>
      <c r="AG532" s="135">
        <v>0.0</v>
      </c>
      <c r="AH532" s="135">
        <v>0.0</v>
      </c>
      <c r="AI532" s="135">
        <v>0.0</v>
      </c>
      <c r="AJ532" s="135">
        <v>0.0</v>
      </c>
      <c r="AK532" s="135">
        <v>0.0</v>
      </c>
      <c r="AL532" s="135">
        <v>0.0</v>
      </c>
      <c r="AM532" s="135">
        <v>0.0</v>
      </c>
      <c r="AN532" s="137">
        <v>1.0</v>
      </c>
    </row>
    <row r="533">
      <c r="A533" s="138" t="s">
        <v>230</v>
      </c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</row>
    <row r="534">
      <c r="A534" s="132" t="s">
        <v>197</v>
      </c>
      <c r="B534" s="133" t="s">
        <v>198</v>
      </c>
      <c r="C534" s="134">
        <v>48177.0</v>
      </c>
      <c r="D534" s="134">
        <v>17339.0</v>
      </c>
      <c r="E534" s="134">
        <v>30838.0</v>
      </c>
      <c r="F534" s="135">
        <v>0.0</v>
      </c>
      <c r="G534" s="135">
        <v>0.0</v>
      </c>
      <c r="H534" s="135">
        <v>0.0</v>
      </c>
      <c r="I534" s="135">
        <v>0.0</v>
      </c>
      <c r="J534" s="135">
        <v>0.0</v>
      </c>
      <c r="K534" s="135">
        <v>0.0</v>
      </c>
      <c r="L534" s="137">
        <v>17.0</v>
      </c>
      <c r="M534" s="137">
        <v>41.0</v>
      </c>
      <c r="N534" s="137">
        <v>32.0</v>
      </c>
      <c r="O534" s="137">
        <v>83.0</v>
      </c>
      <c r="P534" s="137">
        <v>96.0</v>
      </c>
      <c r="Q534" s="137">
        <v>191.0</v>
      </c>
      <c r="R534" s="137">
        <v>170.0</v>
      </c>
      <c r="S534" s="137">
        <v>331.0</v>
      </c>
      <c r="T534" s="137">
        <v>286.0</v>
      </c>
      <c r="U534" s="137">
        <v>722.0</v>
      </c>
      <c r="V534" s="137">
        <v>517.0</v>
      </c>
      <c r="W534" s="134">
        <v>1261.0</v>
      </c>
      <c r="X534" s="137">
        <v>908.0</v>
      </c>
      <c r="Y534" s="134">
        <v>2334.0</v>
      </c>
      <c r="Z534" s="134">
        <v>1552.0</v>
      </c>
      <c r="AA534" s="134">
        <v>3454.0</v>
      </c>
      <c r="AB534" s="134">
        <v>2077.0</v>
      </c>
      <c r="AC534" s="134">
        <v>3928.0</v>
      </c>
      <c r="AD534" s="134">
        <v>2430.0</v>
      </c>
      <c r="AE534" s="134">
        <v>4218.0</v>
      </c>
      <c r="AF534" s="134">
        <v>2461.0</v>
      </c>
      <c r="AG534" s="134">
        <v>4035.0</v>
      </c>
      <c r="AH534" s="134">
        <v>2425.0</v>
      </c>
      <c r="AI534" s="134">
        <v>3711.0</v>
      </c>
      <c r="AJ534" s="134">
        <v>2113.0</v>
      </c>
      <c r="AK534" s="134">
        <v>3082.0</v>
      </c>
      <c r="AL534" s="134">
        <v>2255.0</v>
      </c>
      <c r="AM534" s="134">
        <v>3447.0</v>
      </c>
      <c r="AN534" s="134">
        <v>45433.0</v>
      </c>
    </row>
    <row r="535">
      <c r="A535" s="98"/>
      <c r="B535" s="136" t="s">
        <v>199</v>
      </c>
      <c r="C535" s="134">
        <v>29877.0</v>
      </c>
      <c r="D535" s="134">
        <v>10582.0</v>
      </c>
      <c r="E535" s="134">
        <v>19295.0</v>
      </c>
      <c r="F535" s="135">
        <v>0.0</v>
      </c>
      <c r="G535" s="135">
        <v>0.0</v>
      </c>
      <c r="H535" s="135">
        <v>0.0</v>
      </c>
      <c r="I535" s="135">
        <v>0.0</v>
      </c>
      <c r="J535" s="135">
        <v>0.0</v>
      </c>
      <c r="K535" s="135">
        <v>0.0</v>
      </c>
      <c r="L535" s="137">
        <v>10.0</v>
      </c>
      <c r="M535" s="137">
        <v>9.0</v>
      </c>
      <c r="N535" s="137">
        <v>17.0</v>
      </c>
      <c r="O535" s="137">
        <v>33.0</v>
      </c>
      <c r="P535" s="137">
        <v>38.0</v>
      </c>
      <c r="Q535" s="137">
        <v>78.0</v>
      </c>
      <c r="R535" s="137">
        <v>79.0</v>
      </c>
      <c r="S535" s="137">
        <v>187.0</v>
      </c>
      <c r="T535" s="137">
        <v>127.0</v>
      </c>
      <c r="U535" s="137">
        <v>381.0</v>
      </c>
      <c r="V535" s="137">
        <v>255.0</v>
      </c>
      <c r="W535" s="137">
        <v>682.0</v>
      </c>
      <c r="X535" s="137">
        <v>460.0</v>
      </c>
      <c r="Y535" s="134">
        <v>1252.0</v>
      </c>
      <c r="Z535" s="137">
        <v>836.0</v>
      </c>
      <c r="AA535" s="134">
        <v>2019.0</v>
      </c>
      <c r="AB535" s="134">
        <v>1167.0</v>
      </c>
      <c r="AC535" s="134">
        <v>2331.0</v>
      </c>
      <c r="AD535" s="134">
        <v>1359.0</v>
      </c>
      <c r="AE535" s="134">
        <v>2502.0</v>
      </c>
      <c r="AF535" s="134">
        <v>1601.0</v>
      </c>
      <c r="AG535" s="134">
        <v>2827.0</v>
      </c>
      <c r="AH535" s="134">
        <v>1633.0</v>
      </c>
      <c r="AI535" s="134">
        <v>2546.0</v>
      </c>
      <c r="AJ535" s="134">
        <v>1399.0</v>
      </c>
      <c r="AK535" s="134">
        <v>2106.0</v>
      </c>
      <c r="AL535" s="134">
        <v>1601.0</v>
      </c>
      <c r="AM535" s="134">
        <v>2342.0</v>
      </c>
      <c r="AN535" s="134">
        <v>28800.0</v>
      </c>
    </row>
    <row r="536">
      <c r="A536" s="98"/>
      <c r="B536" s="136" t="s">
        <v>200</v>
      </c>
      <c r="C536" s="134">
        <v>12586.0</v>
      </c>
      <c r="D536" s="134">
        <v>4130.0</v>
      </c>
      <c r="E536" s="134">
        <v>8456.0</v>
      </c>
      <c r="F536" s="135">
        <v>0.0</v>
      </c>
      <c r="G536" s="135">
        <v>0.0</v>
      </c>
      <c r="H536" s="135">
        <v>0.0</v>
      </c>
      <c r="I536" s="135">
        <v>0.0</v>
      </c>
      <c r="J536" s="135">
        <v>0.0</v>
      </c>
      <c r="K536" s="135">
        <v>0.0</v>
      </c>
      <c r="L536" s="137">
        <v>8.0</v>
      </c>
      <c r="M536" s="137">
        <v>8.0</v>
      </c>
      <c r="N536" s="137">
        <v>9.0</v>
      </c>
      <c r="O536" s="137">
        <v>22.0</v>
      </c>
      <c r="P536" s="137">
        <v>21.0</v>
      </c>
      <c r="Q536" s="137">
        <v>75.0</v>
      </c>
      <c r="R536" s="137">
        <v>48.0</v>
      </c>
      <c r="S536" s="137">
        <v>125.0</v>
      </c>
      <c r="T536" s="137">
        <v>87.0</v>
      </c>
      <c r="U536" s="137">
        <v>227.0</v>
      </c>
      <c r="V536" s="137">
        <v>120.0</v>
      </c>
      <c r="W536" s="137">
        <v>343.0</v>
      </c>
      <c r="X536" s="137">
        <v>242.0</v>
      </c>
      <c r="Y536" s="137">
        <v>659.0</v>
      </c>
      <c r="Z536" s="137">
        <v>400.0</v>
      </c>
      <c r="AA536" s="134">
        <v>1094.0</v>
      </c>
      <c r="AB536" s="137">
        <v>514.0</v>
      </c>
      <c r="AC536" s="134">
        <v>1250.0</v>
      </c>
      <c r="AD536" s="137">
        <v>592.0</v>
      </c>
      <c r="AE536" s="134">
        <v>1244.0</v>
      </c>
      <c r="AF536" s="137">
        <v>640.0</v>
      </c>
      <c r="AG536" s="134">
        <v>1157.0</v>
      </c>
      <c r="AH536" s="137">
        <v>595.0</v>
      </c>
      <c r="AI536" s="137">
        <v>957.0</v>
      </c>
      <c r="AJ536" s="137">
        <v>424.0</v>
      </c>
      <c r="AK536" s="137">
        <v>652.0</v>
      </c>
      <c r="AL536" s="137">
        <v>430.0</v>
      </c>
      <c r="AM536" s="137">
        <v>643.0</v>
      </c>
      <c r="AN536" s="134">
        <v>11796.0</v>
      </c>
    </row>
    <row r="537">
      <c r="A537" s="104"/>
      <c r="B537" s="136" t="s">
        <v>201</v>
      </c>
      <c r="C537" s="134">
        <v>1080.0</v>
      </c>
      <c r="D537" s="137">
        <v>474.0</v>
      </c>
      <c r="E537" s="137">
        <v>606.0</v>
      </c>
      <c r="F537" s="135">
        <v>0.0</v>
      </c>
      <c r="G537" s="135">
        <v>0.0</v>
      </c>
      <c r="H537" s="135">
        <v>0.0</v>
      </c>
      <c r="I537" s="135">
        <v>0.0</v>
      </c>
      <c r="J537" s="135">
        <v>0.0</v>
      </c>
      <c r="K537" s="135">
        <v>0.0</v>
      </c>
      <c r="L537" s="137">
        <v>1.0</v>
      </c>
      <c r="M537" s="137">
        <v>0.0</v>
      </c>
      <c r="N537" s="137">
        <v>8.0</v>
      </c>
      <c r="O537" s="137">
        <v>13.0</v>
      </c>
      <c r="P537" s="137">
        <v>16.0</v>
      </c>
      <c r="Q537" s="137">
        <v>17.0</v>
      </c>
      <c r="R537" s="137">
        <v>15.0</v>
      </c>
      <c r="S537" s="137">
        <v>28.0</v>
      </c>
      <c r="T537" s="137">
        <v>21.0</v>
      </c>
      <c r="U537" s="137">
        <v>24.0</v>
      </c>
      <c r="V537" s="137">
        <v>23.0</v>
      </c>
      <c r="W537" s="137">
        <v>34.0</v>
      </c>
      <c r="X537" s="137">
        <v>25.0</v>
      </c>
      <c r="Y537" s="137">
        <v>48.0</v>
      </c>
      <c r="Z537" s="137">
        <v>39.0</v>
      </c>
      <c r="AA537" s="137">
        <v>60.0</v>
      </c>
      <c r="AB537" s="137">
        <v>38.0</v>
      </c>
      <c r="AC537" s="137">
        <v>64.0</v>
      </c>
      <c r="AD537" s="137">
        <v>63.0</v>
      </c>
      <c r="AE537" s="137">
        <v>66.0</v>
      </c>
      <c r="AF537" s="137">
        <v>78.0</v>
      </c>
      <c r="AG537" s="137">
        <v>63.0</v>
      </c>
      <c r="AH537" s="137">
        <v>51.0</v>
      </c>
      <c r="AI537" s="137">
        <v>58.0</v>
      </c>
      <c r="AJ537" s="137">
        <v>50.0</v>
      </c>
      <c r="AK537" s="137">
        <v>72.0</v>
      </c>
      <c r="AL537" s="137">
        <v>46.0</v>
      </c>
      <c r="AM537" s="137">
        <v>59.0</v>
      </c>
      <c r="AN537" s="134">
        <v>1051.0</v>
      </c>
    </row>
    <row r="538">
      <c r="A538" s="132" t="s">
        <v>202</v>
      </c>
      <c r="B538" s="136" t="s">
        <v>198</v>
      </c>
      <c r="C538" s="137">
        <v>96.0</v>
      </c>
      <c r="D538" s="137">
        <v>68.0</v>
      </c>
      <c r="E538" s="137">
        <v>28.0</v>
      </c>
      <c r="F538" s="137">
        <v>0.0</v>
      </c>
      <c r="G538" s="137">
        <v>1.0</v>
      </c>
      <c r="H538" s="137">
        <v>0.0</v>
      </c>
      <c r="I538" s="137">
        <v>0.0</v>
      </c>
      <c r="J538" s="137">
        <v>2.0</v>
      </c>
      <c r="K538" s="137">
        <v>1.0</v>
      </c>
      <c r="L538" s="137">
        <v>0.0</v>
      </c>
      <c r="M538" s="137">
        <v>0.0</v>
      </c>
      <c r="N538" s="137">
        <v>8.0</v>
      </c>
      <c r="O538" s="137">
        <v>13.0</v>
      </c>
      <c r="P538" s="137">
        <v>3.0</v>
      </c>
      <c r="Q538" s="137">
        <v>3.0</v>
      </c>
      <c r="R538" s="137">
        <v>2.0</v>
      </c>
      <c r="S538" s="137">
        <v>2.0</v>
      </c>
      <c r="T538" s="137">
        <v>4.0</v>
      </c>
      <c r="U538" s="137">
        <v>0.0</v>
      </c>
      <c r="V538" s="137">
        <v>3.0</v>
      </c>
      <c r="W538" s="137">
        <v>4.0</v>
      </c>
      <c r="X538" s="137">
        <v>4.0</v>
      </c>
      <c r="Y538" s="137">
        <v>0.0</v>
      </c>
      <c r="Z538" s="137">
        <v>11.0</v>
      </c>
      <c r="AA538" s="137">
        <v>3.0</v>
      </c>
      <c r="AB538" s="137">
        <v>3.0</v>
      </c>
      <c r="AC538" s="137">
        <v>1.0</v>
      </c>
      <c r="AD538" s="137">
        <v>21.0</v>
      </c>
      <c r="AE538" s="137">
        <v>0.0</v>
      </c>
      <c r="AF538" s="137">
        <v>0.0</v>
      </c>
      <c r="AG538" s="137">
        <v>0.0</v>
      </c>
      <c r="AH538" s="137">
        <v>1.0</v>
      </c>
      <c r="AI538" s="137">
        <v>0.0</v>
      </c>
      <c r="AJ538" s="137">
        <v>3.0</v>
      </c>
      <c r="AK538" s="137">
        <v>0.0</v>
      </c>
      <c r="AL538" s="137">
        <v>3.0</v>
      </c>
      <c r="AM538" s="137">
        <v>0.0</v>
      </c>
      <c r="AN538" s="137">
        <v>92.0</v>
      </c>
    </row>
    <row r="539">
      <c r="A539" s="104"/>
      <c r="B539" s="136" t="s">
        <v>199</v>
      </c>
      <c r="C539" s="137">
        <v>22.0</v>
      </c>
      <c r="D539" s="137">
        <v>17.0</v>
      </c>
      <c r="E539" s="137">
        <v>5.0</v>
      </c>
      <c r="F539" s="137">
        <v>0.0</v>
      </c>
      <c r="G539" s="137">
        <v>0.0</v>
      </c>
      <c r="H539" s="137">
        <v>0.0</v>
      </c>
      <c r="I539" s="137">
        <v>0.0</v>
      </c>
      <c r="J539" s="137">
        <v>0.0</v>
      </c>
      <c r="K539" s="137">
        <v>0.0</v>
      </c>
      <c r="L539" s="137">
        <v>0.0</v>
      </c>
      <c r="M539" s="137">
        <v>0.0</v>
      </c>
      <c r="N539" s="137">
        <v>0.0</v>
      </c>
      <c r="O539" s="137">
        <v>0.0</v>
      </c>
      <c r="P539" s="137">
        <v>1.0</v>
      </c>
      <c r="Q539" s="137">
        <v>0.0</v>
      </c>
      <c r="R539" s="137">
        <v>0.0</v>
      </c>
      <c r="S539" s="137">
        <v>1.0</v>
      </c>
      <c r="T539" s="137">
        <v>0.0</v>
      </c>
      <c r="U539" s="137">
        <v>1.0</v>
      </c>
      <c r="V539" s="137">
        <v>2.0</v>
      </c>
      <c r="W539" s="137">
        <v>0.0</v>
      </c>
      <c r="X539" s="137">
        <v>3.0</v>
      </c>
      <c r="Y539" s="137">
        <v>0.0</v>
      </c>
      <c r="Z539" s="137">
        <v>1.0</v>
      </c>
      <c r="AA539" s="137">
        <v>0.0</v>
      </c>
      <c r="AB539" s="137">
        <v>0.0</v>
      </c>
      <c r="AC539" s="137">
        <v>0.0</v>
      </c>
      <c r="AD539" s="137">
        <v>2.0</v>
      </c>
      <c r="AE539" s="137">
        <v>0.0</v>
      </c>
      <c r="AF539" s="137">
        <v>0.0</v>
      </c>
      <c r="AG539" s="137">
        <v>1.0</v>
      </c>
      <c r="AH539" s="137">
        <v>1.0</v>
      </c>
      <c r="AI539" s="137">
        <v>1.0</v>
      </c>
      <c r="AJ539" s="137">
        <v>1.0</v>
      </c>
      <c r="AK539" s="137">
        <v>0.0</v>
      </c>
      <c r="AL539" s="137">
        <v>6.0</v>
      </c>
      <c r="AM539" s="137">
        <v>1.0</v>
      </c>
      <c r="AN539" s="137">
        <v>22.0</v>
      </c>
    </row>
    <row r="540">
      <c r="A540" s="132" t="s">
        <v>203</v>
      </c>
      <c r="B540" s="136" t="s">
        <v>198</v>
      </c>
      <c r="C540" s="137">
        <v>9.0</v>
      </c>
      <c r="D540" s="137">
        <v>1.0</v>
      </c>
      <c r="E540" s="137">
        <v>8.0</v>
      </c>
      <c r="F540" s="135">
        <v>0.0</v>
      </c>
      <c r="G540" s="135">
        <v>0.0</v>
      </c>
      <c r="H540" s="135">
        <v>0.0</v>
      </c>
      <c r="I540" s="135">
        <v>0.0</v>
      </c>
      <c r="J540" s="135">
        <v>0.0</v>
      </c>
      <c r="K540" s="135">
        <v>0.0</v>
      </c>
      <c r="L540" s="135">
        <v>0.0</v>
      </c>
      <c r="M540" s="135">
        <v>0.0</v>
      </c>
      <c r="N540" s="135">
        <v>0.0</v>
      </c>
      <c r="O540" s="135">
        <v>0.0</v>
      </c>
      <c r="P540" s="135">
        <v>0.0</v>
      </c>
      <c r="Q540" s="135">
        <v>0.0</v>
      </c>
      <c r="R540" s="135">
        <v>0.0</v>
      </c>
      <c r="S540" s="135">
        <v>0.0</v>
      </c>
      <c r="T540" s="135">
        <v>0.0</v>
      </c>
      <c r="U540" s="135">
        <v>0.0</v>
      </c>
      <c r="V540" s="135">
        <v>0.0</v>
      </c>
      <c r="W540" s="135">
        <v>0.0</v>
      </c>
      <c r="X540" s="135">
        <v>0.0</v>
      </c>
      <c r="Y540" s="135">
        <v>0.0</v>
      </c>
      <c r="Z540" s="135">
        <v>0.0</v>
      </c>
      <c r="AA540" s="135">
        <v>0.0</v>
      </c>
      <c r="AB540" s="135">
        <v>0.0</v>
      </c>
      <c r="AC540" s="135">
        <v>0.0</v>
      </c>
      <c r="AD540" s="135">
        <v>0.0</v>
      </c>
      <c r="AE540" s="135">
        <v>0.0</v>
      </c>
      <c r="AF540" s="137">
        <v>0.0</v>
      </c>
      <c r="AG540" s="137">
        <v>1.0</v>
      </c>
      <c r="AH540" s="137">
        <v>0.0</v>
      </c>
      <c r="AI540" s="137">
        <v>1.0</v>
      </c>
      <c r="AJ540" s="137">
        <v>1.0</v>
      </c>
      <c r="AK540" s="137">
        <v>0.0</v>
      </c>
      <c r="AL540" s="137">
        <v>0.0</v>
      </c>
      <c r="AM540" s="137">
        <v>6.0</v>
      </c>
      <c r="AN540" s="137">
        <v>7.0</v>
      </c>
    </row>
    <row r="541">
      <c r="A541" s="104"/>
      <c r="B541" s="136" t="s">
        <v>199</v>
      </c>
      <c r="C541" s="137">
        <v>176.0</v>
      </c>
      <c r="D541" s="137">
        <v>82.0</v>
      </c>
      <c r="E541" s="137">
        <v>94.0</v>
      </c>
      <c r="F541" s="135">
        <v>0.0</v>
      </c>
      <c r="G541" s="135">
        <v>0.0</v>
      </c>
      <c r="H541" s="135">
        <v>0.0</v>
      </c>
      <c r="I541" s="135">
        <v>0.0</v>
      </c>
      <c r="J541" s="135">
        <v>0.0</v>
      </c>
      <c r="K541" s="135">
        <v>0.0</v>
      </c>
      <c r="L541" s="135">
        <v>0.0</v>
      </c>
      <c r="M541" s="135">
        <v>0.0</v>
      </c>
      <c r="N541" s="135">
        <v>0.0</v>
      </c>
      <c r="O541" s="135">
        <v>0.0</v>
      </c>
      <c r="P541" s="135">
        <v>0.0</v>
      </c>
      <c r="Q541" s="135">
        <v>0.0</v>
      </c>
      <c r="R541" s="135">
        <v>0.0</v>
      </c>
      <c r="S541" s="135">
        <v>0.0</v>
      </c>
      <c r="T541" s="135">
        <v>0.0</v>
      </c>
      <c r="U541" s="135">
        <v>0.0</v>
      </c>
      <c r="V541" s="135">
        <v>0.0</v>
      </c>
      <c r="W541" s="135">
        <v>0.0</v>
      </c>
      <c r="X541" s="135">
        <v>0.0</v>
      </c>
      <c r="Y541" s="135">
        <v>0.0</v>
      </c>
      <c r="Z541" s="135">
        <v>0.0</v>
      </c>
      <c r="AA541" s="135">
        <v>0.0</v>
      </c>
      <c r="AB541" s="135">
        <v>0.0</v>
      </c>
      <c r="AC541" s="135">
        <v>0.0</v>
      </c>
      <c r="AD541" s="135">
        <v>0.0</v>
      </c>
      <c r="AE541" s="135">
        <v>0.0</v>
      </c>
      <c r="AF541" s="137">
        <v>20.0</v>
      </c>
      <c r="AG541" s="137">
        <v>30.0</v>
      </c>
      <c r="AH541" s="137">
        <v>26.0</v>
      </c>
      <c r="AI541" s="137">
        <v>32.0</v>
      </c>
      <c r="AJ541" s="137">
        <v>22.0</v>
      </c>
      <c r="AK541" s="137">
        <v>18.0</v>
      </c>
      <c r="AL541" s="137">
        <v>14.0</v>
      </c>
      <c r="AM541" s="137">
        <v>14.0</v>
      </c>
      <c r="AN541" s="137">
        <v>176.0</v>
      </c>
    </row>
    <row r="542">
      <c r="A542" s="132" t="s">
        <v>204</v>
      </c>
      <c r="B542" s="136" t="s">
        <v>198</v>
      </c>
      <c r="C542" s="137">
        <v>6.0</v>
      </c>
      <c r="D542" s="137">
        <v>4.0</v>
      </c>
      <c r="E542" s="137">
        <v>2.0</v>
      </c>
      <c r="F542" s="135">
        <v>0.0</v>
      </c>
      <c r="G542" s="135">
        <v>0.0</v>
      </c>
      <c r="H542" s="135">
        <v>0.0</v>
      </c>
      <c r="I542" s="135">
        <v>0.0</v>
      </c>
      <c r="J542" s="135">
        <v>0.0</v>
      </c>
      <c r="K542" s="135">
        <v>0.0</v>
      </c>
      <c r="L542" s="135">
        <v>0.0</v>
      </c>
      <c r="M542" s="135">
        <v>0.0</v>
      </c>
      <c r="N542" s="135">
        <v>0.0</v>
      </c>
      <c r="O542" s="135">
        <v>0.0</v>
      </c>
      <c r="P542" s="135">
        <v>0.0</v>
      </c>
      <c r="Q542" s="135">
        <v>0.0</v>
      </c>
      <c r="R542" s="135">
        <v>0.0</v>
      </c>
      <c r="S542" s="135">
        <v>0.0</v>
      </c>
      <c r="T542" s="135">
        <v>0.0</v>
      </c>
      <c r="U542" s="135">
        <v>0.0</v>
      </c>
      <c r="V542" s="135">
        <v>0.0</v>
      </c>
      <c r="W542" s="135">
        <v>0.0</v>
      </c>
      <c r="X542" s="135">
        <v>0.0</v>
      </c>
      <c r="Y542" s="135">
        <v>0.0</v>
      </c>
      <c r="Z542" s="135">
        <v>0.0</v>
      </c>
      <c r="AA542" s="135">
        <v>0.0</v>
      </c>
      <c r="AB542" s="135">
        <v>0.0</v>
      </c>
      <c r="AC542" s="135">
        <v>0.0</v>
      </c>
      <c r="AD542" s="135">
        <v>0.0</v>
      </c>
      <c r="AE542" s="135">
        <v>0.0</v>
      </c>
      <c r="AF542" s="137">
        <v>0.0</v>
      </c>
      <c r="AG542" s="137">
        <v>0.0</v>
      </c>
      <c r="AH542" s="137">
        <v>2.0</v>
      </c>
      <c r="AI542" s="137">
        <v>0.0</v>
      </c>
      <c r="AJ542" s="137">
        <v>1.0</v>
      </c>
      <c r="AK542" s="137">
        <v>1.0</v>
      </c>
      <c r="AL542" s="137">
        <v>1.0</v>
      </c>
      <c r="AM542" s="137">
        <v>1.0</v>
      </c>
      <c r="AN542" s="137">
        <v>6.0</v>
      </c>
    </row>
    <row r="543">
      <c r="A543" s="104"/>
      <c r="B543" s="136" t="s">
        <v>199</v>
      </c>
      <c r="C543" s="137">
        <v>186.0</v>
      </c>
      <c r="D543" s="137">
        <v>77.0</v>
      </c>
      <c r="E543" s="137">
        <v>109.0</v>
      </c>
      <c r="F543" s="135">
        <v>0.0</v>
      </c>
      <c r="G543" s="135">
        <v>0.0</v>
      </c>
      <c r="H543" s="135">
        <v>0.0</v>
      </c>
      <c r="I543" s="135">
        <v>0.0</v>
      </c>
      <c r="J543" s="135">
        <v>0.0</v>
      </c>
      <c r="K543" s="135">
        <v>0.0</v>
      </c>
      <c r="L543" s="135">
        <v>0.0</v>
      </c>
      <c r="M543" s="135">
        <v>0.0</v>
      </c>
      <c r="N543" s="135">
        <v>0.0</v>
      </c>
      <c r="O543" s="135">
        <v>0.0</v>
      </c>
      <c r="P543" s="135">
        <v>0.0</v>
      </c>
      <c r="Q543" s="135">
        <v>0.0</v>
      </c>
      <c r="R543" s="135">
        <v>0.0</v>
      </c>
      <c r="S543" s="135">
        <v>0.0</v>
      </c>
      <c r="T543" s="135">
        <v>0.0</v>
      </c>
      <c r="U543" s="135">
        <v>0.0</v>
      </c>
      <c r="V543" s="135">
        <v>0.0</v>
      </c>
      <c r="W543" s="135">
        <v>0.0</v>
      </c>
      <c r="X543" s="135">
        <v>0.0</v>
      </c>
      <c r="Y543" s="135">
        <v>0.0</v>
      </c>
      <c r="Z543" s="135">
        <v>0.0</v>
      </c>
      <c r="AA543" s="135">
        <v>0.0</v>
      </c>
      <c r="AB543" s="135">
        <v>0.0</v>
      </c>
      <c r="AC543" s="135">
        <v>0.0</v>
      </c>
      <c r="AD543" s="135">
        <v>0.0</v>
      </c>
      <c r="AE543" s="135">
        <v>0.0</v>
      </c>
      <c r="AF543" s="137">
        <v>7.0</v>
      </c>
      <c r="AG543" s="137">
        <v>21.0</v>
      </c>
      <c r="AH543" s="137">
        <v>22.0</v>
      </c>
      <c r="AI543" s="137">
        <v>23.0</v>
      </c>
      <c r="AJ543" s="137">
        <v>12.0</v>
      </c>
      <c r="AK543" s="137">
        <v>25.0</v>
      </c>
      <c r="AL543" s="137">
        <v>36.0</v>
      </c>
      <c r="AM543" s="137">
        <v>40.0</v>
      </c>
      <c r="AN543" s="137">
        <v>185.0</v>
      </c>
    </row>
    <row r="544">
      <c r="A544" s="132" t="s">
        <v>205</v>
      </c>
      <c r="B544" s="136" t="s">
        <v>198</v>
      </c>
      <c r="C544" s="137">
        <v>3.0</v>
      </c>
      <c r="D544" s="137">
        <v>1.0</v>
      </c>
      <c r="E544" s="137">
        <v>2.0</v>
      </c>
      <c r="F544" s="137">
        <v>0.0</v>
      </c>
      <c r="G544" s="137">
        <v>0.0</v>
      </c>
      <c r="H544" s="137">
        <v>0.0</v>
      </c>
      <c r="I544" s="137">
        <v>0.0</v>
      </c>
      <c r="J544" s="137">
        <v>0.0</v>
      </c>
      <c r="K544" s="137">
        <v>0.0</v>
      </c>
      <c r="L544" s="137">
        <v>0.0</v>
      </c>
      <c r="M544" s="137">
        <v>0.0</v>
      </c>
      <c r="N544" s="137">
        <v>1.0</v>
      </c>
      <c r="O544" s="137">
        <v>1.0</v>
      </c>
      <c r="P544" s="137">
        <v>0.0</v>
      </c>
      <c r="Q544" s="137">
        <v>0.0</v>
      </c>
      <c r="R544" s="137">
        <v>0.0</v>
      </c>
      <c r="S544" s="137">
        <v>0.0</v>
      </c>
      <c r="T544" s="137">
        <v>0.0</v>
      </c>
      <c r="U544" s="137">
        <v>0.0</v>
      </c>
      <c r="V544" s="137">
        <v>0.0</v>
      </c>
      <c r="W544" s="137">
        <v>0.0</v>
      </c>
      <c r="X544" s="137">
        <v>0.0</v>
      </c>
      <c r="Y544" s="137">
        <v>0.0</v>
      </c>
      <c r="Z544" s="137">
        <v>0.0</v>
      </c>
      <c r="AA544" s="137">
        <v>1.0</v>
      </c>
      <c r="AB544" s="137">
        <v>0.0</v>
      </c>
      <c r="AC544" s="137">
        <v>0.0</v>
      </c>
      <c r="AD544" s="137">
        <v>0.0</v>
      </c>
      <c r="AE544" s="137">
        <v>0.0</v>
      </c>
      <c r="AF544" s="137">
        <v>0.0</v>
      </c>
      <c r="AG544" s="137">
        <v>0.0</v>
      </c>
      <c r="AH544" s="137">
        <v>0.0</v>
      </c>
      <c r="AI544" s="137">
        <v>0.0</v>
      </c>
      <c r="AJ544" s="137">
        <v>0.0</v>
      </c>
      <c r="AK544" s="137">
        <v>0.0</v>
      </c>
      <c r="AL544" s="137">
        <v>0.0</v>
      </c>
      <c r="AM544" s="137">
        <v>0.0</v>
      </c>
      <c r="AN544" s="137">
        <v>3.0</v>
      </c>
    </row>
    <row r="545">
      <c r="A545" s="98"/>
      <c r="B545" s="136" t="s">
        <v>199</v>
      </c>
      <c r="C545" s="137">
        <v>0.0</v>
      </c>
      <c r="D545" s="137">
        <v>0.0</v>
      </c>
      <c r="E545" s="137">
        <v>0.0</v>
      </c>
      <c r="F545" s="137">
        <v>0.0</v>
      </c>
      <c r="G545" s="137">
        <v>0.0</v>
      </c>
      <c r="H545" s="137">
        <v>0.0</v>
      </c>
      <c r="I545" s="137">
        <v>0.0</v>
      </c>
      <c r="J545" s="137">
        <v>0.0</v>
      </c>
      <c r="K545" s="137">
        <v>0.0</v>
      </c>
      <c r="L545" s="137">
        <v>0.0</v>
      </c>
      <c r="M545" s="137">
        <v>0.0</v>
      </c>
      <c r="N545" s="137">
        <v>0.0</v>
      </c>
      <c r="O545" s="137">
        <v>0.0</v>
      </c>
      <c r="P545" s="137">
        <v>0.0</v>
      </c>
      <c r="Q545" s="137">
        <v>0.0</v>
      </c>
      <c r="R545" s="137">
        <v>0.0</v>
      </c>
      <c r="S545" s="137">
        <v>0.0</v>
      </c>
      <c r="T545" s="137">
        <v>0.0</v>
      </c>
      <c r="U545" s="137">
        <v>0.0</v>
      </c>
      <c r="V545" s="137">
        <v>0.0</v>
      </c>
      <c r="W545" s="137">
        <v>0.0</v>
      </c>
      <c r="X545" s="137">
        <v>0.0</v>
      </c>
      <c r="Y545" s="137">
        <v>0.0</v>
      </c>
      <c r="Z545" s="137">
        <v>0.0</v>
      </c>
      <c r="AA545" s="137">
        <v>0.0</v>
      </c>
      <c r="AB545" s="137">
        <v>0.0</v>
      </c>
      <c r="AC545" s="137">
        <v>0.0</v>
      </c>
      <c r="AD545" s="137">
        <v>0.0</v>
      </c>
      <c r="AE545" s="137">
        <v>0.0</v>
      </c>
      <c r="AF545" s="137">
        <v>0.0</v>
      </c>
      <c r="AG545" s="137">
        <v>0.0</v>
      </c>
      <c r="AH545" s="137">
        <v>0.0</v>
      </c>
      <c r="AI545" s="137">
        <v>0.0</v>
      </c>
      <c r="AJ545" s="137">
        <v>0.0</v>
      </c>
      <c r="AK545" s="137">
        <v>0.0</v>
      </c>
      <c r="AL545" s="137">
        <v>0.0</v>
      </c>
      <c r="AM545" s="137">
        <v>0.0</v>
      </c>
      <c r="AN545" s="137">
        <v>0.0</v>
      </c>
    </row>
    <row r="546">
      <c r="A546" s="104"/>
      <c r="B546" s="136" t="s">
        <v>206</v>
      </c>
      <c r="C546" s="137">
        <v>91.0</v>
      </c>
      <c r="D546" s="137">
        <v>29.0</v>
      </c>
      <c r="E546" s="137">
        <v>62.0</v>
      </c>
      <c r="F546" s="137">
        <v>0.0</v>
      </c>
      <c r="G546" s="137">
        <v>0.0</v>
      </c>
      <c r="H546" s="137">
        <v>0.0</v>
      </c>
      <c r="I546" s="137">
        <v>0.0</v>
      </c>
      <c r="J546" s="137">
        <v>1.0</v>
      </c>
      <c r="K546" s="137">
        <v>0.0</v>
      </c>
      <c r="L546" s="137">
        <v>8.0</v>
      </c>
      <c r="M546" s="137">
        <v>0.0</v>
      </c>
      <c r="N546" s="137">
        <v>15.0</v>
      </c>
      <c r="O546" s="137">
        <v>21.0</v>
      </c>
      <c r="P546" s="137">
        <v>0.0</v>
      </c>
      <c r="Q546" s="137">
        <v>21.0</v>
      </c>
      <c r="R546" s="137">
        <v>1.0</v>
      </c>
      <c r="S546" s="137">
        <v>6.0</v>
      </c>
      <c r="T546" s="137">
        <v>0.0</v>
      </c>
      <c r="U546" s="137">
        <v>2.0</v>
      </c>
      <c r="V546" s="137">
        <v>1.0</v>
      </c>
      <c r="W546" s="137">
        <v>1.0</v>
      </c>
      <c r="X546" s="137">
        <v>1.0</v>
      </c>
      <c r="Y546" s="137">
        <v>4.0</v>
      </c>
      <c r="Z546" s="137">
        <v>0.0</v>
      </c>
      <c r="AA546" s="137">
        <v>7.0</v>
      </c>
      <c r="AB546" s="137">
        <v>2.0</v>
      </c>
      <c r="AC546" s="137">
        <v>0.0</v>
      </c>
      <c r="AD546" s="137">
        <v>0.0</v>
      </c>
      <c r="AE546" s="137">
        <v>0.0</v>
      </c>
      <c r="AF546" s="137">
        <v>0.0</v>
      </c>
      <c r="AG546" s="137">
        <v>0.0</v>
      </c>
      <c r="AH546" s="137">
        <v>0.0</v>
      </c>
      <c r="AI546" s="137">
        <v>0.0</v>
      </c>
      <c r="AJ546" s="137">
        <v>0.0</v>
      </c>
      <c r="AK546" s="137">
        <v>0.0</v>
      </c>
      <c r="AL546" s="137">
        <v>0.0</v>
      </c>
      <c r="AM546" s="137">
        <v>0.0</v>
      </c>
      <c r="AN546" s="137">
        <v>84.0</v>
      </c>
    </row>
    <row r="547">
      <c r="A547" s="132" t="s">
        <v>207</v>
      </c>
      <c r="B547" s="136" t="s">
        <v>198</v>
      </c>
      <c r="C547" s="134">
        <v>11536.0</v>
      </c>
      <c r="D547" s="134">
        <v>3605.0</v>
      </c>
      <c r="E547" s="134">
        <v>7931.0</v>
      </c>
      <c r="F547" s="137">
        <v>121.0</v>
      </c>
      <c r="G547" s="137">
        <v>109.0</v>
      </c>
      <c r="H547" s="137">
        <v>74.0</v>
      </c>
      <c r="I547" s="137">
        <v>73.0</v>
      </c>
      <c r="J547" s="137">
        <v>85.0</v>
      </c>
      <c r="K547" s="137">
        <v>80.0</v>
      </c>
      <c r="L547" s="137">
        <v>85.0</v>
      </c>
      <c r="M547" s="137">
        <v>134.0</v>
      </c>
      <c r="N547" s="137">
        <v>66.0</v>
      </c>
      <c r="O547" s="137">
        <v>137.0</v>
      </c>
      <c r="P547" s="137">
        <v>51.0</v>
      </c>
      <c r="Q547" s="137">
        <v>202.0</v>
      </c>
      <c r="R547" s="137">
        <v>108.0</v>
      </c>
      <c r="S547" s="137">
        <v>257.0</v>
      </c>
      <c r="T547" s="137">
        <v>94.0</v>
      </c>
      <c r="U547" s="137">
        <v>348.0</v>
      </c>
      <c r="V547" s="137">
        <v>154.0</v>
      </c>
      <c r="W547" s="137">
        <v>446.0</v>
      </c>
      <c r="X547" s="137">
        <v>177.0</v>
      </c>
      <c r="Y547" s="137">
        <v>692.0</v>
      </c>
      <c r="Z547" s="137">
        <v>248.0</v>
      </c>
      <c r="AA547" s="137">
        <v>880.0</v>
      </c>
      <c r="AB547" s="137">
        <v>351.0</v>
      </c>
      <c r="AC547" s="137">
        <v>882.0</v>
      </c>
      <c r="AD547" s="137">
        <v>382.0</v>
      </c>
      <c r="AE547" s="137">
        <v>877.0</v>
      </c>
      <c r="AF547" s="137">
        <v>407.0</v>
      </c>
      <c r="AG547" s="137">
        <v>781.0</v>
      </c>
      <c r="AH547" s="137">
        <v>424.0</v>
      </c>
      <c r="AI547" s="137">
        <v>728.0</v>
      </c>
      <c r="AJ547" s="137">
        <v>320.0</v>
      </c>
      <c r="AK547" s="137">
        <v>598.0</v>
      </c>
      <c r="AL547" s="137">
        <v>458.0</v>
      </c>
      <c r="AM547" s="137">
        <v>707.0</v>
      </c>
      <c r="AN547" s="134">
        <v>11257.0</v>
      </c>
    </row>
    <row r="548">
      <c r="A548" s="98"/>
      <c r="B548" s="136" t="s">
        <v>199</v>
      </c>
      <c r="C548" s="134">
        <v>1796.0</v>
      </c>
      <c r="D548" s="137">
        <v>516.0</v>
      </c>
      <c r="E548" s="134">
        <v>1280.0</v>
      </c>
      <c r="F548" s="137">
        <v>1.0</v>
      </c>
      <c r="G548" s="137">
        <v>2.0</v>
      </c>
      <c r="H548" s="137">
        <v>3.0</v>
      </c>
      <c r="I548" s="137">
        <v>1.0</v>
      </c>
      <c r="J548" s="137">
        <v>9.0</v>
      </c>
      <c r="K548" s="137">
        <v>11.0</v>
      </c>
      <c r="L548" s="137">
        <v>5.0</v>
      </c>
      <c r="M548" s="137">
        <v>5.0</v>
      </c>
      <c r="N548" s="137">
        <v>5.0</v>
      </c>
      <c r="O548" s="137">
        <v>11.0</v>
      </c>
      <c r="P548" s="137">
        <v>6.0</v>
      </c>
      <c r="Q548" s="137">
        <v>20.0</v>
      </c>
      <c r="R548" s="137">
        <v>14.0</v>
      </c>
      <c r="S548" s="137">
        <v>24.0</v>
      </c>
      <c r="T548" s="137">
        <v>7.0</v>
      </c>
      <c r="U548" s="137">
        <v>37.0</v>
      </c>
      <c r="V548" s="137">
        <v>16.0</v>
      </c>
      <c r="W548" s="137">
        <v>47.0</v>
      </c>
      <c r="X548" s="137">
        <v>25.0</v>
      </c>
      <c r="Y548" s="137">
        <v>82.0</v>
      </c>
      <c r="Z548" s="137">
        <v>19.0</v>
      </c>
      <c r="AA548" s="137">
        <v>109.0</v>
      </c>
      <c r="AB548" s="137">
        <v>38.0</v>
      </c>
      <c r="AC548" s="137">
        <v>113.0</v>
      </c>
      <c r="AD548" s="137">
        <v>47.0</v>
      </c>
      <c r="AE548" s="137">
        <v>143.0</v>
      </c>
      <c r="AF548" s="137">
        <v>68.0</v>
      </c>
      <c r="AG548" s="137">
        <v>175.0</v>
      </c>
      <c r="AH548" s="137">
        <v>94.0</v>
      </c>
      <c r="AI548" s="137">
        <v>169.0</v>
      </c>
      <c r="AJ548" s="137">
        <v>74.0</v>
      </c>
      <c r="AK548" s="137">
        <v>140.0</v>
      </c>
      <c r="AL548" s="137">
        <v>85.0</v>
      </c>
      <c r="AM548" s="137">
        <v>191.0</v>
      </c>
      <c r="AN548" s="134">
        <v>1755.0</v>
      </c>
    </row>
    <row r="549">
      <c r="A549" s="98"/>
      <c r="B549" s="136" t="s">
        <v>206</v>
      </c>
      <c r="C549" s="137">
        <v>124.0</v>
      </c>
      <c r="D549" s="137">
        <v>13.0</v>
      </c>
      <c r="E549" s="137">
        <v>111.0</v>
      </c>
      <c r="F549" s="137">
        <v>1.0</v>
      </c>
      <c r="G549" s="137">
        <v>3.0</v>
      </c>
      <c r="H549" s="137">
        <v>0.0</v>
      </c>
      <c r="I549" s="137">
        <v>0.0</v>
      </c>
      <c r="J549" s="137">
        <v>1.0</v>
      </c>
      <c r="K549" s="137">
        <v>6.0</v>
      </c>
      <c r="L549" s="137">
        <v>4.0</v>
      </c>
      <c r="M549" s="137">
        <v>20.0</v>
      </c>
      <c r="N549" s="137">
        <v>1.0</v>
      </c>
      <c r="O549" s="137">
        <v>13.0</v>
      </c>
      <c r="P549" s="137">
        <v>2.0</v>
      </c>
      <c r="Q549" s="137">
        <v>10.0</v>
      </c>
      <c r="R549" s="137">
        <v>0.0</v>
      </c>
      <c r="S549" s="137">
        <v>13.0</v>
      </c>
      <c r="T549" s="137">
        <v>1.0</v>
      </c>
      <c r="U549" s="137">
        <v>10.0</v>
      </c>
      <c r="V549" s="137">
        <v>0.0</v>
      </c>
      <c r="W549" s="137">
        <v>5.0</v>
      </c>
      <c r="X549" s="137">
        <v>0.0</v>
      </c>
      <c r="Y549" s="137">
        <v>7.0</v>
      </c>
      <c r="Z549" s="137">
        <v>1.0</v>
      </c>
      <c r="AA549" s="137">
        <v>11.0</v>
      </c>
      <c r="AB549" s="137">
        <v>0.0</v>
      </c>
      <c r="AC549" s="137">
        <v>6.0</v>
      </c>
      <c r="AD549" s="137">
        <v>2.0</v>
      </c>
      <c r="AE549" s="137">
        <v>1.0</v>
      </c>
      <c r="AF549" s="137">
        <v>0.0</v>
      </c>
      <c r="AG549" s="137">
        <v>6.0</v>
      </c>
      <c r="AH549" s="137">
        <v>0.0</v>
      </c>
      <c r="AI549" s="137">
        <v>0.0</v>
      </c>
      <c r="AJ549" s="137">
        <v>0.0</v>
      </c>
      <c r="AK549" s="137">
        <v>0.0</v>
      </c>
      <c r="AL549" s="137">
        <v>0.0</v>
      </c>
      <c r="AM549" s="137">
        <v>0.0</v>
      </c>
      <c r="AN549" s="137">
        <v>97.0</v>
      </c>
    </row>
    <row r="550">
      <c r="A550" s="98"/>
      <c r="B550" s="136" t="s">
        <v>200</v>
      </c>
      <c r="C550" s="137">
        <v>94.0</v>
      </c>
      <c r="D550" s="137">
        <v>37.0</v>
      </c>
      <c r="E550" s="137">
        <v>57.0</v>
      </c>
      <c r="F550" s="137">
        <v>3.0</v>
      </c>
      <c r="G550" s="137">
        <v>3.0</v>
      </c>
      <c r="H550" s="137">
        <v>0.0</v>
      </c>
      <c r="I550" s="137">
        <v>0.0</v>
      </c>
      <c r="J550" s="137">
        <v>0.0</v>
      </c>
      <c r="K550" s="137">
        <v>0.0</v>
      </c>
      <c r="L550" s="137">
        <v>1.0</v>
      </c>
      <c r="M550" s="137">
        <v>0.0</v>
      </c>
      <c r="N550" s="137">
        <v>0.0</v>
      </c>
      <c r="O550" s="137">
        <v>1.0</v>
      </c>
      <c r="P550" s="137">
        <v>0.0</v>
      </c>
      <c r="Q550" s="137">
        <v>1.0</v>
      </c>
      <c r="R550" s="137">
        <v>1.0</v>
      </c>
      <c r="S550" s="137">
        <v>6.0</v>
      </c>
      <c r="T550" s="137">
        <v>2.0</v>
      </c>
      <c r="U550" s="137">
        <v>3.0</v>
      </c>
      <c r="V550" s="137">
        <v>1.0</v>
      </c>
      <c r="W550" s="137">
        <v>5.0</v>
      </c>
      <c r="X550" s="137">
        <v>5.0</v>
      </c>
      <c r="Y550" s="137">
        <v>3.0</v>
      </c>
      <c r="Z550" s="137">
        <v>2.0</v>
      </c>
      <c r="AA550" s="137">
        <v>3.0</v>
      </c>
      <c r="AB550" s="137">
        <v>1.0</v>
      </c>
      <c r="AC550" s="137">
        <v>3.0</v>
      </c>
      <c r="AD550" s="137">
        <v>2.0</v>
      </c>
      <c r="AE550" s="137">
        <v>6.0</v>
      </c>
      <c r="AF550" s="137">
        <v>8.0</v>
      </c>
      <c r="AG550" s="137">
        <v>10.0</v>
      </c>
      <c r="AH550" s="137">
        <v>5.0</v>
      </c>
      <c r="AI550" s="137">
        <v>6.0</v>
      </c>
      <c r="AJ550" s="137">
        <v>4.0</v>
      </c>
      <c r="AK550" s="137">
        <v>5.0</v>
      </c>
      <c r="AL550" s="137">
        <v>2.0</v>
      </c>
      <c r="AM550" s="137">
        <v>2.0</v>
      </c>
      <c r="AN550" s="137">
        <v>90.0</v>
      </c>
    </row>
    <row r="551">
      <c r="A551" s="104"/>
      <c r="B551" s="136" t="s">
        <v>201</v>
      </c>
      <c r="C551" s="134">
        <v>4686.0</v>
      </c>
      <c r="D551" s="134">
        <v>1803.0</v>
      </c>
      <c r="E551" s="134">
        <v>2883.0</v>
      </c>
      <c r="F551" s="137">
        <v>21.0</v>
      </c>
      <c r="G551" s="137">
        <v>4.0</v>
      </c>
      <c r="H551" s="137">
        <v>33.0</v>
      </c>
      <c r="I551" s="137">
        <v>26.0</v>
      </c>
      <c r="J551" s="137">
        <v>66.0</v>
      </c>
      <c r="K551" s="137">
        <v>65.0</v>
      </c>
      <c r="L551" s="137">
        <v>61.0</v>
      </c>
      <c r="M551" s="137">
        <v>228.0</v>
      </c>
      <c r="N551" s="137">
        <v>54.0</v>
      </c>
      <c r="O551" s="137">
        <v>198.0</v>
      </c>
      <c r="P551" s="137">
        <v>42.0</v>
      </c>
      <c r="Q551" s="137">
        <v>239.0</v>
      </c>
      <c r="R551" s="137">
        <v>70.0</v>
      </c>
      <c r="S551" s="137">
        <v>161.0</v>
      </c>
      <c r="T551" s="137">
        <v>77.0</v>
      </c>
      <c r="U551" s="137">
        <v>201.0</v>
      </c>
      <c r="V551" s="137">
        <v>88.0</v>
      </c>
      <c r="W551" s="137">
        <v>171.0</v>
      </c>
      <c r="X551" s="137">
        <v>108.0</v>
      </c>
      <c r="Y551" s="137">
        <v>146.0</v>
      </c>
      <c r="Z551" s="137">
        <v>131.0</v>
      </c>
      <c r="AA551" s="137">
        <v>178.0</v>
      </c>
      <c r="AB551" s="137">
        <v>170.0</v>
      </c>
      <c r="AC551" s="137">
        <v>197.0</v>
      </c>
      <c r="AD551" s="137">
        <v>143.0</v>
      </c>
      <c r="AE551" s="137">
        <v>173.0</v>
      </c>
      <c r="AF551" s="137">
        <v>176.0</v>
      </c>
      <c r="AG551" s="137">
        <v>143.0</v>
      </c>
      <c r="AH551" s="137">
        <v>172.0</v>
      </c>
      <c r="AI551" s="137">
        <v>237.0</v>
      </c>
      <c r="AJ551" s="137">
        <v>235.0</v>
      </c>
      <c r="AK551" s="137">
        <v>194.0</v>
      </c>
      <c r="AL551" s="137">
        <v>156.0</v>
      </c>
      <c r="AM551" s="137">
        <v>322.0</v>
      </c>
      <c r="AN551" s="134">
        <v>4660.0</v>
      </c>
    </row>
    <row r="552">
      <c r="A552" s="132" t="s">
        <v>208</v>
      </c>
      <c r="B552" s="136" t="s">
        <v>198</v>
      </c>
      <c r="C552" s="137">
        <v>37.0</v>
      </c>
      <c r="D552" s="137">
        <v>18.0</v>
      </c>
      <c r="E552" s="137">
        <v>19.0</v>
      </c>
      <c r="F552" s="137">
        <v>16.0</v>
      </c>
      <c r="G552" s="137">
        <v>19.0</v>
      </c>
      <c r="H552" s="137">
        <v>0.0</v>
      </c>
      <c r="I552" s="137">
        <v>0.0</v>
      </c>
      <c r="J552" s="137">
        <v>2.0</v>
      </c>
      <c r="K552" s="137">
        <v>0.0</v>
      </c>
      <c r="L552" s="137">
        <v>0.0</v>
      </c>
      <c r="M552" s="137">
        <v>0.0</v>
      </c>
      <c r="N552" s="137">
        <v>0.0</v>
      </c>
      <c r="O552" s="137">
        <v>0.0</v>
      </c>
      <c r="P552" s="135">
        <v>0.0</v>
      </c>
      <c r="Q552" s="135">
        <v>0.0</v>
      </c>
      <c r="R552" s="135">
        <v>0.0</v>
      </c>
      <c r="S552" s="135">
        <v>0.0</v>
      </c>
      <c r="T552" s="135">
        <v>0.0</v>
      </c>
      <c r="U552" s="135">
        <v>0.0</v>
      </c>
      <c r="V552" s="135">
        <v>0.0</v>
      </c>
      <c r="W552" s="135">
        <v>0.0</v>
      </c>
      <c r="X552" s="135">
        <v>0.0</v>
      </c>
      <c r="Y552" s="135">
        <v>0.0</v>
      </c>
      <c r="Z552" s="135">
        <v>0.0</v>
      </c>
      <c r="AA552" s="135">
        <v>0.0</v>
      </c>
      <c r="AB552" s="135">
        <v>0.0</v>
      </c>
      <c r="AC552" s="135">
        <v>0.0</v>
      </c>
      <c r="AD552" s="135">
        <v>0.0</v>
      </c>
      <c r="AE552" s="135">
        <v>0.0</v>
      </c>
      <c r="AF552" s="135">
        <v>0.0</v>
      </c>
      <c r="AG552" s="135">
        <v>0.0</v>
      </c>
      <c r="AH552" s="135">
        <v>0.0</v>
      </c>
      <c r="AI552" s="135">
        <v>0.0</v>
      </c>
      <c r="AJ552" s="135">
        <v>0.0</v>
      </c>
      <c r="AK552" s="135">
        <v>0.0</v>
      </c>
      <c r="AL552" s="135">
        <v>0.0</v>
      </c>
      <c r="AM552" s="135">
        <v>0.0</v>
      </c>
      <c r="AN552" s="137">
        <v>10.0</v>
      </c>
    </row>
    <row r="553">
      <c r="A553" s="98"/>
      <c r="B553" s="136" t="s">
        <v>199</v>
      </c>
      <c r="C553" s="137">
        <v>4.0</v>
      </c>
      <c r="D553" s="137">
        <v>2.0</v>
      </c>
      <c r="E553" s="137">
        <v>2.0</v>
      </c>
      <c r="F553" s="137">
        <v>1.0</v>
      </c>
      <c r="G553" s="137">
        <v>0.0</v>
      </c>
      <c r="H553" s="137">
        <v>0.0</v>
      </c>
      <c r="I553" s="137">
        <v>2.0</v>
      </c>
      <c r="J553" s="137">
        <v>1.0</v>
      </c>
      <c r="K553" s="137">
        <v>0.0</v>
      </c>
      <c r="L553" s="137">
        <v>0.0</v>
      </c>
      <c r="M553" s="137">
        <v>0.0</v>
      </c>
      <c r="N553" s="137">
        <v>0.0</v>
      </c>
      <c r="O553" s="137">
        <v>0.0</v>
      </c>
      <c r="P553" s="135">
        <v>0.0</v>
      </c>
      <c r="Q553" s="135">
        <v>0.0</v>
      </c>
      <c r="R553" s="135">
        <v>0.0</v>
      </c>
      <c r="S553" s="135">
        <v>0.0</v>
      </c>
      <c r="T553" s="135">
        <v>0.0</v>
      </c>
      <c r="U553" s="135">
        <v>0.0</v>
      </c>
      <c r="V553" s="135">
        <v>0.0</v>
      </c>
      <c r="W553" s="135">
        <v>0.0</v>
      </c>
      <c r="X553" s="135">
        <v>0.0</v>
      </c>
      <c r="Y553" s="135">
        <v>0.0</v>
      </c>
      <c r="Z553" s="135">
        <v>0.0</v>
      </c>
      <c r="AA553" s="135">
        <v>0.0</v>
      </c>
      <c r="AB553" s="135">
        <v>0.0</v>
      </c>
      <c r="AC553" s="135">
        <v>0.0</v>
      </c>
      <c r="AD553" s="135">
        <v>0.0</v>
      </c>
      <c r="AE553" s="135">
        <v>0.0</v>
      </c>
      <c r="AF553" s="135">
        <v>0.0</v>
      </c>
      <c r="AG553" s="135">
        <v>0.0</v>
      </c>
      <c r="AH553" s="135">
        <v>0.0</v>
      </c>
      <c r="AI553" s="135">
        <v>0.0</v>
      </c>
      <c r="AJ553" s="135">
        <v>0.0</v>
      </c>
      <c r="AK553" s="135">
        <v>0.0</v>
      </c>
      <c r="AL553" s="135">
        <v>0.0</v>
      </c>
      <c r="AM553" s="135">
        <v>0.0</v>
      </c>
      <c r="AN553" s="137">
        <v>3.0</v>
      </c>
    </row>
    <row r="554">
      <c r="A554" s="98"/>
      <c r="B554" s="136" t="s">
        <v>206</v>
      </c>
      <c r="C554" s="137">
        <v>0.0</v>
      </c>
      <c r="D554" s="137">
        <v>0.0</v>
      </c>
      <c r="E554" s="137">
        <v>1.0</v>
      </c>
      <c r="F554" s="137">
        <v>0.0</v>
      </c>
      <c r="G554" s="137">
        <v>0.0</v>
      </c>
      <c r="H554" s="137">
        <v>0.0</v>
      </c>
      <c r="I554" s="137">
        <v>0.0</v>
      </c>
      <c r="J554" s="137">
        <v>0.0</v>
      </c>
      <c r="K554" s="137">
        <v>0.0</v>
      </c>
      <c r="L554" s="137">
        <v>0.0</v>
      </c>
      <c r="M554" s="137">
        <v>0.0</v>
      </c>
      <c r="N554" s="137">
        <v>0.0</v>
      </c>
      <c r="O554" s="137">
        <v>1.0</v>
      </c>
      <c r="P554" s="135">
        <v>0.0</v>
      </c>
      <c r="Q554" s="135">
        <v>0.0</v>
      </c>
      <c r="R554" s="135">
        <v>0.0</v>
      </c>
      <c r="S554" s="135">
        <v>0.0</v>
      </c>
      <c r="T554" s="135">
        <v>0.0</v>
      </c>
      <c r="U554" s="135">
        <v>0.0</v>
      </c>
      <c r="V554" s="135">
        <v>0.0</v>
      </c>
      <c r="W554" s="135">
        <v>0.0</v>
      </c>
      <c r="X554" s="135">
        <v>0.0</v>
      </c>
      <c r="Y554" s="135">
        <v>0.0</v>
      </c>
      <c r="Z554" s="135">
        <v>0.0</v>
      </c>
      <c r="AA554" s="135">
        <v>0.0</v>
      </c>
      <c r="AB554" s="135">
        <v>0.0</v>
      </c>
      <c r="AC554" s="135">
        <v>0.0</v>
      </c>
      <c r="AD554" s="135">
        <v>0.0</v>
      </c>
      <c r="AE554" s="135">
        <v>0.0</v>
      </c>
      <c r="AF554" s="135">
        <v>0.0</v>
      </c>
      <c r="AG554" s="135">
        <v>0.0</v>
      </c>
      <c r="AH554" s="135">
        <v>0.0</v>
      </c>
      <c r="AI554" s="135">
        <v>0.0</v>
      </c>
      <c r="AJ554" s="135">
        <v>0.0</v>
      </c>
      <c r="AK554" s="135">
        <v>0.0</v>
      </c>
      <c r="AL554" s="135">
        <v>0.0</v>
      </c>
      <c r="AM554" s="135">
        <v>0.0</v>
      </c>
      <c r="AN554" s="137">
        <v>0.0</v>
      </c>
    </row>
    <row r="555">
      <c r="A555" s="98"/>
      <c r="B555" s="136" t="s">
        <v>200</v>
      </c>
      <c r="C555" s="137">
        <v>0.0</v>
      </c>
      <c r="D555" s="137">
        <v>0.0</v>
      </c>
      <c r="E555" s="137">
        <v>0.0</v>
      </c>
      <c r="F555" s="137">
        <v>0.0</v>
      </c>
      <c r="G555" s="137">
        <v>0.0</v>
      </c>
      <c r="H555" s="137">
        <v>0.0</v>
      </c>
      <c r="I555" s="137">
        <v>0.0</v>
      </c>
      <c r="J555" s="137">
        <v>0.0</v>
      </c>
      <c r="K555" s="137">
        <v>0.0</v>
      </c>
      <c r="L555" s="137">
        <v>0.0</v>
      </c>
      <c r="M555" s="137">
        <v>0.0</v>
      </c>
      <c r="N555" s="137">
        <v>0.0</v>
      </c>
      <c r="O555" s="137">
        <v>0.0</v>
      </c>
      <c r="P555" s="135">
        <v>0.0</v>
      </c>
      <c r="Q555" s="135">
        <v>0.0</v>
      </c>
      <c r="R555" s="135">
        <v>0.0</v>
      </c>
      <c r="S555" s="135">
        <v>0.0</v>
      </c>
      <c r="T555" s="135">
        <v>0.0</v>
      </c>
      <c r="U555" s="135">
        <v>0.0</v>
      </c>
      <c r="V555" s="135">
        <v>0.0</v>
      </c>
      <c r="W555" s="135">
        <v>0.0</v>
      </c>
      <c r="X555" s="135">
        <v>0.0</v>
      </c>
      <c r="Y555" s="135">
        <v>0.0</v>
      </c>
      <c r="Z555" s="135">
        <v>0.0</v>
      </c>
      <c r="AA555" s="135">
        <v>0.0</v>
      </c>
      <c r="AB555" s="135">
        <v>0.0</v>
      </c>
      <c r="AC555" s="135">
        <v>0.0</v>
      </c>
      <c r="AD555" s="135">
        <v>0.0</v>
      </c>
      <c r="AE555" s="135">
        <v>0.0</v>
      </c>
      <c r="AF555" s="135">
        <v>0.0</v>
      </c>
      <c r="AG555" s="135">
        <v>0.0</v>
      </c>
      <c r="AH555" s="135">
        <v>0.0</v>
      </c>
      <c r="AI555" s="135">
        <v>0.0</v>
      </c>
      <c r="AJ555" s="135">
        <v>0.0</v>
      </c>
      <c r="AK555" s="135">
        <v>0.0</v>
      </c>
      <c r="AL555" s="135">
        <v>0.0</v>
      </c>
      <c r="AM555" s="135">
        <v>0.0</v>
      </c>
      <c r="AN555" s="137">
        <v>0.0</v>
      </c>
    </row>
    <row r="556">
      <c r="A556" s="104"/>
      <c r="B556" s="136" t="s">
        <v>201</v>
      </c>
      <c r="C556" s="137">
        <v>1.0</v>
      </c>
      <c r="D556" s="137">
        <v>0.0</v>
      </c>
      <c r="E556" s="137">
        <v>1.0</v>
      </c>
      <c r="F556" s="137">
        <v>0.0</v>
      </c>
      <c r="G556" s="137">
        <v>0.0</v>
      </c>
      <c r="H556" s="137">
        <v>0.0</v>
      </c>
      <c r="I556" s="137">
        <v>0.0</v>
      </c>
      <c r="J556" s="137">
        <v>0.0</v>
      </c>
      <c r="K556" s="137">
        <v>0.0</v>
      </c>
      <c r="L556" s="137">
        <v>0.0</v>
      </c>
      <c r="M556" s="137">
        <v>0.0</v>
      </c>
      <c r="N556" s="137">
        <v>0.0</v>
      </c>
      <c r="O556" s="137">
        <v>1.0</v>
      </c>
      <c r="P556" s="135">
        <v>0.0</v>
      </c>
      <c r="Q556" s="135">
        <v>0.0</v>
      </c>
      <c r="R556" s="135">
        <v>0.0</v>
      </c>
      <c r="S556" s="135">
        <v>0.0</v>
      </c>
      <c r="T556" s="135">
        <v>0.0</v>
      </c>
      <c r="U556" s="135">
        <v>0.0</v>
      </c>
      <c r="V556" s="135">
        <v>0.0</v>
      </c>
      <c r="W556" s="135">
        <v>0.0</v>
      </c>
      <c r="X556" s="135">
        <v>0.0</v>
      </c>
      <c r="Y556" s="135">
        <v>0.0</v>
      </c>
      <c r="Z556" s="135">
        <v>0.0</v>
      </c>
      <c r="AA556" s="135">
        <v>0.0</v>
      </c>
      <c r="AB556" s="135">
        <v>0.0</v>
      </c>
      <c r="AC556" s="135">
        <v>0.0</v>
      </c>
      <c r="AD556" s="135">
        <v>0.0</v>
      </c>
      <c r="AE556" s="135">
        <v>0.0</v>
      </c>
      <c r="AF556" s="135">
        <v>0.0</v>
      </c>
      <c r="AG556" s="135">
        <v>0.0</v>
      </c>
      <c r="AH556" s="135">
        <v>0.0</v>
      </c>
      <c r="AI556" s="135">
        <v>0.0</v>
      </c>
      <c r="AJ556" s="135">
        <v>0.0</v>
      </c>
      <c r="AK556" s="135">
        <v>0.0</v>
      </c>
      <c r="AL556" s="135">
        <v>0.0</v>
      </c>
      <c r="AM556" s="135">
        <v>0.0</v>
      </c>
      <c r="AN556" s="137">
        <v>1.0</v>
      </c>
    </row>
    <row r="557">
      <c r="A557" s="138" t="s">
        <v>231</v>
      </c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</row>
    <row r="558">
      <c r="A558" s="132" t="s">
        <v>197</v>
      </c>
      <c r="B558" s="133" t="s">
        <v>198</v>
      </c>
      <c r="C558" s="134">
        <v>150738.0</v>
      </c>
      <c r="D558" s="134">
        <v>54304.0</v>
      </c>
      <c r="E558" s="134">
        <v>96434.0</v>
      </c>
      <c r="F558" s="135">
        <v>0.0</v>
      </c>
      <c r="G558" s="135">
        <v>0.0</v>
      </c>
      <c r="H558" s="135">
        <v>0.0</v>
      </c>
      <c r="I558" s="135">
        <v>0.0</v>
      </c>
      <c r="J558" s="135">
        <v>0.0</v>
      </c>
      <c r="K558" s="135">
        <v>0.0</v>
      </c>
      <c r="L558" s="137">
        <v>107.0</v>
      </c>
      <c r="M558" s="137">
        <v>213.0</v>
      </c>
      <c r="N558" s="137">
        <v>118.0</v>
      </c>
      <c r="O558" s="137">
        <v>325.0</v>
      </c>
      <c r="P558" s="137">
        <v>244.0</v>
      </c>
      <c r="Q558" s="137">
        <v>647.0</v>
      </c>
      <c r="R558" s="137">
        <v>449.0</v>
      </c>
      <c r="S558" s="134">
        <v>1074.0</v>
      </c>
      <c r="T558" s="137">
        <v>843.0</v>
      </c>
      <c r="U558" s="134">
        <v>1996.0</v>
      </c>
      <c r="V558" s="134">
        <v>1552.0</v>
      </c>
      <c r="W558" s="134">
        <v>3843.0</v>
      </c>
      <c r="X558" s="134">
        <v>2885.0</v>
      </c>
      <c r="Y558" s="134">
        <v>6728.0</v>
      </c>
      <c r="Z558" s="134">
        <v>4842.0</v>
      </c>
      <c r="AA558" s="134">
        <v>10584.0</v>
      </c>
      <c r="AB558" s="134">
        <v>6497.0</v>
      </c>
      <c r="AC558" s="134">
        <v>12135.0</v>
      </c>
      <c r="AD558" s="134">
        <v>7525.0</v>
      </c>
      <c r="AE558" s="134">
        <v>13147.0</v>
      </c>
      <c r="AF558" s="134">
        <v>7920.0</v>
      </c>
      <c r="AG558" s="134">
        <v>12542.0</v>
      </c>
      <c r="AH558" s="134">
        <v>7960.0</v>
      </c>
      <c r="AI558" s="134">
        <v>12059.0</v>
      </c>
      <c r="AJ558" s="134">
        <v>6326.0</v>
      </c>
      <c r="AK558" s="134">
        <v>9578.0</v>
      </c>
      <c r="AL558" s="134">
        <v>7036.0</v>
      </c>
      <c r="AM558" s="134">
        <v>11563.0</v>
      </c>
      <c r="AN558" s="134">
        <v>150095.0</v>
      </c>
    </row>
    <row r="559">
      <c r="A559" s="98"/>
      <c r="B559" s="136" t="s">
        <v>199</v>
      </c>
      <c r="C559" s="134">
        <v>84538.0</v>
      </c>
      <c r="D559" s="134">
        <v>30279.0</v>
      </c>
      <c r="E559" s="134">
        <v>54259.0</v>
      </c>
      <c r="F559" s="135">
        <v>0.0</v>
      </c>
      <c r="G559" s="135">
        <v>0.0</v>
      </c>
      <c r="H559" s="135">
        <v>0.0</v>
      </c>
      <c r="I559" s="135">
        <v>0.0</v>
      </c>
      <c r="J559" s="135">
        <v>0.0</v>
      </c>
      <c r="K559" s="135">
        <v>0.0</v>
      </c>
      <c r="L559" s="137">
        <v>26.0</v>
      </c>
      <c r="M559" s="137">
        <v>43.0</v>
      </c>
      <c r="N559" s="137">
        <v>41.0</v>
      </c>
      <c r="O559" s="137">
        <v>93.0</v>
      </c>
      <c r="P559" s="137">
        <v>88.0</v>
      </c>
      <c r="Q559" s="137">
        <v>225.0</v>
      </c>
      <c r="R559" s="137">
        <v>198.0</v>
      </c>
      <c r="S559" s="137">
        <v>361.0</v>
      </c>
      <c r="T559" s="137">
        <v>364.0</v>
      </c>
      <c r="U559" s="137">
        <v>828.0</v>
      </c>
      <c r="V559" s="137">
        <v>685.0</v>
      </c>
      <c r="W559" s="134">
        <v>1680.0</v>
      </c>
      <c r="X559" s="134">
        <v>1387.0</v>
      </c>
      <c r="Y559" s="134">
        <v>3218.0</v>
      </c>
      <c r="Z559" s="134">
        <v>2339.0</v>
      </c>
      <c r="AA559" s="134">
        <v>5344.0</v>
      </c>
      <c r="AB559" s="134">
        <v>3173.0</v>
      </c>
      <c r="AC559" s="134">
        <v>6394.0</v>
      </c>
      <c r="AD559" s="134">
        <v>3934.0</v>
      </c>
      <c r="AE559" s="134">
        <v>7136.0</v>
      </c>
      <c r="AF559" s="134">
        <v>4795.0</v>
      </c>
      <c r="AG559" s="134">
        <v>7829.0</v>
      </c>
      <c r="AH559" s="134">
        <v>4949.0</v>
      </c>
      <c r="AI559" s="134">
        <v>7609.0</v>
      </c>
      <c r="AJ559" s="134">
        <v>3915.0</v>
      </c>
      <c r="AK559" s="134">
        <v>6120.0</v>
      </c>
      <c r="AL559" s="134">
        <v>4385.0</v>
      </c>
      <c r="AM559" s="134">
        <v>7379.0</v>
      </c>
      <c r="AN559" s="134">
        <v>84334.0</v>
      </c>
    </row>
    <row r="560">
      <c r="A560" s="98"/>
      <c r="B560" s="136" t="s">
        <v>200</v>
      </c>
      <c r="C560" s="134">
        <v>51765.0</v>
      </c>
      <c r="D560" s="134">
        <v>17385.0</v>
      </c>
      <c r="E560" s="134">
        <v>34380.0</v>
      </c>
      <c r="F560" s="135">
        <v>0.0</v>
      </c>
      <c r="G560" s="135">
        <v>0.0</v>
      </c>
      <c r="H560" s="135">
        <v>0.0</v>
      </c>
      <c r="I560" s="135">
        <v>0.0</v>
      </c>
      <c r="J560" s="135">
        <v>0.0</v>
      </c>
      <c r="K560" s="135">
        <v>0.0</v>
      </c>
      <c r="L560" s="137">
        <v>56.0</v>
      </c>
      <c r="M560" s="137">
        <v>185.0</v>
      </c>
      <c r="N560" s="137">
        <v>78.0</v>
      </c>
      <c r="O560" s="137">
        <v>248.0</v>
      </c>
      <c r="P560" s="137">
        <v>131.0</v>
      </c>
      <c r="Q560" s="137">
        <v>445.0</v>
      </c>
      <c r="R560" s="137">
        <v>206.0</v>
      </c>
      <c r="S560" s="137">
        <v>525.0</v>
      </c>
      <c r="T560" s="137">
        <v>348.0</v>
      </c>
      <c r="U560" s="137">
        <v>886.0</v>
      </c>
      <c r="V560" s="137">
        <v>624.0</v>
      </c>
      <c r="W560" s="134">
        <v>1601.0</v>
      </c>
      <c r="X560" s="134">
        <v>1050.0</v>
      </c>
      <c r="Y560" s="134">
        <v>2800.0</v>
      </c>
      <c r="Z560" s="134">
        <v>1619.0</v>
      </c>
      <c r="AA560" s="134">
        <v>4052.0</v>
      </c>
      <c r="AB560" s="134">
        <v>2034.0</v>
      </c>
      <c r="AC560" s="134">
        <v>4477.0</v>
      </c>
      <c r="AD560" s="134">
        <v>2354.0</v>
      </c>
      <c r="AE560" s="134">
        <v>4600.0</v>
      </c>
      <c r="AF560" s="134">
        <v>2571.0</v>
      </c>
      <c r="AG560" s="134">
        <v>4441.0</v>
      </c>
      <c r="AH560" s="134">
        <v>2566.0</v>
      </c>
      <c r="AI560" s="134">
        <v>4057.0</v>
      </c>
      <c r="AJ560" s="134">
        <v>1880.0</v>
      </c>
      <c r="AK560" s="134">
        <v>2972.0</v>
      </c>
      <c r="AL560" s="134">
        <v>1868.0</v>
      </c>
      <c r="AM560" s="134">
        <v>3091.0</v>
      </c>
      <c r="AN560" s="134">
        <v>51605.0</v>
      </c>
    </row>
    <row r="561">
      <c r="A561" s="104"/>
      <c r="B561" s="136" t="s">
        <v>201</v>
      </c>
      <c r="C561" s="134">
        <v>6012.0</v>
      </c>
      <c r="D561" s="134">
        <v>2492.0</v>
      </c>
      <c r="E561" s="134">
        <v>3520.0</v>
      </c>
      <c r="F561" s="135">
        <v>0.0</v>
      </c>
      <c r="G561" s="135">
        <v>0.0</v>
      </c>
      <c r="H561" s="135">
        <v>0.0</v>
      </c>
      <c r="I561" s="135">
        <v>0.0</v>
      </c>
      <c r="J561" s="135">
        <v>0.0</v>
      </c>
      <c r="K561" s="135">
        <v>0.0</v>
      </c>
      <c r="L561" s="137">
        <v>28.0</v>
      </c>
      <c r="M561" s="137">
        <v>32.0</v>
      </c>
      <c r="N561" s="137">
        <v>12.0</v>
      </c>
      <c r="O561" s="137">
        <v>13.0</v>
      </c>
      <c r="P561" s="137">
        <v>20.0</v>
      </c>
      <c r="Q561" s="137">
        <v>34.0</v>
      </c>
      <c r="R561" s="137">
        <v>23.0</v>
      </c>
      <c r="S561" s="137">
        <v>36.0</v>
      </c>
      <c r="T561" s="137">
        <v>26.0</v>
      </c>
      <c r="U561" s="137">
        <v>86.0</v>
      </c>
      <c r="V561" s="137">
        <v>73.0</v>
      </c>
      <c r="W561" s="137">
        <v>131.0</v>
      </c>
      <c r="X561" s="137">
        <v>135.0</v>
      </c>
      <c r="Y561" s="137">
        <v>221.0</v>
      </c>
      <c r="Z561" s="137">
        <v>169.0</v>
      </c>
      <c r="AA561" s="137">
        <v>349.0</v>
      </c>
      <c r="AB561" s="137">
        <v>244.0</v>
      </c>
      <c r="AC561" s="137">
        <v>407.0</v>
      </c>
      <c r="AD561" s="137">
        <v>321.0</v>
      </c>
      <c r="AE561" s="137">
        <v>414.0</v>
      </c>
      <c r="AF561" s="137">
        <v>377.0</v>
      </c>
      <c r="AG561" s="137">
        <v>468.0</v>
      </c>
      <c r="AH561" s="137">
        <v>416.0</v>
      </c>
      <c r="AI561" s="137">
        <v>440.0</v>
      </c>
      <c r="AJ561" s="137">
        <v>297.0</v>
      </c>
      <c r="AK561" s="137">
        <v>395.0</v>
      </c>
      <c r="AL561" s="137">
        <v>351.0</v>
      </c>
      <c r="AM561" s="137">
        <v>494.0</v>
      </c>
      <c r="AN561" s="134">
        <v>5996.0</v>
      </c>
    </row>
    <row r="562">
      <c r="A562" s="132" t="s">
        <v>202</v>
      </c>
      <c r="B562" s="136" t="s">
        <v>198</v>
      </c>
      <c r="C562" s="137">
        <v>289.0</v>
      </c>
      <c r="D562" s="137">
        <v>154.0</v>
      </c>
      <c r="E562" s="137">
        <v>135.0</v>
      </c>
      <c r="F562" s="137">
        <v>2.0</v>
      </c>
      <c r="G562" s="137">
        <v>3.0</v>
      </c>
      <c r="H562" s="137">
        <v>5.0</v>
      </c>
      <c r="I562" s="137">
        <v>2.0</v>
      </c>
      <c r="J562" s="137">
        <v>3.0</v>
      </c>
      <c r="K562" s="137">
        <v>4.0</v>
      </c>
      <c r="L562" s="137">
        <v>3.0</v>
      </c>
      <c r="M562" s="137">
        <v>2.0</v>
      </c>
      <c r="N562" s="137">
        <v>1.0</v>
      </c>
      <c r="O562" s="137">
        <v>7.0</v>
      </c>
      <c r="P562" s="137">
        <v>9.0</v>
      </c>
      <c r="Q562" s="137">
        <v>5.0</v>
      </c>
      <c r="R562" s="137">
        <v>8.0</v>
      </c>
      <c r="S562" s="137">
        <v>0.0</v>
      </c>
      <c r="T562" s="137">
        <v>7.0</v>
      </c>
      <c r="U562" s="137">
        <v>8.0</v>
      </c>
      <c r="V562" s="137">
        <v>12.0</v>
      </c>
      <c r="W562" s="137">
        <v>11.0</v>
      </c>
      <c r="X562" s="137">
        <v>13.0</v>
      </c>
      <c r="Y562" s="137">
        <v>6.0</v>
      </c>
      <c r="Z562" s="137">
        <v>14.0</v>
      </c>
      <c r="AA562" s="137">
        <v>8.0</v>
      </c>
      <c r="AB562" s="137">
        <v>15.0</v>
      </c>
      <c r="AC562" s="137">
        <v>16.0</v>
      </c>
      <c r="AD562" s="137">
        <v>16.0</v>
      </c>
      <c r="AE562" s="137">
        <v>10.0</v>
      </c>
      <c r="AF562" s="137">
        <v>8.0</v>
      </c>
      <c r="AG562" s="137">
        <v>13.0</v>
      </c>
      <c r="AH562" s="137">
        <v>12.0</v>
      </c>
      <c r="AI562" s="137">
        <v>18.0</v>
      </c>
      <c r="AJ562" s="137">
        <v>13.0</v>
      </c>
      <c r="AK562" s="137">
        <v>8.0</v>
      </c>
      <c r="AL562" s="137">
        <v>13.0</v>
      </c>
      <c r="AM562" s="137">
        <v>14.0</v>
      </c>
      <c r="AN562" s="137">
        <v>289.0</v>
      </c>
    </row>
    <row r="563">
      <c r="A563" s="104"/>
      <c r="B563" s="136" t="s">
        <v>199</v>
      </c>
      <c r="C563" s="137">
        <v>330.0</v>
      </c>
      <c r="D563" s="137">
        <v>131.0</v>
      </c>
      <c r="E563" s="137">
        <v>199.0</v>
      </c>
      <c r="F563" s="137">
        <v>2.0</v>
      </c>
      <c r="G563" s="137">
        <v>6.0</v>
      </c>
      <c r="H563" s="137">
        <v>4.0</v>
      </c>
      <c r="I563" s="137">
        <v>5.0</v>
      </c>
      <c r="J563" s="137">
        <v>8.0</v>
      </c>
      <c r="K563" s="137">
        <v>3.0</v>
      </c>
      <c r="L563" s="137">
        <v>1.0</v>
      </c>
      <c r="M563" s="137">
        <v>2.0</v>
      </c>
      <c r="N563" s="137">
        <v>3.0</v>
      </c>
      <c r="O563" s="137">
        <v>4.0</v>
      </c>
      <c r="P563" s="137">
        <v>5.0</v>
      </c>
      <c r="Q563" s="137">
        <v>1.0</v>
      </c>
      <c r="R563" s="137">
        <v>9.0</v>
      </c>
      <c r="S563" s="137">
        <v>2.0</v>
      </c>
      <c r="T563" s="137">
        <v>7.0</v>
      </c>
      <c r="U563" s="137">
        <v>0.0</v>
      </c>
      <c r="V563" s="137">
        <v>15.0</v>
      </c>
      <c r="W563" s="137">
        <v>16.0</v>
      </c>
      <c r="X563" s="137">
        <v>6.0</v>
      </c>
      <c r="Y563" s="137">
        <v>7.0</v>
      </c>
      <c r="Z563" s="137">
        <v>9.0</v>
      </c>
      <c r="AA563" s="137">
        <v>6.0</v>
      </c>
      <c r="AB563" s="137">
        <v>11.0</v>
      </c>
      <c r="AC563" s="137">
        <v>4.0</v>
      </c>
      <c r="AD563" s="137">
        <v>13.0</v>
      </c>
      <c r="AE563" s="137">
        <v>7.0</v>
      </c>
      <c r="AF563" s="137">
        <v>7.0</v>
      </c>
      <c r="AG563" s="137">
        <v>102.0</v>
      </c>
      <c r="AH563" s="137">
        <v>6.0</v>
      </c>
      <c r="AI563" s="137">
        <v>17.0</v>
      </c>
      <c r="AJ563" s="137">
        <v>17.0</v>
      </c>
      <c r="AK563" s="137">
        <v>5.0</v>
      </c>
      <c r="AL563" s="137">
        <v>8.0</v>
      </c>
      <c r="AM563" s="137">
        <v>12.0</v>
      </c>
      <c r="AN563" s="137">
        <v>326.0</v>
      </c>
    </row>
    <row r="564">
      <c r="A564" s="132" t="s">
        <v>203</v>
      </c>
      <c r="B564" s="136" t="s">
        <v>198</v>
      </c>
      <c r="C564" s="137">
        <v>594.0</v>
      </c>
      <c r="D564" s="137">
        <v>242.0</v>
      </c>
      <c r="E564" s="137">
        <v>352.0</v>
      </c>
      <c r="F564" s="135">
        <v>0.0</v>
      </c>
      <c r="G564" s="135">
        <v>0.0</v>
      </c>
      <c r="H564" s="135">
        <v>0.0</v>
      </c>
      <c r="I564" s="135">
        <v>0.0</v>
      </c>
      <c r="J564" s="135">
        <v>0.0</v>
      </c>
      <c r="K564" s="135">
        <v>0.0</v>
      </c>
      <c r="L564" s="135">
        <v>0.0</v>
      </c>
      <c r="M564" s="135">
        <v>0.0</v>
      </c>
      <c r="N564" s="135">
        <v>0.0</v>
      </c>
      <c r="O564" s="135">
        <v>0.0</v>
      </c>
      <c r="P564" s="135">
        <v>0.0</v>
      </c>
      <c r="Q564" s="135">
        <v>0.0</v>
      </c>
      <c r="R564" s="135">
        <v>0.0</v>
      </c>
      <c r="S564" s="135">
        <v>0.0</v>
      </c>
      <c r="T564" s="135">
        <v>0.0</v>
      </c>
      <c r="U564" s="135">
        <v>0.0</v>
      </c>
      <c r="V564" s="135">
        <v>0.0</v>
      </c>
      <c r="W564" s="135">
        <v>0.0</v>
      </c>
      <c r="X564" s="135">
        <v>0.0</v>
      </c>
      <c r="Y564" s="135">
        <v>0.0</v>
      </c>
      <c r="Z564" s="135">
        <v>0.0</v>
      </c>
      <c r="AA564" s="135">
        <v>0.0</v>
      </c>
      <c r="AB564" s="135">
        <v>0.0</v>
      </c>
      <c r="AC564" s="135">
        <v>0.0</v>
      </c>
      <c r="AD564" s="135">
        <v>0.0</v>
      </c>
      <c r="AE564" s="135">
        <v>0.0</v>
      </c>
      <c r="AF564" s="137">
        <v>47.0</v>
      </c>
      <c r="AG564" s="137">
        <v>99.0</v>
      </c>
      <c r="AH564" s="137">
        <v>72.0</v>
      </c>
      <c r="AI564" s="137">
        <v>40.0</v>
      </c>
      <c r="AJ564" s="137">
        <v>67.0</v>
      </c>
      <c r="AK564" s="137">
        <v>67.0</v>
      </c>
      <c r="AL564" s="137">
        <v>56.0</v>
      </c>
      <c r="AM564" s="137">
        <v>146.0</v>
      </c>
      <c r="AN564" s="137">
        <v>594.0</v>
      </c>
    </row>
    <row r="565">
      <c r="A565" s="104"/>
      <c r="B565" s="136" t="s">
        <v>199</v>
      </c>
      <c r="C565" s="137">
        <v>550.0</v>
      </c>
      <c r="D565" s="137">
        <v>207.0</v>
      </c>
      <c r="E565" s="137">
        <v>343.0</v>
      </c>
      <c r="F565" s="135">
        <v>0.0</v>
      </c>
      <c r="G565" s="135">
        <v>0.0</v>
      </c>
      <c r="H565" s="135">
        <v>0.0</v>
      </c>
      <c r="I565" s="135">
        <v>0.0</v>
      </c>
      <c r="J565" s="135">
        <v>0.0</v>
      </c>
      <c r="K565" s="135">
        <v>0.0</v>
      </c>
      <c r="L565" s="135">
        <v>0.0</v>
      </c>
      <c r="M565" s="135">
        <v>0.0</v>
      </c>
      <c r="N565" s="135">
        <v>0.0</v>
      </c>
      <c r="O565" s="135">
        <v>0.0</v>
      </c>
      <c r="P565" s="135">
        <v>0.0</v>
      </c>
      <c r="Q565" s="135">
        <v>0.0</v>
      </c>
      <c r="R565" s="135">
        <v>0.0</v>
      </c>
      <c r="S565" s="135">
        <v>0.0</v>
      </c>
      <c r="T565" s="135">
        <v>0.0</v>
      </c>
      <c r="U565" s="135">
        <v>0.0</v>
      </c>
      <c r="V565" s="135">
        <v>0.0</v>
      </c>
      <c r="W565" s="135">
        <v>0.0</v>
      </c>
      <c r="X565" s="135">
        <v>0.0</v>
      </c>
      <c r="Y565" s="135">
        <v>0.0</v>
      </c>
      <c r="Z565" s="135">
        <v>0.0</v>
      </c>
      <c r="AA565" s="135">
        <v>0.0</v>
      </c>
      <c r="AB565" s="135">
        <v>0.0</v>
      </c>
      <c r="AC565" s="135">
        <v>0.0</v>
      </c>
      <c r="AD565" s="135">
        <v>0.0</v>
      </c>
      <c r="AE565" s="135">
        <v>0.0</v>
      </c>
      <c r="AF565" s="137">
        <v>57.0</v>
      </c>
      <c r="AG565" s="137">
        <v>109.0</v>
      </c>
      <c r="AH565" s="137">
        <v>64.0</v>
      </c>
      <c r="AI565" s="137">
        <v>97.0</v>
      </c>
      <c r="AJ565" s="137">
        <v>48.0</v>
      </c>
      <c r="AK565" s="137">
        <v>66.0</v>
      </c>
      <c r="AL565" s="137">
        <v>38.0</v>
      </c>
      <c r="AM565" s="137">
        <v>71.0</v>
      </c>
      <c r="AN565" s="137">
        <v>542.0</v>
      </c>
    </row>
    <row r="566">
      <c r="A566" s="132" t="s">
        <v>204</v>
      </c>
      <c r="B566" s="136" t="s">
        <v>198</v>
      </c>
      <c r="C566" s="137">
        <v>59.0</v>
      </c>
      <c r="D566" s="137">
        <v>21.0</v>
      </c>
      <c r="E566" s="137">
        <v>38.0</v>
      </c>
      <c r="F566" s="135">
        <v>0.0</v>
      </c>
      <c r="G566" s="135">
        <v>0.0</v>
      </c>
      <c r="H566" s="135">
        <v>0.0</v>
      </c>
      <c r="I566" s="135">
        <v>0.0</v>
      </c>
      <c r="J566" s="135">
        <v>0.0</v>
      </c>
      <c r="K566" s="135">
        <v>0.0</v>
      </c>
      <c r="L566" s="135">
        <v>0.0</v>
      </c>
      <c r="M566" s="135">
        <v>0.0</v>
      </c>
      <c r="N566" s="135">
        <v>0.0</v>
      </c>
      <c r="O566" s="135">
        <v>0.0</v>
      </c>
      <c r="P566" s="135">
        <v>0.0</v>
      </c>
      <c r="Q566" s="135">
        <v>0.0</v>
      </c>
      <c r="R566" s="135">
        <v>0.0</v>
      </c>
      <c r="S566" s="135">
        <v>0.0</v>
      </c>
      <c r="T566" s="135">
        <v>0.0</v>
      </c>
      <c r="U566" s="135">
        <v>0.0</v>
      </c>
      <c r="V566" s="135">
        <v>0.0</v>
      </c>
      <c r="W566" s="135">
        <v>0.0</v>
      </c>
      <c r="X566" s="135">
        <v>0.0</v>
      </c>
      <c r="Y566" s="135">
        <v>0.0</v>
      </c>
      <c r="Z566" s="135">
        <v>0.0</v>
      </c>
      <c r="AA566" s="135">
        <v>0.0</v>
      </c>
      <c r="AB566" s="135">
        <v>0.0</v>
      </c>
      <c r="AC566" s="135">
        <v>0.0</v>
      </c>
      <c r="AD566" s="135">
        <v>0.0</v>
      </c>
      <c r="AE566" s="135">
        <v>0.0</v>
      </c>
      <c r="AF566" s="137">
        <v>7.0</v>
      </c>
      <c r="AG566" s="137">
        <v>12.0</v>
      </c>
      <c r="AH566" s="137">
        <v>2.0</v>
      </c>
      <c r="AI566" s="137">
        <v>11.0</v>
      </c>
      <c r="AJ566" s="137">
        <v>5.0</v>
      </c>
      <c r="AK566" s="137">
        <v>8.0</v>
      </c>
      <c r="AL566" s="137">
        <v>7.0</v>
      </c>
      <c r="AM566" s="137">
        <v>7.0</v>
      </c>
      <c r="AN566" s="137">
        <v>59.0</v>
      </c>
    </row>
    <row r="567">
      <c r="A567" s="104"/>
      <c r="B567" s="136" t="s">
        <v>199</v>
      </c>
      <c r="C567" s="137">
        <v>501.0</v>
      </c>
      <c r="D567" s="137">
        <v>204.0</v>
      </c>
      <c r="E567" s="137">
        <v>297.0</v>
      </c>
      <c r="F567" s="135">
        <v>0.0</v>
      </c>
      <c r="G567" s="135">
        <v>0.0</v>
      </c>
      <c r="H567" s="135">
        <v>0.0</v>
      </c>
      <c r="I567" s="135">
        <v>0.0</v>
      </c>
      <c r="J567" s="135">
        <v>0.0</v>
      </c>
      <c r="K567" s="135">
        <v>0.0</v>
      </c>
      <c r="L567" s="135">
        <v>0.0</v>
      </c>
      <c r="M567" s="135">
        <v>0.0</v>
      </c>
      <c r="N567" s="135">
        <v>0.0</v>
      </c>
      <c r="O567" s="135">
        <v>0.0</v>
      </c>
      <c r="P567" s="135">
        <v>0.0</v>
      </c>
      <c r="Q567" s="135">
        <v>0.0</v>
      </c>
      <c r="R567" s="135">
        <v>0.0</v>
      </c>
      <c r="S567" s="135">
        <v>0.0</v>
      </c>
      <c r="T567" s="135">
        <v>0.0</v>
      </c>
      <c r="U567" s="135">
        <v>0.0</v>
      </c>
      <c r="V567" s="135">
        <v>0.0</v>
      </c>
      <c r="W567" s="135">
        <v>0.0</v>
      </c>
      <c r="X567" s="135">
        <v>0.0</v>
      </c>
      <c r="Y567" s="135">
        <v>0.0</v>
      </c>
      <c r="Z567" s="135">
        <v>0.0</v>
      </c>
      <c r="AA567" s="135">
        <v>0.0</v>
      </c>
      <c r="AB567" s="135">
        <v>0.0</v>
      </c>
      <c r="AC567" s="135">
        <v>0.0</v>
      </c>
      <c r="AD567" s="135">
        <v>0.0</v>
      </c>
      <c r="AE567" s="135">
        <v>0.0</v>
      </c>
      <c r="AF567" s="137">
        <v>20.0</v>
      </c>
      <c r="AG567" s="137">
        <v>34.0</v>
      </c>
      <c r="AH567" s="137">
        <v>34.0</v>
      </c>
      <c r="AI567" s="137">
        <v>62.0</v>
      </c>
      <c r="AJ567" s="137">
        <v>54.0</v>
      </c>
      <c r="AK567" s="137">
        <v>63.0</v>
      </c>
      <c r="AL567" s="137">
        <v>96.0</v>
      </c>
      <c r="AM567" s="137">
        <v>138.0</v>
      </c>
      <c r="AN567" s="137">
        <v>500.0</v>
      </c>
    </row>
    <row r="568">
      <c r="A568" s="132" t="s">
        <v>205</v>
      </c>
      <c r="B568" s="136" t="s">
        <v>198</v>
      </c>
      <c r="C568" s="137">
        <v>230.0</v>
      </c>
      <c r="D568" s="137">
        <v>77.0</v>
      </c>
      <c r="E568" s="137">
        <v>153.0</v>
      </c>
      <c r="F568" s="137">
        <v>2.0</v>
      </c>
      <c r="G568" s="137">
        <v>1.0</v>
      </c>
      <c r="H568" s="137">
        <v>0.0</v>
      </c>
      <c r="I568" s="137">
        <v>0.0</v>
      </c>
      <c r="J568" s="137">
        <v>0.0</v>
      </c>
      <c r="K568" s="137">
        <v>0.0</v>
      </c>
      <c r="L568" s="137">
        <v>0.0</v>
      </c>
      <c r="M568" s="137">
        <v>0.0</v>
      </c>
      <c r="N568" s="137">
        <v>2.0</v>
      </c>
      <c r="O568" s="137">
        <v>2.0</v>
      </c>
      <c r="P568" s="137">
        <v>0.0</v>
      </c>
      <c r="Q568" s="137">
        <v>0.0</v>
      </c>
      <c r="R568" s="137">
        <v>0.0</v>
      </c>
      <c r="S568" s="137">
        <v>2.0</v>
      </c>
      <c r="T568" s="137">
        <v>3.0</v>
      </c>
      <c r="U568" s="137">
        <v>1.0</v>
      </c>
      <c r="V568" s="137">
        <v>1.0</v>
      </c>
      <c r="W568" s="137">
        <v>6.0</v>
      </c>
      <c r="X568" s="137">
        <v>3.0</v>
      </c>
      <c r="Y568" s="137">
        <v>7.0</v>
      </c>
      <c r="Z568" s="137">
        <v>3.0</v>
      </c>
      <c r="AA568" s="137">
        <v>21.0</v>
      </c>
      <c r="AB568" s="137">
        <v>6.0</v>
      </c>
      <c r="AC568" s="137">
        <v>12.0</v>
      </c>
      <c r="AD568" s="137">
        <v>21.0</v>
      </c>
      <c r="AE568" s="137">
        <v>24.0</v>
      </c>
      <c r="AF568" s="137">
        <v>6.0</v>
      </c>
      <c r="AG568" s="137">
        <v>36.0</v>
      </c>
      <c r="AH568" s="137">
        <v>7.0</v>
      </c>
      <c r="AI568" s="137">
        <v>17.0</v>
      </c>
      <c r="AJ568" s="137">
        <v>14.0</v>
      </c>
      <c r="AK568" s="137">
        <v>10.0</v>
      </c>
      <c r="AL568" s="137">
        <v>9.0</v>
      </c>
      <c r="AM568" s="137">
        <v>14.0</v>
      </c>
      <c r="AN568" s="137">
        <v>228.0</v>
      </c>
    </row>
    <row r="569">
      <c r="A569" s="98"/>
      <c r="B569" s="136" t="s">
        <v>199</v>
      </c>
      <c r="C569" s="137">
        <v>38.0</v>
      </c>
      <c r="D569" s="137">
        <v>11.0</v>
      </c>
      <c r="E569" s="137">
        <v>27.0</v>
      </c>
      <c r="F569" s="137">
        <v>0.0</v>
      </c>
      <c r="G569" s="137">
        <v>0.0</v>
      </c>
      <c r="H569" s="137">
        <v>1.0</v>
      </c>
      <c r="I569" s="137">
        <v>0.0</v>
      </c>
      <c r="J569" s="137">
        <v>0.0</v>
      </c>
      <c r="K569" s="137">
        <v>0.0</v>
      </c>
      <c r="L569" s="137">
        <v>0.0</v>
      </c>
      <c r="M569" s="137">
        <v>0.0</v>
      </c>
      <c r="N569" s="137">
        <v>0.0</v>
      </c>
      <c r="O569" s="137">
        <v>1.0</v>
      </c>
      <c r="P569" s="137">
        <v>0.0</v>
      </c>
      <c r="Q569" s="137">
        <v>0.0</v>
      </c>
      <c r="R569" s="137">
        <v>0.0</v>
      </c>
      <c r="S569" s="137">
        <v>0.0</v>
      </c>
      <c r="T569" s="137">
        <v>0.0</v>
      </c>
      <c r="U569" s="137">
        <v>0.0</v>
      </c>
      <c r="V569" s="137">
        <v>1.0</v>
      </c>
      <c r="W569" s="137">
        <v>1.0</v>
      </c>
      <c r="X569" s="137">
        <v>0.0</v>
      </c>
      <c r="Y569" s="137">
        <v>1.0</v>
      </c>
      <c r="Z569" s="137">
        <v>2.0</v>
      </c>
      <c r="AA569" s="137">
        <v>3.0</v>
      </c>
      <c r="AB569" s="137">
        <v>0.0</v>
      </c>
      <c r="AC569" s="137">
        <v>4.0</v>
      </c>
      <c r="AD569" s="137">
        <v>0.0</v>
      </c>
      <c r="AE569" s="137">
        <v>5.0</v>
      </c>
      <c r="AF569" s="137">
        <v>1.0</v>
      </c>
      <c r="AG569" s="137">
        <v>5.0</v>
      </c>
      <c r="AH569" s="137">
        <v>3.0</v>
      </c>
      <c r="AI569" s="137">
        <v>2.0</v>
      </c>
      <c r="AJ569" s="137">
        <v>2.0</v>
      </c>
      <c r="AK569" s="137">
        <v>4.0</v>
      </c>
      <c r="AL569" s="137">
        <v>1.0</v>
      </c>
      <c r="AM569" s="137">
        <v>1.0</v>
      </c>
      <c r="AN569" s="137">
        <v>38.0</v>
      </c>
    </row>
    <row r="570">
      <c r="A570" s="104"/>
      <c r="B570" s="136" t="s">
        <v>206</v>
      </c>
      <c r="C570" s="137">
        <v>92.0</v>
      </c>
      <c r="D570" s="137">
        <v>7.0</v>
      </c>
      <c r="E570" s="137">
        <v>85.0</v>
      </c>
      <c r="F570" s="137">
        <v>0.0</v>
      </c>
      <c r="G570" s="137">
        <v>0.0</v>
      </c>
      <c r="H570" s="137">
        <v>0.0</v>
      </c>
      <c r="I570" s="137">
        <v>0.0</v>
      </c>
      <c r="J570" s="137">
        <v>0.0</v>
      </c>
      <c r="K570" s="137">
        <v>0.0</v>
      </c>
      <c r="L570" s="137">
        <v>2.0</v>
      </c>
      <c r="M570" s="137">
        <v>5.0</v>
      </c>
      <c r="N570" s="137">
        <v>0.0</v>
      </c>
      <c r="O570" s="137">
        <v>15.0</v>
      </c>
      <c r="P570" s="137">
        <v>0.0</v>
      </c>
      <c r="Q570" s="137">
        <v>19.0</v>
      </c>
      <c r="R570" s="137">
        <v>0.0</v>
      </c>
      <c r="S570" s="137">
        <v>6.0</v>
      </c>
      <c r="T570" s="137">
        <v>0.0</v>
      </c>
      <c r="U570" s="137">
        <v>2.0</v>
      </c>
      <c r="V570" s="137">
        <v>1.0</v>
      </c>
      <c r="W570" s="137">
        <v>13.0</v>
      </c>
      <c r="X570" s="137">
        <v>1.0</v>
      </c>
      <c r="Y570" s="137">
        <v>10.0</v>
      </c>
      <c r="Z570" s="137">
        <v>1.0</v>
      </c>
      <c r="AA570" s="137">
        <v>9.0</v>
      </c>
      <c r="AB570" s="137">
        <v>0.0</v>
      </c>
      <c r="AC570" s="137">
        <v>3.0</v>
      </c>
      <c r="AD570" s="137">
        <v>0.0</v>
      </c>
      <c r="AE570" s="137">
        <v>3.0</v>
      </c>
      <c r="AF570" s="137">
        <v>1.0</v>
      </c>
      <c r="AG570" s="137">
        <v>0.0</v>
      </c>
      <c r="AH570" s="137">
        <v>0.0</v>
      </c>
      <c r="AI570" s="137">
        <v>0.0</v>
      </c>
      <c r="AJ570" s="137">
        <v>0.0</v>
      </c>
      <c r="AK570" s="137">
        <v>0.0</v>
      </c>
      <c r="AL570" s="137">
        <v>1.0</v>
      </c>
      <c r="AM570" s="137">
        <v>0.0</v>
      </c>
      <c r="AN570" s="137">
        <v>92.0</v>
      </c>
    </row>
    <row r="571">
      <c r="A571" s="132" t="s">
        <v>207</v>
      </c>
      <c r="B571" s="136" t="s">
        <v>198</v>
      </c>
      <c r="C571" s="134">
        <v>51081.0</v>
      </c>
      <c r="D571" s="134">
        <v>18646.0</v>
      </c>
      <c r="E571" s="134">
        <v>32435.0</v>
      </c>
      <c r="F571" s="137">
        <v>532.0</v>
      </c>
      <c r="G571" s="137">
        <v>441.0</v>
      </c>
      <c r="H571" s="137">
        <v>326.0</v>
      </c>
      <c r="I571" s="137">
        <v>303.0</v>
      </c>
      <c r="J571" s="137">
        <v>328.0</v>
      </c>
      <c r="K571" s="137">
        <v>362.0</v>
      </c>
      <c r="L571" s="137">
        <v>419.0</v>
      </c>
      <c r="M571" s="137">
        <v>530.0</v>
      </c>
      <c r="N571" s="137">
        <v>252.0</v>
      </c>
      <c r="O571" s="137">
        <v>720.0</v>
      </c>
      <c r="P571" s="137">
        <v>291.0</v>
      </c>
      <c r="Q571" s="134">
        <v>1065.0</v>
      </c>
      <c r="R571" s="137">
        <v>313.0</v>
      </c>
      <c r="S571" s="134">
        <v>1043.0</v>
      </c>
      <c r="T571" s="137">
        <v>533.0</v>
      </c>
      <c r="U571" s="134">
        <v>1542.0</v>
      </c>
      <c r="V571" s="137">
        <v>620.0</v>
      </c>
      <c r="W571" s="134">
        <v>1920.0</v>
      </c>
      <c r="X571" s="134">
        <v>1085.0</v>
      </c>
      <c r="Y571" s="134">
        <v>2372.0</v>
      </c>
      <c r="Z571" s="134">
        <v>1415.0</v>
      </c>
      <c r="AA571" s="134">
        <v>3082.0</v>
      </c>
      <c r="AB571" s="134">
        <v>1963.0</v>
      </c>
      <c r="AC571" s="134">
        <v>3101.0</v>
      </c>
      <c r="AD571" s="134">
        <v>1699.0</v>
      </c>
      <c r="AE571" s="134">
        <v>3367.0</v>
      </c>
      <c r="AF571" s="134">
        <v>2013.0</v>
      </c>
      <c r="AG571" s="134">
        <v>3180.0</v>
      </c>
      <c r="AH571" s="134">
        <v>2230.0</v>
      </c>
      <c r="AI571" s="134">
        <v>2712.0</v>
      </c>
      <c r="AJ571" s="134">
        <v>2115.0</v>
      </c>
      <c r="AK571" s="134">
        <v>2597.0</v>
      </c>
      <c r="AL571" s="134">
        <v>2512.0</v>
      </c>
      <c r="AM571" s="134">
        <v>4098.0</v>
      </c>
      <c r="AN571" s="134">
        <v>50731.0</v>
      </c>
    </row>
    <row r="572">
      <c r="A572" s="98"/>
      <c r="B572" s="136" t="s">
        <v>199</v>
      </c>
      <c r="C572" s="134">
        <v>9064.0</v>
      </c>
      <c r="D572" s="134">
        <v>3783.0</v>
      </c>
      <c r="E572" s="134">
        <v>5281.0</v>
      </c>
      <c r="F572" s="137">
        <v>59.0</v>
      </c>
      <c r="G572" s="137">
        <v>43.0</v>
      </c>
      <c r="H572" s="137">
        <v>15.0</v>
      </c>
      <c r="I572" s="137">
        <v>9.0</v>
      </c>
      <c r="J572" s="137">
        <v>31.0</v>
      </c>
      <c r="K572" s="137">
        <v>54.0</v>
      </c>
      <c r="L572" s="137">
        <v>25.0</v>
      </c>
      <c r="M572" s="137">
        <v>28.0</v>
      </c>
      <c r="N572" s="137">
        <v>19.0</v>
      </c>
      <c r="O572" s="137">
        <v>46.0</v>
      </c>
      <c r="P572" s="137">
        <v>43.0</v>
      </c>
      <c r="Q572" s="137">
        <v>64.0</v>
      </c>
      <c r="R572" s="137">
        <v>35.0</v>
      </c>
      <c r="S572" s="137">
        <v>55.0</v>
      </c>
      <c r="T572" s="137">
        <v>73.0</v>
      </c>
      <c r="U572" s="137">
        <v>132.0</v>
      </c>
      <c r="V572" s="137">
        <v>61.0</v>
      </c>
      <c r="W572" s="137">
        <v>168.0</v>
      </c>
      <c r="X572" s="137">
        <v>116.0</v>
      </c>
      <c r="Y572" s="137">
        <v>212.0</v>
      </c>
      <c r="Z572" s="137">
        <v>199.0</v>
      </c>
      <c r="AA572" s="137">
        <v>444.0</v>
      </c>
      <c r="AB572" s="137">
        <v>389.0</v>
      </c>
      <c r="AC572" s="137">
        <v>471.0</v>
      </c>
      <c r="AD572" s="137">
        <v>460.0</v>
      </c>
      <c r="AE572" s="137">
        <v>761.0</v>
      </c>
      <c r="AF572" s="137">
        <v>425.0</v>
      </c>
      <c r="AG572" s="137">
        <v>742.0</v>
      </c>
      <c r="AH572" s="137">
        <v>584.0</v>
      </c>
      <c r="AI572" s="137">
        <v>671.0</v>
      </c>
      <c r="AJ572" s="137">
        <v>506.0</v>
      </c>
      <c r="AK572" s="137">
        <v>582.0</v>
      </c>
      <c r="AL572" s="137">
        <v>743.0</v>
      </c>
      <c r="AM572" s="137">
        <v>799.0</v>
      </c>
      <c r="AN572" s="134">
        <v>9036.0</v>
      </c>
    </row>
    <row r="573">
      <c r="A573" s="98"/>
      <c r="B573" s="136" t="s">
        <v>206</v>
      </c>
      <c r="C573" s="137">
        <v>232.0</v>
      </c>
      <c r="D573" s="137">
        <v>57.0</v>
      </c>
      <c r="E573" s="137">
        <v>175.0</v>
      </c>
      <c r="F573" s="137">
        <v>34.0</v>
      </c>
      <c r="G573" s="137">
        <v>45.0</v>
      </c>
      <c r="H573" s="137">
        <v>1.0</v>
      </c>
      <c r="I573" s="137">
        <v>0.0</v>
      </c>
      <c r="J573" s="137">
        <v>0.0</v>
      </c>
      <c r="K573" s="137">
        <v>13.0</v>
      </c>
      <c r="L573" s="137">
        <v>1.0</v>
      </c>
      <c r="M573" s="137">
        <v>15.0</v>
      </c>
      <c r="N573" s="137">
        <v>0.0</v>
      </c>
      <c r="O573" s="137">
        <v>12.0</v>
      </c>
      <c r="P573" s="137">
        <v>1.0</v>
      </c>
      <c r="Q573" s="137">
        <v>12.0</v>
      </c>
      <c r="R573" s="137">
        <v>0.0</v>
      </c>
      <c r="S573" s="137">
        <v>6.0</v>
      </c>
      <c r="T573" s="137">
        <v>0.0</v>
      </c>
      <c r="U573" s="137">
        <v>11.0</v>
      </c>
      <c r="V573" s="137">
        <v>0.0</v>
      </c>
      <c r="W573" s="137">
        <v>6.0</v>
      </c>
      <c r="X573" s="137">
        <v>0.0</v>
      </c>
      <c r="Y573" s="137">
        <v>9.0</v>
      </c>
      <c r="Z573" s="137">
        <v>3.0</v>
      </c>
      <c r="AA573" s="137">
        <v>10.0</v>
      </c>
      <c r="AB573" s="137">
        <v>3.0</v>
      </c>
      <c r="AC573" s="137">
        <v>7.0</v>
      </c>
      <c r="AD573" s="137">
        <v>3.0</v>
      </c>
      <c r="AE573" s="137">
        <v>8.0</v>
      </c>
      <c r="AF573" s="137">
        <v>4.0</v>
      </c>
      <c r="AG573" s="137">
        <v>6.0</v>
      </c>
      <c r="AH573" s="137">
        <v>1.0</v>
      </c>
      <c r="AI573" s="137">
        <v>5.0</v>
      </c>
      <c r="AJ573" s="137">
        <v>3.0</v>
      </c>
      <c r="AK573" s="137">
        <v>4.0</v>
      </c>
      <c r="AL573" s="137">
        <v>3.0</v>
      </c>
      <c r="AM573" s="137">
        <v>6.0</v>
      </c>
      <c r="AN573" s="137">
        <v>229.0</v>
      </c>
    </row>
    <row r="574">
      <c r="A574" s="98"/>
      <c r="B574" s="136" t="s">
        <v>200</v>
      </c>
      <c r="C574" s="134">
        <v>3837.0</v>
      </c>
      <c r="D574" s="134">
        <v>1287.0</v>
      </c>
      <c r="E574" s="134">
        <v>2550.0</v>
      </c>
      <c r="F574" s="137">
        <v>485.0</v>
      </c>
      <c r="G574" s="137">
        <v>433.0</v>
      </c>
      <c r="H574" s="137">
        <v>142.0</v>
      </c>
      <c r="I574" s="137">
        <v>165.0</v>
      </c>
      <c r="J574" s="137">
        <v>68.0</v>
      </c>
      <c r="K574" s="137">
        <v>105.0</v>
      </c>
      <c r="L574" s="137">
        <v>46.0</v>
      </c>
      <c r="M574" s="137">
        <v>156.0</v>
      </c>
      <c r="N574" s="137">
        <v>27.0</v>
      </c>
      <c r="O574" s="137">
        <v>158.0</v>
      </c>
      <c r="P574" s="137">
        <v>23.0</v>
      </c>
      <c r="Q574" s="137">
        <v>185.0</v>
      </c>
      <c r="R574" s="137">
        <v>39.0</v>
      </c>
      <c r="S574" s="137">
        <v>184.0</v>
      </c>
      <c r="T574" s="137">
        <v>25.0</v>
      </c>
      <c r="U574" s="137">
        <v>169.0</v>
      </c>
      <c r="V574" s="137">
        <v>24.0</v>
      </c>
      <c r="W574" s="137">
        <v>161.0</v>
      </c>
      <c r="X574" s="137">
        <v>34.0</v>
      </c>
      <c r="Y574" s="137">
        <v>149.0</v>
      </c>
      <c r="Z574" s="137">
        <v>50.0</v>
      </c>
      <c r="AA574" s="137">
        <v>167.0</v>
      </c>
      <c r="AB574" s="137">
        <v>40.0</v>
      </c>
      <c r="AC574" s="137">
        <v>114.0</v>
      </c>
      <c r="AD574" s="137">
        <v>47.0</v>
      </c>
      <c r="AE574" s="137">
        <v>110.0</v>
      </c>
      <c r="AF574" s="137">
        <v>63.0</v>
      </c>
      <c r="AG574" s="137">
        <v>102.0</v>
      </c>
      <c r="AH574" s="137">
        <v>64.0</v>
      </c>
      <c r="AI574" s="137">
        <v>57.0</v>
      </c>
      <c r="AJ574" s="137">
        <v>49.0</v>
      </c>
      <c r="AK574" s="137">
        <v>39.0</v>
      </c>
      <c r="AL574" s="137">
        <v>61.0</v>
      </c>
      <c r="AM574" s="137">
        <v>96.0</v>
      </c>
      <c r="AN574" s="134">
        <v>3785.0</v>
      </c>
    </row>
    <row r="575">
      <c r="A575" s="104"/>
      <c r="B575" s="136" t="s">
        <v>201</v>
      </c>
      <c r="C575" s="134">
        <v>6091.0</v>
      </c>
      <c r="D575" s="134">
        <v>2482.0</v>
      </c>
      <c r="E575" s="134">
        <v>3609.0</v>
      </c>
      <c r="F575" s="137">
        <v>36.0</v>
      </c>
      <c r="G575" s="137">
        <v>49.0</v>
      </c>
      <c r="H575" s="137">
        <v>49.0</v>
      </c>
      <c r="I575" s="137">
        <v>72.0</v>
      </c>
      <c r="J575" s="137">
        <v>52.0</v>
      </c>
      <c r="K575" s="137">
        <v>90.0</v>
      </c>
      <c r="L575" s="137">
        <v>56.0</v>
      </c>
      <c r="M575" s="137">
        <v>80.0</v>
      </c>
      <c r="N575" s="137">
        <v>96.0</v>
      </c>
      <c r="O575" s="137">
        <v>147.0</v>
      </c>
      <c r="P575" s="137">
        <v>97.0</v>
      </c>
      <c r="Q575" s="137">
        <v>169.0</v>
      </c>
      <c r="R575" s="137">
        <v>141.0</v>
      </c>
      <c r="S575" s="137">
        <v>169.0</v>
      </c>
      <c r="T575" s="137">
        <v>90.0</v>
      </c>
      <c r="U575" s="137">
        <v>220.0</v>
      </c>
      <c r="V575" s="137">
        <v>134.0</v>
      </c>
      <c r="W575" s="137">
        <v>239.0</v>
      </c>
      <c r="X575" s="137">
        <v>143.0</v>
      </c>
      <c r="Y575" s="137">
        <v>337.0</v>
      </c>
      <c r="Z575" s="137">
        <v>197.0</v>
      </c>
      <c r="AA575" s="137">
        <v>350.0</v>
      </c>
      <c r="AB575" s="137">
        <v>218.0</v>
      </c>
      <c r="AC575" s="137">
        <v>343.0</v>
      </c>
      <c r="AD575" s="137">
        <v>231.0</v>
      </c>
      <c r="AE575" s="137">
        <v>310.0</v>
      </c>
      <c r="AF575" s="137">
        <v>273.0</v>
      </c>
      <c r="AG575" s="137">
        <v>292.0</v>
      </c>
      <c r="AH575" s="137">
        <v>294.0</v>
      </c>
      <c r="AI575" s="137">
        <v>212.0</v>
      </c>
      <c r="AJ575" s="137">
        <v>175.0</v>
      </c>
      <c r="AK575" s="137">
        <v>258.0</v>
      </c>
      <c r="AL575" s="137">
        <v>200.0</v>
      </c>
      <c r="AM575" s="137">
        <v>272.0</v>
      </c>
      <c r="AN575" s="134">
        <v>6091.0</v>
      </c>
    </row>
    <row r="576">
      <c r="A576" s="132" t="s">
        <v>208</v>
      </c>
      <c r="B576" s="136" t="s">
        <v>198</v>
      </c>
      <c r="C576" s="137">
        <v>43.0</v>
      </c>
      <c r="D576" s="137">
        <v>31.0</v>
      </c>
      <c r="E576" s="137">
        <v>12.0</v>
      </c>
      <c r="F576" s="137">
        <v>26.0</v>
      </c>
      <c r="G576" s="137">
        <v>8.0</v>
      </c>
      <c r="H576" s="137">
        <v>0.0</v>
      </c>
      <c r="I576" s="137">
        <v>0.0</v>
      </c>
      <c r="J576" s="137">
        <v>1.0</v>
      </c>
      <c r="K576" s="137">
        <v>1.0</v>
      </c>
      <c r="L576" s="137">
        <v>4.0</v>
      </c>
      <c r="M576" s="137">
        <v>2.0</v>
      </c>
      <c r="N576" s="137">
        <v>0.0</v>
      </c>
      <c r="O576" s="137">
        <v>1.0</v>
      </c>
      <c r="P576" s="135">
        <v>0.0</v>
      </c>
      <c r="Q576" s="135">
        <v>0.0</v>
      </c>
      <c r="R576" s="135">
        <v>0.0</v>
      </c>
      <c r="S576" s="135">
        <v>0.0</v>
      </c>
      <c r="T576" s="135">
        <v>0.0</v>
      </c>
      <c r="U576" s="135">
        <v>0.0</v>
      </c>
      <c r="V576" s="135">
        <v>0.0</v>
      </c>
      <c r="W576" s="135">
        <v>0.0</v>
      </c>
      <c r="X576" s="135">
        <v>0.0</v>
      </c>
      <c r="Y576" s="135">
        <v>0.0</v>
      </c>
      <c r="Z576" s="135">
        <v>0.0</v>
      </c>
      <c r="AA576" s="135">
        <v>0.0</v>
      </c>
      <c r="AB576" s="135">
        <v>0.0</v>
      </c>
      <c r="AC576" s="135">
        <v>0.0</v>
      </c>
      <c r="AD576" s="135">
        <v>0.0</v>
      </c>
      <c r="AE576" s="135">
        <v>0.0</v>
      </c>
      <c r="AF576" s="135">
        <v>0.0</v>
      </c>
      <c r="AG576" s="135">
        <v>0.0</v>
      </c>
      <c r="AH576" s="135">
        <v>0.0</v>
      </c>
      <c r="AI576" s="135">
        <v>0.0</v>
      </c>
      <c r="AJ576" s="135">
        <v>0.0</v>
      </c>
      <c r="AK576" s="135">
        <v>0.0</v>
      </c>
      <c r="AL576" s="135">
        <v>0.0</v>
      </c>
      <c r="AM576" s="135">
        <v>0.0</v>
      </c>
      <c r="AN576" s="137">
        <v>43.0</v>
      </c>
    </row>
    <row r="577">
      <c r="A577" s="98"/>
      <c r="B577" s="136" t="s">
        <v>199</v>
      </c>
      <c r="C577" s="137">
        <v>372.0</v>
      </c>
      <c r="D577" s="137">
        <v>206.0</v>
      </c>
      <c r="E577" s="137">
        <v>166.0</v>
      </c>
      <c r="F577" s="137">
        <v>187.0</v>
      </c>
      <c r="G577" s="137">
        <v>152.0</v>
      </c>
      <c r="H577" s="137">
        <v>19.0</v>
      </c>
      <c r="I577" s="137">
        <v>9.0</v>
      </c>
      <c r="J577" s="137">
        <v>0.0</v>
      </c>
      <c r="K577" s="137">
        <v>2.0</v>
      </c>
      <c r="L577" s="137">
        <v>0.0</v>
      </c>
      <c r="M577" s="137">
        <v>1.0</v>
      </c>
      <c r="N577" s="137">
        <v>0.0</v>
      </c>
      <c r="O577" s="137">
        <v>2.0</v>
      </c>
      <c r="P577" s="135">
        <v>0.0</v>
      </c>
      <c r="Q577" s="135">
        <v>0.0</v>
      </c>
      <c r="R577" s="135">
        <v>0.0</v>
      </c>
      <c r="S577" s="135">
        <v>0.0</v>
      </c>
      <c r="T577" s="135">
        <v>0.0</v>
      </c>
      <c r="U577" s="135">
        <v>0.0</v>
      </c>
      <c r="V577" s="135">
        <v>0.0</v>
      </c>
      <c r="W577" s="135">
        <v>0.0</v>
      </c>
      <c r="X577" s="135">
        <v>0.0</v>
      </c>
      <c r="Y577" s="135">
        <v>0.0</v>
      </c>
      <c r="Z577" s="135">
        <v>0.0</v>
      </c>
      <c r="AA577" s="135">
        <v>0.0</v>
      </c>
      <c r="AB577" s="135">
        <v>0.0</v>
      </c>
      <c r="AC577" s="135">
        <v>0.0</v>
      </c>
      <c r="AD577" s="135">
        <v>0.0</v>
      </c>
      <c r="AE577" s="135">
        <v>0.0</v>
      </c>
      <c r="AF577" s="135">
        <v>0.0</v>
      </c>
      <c r="AG577" s="135">
        <v>0.0</v>
      </c>
      <c r="AH577" s="135">
        <v>0.0</v>
      </c>
      <c r="AI577" s="135">
        <v>0.0</v>
      </c>
      <c r="AJ577" s="135">
        <v>0.0</v>
      </c>
      <c r="AK577" s="135">
        <v>0.0</v>
      </c>
      <c r="AL577" s="135">
        <v>0.0</v>
      </c>
      <c r="AM577" s="135">
        <v>0.0</v>
      </c>
      <c r="AN577" s="137">
        <v>372.0</v>
      </c>
    </row>
    <row r="578">
      <c r="A578" s="98"/>
      <c r="B578" s="136" t="s">
        <v>206</v>
      </c>
      <c r="C578" s="137">
        <v>9.0</v>
      </c>
      <c r="D578" s="137">
        <v>4.0</v>
      </c>
      <c r="E578" s="137">
        <v>5.0</v>
      </c>
      <c r="F578" s="137">
        <v>4.0</v>
      </c>
      <c r="G578" s="137">
        <v>4.0</v>
      </c>
      <c r="H578" s="137">
        <v>0.0</v>
      </c>
      <c r="I578" s="137">
        <v>0.0</v>
      </c>
      <c r="J578" s="137">
        <v>0.0</v>
      </c>
      <c r="K578" s="137">
        <v>1.0</v>
      </c>
      <c r="L578" s="137">
        <v>0.0</v>
      </c>
      <c r="M578" s="137">
        <v>0.0</v>
      </c>
      <c r="N578" s="137">
        <v>0.0</v>
      </c>
      <c r="O578" s="137">
        <v>0.0</v>
      </c>
      <c r="P578" s="135">
        <v>0.0</v>
      </c>
      <c r="Q578" s="135">
        <v>0.0</v>
      </c>
      <c r="R578" s="135">
        <v>0.0</v>
      </c>
      <c r="S578" s="135">
        <v>0.0</v>
      </c>
      <c r="T578" s="135">
        <v>0.0</v>
      </c>
      <c r="U578" s="135">
        <v>0.0</v>
      </c>
      <c r="V578" s="135">
        <v>0.0</v>
      </c>
      <c r="W578" s="135">
        <v>0.0</v>
      </c>
      <c r="X578" s="135">
        <v>0.0</v>
      </c>
      <c r="Y578" s="135">
        <v>0.0</v>
      </c>
      <c r="Z578" s="135">
        <v>0.0</v>
      </c>
      <c r="AA578" s="135">
        <v>0.0</v>
      </c>
      <c r="AB578" s="135">
        <v>0.0</v>
      </c>
      <c r="AC578" s="135">
        <v>0.0</v>
      </c>
      <c r="AD578" s="135">
        <v>0.0</v>
      </c>
      <c r="AE578" s="135">
        <v>0.0</v>
      </c>
      <c r="AF578" s="135">
        <v>0.0</v>
      </c>
      <c r="AG578" s="135">
        <v>0.0</v>
      </c>
      <c r="AH578" s="135">
        <v>0.0</v>
      </c>
      <c r="AI578" s="135">
        <v>0.0</v>
      </c>
      <c r="AJ578" s="135">
        <v>0.0</v>
      </c>
      <c r="AK578" s="135">
        <v>0.0</v>
      </c>
      <c r="AL578" s="135">
        <v>0.0</v>
      </c>
      <c r="AM578" s="135">
        <v>0.0</v>
      </c>
      <c r="AN578" s="137">
        <v>9.0</v>
      </c>
    </row>
    <row r="579">
      <c r="A579" s="98"/>
      <c r="B579" s="136" t="s">
        <v>200</v>
      </c>
      <c r="C579" s="137">
        <v>332.0</v>
      </c>
      <c r="D579" s="137">
        <v>179.0</v>
      </c>
      <c r="E579" s="137">
        <v>153.0</v>
      </c>
      <c r="F579" s="137">
        <v>148.0</v>
      </c>
      <c r="G579" s="137">
        <v>128.0</v>
      </c>
      <c r="H579" s="137">
        <v>22.0</v>
      </c>
      <c r="I579" s="137">
        <v>10.0</v>
      </c>
      <c r="J579" s="137">
        <v>2.0</v>
      </c>
      <c r="K579" s="137">
        <v>4.0</v>
      </c>
      <c r="L579" s="137">
        <v>7.0</v>
      </c>
      <c r="M579" s="137">
        <v>9.0</v>
      </c>
      <c r="N579" s="137">
        <v>0.0</v>
      </c>
      <c r="O579" s="137">
        <v>2.0</v>
      </c>
      <c r="P579" s="135">
        <v>0.0</v>
      </c>
      <c r="Q579" s="135">
        <v>0.0</v>
      </c>
      <c r="R579" s="135">
        <v>0.0</v>
      </c>
      <c r="S579" s="135">
        <v>0.0</v>
      </c>
      <c r="T579" s="135">
        <v>0.0</v>
      </c>
      <c r="U579" s="135">
        <v>0.0</v>
      </c>
      <c r="V579" s="135">
        <v>0.0</v>
      </c>
      <c r="W579" s="135">
        <v>0.0</v>
      </c>
      <c r="X579" s="135">
        <v>0.0</v>
      </c>
      <c r="Y579" s="135">
        <v>0.0</v>
      </c>
      <c r="Z579" s="135">
        <v>0.0</v>
      </c>
      <c r="AA579" s="135">
        <v>0.0</v>
      </c>
      <c r="AB579" s="135">
        <v>0.0</v>
      </c>
      <c r="AC579" s="135">
        <v>0.0</v>
      </c>
      <c r="AD579" s="135">
        <v>0.0</v>
      </c>
      <c r="AE579" s="135">
        <v>0.0</v>
      </c>
      <c r="AF579" s="135">
        <v>0.0</v>
      </c>
      <c r="AG579" s="135">
        <v>0.0</v>
      </c>
      <c r="AH579" s="135">
        <v>0.0</v>
      </c>
      <c r="AI579" s="135">
        <v>0.0</v>
      </c>
      <c r="AJ579" s="135">
        <v>0.0</v>
      </c>
      <c r="AK579" s="135">
        <v>0.0</v>
      </c>
      <c r="AL579" s="135">
        <v>0.0</v>
      </c>
      <c r="AM579" s="135">
        <v>0.0</v>
      </c>
      <c r="AN579" s="137">
        <v>327.0</v>
      </c>
    </row>
    <row r="580">
      <c r="A580" s="104"/>
      <c r="B580" s="136" t="s">
        <v>201</v>
      </c>
      <c r="C580" s="137">
        <v>1.0</v>
      </c>
      <c r="D580" s="137">
        <v>0.0</v>
      </c>
      <c r="E580" s="137">
        <v>1.0</v>
      </c>
      <c r="F580" s="137">
        <v>0.0</v>
      </c>
      <c r="G580" s="137">
        <v>0.0</v>
      </c>
      <c r="H580" s="137">
        <v>0.0</v>
      </c>
      <c r="I580" s="137">
        <v>0.0</v>
      </c>
      <c r="J580" s="137">
        <v>0.0</v>
      </c>
      <c r="K580" s="137">
        <v>0.0</v>
      </c>
      <c r="L580" s="137">
        <v>0.0</v>
      </c>
      <c r="M580" s="137">
        <v>0.0</v>
      </c>
      <c r="N580" s="137">
        <v>0.0</v>
      </c>
      <c r="O580" s="137">
        <v>1.0</v>
      </c>
      <c r="P580" s="135">
        <v>0.0</v>
      </c>
      <c r="Q580" s="135">
        <v>0.0</v>
      </c>
      <c r="R580" s="135">
        <v>0.0</v>
      </c>
      <c r="S580" s="135">
        <v>0.0</v>
      </c>
      <c r="T580" s="135">
        <v>0.0</v>
      </c>
      <c r="U580" s="135">
        <v>0.0</v>
      </c>
      <c r="V580" s="135">
        <v>0.0</v>
      </c>
      <c r="W580" s="135">
        <v>0.0</v>
      </c>
      <c r="X580" s="135">
        <v>0.0</v>
      </c>
      <c r="Y580" s="135">
        <v>0.0</v>
      </c>
      <c r="Z580" s="135">
        <v>0.0</v>
      </c>
      <c r="AA580" s="135">
        <v>0.0</v>
      </c>
      <c r="AB580" s="135">
        <v>0.0</v>
      </c>
      <c r="AC580" s="135">
        <v>0.0</v>
      </c>
      <c r="AD580" s="135">
        <v>0.0</v>
      </c>
      <c r="AE580" s="135">
        <v>0.0</v>
      </c>
      <c r="AF580" s="135">
        <v>0.0</v>
      </c>
      <c r="AG580" s="135">
        <v>0.0</v>
      </c>
      <c r="AH580" s="135">
        <v>0.0</v>
      </c>
      <c r="AI580" s="135">
        <v>0.0</v>
      </c>
      <c r="AJ580" s="135">
        <v>0.0</v>
      </c>
      <c r="AK580" s="135">
        <v>0.0</v>
      </c>
      <c r="AL580" s="135">
        <v>0.0</v>
      </c>
      <c r="AM580" s="135">
        <v>0.0</v>
      </c>
      <c r="AN580" s="137">
        <v>1.0</v>
      </c>
    </row>
    <row r="581">
      <c r="A581" s="138" t="s">
        <v>232</v>
      </c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</row>
    <row r="582">
      <c r="A582" s="132" t="s">
        <v>197</v>
      </c>
      <c r="B582" s="133" t="s">
        <v>198</v>
      </c>
      <c r="C582" s="134">
        <v>80343.0</v>
      </c>
      <c r="D582" s="134">
        <v>29813.0</v>
      </c>
      <c r="E582" s="134">
        <v>50530.0</v>
      </c>
      <c r="F582" s="135">
        <v>0.0</v>
      </c>
      <c r="G582" s="135">
        <v>0.0</v>
      </c>
      <c r="H582" s="135">
        <v>0.0</v>
      </c>
      <c r="I582" s="135">
        <v>0.0</v>
      </c>
      <c r="J582" s="135">
        <v>0.0</v>
      </c>
      <c r="K582" s="135">
        <v>0.0</v>
      </c>
      <c r="L582" s="137">
        <v>39.0</v>
      </c>
      <c r="M582" s="137">
        <v>74.0</v>
      </c>
      <c r="N582" s="137">
        <v>77.0</v>
      </c>
      <c r="O582" s="137">
        <v>145.0</v>
      </c>
      <c r="P582" s="137">
        <v>171.0</v>
      </c>
      <c r="Q582" s="137">
        <v>309.0</v>
      </c>
      <c r="R582" s="137">
        <v>300.0</v>
      </c>
      <c r="S582" s="137">
        <v>517.0</v>
      </c>
      <c r="T582" s="137">
        <v>480.0</v>
      </c>
      <c r="U582" s="137">
        <v>944.0</v>
      </c>
      <c r="V582" s="137">
        <v>814.0</v>
      </c>
      <c r="W582" s="134">
        <v>1701.0</v>
      </c>
      <c r="X582" s="134">
        <v>1551.0</v>
      </c>
      <c r="Y582" s="134">
        <v>3321.0</v>
      </c>
      <c r="Z582" s="134">
        <v>2846.0</v>
      </c>
      <c r="AA582" s="134">
        <v>5642.0</v>
      </c>
      <c r="AB582" s="134">
        <v>3725.0</v>
      </c>
      <c r="AC582" s="134">
        <v>6695.0</v>
      </c>
      <c r="AD582" s="134">
        <v>4327.0</v>
      </c>
      <c r="AE582" s="134">
        <v>6923.0</v>
      </c>
      <c r="AF582" s="134">
        <v>4255.0</v>
      </c>
      <c r="AG582" s="134">
        <v>6803.0</v>
      </c>
      <c r="AH582" s="134">
        <v>4177.0</v>
      </c>
      <c r="AI582" s="134">
        <v>6209.0</v>
      </c>
      <c r="AJ582" s="134">
        <v>3325.0</v>
      </c>
      <c r="AK582" s="134">
        <v>5171.0</v>
      </c>
      <c r="AL582" s="134">
        <v>3726.0</v>
      </c>
      <c r="AM582" s="134">
        <v>6076.0</v>
      </c>
      <c r="AN582" s="134">
        <v>79724.0</v>
      </c>
    </row>
    <row r="583">
      <c r="A583" s="98"/>
      <c r="B583" s="136" t="s">
        <v>199</v>
      </c>
      <c r="C583" s="134">
        <v>40217.0</v>
      </c>
      <c r="D583" s="134">
        <v>14589.0</v>
      </c>
      <c r="E583" s="134">
        <v>25628.0</v>
      </c>
      <c r="F583" s="135">
        <v>0.0</v>
      </c>
      <c r="G583" s="135">
        <v>0.0</v>
      </c>
      <c r="H583" s="135">
        <v>0.0</v>
      </c>
      <c r="I583" s="135">
        <v>0.0</v>
      </c>
      <c r="J583" s="135">
        <v>0.0</v>
      </c>
      <c r="K583" s="135">
        <v>0.0</v>
      </c>
      <c r="L583" s="137">
        <v>19.0</v>
      </c>
      <c r="M583" s="137">
        <v>24.0</v>
      </c>
      <c r="N583" s="137">
        <v>23.0</v>
      </c>
      <c r="O583" s="137">
        <v>38.0</v>
      </c>
      <c r="P583" s="137">
        <v>45.0</v>
      </c>
      <c r="Q583" s="137">
        <v>75.0</v>
      </c>
      <c r="R583" s="137">
        <v>95.0</v>
      </c>
      <c r="S583" s="137">
        <v>188.0</v>
      </c>
      <c r="T583" s="137">
        <v>163.0</v>
      </c>
      <c r="U583" s="137">
        <v>355.0</v>
      </c>
      <c r="V583" s="137">
        <v>357.0</v>
      </c>
      <c r="W583" s="137">
        <v>693.0</v>
      </c>
      <c r="X583" s="137">
        <v>619.0</v>
      </c>
      <c r="Y583" s="134">
        <v>1395.0</v>
      </c>
      <c r="Z583" s="134">
        <v>1101.0</v>
      </c>
      <c r="AA583" s="134">
        <v>2438.0</v>
      </c>
      <c r="AB583" s="134">
        <v>1555.0</v>
      </c>
      <c r="AC583" s="134">
        <v>3154.0</v>
      </c>
      <c r="AD583" s="134">
        <v>1906.0</v>
      </c>
      <c r="AE583" s="134">
        <v>3401.0</v>
      </c>
      <c r="AF583" s="134">
        <v>2207.0</v>
      </c>
      <c r="AG583" s="134">
        <v>3884.0</v>
      </c>
      <c r="AH583" s="134">
        <v>2349.0</v>
      </c>
      <c r="AI583" s="134">
        <v>3541.0</v>
      </c>
      <c r="AJ583" s="134">
        <v>1952.0</v>
      </c>
      <c r="AK583" s="134">
        <v>2927.0</v>
      </c>
      <c r="AL583" s="134">
        <v>2198.0</v>
      </c>
      <c r="AM583" s="134">
        <v>3515.0</v>
      </c>
      <c r="AN583" s="134">
        <v>39979.0</v>
      </c>
    </row>
    <row r="584">
      <c r="A584" s="98"/>
      <c r="B584" s="136" t="s">
        <v>200</v>
      </c>
      <c r="C584" s="134">
        <v>13498.0</v>
      </c>
      <c r="D584" s="134">
        <v>4408.0</v>
      </c>
      <c r="E584" s="134">
        <v>9090.0</v>
      </c>
      <c r="F584" s="135">
        <v>0.0</v>
      </c>
      <c r="G584" s="135">
        <v>0.0</v>
      </c>
      <c r="H584" s="135">
        <v>0.0</v>
      </c>
      <c r="I584" s="135">
        <v>0.0</v>
      </c>
      <c r="J584" s="135">
        <v>0.0</v>
      </c>
      <c r="K584" s="135">
        <v>0.0</v>
      </c>
      <c r="L584" s="137">
        <v>9.0</v>
      </c>
      <c r="M584" s="137">
        <v>10.0</v>
      </c>
      <c r="N584" s="137">
        <v>19.0</v>
      </c>
      <c r="O584" s="137">
        <v>67.0</v>
      </c>
      <c r="P584" s="137">
        <v>40.0</v>
      </c>
      <c r="Q584" s="137">
        <v>67.0</v>
      </c>
      <c r="R584" s="137">
        <v>60.0</v>
      </c>
      <c r="S584" s="137">
        <v>134.0</v>
      </c>
      <c r="T584" s="137">
        <v>130.0</v>
      </c>
      <c r="U584" s="137">
        <v>240.0</v>
      </c>
      <c r="V584" s="137">
        <v>162.0</v>
      </c>
      <c r="W584" s="137">
        <v>439.0</v>
      </c>
      <c r="X584" s="137">
        <v>292.0</v>
      </c>
      <c r="Y584" s="137">
        <v>759.0</v>
      </c>
      <c r="Z584" s="137">
        <v>478.0</v>
      </c>
      <c r="AA584" s="134">
        <v>1218.0</v>
      </c>
      <c r="AB584" s="137">
        <v>593.0</v>
      </c>
      <c r="AC584" s="134">
        <v>1274.0</v>
      </c>
      <c r="AD584" s="137">
        <v>611.0</v>
      </c>
      <c r="AE584" s="134">
        <v>1302.0</v>
      </c>
      <c r="AF584" s="137">
        <v>593.0</v>
      </c>
      <c r="AG584" s="134">
        <v>1225.0</v>
      </c>
      <c r="AH584" s="137">
        <v>573.0</v>
      </c>
      <c r="AI584" s="137">
        <v>932.0</v>
      </c>
      <c r="AJ584" s="137">
        <v>439.0</v>
      </c>
      <c r="AK584" s="137">
        <v>724.0</v>
      </c>
      <c r="AL584" s="137">
        <v>409.0</v>
      </c>
      <c r="AM584" s="137">
        <v>699.0</v>
      </c>
      <c r="AN584" s="134">
        <v>13073.0</v>
      </c>
    </row>
    <row r="585">
      <c r="A585" s="104"/>
      <c r="B585" s="136" t="s">
        <v>201</v>
      </c>
      <c r="C585" s="137">
        <v>843.0</v>
      </c>
      <c r="D585" s="137">
        <v>324.0</v>
      </c>
      <c r="E585" s="137">
        <v>519.0</v>
      </c>
      <c r="F585" s="135">
        <v>0.0</v>
      </c>
      <c r="G585" s="135">
        <v>0.0</v>
      </c>
      <c r="H585" s="135">
        <v>0.0</v>
      </c>
      <c r="I585" s="135">
        <v>0.0</v>
      </c>
      <c r="J585" s="135">
        <v>0.0</v>
      </c>
      <c r="K585" s="135">
        <v>0.0</v>
      </c>
      <c r="L585" s="137">
        <v>1.0</v>
      </c>
      <c r="M585" s="137">
        <v>3.0</v>
      </c>
      <c r="N585" s="137">
        <v>0.0</v>
      </c>
      <c r="O585" s="137">
        <v>0.0</v>
      </c>
      <c r="P585" s="137">
        <v>0.0</v>
      </c>
      <c r="Q585" s="137">
        <v>1.0</v>
      </c>
      <c r="R585" s="137">
        <v>1.0</v>
      </c>
      <c r="S585" s="137">
        <v>6.0</v>
      </c>
      <c r="T585" s="137">
        <v>1.0</v>
      </c>
      <c r="U585" s="137">
        <v>7.0</v>
      </c>
      <c r="V585" s="137">
        <v>8.0</v>
      </c>
      <c r="W585" s="137">
        <v>30.0</v>
      </c>
      <c r="X585" s="137">
        <v>23.0</v>
      </c>
      <c r="Y585" s="137">
        <v>30.0</v>
      </c>
      <c r="Z585" s="137">
        <v>29.0</v>
      </c>
      <c r="AA585" s="137">
        <v>39.0</v>
      </c>
      <c r="AB585" s="137">
        <v>41.0</v>
      </c>
      <c r="AC585" s="137">
        <v>64.0</v>
      </c>
      <c r="AD585" s="137">
        <v>34.0</v>
      </c>
      <c r="AE585" s="137">
        <v>62.0</v>
      </c>
      <c r="AF585" s="137">
        <v>34.0</v>
      </c>
      <c r="AG585" s="137">
        <v>60.0</v>
      </c>
      <c r="AH585" s="137">
        <v>56.0</v>
      </c>
      <c r="AI585" s="137">
        <v>76.0</v>
      </c>
      <c r="AJ585" s="137">
        <v>51.0</v>
      </c>
      <c r="AK585" s="137">
        <v>45.0</v>
      </c>
      <c r="AL585" s="137">
        <v>45.0</v>
      </c>
      <c r="AM585" s="137">
        <v>96.0</v>
      </c>
      <c r="AN585" s="137">
        <v>819.0</v>
      </c>
    </row>
    <row r="586">
      <c r="A586" s="132" t="s">
        <v>202</v>
      </c>
      <c r="B586" s="136" t="s">
        <v>198</v>
      </c>
      <c r="C586" s="137">
        <v>142.0</v>
      </c>
      <c r="D586" s="137">
        <v>93.0</v>
      </c>
      <c r="E586" s="137">
        <v>49.0</v>
      </c>
      <c r="F586" s="137">
        <v>1.0</v>
      </c>
      <c r="G586" s="137">
        <v>2.0</v>
      </c>
      <c r="H586" s="137">
        <v>3.0</v>
      </c>
      <c r="I586" s="137">
        <v>5.0</v>
      </c>
      <c r="J586" s="137">
        <v>1.0</v>
      </c>
      <c r="K586" s="137">
        <v>5.0</v>
      </c>
      <c r="L586" s="137">
        <v>9.0</v>
      </c>
      <c r="M586" s="137">
        <v>0.0</v>
      </c>
      <c r="N586" s="137">
        <v>12.0</v>
      </c>
      <c r="O586" s="137">
        <v>5.0</v>
      </c>
      <c r="P586" s="137">
        <v>5.0</v>
      </c>
      <c r="Q586" s="137">
        <v>2.0</v>
      </c>
      <c r="R586" s="137">
        <v>7.0</v>
      </c>
      <c r="S586" s="137">
        <v>1.0</v>
      </c>
      <c r="T586" s="137">
        <v>8.0</v>
      </c>
      <c r="U586" s="137">
        <v>2.0</v>
      </c>
      <c r="V586" s="137">
        <v>5.0</v>
      </c>
      <c r="W586" s="137">
        <v>1.0</v>
      </c>
      <c r="X586" s="137">
        <v>1.0</v>
      </c>
      <c r="Y586" s="137">
        <v>3.0</v>
      </c>
      <c r="Z586" s="137">
        <v>3.0</v>
      </c>
      <c r="AA586" s="137">
        <v>7.0</v>
      </c>
      <c r="AB586" s="137">
        <v>1.0</v>
      </c>
      <c r="AC586" s="137">
        <v>0.0</v>
      </c>
      <c r="AD586" s="137">
        <v>12.0</v>
      </c>
      <c r="AE586" s="137">
        <v>4.0</v>
      </c>
      <c r="AF586" s="137">
        <v>4.0</v>
      </c>
      <c r="AG586" s="137">
        <v>2.0</v>
      </c>
      <c r="AH586" s="137">
        <v>9.0</v>
      </c>
      <c r="AI586" s="137">
        <v>0.0</v>
      </c>
      <c r="AJ586" s="137">
        <v>9.0</v>
      </c>
      <c r="AK586" s="137">
        <v>5.0</v>
      </c>
      <c r="AL586" s="137">
        <v>3.0</v>
      </c>
      <c r="AM586" s="137">
        <v>5.0</v>
      </c>
      <c r="AN586" s="137">
        <v>142.0</v>
      </c>
    </row>
    <row r="587">
      <c r="A587" s="104"/>
      <c r="B587" s="136" t="s">
        <v>199</v>
      </c>
      <c r="C587" s="137">
        <v>65.0</v>
      </c>
      <c r="D587" s="137">
        <v>47.0</v>
      </c>
      <c r="E587" s="137">
        <v>18.0</v>
      </c>
      <c r="F587" s="137">
        <v>1.0</v>
      </c>
      <c r="G587" s="137">
        <v>1.0</v>
      </c>
      <c r="H587" s="137">
        <v>3.0</v>
      </c>
      <c r="I587" s="137">
        <v>3.0</v>
      </c>
      <c r="J587" s="137">
        <v>0.0</v>
      </c>
      <c r="K587" s="137">
        <v>3.0</v>
      </c>
      <c r="L587" s="137">
        <v>1.0</v>
      </c>
      <c r="M587" s="137">
        <v>0.0</v>
      </c>
      <c r="N587" s="137">
        <v>13.0</v>
      </c>
      <c r="O587" s="137">
        <v>5.0</v>
      </c>
      <c r="P587" s="137">
        <v>0.0</v>
      </c>
      <c r="Q587" s="137">
        <v>0.0</v>
      </c>
      <c r="R587" s="137">
        <v>1.0</v>
      </c>
      <c r="S587" s="137">
        <v>0.0</v>
      </c>
      <c r="T587" s="137">
        <v>7.0</v>
      </c>
      <c r="U587" s="137">
        <v>1.0</v>
      </c>
      <c r="V587" s="137">
        <v>1.0</v>
      </c>
      <c r="W587" s="137">
        <v>0.0</v>
      </c>
      <c r="X587" s="137">
        <v>0.0</v>
      </c>
      <c r="Y587" s="137">
        <v>0.0</v>
      </c>
      <c r="Z587" s="137">
        <v>7.0</v>
      </c>
      <c r="AA587" s="137">
        <v>4.0</v>
      </c>
      <c r="AB587" s="137">
        <v>0.0</v>
      </c>
      <c r="AC587" s="137">
        <v>0.0</v>
      </c>
      <c r="AD587" s="137">
        <v>4.0</v>
      </c>
      <c r="AE587" s="137">
        <v>0.0</v>
      </c>
      <c r="AF587" s="137">
        <v>0.0</v>
      </c>
      <c r="AG587" s="137">
        <v>0.0</v>
      </c>
      <c r="AH587" s="137">
        <v>6.0</v>
      </c>
      <c r="AI587" s="137">
        <v>0.0</v>
      </c>
      <c r="AJ587" s="137">
        <v>3.0</v>
      </c>
      <c r="AK587" s="137">
        <v>1.0</v>
      </c>
      <c r="AL587" s="137">
        <v>0.0</v>
      </c>
      <c r="AM587" s="137">
        <v>0.0</v>
      </c>
      <c r="AN587" s="137">
        <v>62.0</v>
      </c>
    </row>
    <row r="588">
      <c r="A588" s="132" t="s">
        <v>203</v>
      </c>
      <c r="B588" s="136" t="s">
        <v>198</v>
      </c>
      <c r="C588" s="137">
        <v>5.0</v>
      </c>
      <c r="D588" s="137">
        <v>2.0</v>
      </c>
      <c r="E588" s="137">
        <v>3.0</v>
      </c>
      <c r="F588" s="135">
        <v>0.0</v>
      </c>
      <c r="G588" s="135">
        <v>0.0</v>
      </c>
      <c r="H588" s="135">
        <v>0.0</v>
      </c>
      <c r="I588" s="135">
        <v>0.0</v>
      </c>
      <c r="J588" s="135">
        <v>0.0</v>
      </c>
      <c r="K588" s="135">
        <v>0.0</v>
      </c>
      <c r="L588" s="135">
        <v>0.0</v>
      </c>
      <c r="M588" s="135">
        <v>0.0</v>
      </c>
      <c r="N588" s="135">
        <v>0.0</v>
      </c>
      <c r="O588" s="135">
        <v>0.0</v>
      </c>
      <c r="P588" s="135">
        <v>0.0</v>
      </c>
      <c r="Q588" s="135">
        <v>0.0</v>
      </c>
      <c r="R588" s="135">
        <v>0.0</v>
      </c>
      <c r="S588" s="135">
        <v>0.0</v>
      </c>
      <c r="T588" s="135">
        <v>0.0</v>
      </c>
      <c r="U588" s="135">
        <v>0.0</v>
      </c>
      <c r="V588" s="135">
        <v>0.0</v>
      </c>
      <c r="W588" s="135">
        <v>0.0</v>
      </c>
      <c r="X588" s="135">
        <v>0.0</v>
      </c>
      <c r="Y588" s="135">
        <v>0.0</v>
      </c>
      <c r="Z588" s="135">
        <v>0.0</v>
      </c>
      <c r="AA588" s="135">
        <v>0.0</v>
      </c>
      <c r="AB588" s="135">
        <v>0.0</v>
      </c>
      <c r="AC588" s="135">
        <v>0.0</v>
      </c>
      <c r="AD588" s="135">
        <v>0.0</v>
      </c>
      <c r="AE588" s="135">
        <v>0.0</v>
      </c>
      <c r="AF588" s="137">
        <v>1.0</v>
      </c>
      <c r="AG588" s="137">
        <v>2.0</v>
      </c>
      <c r="AH588" s="137">
        <v>0.0</v>
      </c>
      <c r="AI588" s="137">
        <v>0.0</v>
      </c>
      <c r="AJ588" s="137">
        <v>1.0</v>
      </c>
      <c r="AK588" s="137">
        <v>1.0</v>
      </c>
      <c r="AL588" s="137">
        <v>0.0</v>
      </c>
      <c r="AM588" s="137">
        <v>0.0</v>
      </c>
      <c r="AN588" s="137">
        <v>5.0</v>
      </c>
    </row>
    <row r="589">
      <c r="A589" s="104"/>
      <c r="B589" s="136" t="s">
        <v>199</v>
      </c>
      <c r="C589" s="137">
        <v>65.0</v>
      </c>
      <c r="D589" s="137">
        <v>22.0</v>
      </c>
      <c r="E589" s="137">
        <v>43.0</v>
      </c>
      <c r="F589" s="135">
        <v>0.0</v>
      </c>
      <c r="G589" s="135">
        <v>0.0</v>
      </c>
      <c r="H589" s="135">
        <v>0.0</v>
      </c>
      <c r="I589" s="135">
        <v>0.0</v>
      </c>
      <c r="J589" s="135">
        <v>0.0</v>
      </c>
      <c r="K589" s="135">
        <v>0.0</v>
      </c>
      <c r="L589" s="135">
        <v>0.0</v>
      </c>
      <c r="M589" s="135">
        <v>0.0</v>
      </c>
      <c r="N589" s="135">
        <v>0.0</v>
      </c>
      <c r="O589" s="135">
        <v>0.0</v>
      </c>
      <c r="P589" s="135">
        <v>0.0</v>
      </c>
      <c r="Q589" s="135">
        <v>0.0</v>
      </c>
      <c r="R589" s="135">
        <v>0.0</v>
      </c>
      <c r="S589" s="135">
        <v>0.0</v>
      </c>
      <c r="T589" s="135">
        <v>0.0</v>
      </c>
      <c r="U589" s="135">
        <v>0.0</v>
      </c>
      <c r="V589" s="135">
        <v>0.0</v>
      </c>
      <c r="W589" s="135">
        <v>0.0</v>
      </c>
      <c r="X589" s="135">
        <v>0.0</v>
      </c>
      <c r="Y589" s="135">
        <v>0.0</v>
      </c>
      <c r="Z589" s="135">
        <v>0.0</v>
      </c>
      <c r="AA589" s="135">
        <v>0.0</v>
      </c>
      <c r="AB589" s="135">
        <v>0.0</v>
      </c>
      <c r="AC589" s="135">
        <v>0.0</v>
      </c>
      <c r="AD589" s="135">
        <v>0.0</v>
      </c>
      <c r="AE589" s="135">
        <v>0.0</v>
      </c>
      <c r="AF589" s="137">
        <v>5.0</v>
      </c>
      <c r="AG589" s="137">
        <v>10.0</v>
      </c>
      <c r="AH589" s="137">
        <v>7.0</v>
      </c>
      <c r="AI589" s="137">
        <v>13.0</v>
      </c>
      <c r="AJ589" s="137">
        <v>6.0</v>
      </c>
      <c r="AK589" s="137">
        <v>7.0</v>
      </c>
      <c r="AL589" s="137">
        <v>4.0</v>
      </c>
      <c r="AM589" s="137">
        <v>13.0</v>
      </c>
      <c r="AN589" s="137">
        <v>65.0</v>
      </c>
    </row>
    <row r="590">
      <c r="A590" s="132" t="s">
        <v>204</v>
      </c>
      <c r="B590" s="136" t="s">
        <v>198</v>
      </c>
      <c r="C590" s="137">
        <v>3.0</v>
      </c>
      <c r="D590" s="137">
        <v>3.0</v>
      </c>
      <c r="E590" s="137">
        <v>0.0</v>
      </c>
      <c r="F590" s="135">
        <v>0.0</v>
      </c>
      <c r="G590" s="135">
        <v>0.0</v>
      </c>
      <c r="H590" s="135">
        <v>0.0</v>
      </c>
      <c r="I590" s="135">
        <v>0.0</v>
      </c>
      <c r="J590" s="135">
        <v>0.0</v>
      </c>
      <c r="K590" s="135">
        <v>0.0</v>
      </c>
      <c r="L590" s="135">
        <v>0.0</v>
      </c>
      <c r="M590" s="135">
        <v>0.0</v>
      </c>
      <c r="N590" s="135">
        <v>0.0</v>
      </c>
      <c r="O590" s="135">
        <v>0.0</v>
      </c>
      <c r="P590" s="135">
        <v>0.0</v>
      </c>
      <c r="Q590" s="135">
        <v>0.0</v>
      </c>
      <c r="R590" s="135">
        <v>0.0</v>
      </c>
      <c r="S590" s="135">
        <v>0.0</v>
      </c>
      <c r="T590" s="135">
        <v>0.0</v>
      </c>
      <c r="U590" s="135">
        <v>0.0</v>
      </c>
      <c r="V590" s="135">
        <v>0.0</v>
      </c>
      <c r="W590" s="135">
        <v>0.0</v>
      </c>
      <c r="X590" s="135">
        <v>0.0</v>
      </c>
      <c r="Y590" s="135">
        <v>0.0</v>
      </c>
      <c r="Z590" s="135">
        <v>0.0</v>
      </c>
      <c r="AA590" s="135">
        <v>0.0</v>
      </c>
      <c r="AB590" s="135">
        <v>0.0</v>
      </c>
      <c r="AC590" s="135">
        <v>0.0</v>
      </c>
      <c r="AD590" s="135">
        <v>0.0</v>
      </c>
      <c r="AE590" s="135">
        <v>0.0</v>
      </c>
      <c r="AF590" s="137">
        <v>1.0</v>
      </c>
      <c r="AG590" s="137">
        <v>0.0</v>
      </c>
      <c r="AH590" s="137">
        <v>1.0</v>
      </c>
      <c r="AI590" s="137">
        <v>0.0</v>
      </c>
      <c r="AJ590" s="137">
        <v>1.0</v>
      </c>
      <c r="AK590" s="137">
        <v>0.0</v>
      </c>
      <c r="AL590" s="137">
        <v>0.0</v>
      </c>
      <c r="AM590" s="137">
        <v>0.0</v>
      </c>
      <c r="AN590" s="137">
        <v>3.0</v>
      </c>
    </row>
    <row r="591">
      <c r="A591" s="104"/>
      <c r="B591" s="136" t="s">
        <v>199</v>
      </c>
      <c r="C591" s="137">
        <v>31.0</v>
      </c>
      <c r="D591" s="137">
        <v>15.0</v>
      </c>
      <c r="E591" s="137">
        <v>16.0</v>
      </c>
      <c r="F591" s="135">
        <v>0.0</v>
      </c>
      <c r="G591" s="135">
        <v>0.0</v>
      </c>
      <c r="H591" s="135">
        <v>0.0</v>
      </c>
      <c r="I591" s="135">
        <v>0.0</v>
      </c>
      <c r="J591" s="135">
        <v>0.0</v>
      </c>
      <c r="K591" s="135">
        <v>0.0</v>
      </c>
      <c r="L591" s="135">
        <v>0.0</v>
      </c>
      <c r="M591" s="135">
        <v>0.0</v>
      </c>
      <c r="N591" s="135">
        <v>0.0</v>
      </c>
      <c r="O591" s="135">
        <v>0.0</v>
      </c>
      <c r="P591" s="135">
        <v>0.0</v>
      </c>
      <c r="Q591" s="135">
        <v>0.0</v>
      </c>
      <c r="R591" s="135">
        <v>0.0</v>
      </c>
      <c r="S591" s="135">
        <v>0.0</v>
      </c>
      <c r="T591" s="135">
        <v>0.0</v>
      </c>
      <c r="U591" s="135">
        <v>0.0</v>
      </c>
      <c r="V591" s="135">
        <v>0.0</v>
      </c>
      <c r="W591" s="135">
        <v>0.0</v>
      </c>
      <c r="X591" s="135">
        <v>0.0</v>
      </c>
      <c r="Y591" s="135">
        <v>0.0</v>
      </c>
      <c r="Z591" s="135">
        <v>0.0</v>
      </c>
      <c r="AA591" s="135">
        <v>0.0</v>
      </c>
      <c r="AB591" s="135">
        <v>0.0</v>
      </c>
      <c r="AC591" s="135">
        <v>0.0</v>
      </c>
      <c r="AD591" s="135">
        <v>0.0</v>
      </c>
      <c r="AE591" s="135">
        <v>0.0</v>
      </c>
      <c r="AF591" s="137">
        <v>1.0</v>
      </c>
      <c r="AG591" s="137">
        <v>2.0</v>
      </c>
      <c r="AH591" s="137">
        <v>3.0</v>
      </c>
      <c r="AI591" s="137">
        <v>5.0</v>
      </c>
      <c r="AJ591" s="137">
        <v>5.0</v>
      </c>
      <c r="AK591" s="137">
        <v>4.0</v>
      </c>
      <c r="AL591" s="137">
        <v>6.0</v>
      </c>
      <c r="AM591" s="137">
        <v>5.0</v>
      </c>
      <c r="AN591" s="137">
        <v>31.0</v>
      </c>
    </row>
    <row r="592">
      <c r="A592" s="132" t="s">
        <v>205</v>
      </c>
      <c r="B592" s="136" t="s">
        <v>198</v>
      </c>
      <c r="C592" s="137">
        <v>326.0</v>
      </c>
      <c r="D592" s="137">
        <v>79.0</v>
      </c>
      <c r="E592" s="137">
        <v>247.0</v>
      </c>
      <c r="F592" s="137">
        <v>1.0</v>
      </c>
      <c r="G592" s="137">
        <v>0.0</v>
      </c>
      <c r="H592" s="137">
        <v>1.0</v>
      </c>
      <c r="I592" s="137">
        <v>2.0</v>
      </c>
      <c r="J592" s="137">
        <v>0.0</v>
      </c>
      <c r="K592" s="137">
        <v>1.0</v>
      </c>
      <c r="L592" s="137">
        <v>2.0</v>
      </c>
      <c r="M592" s="137">
        <v>0.0</v>
      </c>
      <c r="N592" s="137">
        <v>0.0</v>
      </c>
      <c r="O592" s="137">
        <v>1.0</v>
      </c>
      <c r="P592" s="137">
        <v>0.0</v>
      </c>
      <c r="Q592" s="137">
        <v>3.0</v>
      </c>
      <c r="R592" s="137">
        <v>0.0</v>
      </c>
      <c r="S592" s="137">
        <v>3.0</v>
      </c>
      <c r="T592" s="137">
        <v>2.0</v>
      </c>
      <c r="U592" s="137">
        <v>8.0</v>
      </c>
      <c r="V592" s="137">
        <v>2.0</v>
      </c>
      <c r="W592" s="137">
        <v>7.0</v>
      </c>
      <c r="X592" s="137">
        <v>6.0</v>
      </c>
      <c r="Y592" s="137">
        <v>10.0</v>
      </c>
      <c r="Z592" s="137">
        <v>4.0</v>
      </c>
      <c r="AA592" s="137">
        <v>21.0</v>
      </c>
      <c r="AB592" s="137">
        <v>6.0</v>
      </c>
      <c r="AC592" s="137">
        <v>26.0</v>
      </c>
      <c r="AD592" s="137">
        <v>7.0</v>
      </c>
      <c r="AE592" s="137">
        <v>39.0</v>
      </c>
      <c r="AF592" s="137">
        <v>9.0</v>
      </c>
      <c r="AG592" s="137">
        <v>46.0</v>
      </c>
      <c r="AH592" s="137">
        <v>7.0</v>
      </c>
      <c r="AI592" s="137">
        <v>28.0</v>
      </c>
      <c r="AJ592" s="137">
        <v>9.0</v>
      </c>
      <c r="AK592" s="137">
        <v>29.0</v>
      </c>
      <c r="AL592" s="137">
        <v>23.0</v>
      </c>
      <c r="AM592" s="137">
        <v>23.0</v>
      </c>
      <c r="AN592" s="137">
        <v>324.0</v>
      </c>
    </row>
    <row r="593">
      <c r="A593" s="98"/>
      <c r="B593" s="136" t="s">
        <v>199</v>
      </c>
      <c r="C593" s="137">
        <v>0.0</v>
      </c>
      <c r="D593" s="137">
        <v>0.0</v>
      </c>
      <c r="E593" s="137">
        <v>0.0</v>
      </c>
      <c r="F593" s="137">
        <v>0.0</v>
      </c>
      <c r="G593" s="137">
        <v>0.0</v>
      </c>
      <c r="H593" s="137">
        <v>0.0</v>
      </c>
      <c r="I593" s="137">
        <v>0.0</v>
      </c>
      <c r="J593" s="137">
        <v>0.0</v>
      </c>
      <c r="K593" s="137">
        <v>0.0</v>
      </c>
      <c r="L593" s="137">
        <v>0.0</v>
      </c>
      <c r="M593" s="137">
        <v>0.0</v>
      </c>
      <c r="N593" s="137">
        <v>0.0</v>
      </c>
      <c r="O593" s="137">
        <v>0.0</v>
      </c>
      <c r="P593" s="137">
        <v>0.0</v>
      </c>
      <c r="Q593" s="137">
        <v>0.0</v>
      </c>
      <c r="R593" s="137">
        <v>0.0</v>
      </c>
      <c r="S593" s="137">
        <v>0.0</v>
      </c>
      <c r="T593" s="137">
        <v>0.0</v>
      </c>
      <c r="U593" s="137">
        <v>0.0</v>
      </c>
      <c r="V593" s="137">
        <v>0.0</v>
      </c>
      <c r="W593" s="137">
        <v>0.0</v>
      </c>
      <c r="X593" s="137">
        <v>0.0</v>
      </c>
      <c r="Y593" s="137">
        <v>0.0</v>
      </c>
      <c r="Z593" s="137">
        <v>0.0</v>
      </c>
      <c r="AA593" s="137">
        <v>0.0</v>
      </c>
      <c r="AB593" s="137">
        <v>0.0</v>
      </c>
      <c r="AC593" s="137">
        <v>0.0</v>
      </c>
      <c r="AD593" s="137">
        <v>0.0</v>
      </c>
      <c r="AE593" s="137">
        <v>0.0</v>
      </c>
      <c r="AF593" s="137">
        <v>0.0</v>
      </c>
      <c r="AG593" s="137">
        <v>0.0</v>
      </c>
      <c r="AH593" s="137">
        <v>0.0</v>
      </c>
      <c r="AI593" s="137">
        <v>0.0</v>
      </c>
      <c r="AJ593" s="137">
        <v>0.0</v>
      </c>
      <c r="AK593" s="137">
        <v>0.0</v>
      </c>
      <c r="AL593" s="137">
        <v>0.0</v>
      </c>
      <c r="AM593" s="137">
        <v>0.0</v>
      </c>
      <c r="AN593" s="137">
        <v>0.0</v>
      </c>
    </row>
    <row r="594">
      <c r="A594" s="104"/>
      <c r="B594" s="136" t="s">
        <v>206</v>
      </c>
      <c r="C594" s="137">
        <v>9.0</v>
      </c>
      <c r="D594" s="137">
        <v>5.0</v>
      </c>
      <c r="E594" s="137">
        <v>4.0</v>
      </c>
      <c r="F594" s="137">
        <v>0.0</v>
      </c>
      <c r="G594" s="137">
        <v>0.0</v>
      </c>
      <c r="H594" s="137">
        <v>0.0</v>
      </c>
      <c r="I594" s="137">
        <v>0.0</v>
      </c>
      <c r="J594" s="137">
        <v>0.0</v>
      </c>
      <c r="K594" s="137">
        <v>0.0</v>
      </c>
      <c r="L594" s="137">
        <v>0.0</v>
      </c>
      <c r="M594" s="137">
        <v>1.0</v>
      </c>
      <c r="N594" s="137">
        <v>0.0</v>
      </c>
      <c r="O594" s="137">
        <v>2.0</v>
      </c>
      <c r="P594" s="137">
        <v>2.0</v>
      </c>
      <c r="Q594" s="137">
        <v>0.0</v>
      </c>
      <c r="R594" s="137">
        <v>2.0</v>
      </c>
      <c r="S594" s="137">
        <v>0.0</v>
      </c>
      <c r="T594" s="137">
        <v>0.0</v>
      </c>
      <c r="U594" s="137">
        <v>0.0</v>
      </c>
      <c r="V594" s="137">
        <v>1.0</v>
      </c>
      <c r="W594" s="137">
        <v>1.0</v>
      </c>
      <c r="X594" s="137">
        <v>0.0</v>
      </c>
      <c r="Y594" s="137">
        <v>0.0</v>
      </c>
      <c r="Z594" s="137">
        <v>0.0</v>
      </c>
      <c r="AA594" s="137">
        <v>0.0</v>
      </c>
      <c r="AB594" s="137">
        <v>0.0</v>
      </c>
      <c r="AC594" s="137">
        <v>0.0</v>
      </c>
      <c r="AD594" s="137">
        <v>0.0</v>
      </c>
      <c r="AE594" s="137">
        <v>0.0</v>
      </c>
      <c r="AF594" s="137">
        <v>0.0</v>
      </c>
      <c r="AG594" s="137">
        <v>0.0</v>
      </c>
      <c r="AH594" s="137">
        <v>0.0</v>
      </c>
      <c r="AI594" s="137">
        <v>0.0</v>
      </c>
      <c r="AJ594" s="137">
        <v>0.0</v>
      </c>
      <c r="AK594" s="137">
        <v>0.0</v>
      </c>
      <c r="AL594" s="137">
        <v>0.0</v>
      </c>
      <c r="AM594" s="137">
        <v>0.0</v>
      </c>
      <c r="AN594" s="137">
        <v>9.0</v>
      </c>
    </row>
    <row r="595">
      <c r="A595" s="132" t="s">
        <v>207</v>
      </c>
      <c r="B595" s="136" t="s">
        <v>198</v>
      </c>
      <c r="C595" s="134">
        <v>16563.0</v>
      </c>
      <c r="D595" s="134">
        <v>4242.0</v>
      </c>
      <c r="E595" s="134">
        <v>12321.0</v>
      </c>
      <c r="F595" s="137">
        <v>57.0</v>
      </c>
      <c r="G595" s="137">
        <v>46.0</v>
      </c>
      <c r="H595" s="137">
        <v>82.0</v>
      </c>
      <c r="I595" s="137">
        <v>92.0</v>
      </c>
      <c r="J595" s="137">
        <v>128.0</v>
      </c>
      <c r="K595" s="137">
        <v>88.0</v>
      </c>
      <c r="L595" s="137">
        <v>100.0</v>
      </c>
      <c r="M595" s="137">
        <v>207.0</v>
      </c>
      <c r="N595" s="137">
        <v>67.0</v>
      </c>
      <c r="O595" s="137">
        <v>228.0</v>
      </c>
      <c r="P595" s="137">
        <v>96.0</v>
      </c>
      <c r="Q595" s="137">
        <v>396.0</v>
      </c>
      <c r="R595" s="137">
        <v>90.0</v>
      </c>
      <c r="S595" s="137">
        <v>435.0</v>
      </c>
      <c r="T595" s="137">
        <v>113.0</v>
      </c>
      <c r="U595" s="137">
        <v>511.0</v>
      </c>
      <c r="V595" s="137">
        <v>183.0</v>
      </c>
      <c r="W595" s="137">
        <v>640.0</v>
      </c>
      <c r="X595" s="137">
        <v>190.0</v>
      </c>
      <c r="Y595" s="137">
        <v>927.0</v>
      </c>
      <c r="Z595" s="137">
        <v>351.0</v>
      </c>
      <c r="AA595" s="134">
        <v>1392.0</v>
      </c>
      <c r="AB595" s="137">
        <v>420.0</v>
      </c>
      <c r="AC595" s="134">
        <v>1506.0</v>
      </c>
      <c r="AD595" s="137">
        <v>465.0</v>
      </c>
      <c r="AE595" s="134">
        <v>1502.0</v>
      </c>
      <c r="AF595" s="137">
        <v>455.0</v>
      </c>
      <c r="AG595" s="134">
        <v>1234.0</v>
      </c>
      <c r="AH595" s="137">
        <v>551.0</v>
      </c>
      <c r="AI595" s="134">
        <v>1129.0</v>
      </c>
      <c r="AJ595" s="137">
        <v>418.0</v>
      </c>
      <c r="AK595" s="137">
        <v>933.0</v>
      </c>
      <c r="AL595" s="137">
        <v>476.0</v>
      </c>
      <c r="AM595" s="134">
        <v>1055.0</v>
      </c>
      <c r="AN595" s="134">
        <v>16422.0</v>
      </c>
    </row>
    <row r="596">
      <c r="A596" s="98"/>
      <c r="B596" s="136" t="s">
        <v>199</v>
      </c>
      <c r="C596" s="137">
        <v>959.0</v>
      </c>
      <c r="D596" s="137">
        <v>288.0</v>
      </c>
      <c r="E596" s="137">
        <v>671.0</v>
      </c>
      <c r="F596" s="137">
        <v>10.0</v>
      </c>
      <c r="G596" s="137">
        <v>15.0</v>
      </c>
      <c r="H596" s="137">
        <v>1.0</v>
      </c>
      <c r="I596" s="137">
        <v>6.0</v>
      </c>
      <c r="J596" s="137">
        <v>1.0</v>
      </c>
      <c r="K596" s="137">
        <v>1.0</v>
      </c>
      <c r="L596" s="137">
        <v>0.0</v>
      </c>
      <c r="M596" s="137">
        <v>4.0</v>
      </c>
      <c r="N596" s="137">
        <v>3.0</v>
      </c>
      <c r="O596" s="137">
        <v>2.0</v>
      </c>
      <c r="P596" s="137">
        <v>1.0</v>
      </c>
      <c r="Q596" s="137">
        <v>6.0</v>
      </c>
      <c r="R596" s="137">
        <v>2.0</v>
      </c>
      <c r="S596" s="137">
        <v>4.0</v>
      </c>
      <c r="T596" s="137">
        <v>2.0</v>
      </c>
      <c r="U596" s="137">
        <v>12.0</v>
      </c>
      <c r="V596" s="137">
        <v>2.0</v>
      </c>
      <c r="W596" s="137">
        <v>15.0</v>
      </c>
      <c r="X596" s="137">
        <v>2.0</v>
      </c>
      <c r="Y596" s="137">
        <v>44.0</v>
      </c>
      <c r="Z596" s="137">
        <v>29.0</v>
      </c>
      <c r="AA596" s="137">
        <v>48.0</v>
      </c>
      <c r="AB596" s="137">
        <v>18.0</v>
      </c>
      <c r="AC596" s="137">
        <v>82.0</v>
      </c>
      <c r="AD596" s="137">
        <v>33.0</v>
      </c>
      <c r="AE596" s="137">
        <v>89.0</v>
      </c>
      <c r="AF596" s="137">
        <v>50.0</v>
      </c>
      <c r="AG596" s="137">
        <v>115.0</v>
      </c>
      <c r="AH596" s="137">
        <v>30.0</v>
      </c>
      <c r="AI596" s="137">
        <v>78.0</v>
      </c>
      <c r="AJ596" s="137">
        <v>35.0</v>
      </c>
      <c r="AK596" s="137">
        <v>74.0</v>
      </c>
      <c r="AL596" s="137">
        <v>69.0</v>
      </c>
      <c r="AM596" s="137">
        <v>76.0</v>
      </c>
      <c r="AN596" s="137">
        <v>956.0</v>
      </c>
    </row>
    <row r="597">
      <c r="A597" s="98"/>
      <c r="B597" s="136" t="s">
        <v>206</v>
      </c>
      <c r="C597" s="137">
        <v>15.0</v>
      </c>
      <c r="D597" s="137">
        <v>4.0</v>
      </c>
      <c r="E597" s="137">
        <v>11.0</v>
      </c>
      <c r="F597" s="137">
        <v>1.0</v>
      </c>
      <c r="G597" s="137">
        <v>0.0</v>
      </c>
      <c r="H597" s="137">
        <v>0.0</v>
      </c>
      <c r="I597" s="137">
        <v>0.0</v>
      </c>
      <c r="J597" s="137">
        <v>0.0</v>
      </c>
      <c r="K597" s="137">
        <v>2.0</v>
      </c>
      <c r="L597" s="137">
        <v>0.0</v>
      </c>
      <c r="M597" s="137">
        <v>0.0</v>
      </c>
      <c r="N597" s="137">
        <v>0.0</v>
      </c>
      <c r="O597" s="137">
        <v>2.0</v>
      </c>
      <c r="P597" s="137">
        <v>0.0</v>
      </c>
      <c r="Q597" s="137">
        <v>0.0</v>
      </c>
      <c r="R597" s="137">
        <v>1.0</v>
      </c>
      <c r="S597" s="137">
        <v>0.0</v>
      </c>
      <c r="T597" s="137">
        <v>0.0</v>
      </c>
      <c r="U597" s="137">
        <v>2.0</v>
      </c>
      <c r="V597" s="137">
        <v>0.0</v>
      </c>
      <c r="W597" s="137">
        <v>0.0</v>
      </c>
      <c r="X597" s="137">
        <v>0.0</v>
      </c>
      <c r="Y597" s="137">
        <v>1.0</v>
      </c>
      <c r="Z597" s="137">
        <v>0.0</v>
      </c>
      <c r="AA597" s="137">
        <v>0.0</v>
      </c>
      <c r="AB597" s="137">
        <v>0.0</v>
      </c>
      <c r="AC597" s="137">
        <v>1.0</v>
      </c>
      <c r="AD597" s="137">
        <v>0.0</v>
      </c>
      <c r="AE597" s="137">
        <v>0.0</v>
      </c>
      <c r="AF597" s="137">
        <v>0.0</v>
      </c>
      <c r="AG597" s="137">
        <v>2.0</v>
      </c>
      <c r="AH597" s="137">
        <v>0.0</v>
      </c>
      <c r="AI597" s="137">
        <v>0.0</v>
      </c>
      <c r="AJ597" s="137">
        <v>0.0</v>
      </c>
      <c r="AK597" s="137">
        <v>0.0</v>
      </c>
      <c r="AL597" s="137">
        <v>2.0</v>
      </c>
      <c r="AM597" s="137">
        <v>1.0</v>
      </c>
      <c r="AN597" s="137">
        <v>15.0</v>
      </c>
    </row>
    <row r="598">
      <c r="A598" s="98"/>
      <c r="B598" s="136" t="s">
        <v>200</v>
      </c>
      <c r="C598" s="134">
        <v>4490.0</v>
      </c>
      <c r="D598" s="134">
        <v>1373.0</v>
      </c>
      <c r="E598" s="134">
        <v>3117.0</v>
      </c>
      <c r="F598" s="137">
        <v>770.0</v>
      </c>
      <c r="G598" s="137">
        <v>753.0</v>
      </c>
      <c r="H598" s="137">
        <v>241.0</v>
      </c>
      <c r="I598" s="137">
        <v>289.0</v>
      </c>
      <c r="J598" s="137">
        <v>107.0</v>
      </c>
      <c r="K598" s="137">
        <v>167.0</v>
      </c>
      <c r="L598" s="137">
        <v>35.0</v>
      </c>
      <c r="M598" s="137">
        <v>205.0</v>
      </c>
      <c r="N598" s="137">
        <v>18.0</v>
      </c>
      <c r="O598" s="137">
        <v>177.0</v>
      </c>
      <c r="P598" s="137">
        <v>14.0</v>
      </c>
      <c r="Q598" s="137">
        <v>240.0</v>
      </c>
      <c r="R598" s="137">
        <v>11.0</v>
      </c>
      <c r="S598" s="137">
        <v>194.0</v>
      </c>
      <c r="T598" s="137">
        <v>10.0</v>
      </c>
      <c r="U598" s="137">
        <v>122.0</v>
      </c>
      <c r="V598" s="137">
        <v>13.0</v>
      </c>
      <c r="W598" s="137">
        <v>136.0</v>
      </c>
      <c r="X598" s="137">
        <v>14.0</v>
      </c>
      <c r="Y598" s="137">
        <v>163.0</v>
      </c>
      <c r="Z598" s="137">
        <v>20.0</v>
      </c>
      <c r="AA598" s="137">
        <v>199.0</v>
      </c>
      <c r="AB598" s="137">
        <v>15.0</v>
      </c>
      <c r="AC598" s="137">
        <v>150.0</v>
      </c>
      <c r="AD598" s="137">
        <v>18.0</v>
      </c>
      <c r="AE598" s="137">
        <v>80.0</v>
      </c>
      <c r="AF598" s="137">
        <v>21.0</v>
      </c>
      <c r="AG598" s="137">
        <v>58.0</v>
      </c>
      <c r="AH598" s="137">
        <v>16.0</v>
      </c>
      <c r="AI598" s="137">
        <v>54.0</v>
      </c>
      <c r="AJ598" s="137">
        <v>18.0</v>
      </c>
      <c r="AK598" s="137">
        <v>24.0</v>
      </c>
      <c r="AL598" s="137">
        <v>32.0</v>
      </c>
      <c r="AM598" s="137">
        <v>106.0</v>
      </c>
      <c r="AN598" s="134">
        <v>4362.0</v>
      </c>
    </row>
    <row r="599">
      <c r="A599" s="104"/>
      <c r="B599" s="136" t="s">
        <v>201</v>
      </c>
      <c r="C599" s="137">
        <v>494.0</v>
      </c>
      <c r="D599" s="137">
        <v>211.0</v>
      </c>
      <c r="E599" s="137">
        <v>283.0</v>
      </c>
      <c r="F599" s="137">
        <v>5.0</v>
      </c>
      <c r="G599" s="137">
        <v>16.0</v>
      </c>
      <c r="H599" s="137">
        <v>15.0</v>
      </c>
      <c r="I599" s="137">
        <v>11.0</v>
      </c>
      <c r="J599" s="137">
        <v>11.0</v>
      </c>
      <c r="K599" s="137">
        <v>14.0</v>
      </c>
      <c r="L599" s="137">
        <v>16.0</v>
      </c>
      <c r="M599" s="137">
        <v>8.0</v>
      </c>
      <c r="N599" s="137">
        <v>7.0</v>
      </c>
      <c r="O599" s="137">
        <v>11.0</v>
      </c>
      <c r="P599" s="137">
        <v>9.0</v>
      </c>
      <c r="Q599" s="137">
        <v>13.0</v>
      </c>
      <c r="R599" s="137">
        <v>6.0</v>
      </c>
      <c r="S599" s="137">
        <v>13.0</v>
      </c>
      <c r="T599" s="137">
        <v>13.0</v>
      </c>
      <c r="U599" s="137">
        <v>17.0</v>
      </c>
      <c r="V599" s="137">
        <v>14.0</v>
      </c>
      <c r="W599" s="137">
        <v>20.0</v>
      </c>
      <c r="X599" s="137">
        <v>17.0</v>
      </c>
      <c r="Y599" s="137">
        <v>26.0</v>
      </c>
      <c r="Z599" s="137">
        <v>13.0</v>
      </c>
      <c r="AA599" s="137">
        <v>26.0</v>
      </c>
      <c r="AB599" s="137">
        <v>16.0</v>
      </c>
      <c r="AC599" s="137">
        <v>17.0</v>
      </c>
      <c r="AD599" s="137">
        <v>11.0</v>
      </c>
      <c r="AE599" s="137">
        <v>20.0</v>
      </c>
      <c r="AF599" s="137">
        <v>14.0</v>
      </c>
      <c r="AG599" s="137">
        <v>22.0</v>
      </c>
      <c r="AH599" s="137">
        <v>19.0</v>
      </c>
      <c r="AI599" s="137">
        <v>12.0</v>
      </c>
      <c r="AJ599" s="137">
        <v>13.0</v>
      </c>
      <c r="AK599" s="137">
        <v>10.0</v>
      </c>
      <c r="AL599" s="137">
        <v>12.0</v>
      </c>
      <c r="AM599" s="137">
        <v>27.0</v>
      </c>
      <c r="AN599" s="137">
        <v>492.0</v>
      </c>
    </row>
    <row r="600">
      <c r="A600" s="132" t="s">
        <v>208</v>
      </c>
      <c r="B600" s="136" t="s">
        <v>198</v>
      </c>
      <c r="C600" s="137">
        <v>64.0</v>
      </c>
      <c r="D600" s="137">
        <v>40.0</v>
      </c>
      <c r="E600" s="137">
        <v>24.0</v>
      </c>
      <c r="F600" s="137">
        <v>20.0</v>
      </c>
      <c r="G600" s="137">
        <v>10.0</v>
      </c>
      <c r="H600" s="137">
        <v>14.0</v>
      </c>
      <c r="I600" s="137">
        <v>9.0</v>
      </c>
      <c r="J600" s="137">
        <v>6.0</v>
      </c>
      <c r="K600" s="137">
        <v>3.0</v>
      </c>
      <c r="L600" s="137">
        <v>0.0</v>
      </c>
      <c r="M600" s="137">
        <v>1.0</v>
      </c>
      <c r="N600" s="137">
        <v>0.0</v>
      </c>
      <c r="O600" s="137">
        <v>1.0</v>
      </c>
      <c r="P600" s="135">
        <v>0.0</v>
      </c>
      <c r="Q600" s="135">
        <v>0.0</v>
      </c>
      <c r="R600" s="135">
        <v>0.0</v>
      </c>
      <c r="S600" s="135">
        <v>0.0</v>
      </c>
      <c r="T600" s="135">
        <v>0.0</v>
      </c>
      <c r="U600" s="135">
        <v>0.0</v>
      </c>
      <c r="V600" s="135">
        <v>0.0</v>
      </c>
      <c r="W600" s="135">
        <v>0.0</v>
      </c>
      <c r="X600" s="135">
        <v>0.0</v>
      </c>
      <c r="Y600" s="135">
        <v>0.0</v>
      </c>
      <c r="Z600" s="135">
        <v>0.0</v>
      </c>
      <c r="AA600" s="135">
        <v>0.0</v>
      </c>
      <c r="AB600" s="135">
        <v>0.0</v>
      </c>
      <c r="AC600" s="135">
        <v>0.0</v>
      </c>
      <c r="AD600" s="135">
        <v>0.0</v>
      </c>
      <c r="AE600" s="135">
        <v>0.0</v>
      </c>
      <c r="AF600" s="135">
        <v>0.0</v>
      </c>
      <c r="AG600" s="135">
        <v>0.0</v>
      </c>
      <c r="AH600" s="135">
        <v>0.0</v>
      </c>
      <c r="AI600" s="135">
        <v>0.0</v>
      </c>
      <c r="AJ600" s="135">
        <v>0.0</v>
      </c>
      <c r="AK600" s="135">
        <v>0.0</v>
      </c>
      <c r="AL600" s="135">
        <v>0.0</v>
      </c>
      <c r="AM600" s="135">
        <v>0.0</v>
      </c>
      <c r="AN600" s="137">
        <v>41.0</v>
      </c>
    </row>
    <row r="601">
      <c r="A601" s="98"/>
      <c r="B601" s="136" t="s">
        <v>199</v>
      </c>
      <c r="C601" s="137">
        <v>233.0</v>
      </c>
      <c r="D601" s="137">
        <v>114.0</v>
      </c>
      <c r="E601" s="137">
        <v>119.0</v>
      </c>
      <c r="F601" s="137">
        <v>68.0</v>
      </c>
      <c r="G601" s="137">
        <v>85.0</v>
      </c>
      <c r="H601" s="137">
        <v>33.0</v>
      </c>
      <c r="I601" s="137">
        <v>16.0</v>
      </c>
      <c r="J601" s="137">
        <v>13.0</v>
      </c>
      <c r="K601" s="137">
        <v>13.0</v>
      </c>
      <c r="L601" s="137">
        <v>0.0</v>
      </c>
      <c r="M601" s="137">
        <v>2.0</v>
      </c>
      <c r="N601" s="137">
        <v>0.0</v>
      </c>
      <c r="O601" s="137">
        <v>3.0</v>
      </c>
      <c r="P601" s="135">
        <v>0.0</v>
      </c>
      <c r="Q601" s="135">
        <v>0.0</v>
      </c>
      <c r="R601" s="135">
        <v>0.0</v>
      </c>
      <c r="S601" s="135">
        <v>0.0</v>
      </c>
      <c r="T601" s="135">
        <v>0.0</v>
      </c>
      <c r="U601" s="135">
        <v>0.0</v>
      </c>
      <c r="V601" s="135">
        <v>0.0</v>
      </c>
      <c r="W601" s="135">
        <v>0.0</v>
      </c>
      <c r="X601" s="135">
        <v>0.0</v>
      </c>
      <c r="Y601" s="135">
        <v>0.0</v>
      </c>
      <c r="Z601" s="135">
        <v>0.0</v>
      </c>
      <c r="AA601" s="135">
        <v>0.0</v>
      </c>
      <c r="AB601" s="135">
        <v>0.0</v>
      </c>
      <c r="AC601" s="135">
        <v>0.0</v>
      </c>
      <c r="AD601" s="135">
        <v>0.0</v>
      </c>
      <c r="AE601" s="135">
        <v>0.0</v>
      </c>
      <c r="AF601" s="135">
        <v>0.0</v>
      </c>
      <c r="AG601" s="135">
        <v>0.0</v>
      </c>
      <c r="AH601" s="135">
        <v>0.0</v>
      </c>
      <c r="AI601" s="135">
        <v>0.0</v>
      </c>
      <c r="AJ601" s="135">
        <v>0.0</v>
      </c>
      <c r="AK601" s="135">
        <v>0.0</v>
      </c>
      <c r="AL601" s="135">
        <v>0.0</v>
      </c>
      <c r="AM601" s="135">
        <v>0.0</v>
      </c>
      <c r="AN601" s="137">
        <v>222.0</v>
      </c>
    </row>
    <row r="602">
      <c r="A602" s="98"/>
      <c r="B602" s="136" t="s">
        <v>206</v>
      </c>
      <c r="C602" s="137">
        <v>0.0</v>
      </c>
      <c r="D602" s="137">
        <v>0.0</v>
      </c>
      <c r="E602" s="137">
        <v>0.0</v>
      </c>
      <c r="F602" s="137">
        <v>0.0</v>
      </c>
      <c r="G602" s="137">
        <v>0.0</v>
      </c>
      <c r="H602" s="137">
        <v>0.0</v>
      </c>
      <c r="I602" s="137">
        <v>0.0</v>
      </c>
      <c r="J602" s="137">
        <v>0.0</v>
      </c>
      <c r="K602" s="137">
        <v>0.0</v>
      </c>
      <c r="L602" s="137">
        <v>0.0</v>
      </c>
      <c r="M602" s="137">
        <v>0.0</v>
      </c>
      <c r="N602" s="137">
        <v>0.0</v>
      </c>
      <c r="O602" s="137">
        <v>0.0</v>
      </c>
      <c r="P602" s="135">
        <v>0.0</v>
      </c>
      <c r="Q602" s="135">
        <v>0.0</v>
      </c>
      <c r="R602" s="135">
        <v>0.0</v>
      </c>
      <c r="S602" s="135">
        <v>0.0</v>
      </c>
      <c r="T602" s="135">
        <v>0.0</v>
      </c>
      <c r="U602" s="135">
        <v>0.0</v>
      </c>
      <c r="V602" s="135">
        <v>0.0</v>
      </c>
      <c r="W602" s="135">
        <v>0.0</v>
      </c>
      <c r="X602" s="135">
        <v>0.0</v>
      </c>
      <c r="Y602" s="135">
        <v>0.0</v>
      </c>
      <c r="Z602" s="135">
        <v>0.0</v>
      </c>
      <c r="AA602" s="135">
        <v>0.0</v>
      </c>
      <c r="AB602" s="135">
        <v>0.0</v>
      </c>
      <c r="AC602" s="135">
        <v>0.0</v>
      </c>
      <c r="AD602" s="135">
        <v>0.0</v>
      </c>
      <c r="AE602" s="135">
        <v>0.0</v>
      </c>
      <c r="AF602" s="135">
        <v>0.0</v>
      </c>
      <c r="AG602" s="135">
        <v>0.0</v>
      </c>
      <c r="AH602" s="135">
        <v>0.0</v>
      </c>
      <c r="AI602" s="135">
        <v>0.0</v>
      </c>
      <c r="AJ602" s="135">
        <v>0.0</v>
      </c>
      <c r="AK602" s="135">
        <v>0.0</v>
      </c>
      <c r="AL602" s="135">
        <v>0.0</v>
      </c>
      <c r="AM602" s="135">
        <v>0.0</v>
      </c>
      <c r="AN602" s="137">
        <v>0.0</v>
      </c>
    </row>
    <row r="603">
      <c r="A603" s="98"/>
      <c r="B603" s="136" t="s">
        <v>200</v>
      </c>
      <c r="C603" s="137">
        <v>61.0</v>
      </c>
      <c r="D603" s="137">
        <v>40.0</v>
      </c>
      <c r="E603" s="137">
        <v>21.0</v>
      </c>
      <c r="F603" s="137">
        <v>31.0</v>
      </c>
      <c r="G603" s="137">
        <v>20.0</v>
      </c>
      <c r="H603" s="137">
        <v>8.0</v>
      </c>
      <c r="I603" s="137">
        <v>1.0</v>
      </c>
      <c r="J603" s="137">
        <v>1.0</v>
      </c>
      <c r="K603" s="137">
        <v>0.0</v>
      </c>
      <c r="L603" s="137">
        <v>0.0</v>
      </c>
      <c r="M603" s="137">
        <v>0.0</v>
      </c>
      <c r="N603" s="137">
        <v>0.0</v>
      </c>
      <c r="O603" s="137">
        <v>0.0</v>
      </c>
      <c r="P603" s="135">
        <v>0.0</v>
      </c>
      <c r="Q603" s="135">
        <v>0.0</v>
      </c>
      <c r="R603" s="135">
        <v>0.0</v>
      </c>
      <c r="S603" s="135">
        <v>0.0</v>
      </c>
      <c r="T603" s="135">
        <v>0.0</v>
      </c>
      <c r="U603" s="135">
        <v>0.0</v>
      </c>
      <c r="V603" s="135">
        <v>0.0</v>
      </c>
      <c r="W603" s="135">
        <v>0.0</v>
      </c>
      <c r="X603" s="135">
        <v>0.0</v>
      </c>
      <c r="Y603" s="135">
        <v>0.0</v>
      </c>
      <c r="Z603" s="135">
        <v>0.0</v>
      </c>
      <c r="AA603" s="135">
        <v>0.0</v>
      </c>
      <c r="AB603" s="135">
        <v>0.0</v>
      </c>
      <c r="AC603" s="135">
        <v>0.0</v>
      </c>
      <c r="AD603" s="135">
        <v>0.0</v>
      </c>
      <c r="AE603" s="135">
        <v>0.0</v>
      </c>
      <c r="AF603" s="135">
        <v>0.0</v>
      </c>
      <c r="AG603" s="135">
        <v>0.0</v>
      </c>
      <c r="AH603" s="135">
        <v>0.0</v>
      </c>
      <c r="AI603" s="135">
        <v>0.0</v>
      </c>
      <c r="AJ603" s="135">
        <v>0.0</v>
      </c>
      <c r="AK603" s="135">
        <v>0.0</v>
      </c>
      <c r="AL603" s="135">
        <v>0.0</v>
      </c>
      <c r="AM603" s="135">
        <v>0.0</v>
      </c>
      <c r="AN603" s="137">
        <v>51.0</v>
      </c>
    </row>
    <row r="604">
      <c r="A604" s="104"/>
      <c r="B604" s="136" t="s">
        <v>201</v>
      </c>
      <c r="C604" s="137">
        <v>4.0</v>
      </c>
      <c r="D604" s="137">
        <v>3.0</v>
      </c>
      <c r="E604" s="137">
        <v>1.0</v>
      </c>
      <c r="F604" s="137">
        <v>0.0</v>
      </c>
      <c r="G604" s="137">
        <v>0.0</v>
      </c>
      <c r="H604" s="137">
        <v>1.0</v>
      </c>
      <c r="I604" s="137">
        <v>0.0</v>
      </c>
      <c r="J604" s="137">
        <v>2.0</v>
      </c>
      <c r="K604" s="137">
        <v>1.0</v>
      </c>
      <c r="L604" s="137">
        <v>0.0</v>
      </c>
      <c r="M604" s="137">
        <v>0.0</v>
      </c>
      <c r="N604" s="137">
        <v>0.0</v>
      </c>
      <c r="O604" s="137">
        <v>0.0</v>
      </c>
      <c r="P604" s="135">
        <v>0.0</v>
      </c>
      <c r="Q604" s="135">
        <v>0.0</v>
      </c>
      <c r="R604" s="135">
        <v>0.0</v>
      </c>
      <c r="S604" s="135">
        <v>0.0</v>
      </c>
      <c r="T604" s="135">
        <v>0.0</v>
      </c>
      <c r="U604" s="135">
        <v>0.0</v>
      </c>
      <c r="V604" s="135">
        <v>0.0</v>
      </c>
      <c r="W604" s="135">
        <v>0.0</v>
      </c>
      <c r="X604" s="135">
        <v>0.0</v>
      </c>
      <c r="Y604" s="135">
        <v>0.0</v>
      </c>
      <c r="Z604" s="135">
        <v>0.0</v>
      </c>
      <c r="AA604" s="135">
        <v>0.0</v>
      </c>
      <c r="AB604" s="135">
        <v>0.0</v>
      </c>
      <c r="AC604" s="135">
        <v>0.0</v>
      </c>
      <c r="AD604" s="135">
        <v>0.0</v>
      </c>
      <c r="AE604" s="135">
        <v>0.0</v>
      </c>
      <c r="AF604" s="135">
        <v>0.0</v>
      </c>
      <c r="AG604" s="135">
        <v>0.0</v>
      </c>
      <c r="AH604" s="135">
        <v>0.0</v>
      </c>
      <c r="AI604" s="135">
        <v>0.0</v>
      </c>
      <c r="AJ604" s="135">
        <v>0.0</v>
      </c>
      <c r="AK604" s="135">
        <v>0.0</v>
      </c>
      <c r="AL604" s="135">
        <v>0.0</v>
      </c>
      <c r="AM604" s="135">
        <v>0.0</v>
      </c>
      <c r="AN604" s="137">
        <v>4.0</v>
      </c>
    </row>
    <row r="605">
      <c r="A605" s="138" t="s">
        <v>233</v>
      </c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</row>
    <row r="606">
      <c r="A606" s="132" t="s">
        <v>197</v>
      </c>
      <c r="B606" s="133" t="s">
        <v>198</v>
      </c>
      <c r="C606" s="134">
        <v>52231.0</v>
      </c>
      <c r="D606" s="134">
        <v>19107.0</v>
      </c>
      <c r="E606" s="134">
        <v>33124.0</v>
      </c>
      <c r="F606" s="135">
        <v>0.0</v>
      </c>
      <c r="G606" s="135">
        <v>0.0</v>
      </c>
      <c r="H606" s="135">
        <v>0.0</v>
      </c>
      <c r="I606" s="135">
        <v>0.0</v>
      </c>
      <c r="J606" s="135">
        <v>0.0</v>
      </c>
      <c r="K606" s="135">
        <v>0.0</v>
      </c>
      <c r="L606" s="137">
        <v>24.0</v>
      </c>
      <c r="M606" s="137">
        <v>34.0</v>
      </c>
      <c r="N606" s="137">
        <v>46.0</v>
      </c>
      <c r="O606" s="137">
        <v>71.0</v>
      </c>
      <c r="P606" s="137">
        <v>129.0</v>
      </c>
      <c r="Q606" s="137">
        <v>230.0</v>
      </c>
      <c r="R606" s="137">
        <v>131.0</v>
      </c>
      <c r="S606" s="137">
        <v>334.0</v>
      </c>
      <c r="T606" s="137">
        <v>285.0</v>
      </c>
      <c r="U606" s="137">
        <v>584.0</v>
      </c>
      <c r="V606" s="137">
        <v>598.0</v>
      </c>
      <c r="W606" s="134">
        <v>1288.0</v>
      </c>
      <c r="X606" s="134">
        <v>1008.0</v>
      </c>
      <c r="Y606" s="134">
        <v>2175.0</v>
      </c>
      <c r="Z606" s="134">
        <v>1845.0</v>
      </c>
      <c r="AA606" s="134">
        <v>3841.0</v>
      </c>
      <c r="AB606" s="134">
        <v>2497.0</v>
      </c>
      <c r="AC606" s="134">
        <v>4550.0</v>
      </c>
      <c r="AD606" s="134">
        <v>2644.0</v>
      </c>
      <c r="AE606" s="134">
        <v>4596.0</v>
      </c>
      <c r="AF606" s="134">
        <v>2704.0</v>
      </c>
      <c r="AG606" s="134">
        <v>4397.0</v>
      </c>
      <c r="AH606" s="134">
        <v>2723.0</v>
      </c>
      <c r="AI606" s="134">
        <v>3914.0</v>
      </c>
      <c r="AJ606" s="134">
        <v>2144.0</v>
      </c>
      <c r="AK606" s="134">
        <v>3247.0</v>
      </c>
      <c r="AL606" s="134">
        <v>2329.0</v>
      </c>
      <c r="AM606" s="134">
        <v>3863.0</v>
      </c>
      <c r="AN606" s="134">
        <v>52197.0</v>
      </c>
    </row>
    <row r="607">
      <c r="A607" s="98"/>
      <c r="B607" s="136" t="s">
        <v>199</v>
      </c>
      <c r="C607" s="134">
        <v>26143.0</v>
      </c>
      <c r="D607" s="134">
        <v>9259.0</v>
      </c>
      <c r="E607" s="134">
        <v>16884.0</v>
      </c>
      <c r="F607" s="135">
        <v>0.0</v>
      </c>
      <c r="G607" s="135">
        <v>0.0</v>
      </c>
      <c r="H607" s="135">
        <v>0.0</v>
      </c>
      <c r="I607" s="135">
        <v>0.0</v>
      </c>
      <c r="J607" s="135">
        <v>0.0</v>
      </c>
      <c r="K607" s="135">
        <v>0.0</v>
      </c>
      <c r="L607" s="137">
        <v>3.0</v>
      </c>
      <c r="M607" s="137">
        <v>11.0</v>
      </c>
      <c r="N607" s="137">
        <v>9.0</v>
      </c>
      <c r="O607" s="137">
        <v>19.0</v>
      </c>
      <c r="P607" s="137">
        <v>53.0</v>
      </c>
      <c r="Q607" s="137">
        <v>78.0</v>
      </c>
      <c r="R607" s="137">
        <v>38.0</v>
      </c>
      <c r="S607" s="137">
        <v>105.0</v>
      </c>
      <c r="T607" s="137">
        <v>90.0</v>
      </c>
      <c r="U607" s="137">
        <v>214.0</v>
      </c>
      <c r="V607" s="137">
        <v>220.0</v>
      </c>
      <c r="W607" s="137">
        <v>504.0</v>
      </c>
      <c r="X607" s="137">
        <v>389.0</v>
      </c>
      <c r="Y607" s="137">
        <v>942.0</v>
      </c>
      <c r="Z607" s="137">
        <v>683.0</v>
      </c>
      <c r="AA607" s="134">
        <v>1621.0</v>
      </c>
      <c r="AB607" s="134">
        <v>1054.0</v>
      </c>
      <c r="AC607" s="134">
        <v>2131.0</v>
      </c>
      <c r="AD607" s="134">
        <v>1221.0</v>
      </c>
      <c r="AE607" s="134">
        <v>2255.0</v>
      </c>
      <c r="AF607" s="134">
        <v>1464.0</v>
      </c>
      <c r="AG607" s="134">
        <v>2452.0</v>
      </c>
      <c r="AH607" s="134">
        <v>1485.0</v>
      </c>
      <c r="AI607" s="134">
        <v>2298.0</v>
      </c>
      <c r="AJ607" s="134">
        <v>1194.0</v>
      </c>
      <c r="AK607" s="134">
        <v>1877.0</v>
      </c>
      <c r="AL607" s="134">
        <v>1356.0</v>
      </c>
      <c r="AM607" s="134">
        <v>2377.0</v>
      </c>
      <c r="AN607" s="134">
        <v>26126.0</v>
      </c>
    </row>
    <row r="608">
      <c r="A608" s="98"/>
      <c r="B608" s="136" t="s">
        <v>200</v>
      </c>
      <c r="C608" s="134">
        <v>15384.0</v>
      </c>
      <c r="D608" s="134">
        <v>5254.0</v>
      </c>
      <c r="E608" s="134">
        <v>10130.0</v>
      </c>
      <c r="F608" s="135">
        <v>0.0</v>
      </c>
      <c r="G608" s="135">
        <v>0.0</v>
      </c>
      <c r="H608" s="135">
        <v>0.0</v>
      </c>
      <c r="I608" s="135">
        <v>0.0</v>
      </c>
      <c r="J608" s="135">
        <v>0.0</v>
      </c>
      <c r="K608" s="135">
        <v>0.0</v>
      </c>
      <c r="L608" s="137">
        <v>9.0</v>
      </c>
      <c r="M608" s="137">
        <v>24.0</v>
      </c>
      <c r="N608" s="137">
        <v>12.0</v>
      </c>
      <c r="O608" s="137">
        <v>43.0</v>
      </c>
      <c r="P608" s="137">
        <v>40.0</v>
      </c>
      <c r="Q608" s="137">
        <v>86.0</v>
      </c>
      <c r="R608" s="137">
        <v>57.0</v>
      </c>
      <c r="S608" s="137">
        <v>149.0</v>
      </c>
      <c r="T608" s="137">
        <v>81.0</v>
      </c>
      <c r="U608" s="137">
        <v>251.0</v>
      </c>
      <c r="V608" s="137">
        <v>196.0</v>
      </c>
      <c r="W608" s="137">
        <v>419.0</v>
      </c>
      <c r="X608" s="137">
        <v>309.0</v>
      </c>
      <c r="Y608" s="137">
        <v>718.0</v>
      </c>
      <c r="Z608" s="137">
        <v>515.0</v>
      </c>
      <c r="AA608" s="134">
        <v>1316.0</v>
      </c>
      <c r="AB608" s="137">
        <v>637.0</v>
      </c>
      <c r="AC608" s="134">
        <v>1413.0</v>
      </c>
      <c r="AD608" s="137">
        <v>717.0</v>
      </c>
      <c r="AE608" s="134">
        <v>1329.0</v>
      </c>
      <c r="AF608" s="137">
        <v>760.0</v>
      </c>
      <c r="AG608" s="134">
        <v>1388.0</v>
      </c>
      <c r="AH608" s="137">
        <v>775.0</v>
      </c>
      <c r="AI608" s="134">
        <v>1226.0</v>
      </c>
      <c r="AJ608" s="137">
        <v>568.0</v>
      </c>
      <c r="AK608" s="137">
        <v>851.0</v>
      </c>
      <c r="AL608" s="137">
        <v>578.0</v>
      </c>
      <c r="AM608" s="137">
        <v>917.0</v>
      </c>
      <c r="AN608" s="134">
        <v>15361.0</v>
      </c>
    </row>
    <row r="609">
      <c r="A609" s="104"/>
      <c r="B609" s="136" t="s">
        <v>201</v>
      </c>
      <c r="C609" s="137">
        <v>807.0</v>
      </c>
      <c r="D609" s="137">
        <v>301.0</v>
      </c>
      <c r="E609" s="137">
        <v>506.0</v>
      </c>
      <c r="F609" s="135">
        <v>0.0</v>
      </c>
      <c r="G609" s="135">
        <v>0.0</v>
      </c>
      <c r="H609" s="135">
        <v>0.0</v>
      </c>
      <c r="I609" s="135">
        <v>0.0</v>
      </c>
      <c r="J609" s="135">
        <v>0.0</v>
      </c>
      <c r="K609" s="135">
        <v>0.0</v>
      </c>
      <c r="L609" s="137">
        <v>1.0</v>
      </c>
      <c r="M609" s="137">
        <v>0.0</v>
      </c>
      <c r="N609" s="137">
        <v>1.0</v>
      </c>
      <c r="O609" s="137">
        <v>1.0</v>
      </c>
      <c r="P609" s="137">
        <v>2.0</v>
      </c>
      <c r="Q609" s="137">
        <v>0.0</v>
      </c>
      <c r="R609" s="137">
        <v>0.0</v>
      </c>
      <c r="S609" s="137">
        <v>6.0</v>
      </c>
      <c r="T609" s="137">
        <v>2.0</v>
      </c>
      <c r="U609" s="137">
        <v>8.0</v>
      </c>
      <c r="V609" s="137">
        <v>11.0</v>
      </c>
      <c r="W609" s="137">
        <v>24.0</v>
      </c>
      <c r="X609" s="137">
        <v>24.0</v>
      </c>
      <c r="Y609" s="137">
        <v>35.0</v>
      </c>
      <c r="Z609" s="137">
        <v>33.0</v>
      </c>
      <c r="AA609" s="137">
        <v>84.0</v>
      </c>
      <c r="AB609" s="137">
        <v>37.0</v>
      </c>
      <c r="AC609" s="137">
        <v>67.0</v>
      </c>
      <c r="AD609" s="137">
        <v>27.0</v>
      </c>
      <c r="AE609" s="137">
        <v>60.0</v>
      </c>
      <c r="AF609" s="137">
        <v>37.0</v>
      </c>
      <c r="AG609" s="137">
        <v>66.0</v>
      </c>
      <c r="AH609" s="137">
        <v>43.0</v>
      </c>
      <c r="AI609" s="137">
        <v>51.0</v>
      </c>
      <c r="AJ609" s="137">
        <v>37.0</v>
      </c>
      <c r="AK609" s="137">
        <v>50.0</v>
      </c>
      <c r="AL609" s="137">
        <v>46.0</v>
      </c>
      <c r="AM609" s="137">
        <v>54.0</v>
      </c>
      <c r="AN609" s="137">
        <v>807.0</v>
      </c>
    </row>
    <row r="610">
      <c r="A610" s="132" t="s">
        <v>202</v>
      </c>
      <c r="B610" s="136" t="s">
        <v>198</v>
      </c>
      <c r="C610" s="137">
        <v>162.0</v>
      </c>
      <c r="D610" s="137">
        <v>118.0</v>
      </c>
      <c r="E610" s="137">
        <v>44.0</v>
      </c>
      <c r="F610" s="137">
        <v>0.0</v>
      </c>
      <c r="G610" s="137">
        <v>0.0</v>
      </c>
      <c r="H610" s="137">
        <v>0.0</v>
      </c>
      <c r="I610" s="137">
        <v>0.0</v>
      </c>
      <c r="J610" s="137">
        <v>0.0</v>
      </c>
      <c r="K610" s="137">
        <v>0.0</v>
      </c>
      <c r="L610" s="137">
        <v>1.0</v>
      </c>
      <c r="M610" s="137">
        <v>0.0</v>
      </c>
      <c r="N610" s="137">
        <v>9.0</v>
      </c>
      <c r="O610" s="137">
        <v>3.0</v>
      </c>
      <c r="P610" s="137">
        <v>17.0</v>
      </c>
      <c r="Q610" s="137">
        <v>2.0</v>
      </c>
      <c r="R610" s="137">
        <v>4.0</v>
      </c>
      <c r="S610" s="137">
        <v>7.0</v>
      </c>
      <c r="T610" s="137">
        <v>10.0</v>
      </c>
      <c r="U610" s="137">
        <v>6.0</v>
      </c>
      <c r="V610" s="137">
        <v>2.0</v>
      </c>
      <c r="W610" s="137">
        <v>1.0</v>
      </c>
      <c r="X610" s="137">
        <v>2.0</v>
      </c>
      <c r="Y610" s="137">
        <v>9.0</v>
      </c>
      <c r="Z610" s="137">
        <v>8.0</v>
      </c>
      <c r="AA610" s="137">
        <v>5.0</v>
      </c>
      <c r="AB610" s="137">
        <v>11.0</v>
      </c>
      <c r="AC610" s="137">
        <v>7.0</v>
      </c>
      <c r="AD610" s="137">
        <v>17.0</v>
      </c>
      <c r="AE610" s="137">
        <v>0.0</v>
      </c>
      <c r="AF610" s="137">
        <v>15.0</v>
      </c>
      <c r="AG610" s="137">
        <v>1.0</v>
      </c>
      <c r="AH610" s="137">
        <v>11.0</v>
      </c>
      <c r="AI610" s="137">
        <v>0.0</v>
      </c>
      <c r="AJ610" s="137">
        <v>2.0</v>
      </c>
      <c r="AK610" s="137">
        <v>2.0</v>
      </c>
      <c r="AL610" s="137">
        <v>9.0</v>
      </c>
      <c r="AM610" s="137">
        <v>1.0</v>
      </c>
      <c r="AN610" s="137">
        <v>159.0</v>
      </c>
    </row>
    <row r="611">
      <c r="A611" s="104"/>
      <c r="B611" s="136" t="s">
        <v>199</v>
      </c>
      <c r="C611" s="137">
        <v>74.0</v>
      </c>
      <c r="D611" s="137">
        <v>51.0</v>
      </c>
      <c r="E611" s="137">
        <v>23.0</v>
      </c>
      <c r="F611" s="137">
        <v>0.0</v>
      </c>
      <c r="G611" s="137">
        <v>0.0</v>
      </c>
      <c r="H611" s="137">
        <v>1.0</v>
      </c>
      <c r="I611" s="137">
        <v>0.0</v>
      </c>
      <c r="J611" s="137">
        <v>0.0</v>
      </c>
      <c r="K611" s="137">
        <v>0.0</v>
      </c>
      <c r="L611" s="137">
        <v>0.0</v>
      </c>
      <c r="M611" s="137">
        <v>2.0</v>
      </c>
      <c r="N611" s="137">
        <v>5.0</v>
      </c>
      <c r="O611" s="137">
        <v>1.0</v>
      </c>
      <c r="P611" s="137">
        <v>8.0</v>
      </c>
      <c r="Q611" s="137">
        <v>1.0</v>
      </c>
      <c r="R611" s="137">
        <v>1.0</v>
      </c>
      <c r="S611" s="137">
        <v>4.0</v>
      </c>
      <c r="T611" s="137">
        <v>1.0</v>
      </c>
      <c r="U611" s="137">
        <v>1.0</v>
      </c>
      <c r="V611" s="137">
        <v>2.0</v>
      </c>
      <c r="W611" s="137">
        <v>1.0</v>
      </c>
      <c r="X611" s="137">
        <v>3.0</v>
      </c>
      <c r="Y611" s="137">
        <v>3.0</v>
      </c>
      <c r="Z611" s="137">
        <v>3.0</v>
      </c>
      <c r="AA611" s="137">
        <v>0.0</v>
      </c>
      <c r="AB611" s="137">
        <v>1.0</v>
      </c>
      <c r="AC611" s="137">
        <v>5.0</v>
      </c>
      <c r="AD611" s="137">
        <v>11.0</v>
      </c>
      <c r="AE611" s="137">
        <v>0.0</v>
      </c>
      <c r="AF611" s="137">
        <v>5.0</v>
      </c>
      <c r="AG611" s="137">
        <v>0.0</v>
      </c>
      <c r="AH611" s="137">
        <v>8.0</v>
      </c>
      <c r="AI611" s="137">
        <v>0.0</v>
      </c>
      <c r="AJ611" s="137">
        <v>0.0</v>
      </c>
      <c r="AK611" s="137">
        <v>3.0</v>
      </c>
      <c r="AL611" s="137">
        <v>2.0</v>
      </c>
      <c r="AM611" s="137">
        <v>2.0</v>
      </c>
      <c r="AN611" s="137">
        <v>74.0</v>
      </c>
    </row>
    <row r="612">
      <c r="A612" s="132" t="s">
        <v>203</v>
      </c>
      <c r="B612" s="136" t="s">
        <v>198</v>
      </c>
      <c r="C612" s="137">
        <v>21.0</v>
      </c>
      <c r="D612" s="137">
        <v>18.0</v>
      </c>
      <c r="E612" s="137">
        <v>3.0</v>
      </c>
      <c r="F612" s="135">
        <v>0.0</v>
      </c>
      <c r="G612" s="135">
        <v>0.0</v>
      </c>
      <c r="H612" s="135">
        <v>0.0</v>
      </c>
      <c r="I612" s="135">
        <v>0.0</v>
      </c>
      <c r="J612" s="135">
        <v>0.0</v>
      </c>
      <c r="K612" s="135">
        <v>0.0</v>
      </c>
      <c r="L612" s="135">
        <v>0.0</v>
      </c>
      <c r="M612" s="135">
        <v>0.0</v>
      </c>
      <c r="N612" s="135">
        <v>0.0</v>
      </c>
      <c r="O612" s="135">
        <v>0.0</v>
      </c>
      <c r="P612" s="135">
        <v>0.0</v>
      </c>
      <c r="Q612" s="135">
        <v>0.0</v>
      </c>
      <c r="R612" s="135">
        <v>0.0</v>
      </c>
      <c r="S612" s="135">
        <v>0.0</v>
      </c>
      <c r="T612" s="135">
        <v>0.0</v>
      </c>
      <c r="U612" s="135">
        <v>0.0</v>
      </c>
      <c r="V612" s="135">
        <v>0.0</v>
      </c>
      <c r="W612" s="135">
        <v>0.0</v>
      </c>
      <c r="X612" s="135">
        <v>0.0</v>
      </c>
      <c r="Y612" s="135">
        <v>0.0</v>
      </c>
      <c r="Z612" s="135">
        <v>0.0</v>
      </c>
      <c r="AA612" s="135">
        <v>0.0</v>
      </c>
      <c r="AB612" s="135">
        <v>0.0</v>
      </c>
      <c r="AC612" s="135">
        <v>0.0</v>
      </c>
      <c r="AD612" s="135">
        <v>0.0</v>
      </c>
      <c r="AE612" s="135">
        <v>0.0</v>
      </c>
      <c r="AF612" s="137">
        <v>17.0</v>
      </c>
      <c r="AG612" s="137">
        <v>2.0</v>
      </c>
      <c r="AH612" s="137">
        <v>0.0</v>
      </c>
      <c r="AI612" s="137">
        <v>0.0</v>
      </c>
      <c r="AJ612" s="137">
        <v>0.0</v>
      </c>
      <c r="AK612" s="137">
        <v>0.0</v>
      </c>
      <c r="AL612" s="137">
        <v>1.0</v>
      </c>
      <c r="AM612" s="137">
        <v>1.0</v>
      </c>
      <c r="AN612" s="137">
        <v>21.0</v>
      </c>
    </row>
    <row r="613">
      <c r="A613" s="104"/>
      <c r="B613" s="136" t="s">
        <v>199</v>
      </c>
      <c r="C613" s="137">
        <v>253.0</v>
      </c>
      <c r="D613" s="137">
        <v>109.0</v>
      </c>
      <c r="E613" s="137">
        <v>144.0</v>
      </c>
      <c r="F613" s="135">
        <v>0.0</v>
      </c>
      <c r="G613" s="135">
        <v>0.0</v>
      </c>
      <c r="H613" s="135">
        <v>0.0</v>
      </c>
      <c r="I613" s="135">
        <v>0.0</v>
      </c>
      <c r="J613" s="135">
        <v>0.0</v>
      </c>
      <c r="K613" s="135">
        <v>0.0</v>
      </c>
      <c r="L613" s="135">
        <v>0.0</v>
      </c>
      <c r="M613" s="135">
        <v>0.0</v>
      </c>
      <c r="N613" s="135">
        <v>0.0</v>
      </c>
      <c r="O613" s="135">
        <v>0.0</v>
      </c>
      <c r="P613" s="135">
        <v>0.0</v>
      </c>
      <c r="Q613" s="135">
        <v>0.0</v>
      </c>
      <c r="R613" s="135">
        <v>0.0</v>
      </c>
      <c r="S613" s="135">
        <v>0.0</v>
      </c>
      <c r="T613" s="135">
        <v>0.0</v>
      </c>
      <c r="U613" s="135">
        <v>0.0</v>
      </c>
      <c r="V613" s="135">
        <v>0.0</v>
      </c>
      <c r="W613" s="135">
        <v>0.0</v>
      </c>
      <c r="X613" s="135">
        <v>0.0</v>
      </c>
      <c r="Y613" s="135">
        <v>0.0</v>
      </c>
      <c r="Z613" s="135">
        <v>0.0</v>
      </c>
      <c r="AA613" s="135">
        <v>0.0</v>
      </c>
      <c r="AB613" s="135">
        <v>0.0</v>
      </c>
      <c r="AC613" s="135">
        <v>0.0</v>
      </c>
      <c r="AD613" s="135">
        <v>0.0</v>
      </c>
      <c r="AE613" s="135">
        <v>0.0</v>
      </c>
      <c r="AF613" s="137">
        <v>32.0</v>
      </c>
      <c r="AG613" s="137">
        <v>48.0</v>
      </c>
      <c r="AH613" s="137">
        <v>30.0</v>
      </c>
      <c r="AI613" s="137">
        <v>40.0</v>
      </c>
      <c r="AJ613" s="137">
        <v>23.0</v>
      </c>
      <c r="AK613" s="137">
        <v>24.0</v>
      </c>
      <c r="AL613" s="137">
        <v>24.0</v>
      </c>
      <c r="AM613" s="137">
        <v>32.0</v>
      </c>
      <c r="AN613" s="137">
        <v>253.0</v>
      </c>
    </row>
    <row r="614">
      <c r="A614" s="132" t="s">
        <v>204</v>
      </c>
      <c r="B614" s="136" t="s">
        <v>198</v>
      </c>
      <c r="C614" s="137">
        <v>7.0</v>
      </c>
      <c r="D614" s="137">
        <v>4.0</v>
      </c>
      <c r="E614" s="137">
        <v>3.0</v>
      </c>
      <c r="F614" s="135">
        <v>0.0</v>
      </c>
      <c r="G614" s="135">
        <v>0.0</v>
      </c>
      <c r="H614" s="135">
        <v>0.0</v>
      </c>
      <c r="I614" s="135">
        <v>0.0</v>
      </c>
      <c r="J614" s="135">
        <v>0.0</v>
      </c>
      <c r="K614" s="135">
        <v>0.0</v>
      </c>
      <c r="L614" s="135">
        <v>0.0</v>
      </c>
      <c r="M614" s="135">
        <v>0.0</v>
      </c>
      <c r="N614" s="135">
        <v>0.0</v>
      </c>
      <c r="O614" s="135">
        <v>0.0</v>
      </c>
      <c r="P614" s="135">
        <v>0.0</v>
      </c>
      <c r="Q614" s="135">
        <v>0.0</v>
      </c>
      <c r="R614" s="135">
        <v>0.0</v>
      </c>
      <c r="S614" s="135">
        <v>0.0</v>
      </c>
      <c r="T614" s="135">
        <v>0.0</v>
      </c>
      <c r="U614" s="135">
        <v>0.0</v>
      </c>
      <c r="V614" s="135">
        <v>0.0</v>
      </c>
      <c r="W614" s="135">
        <v>0.0</v>
      </c>
      <c r="X614" s="135">
        <v>0.0</v>
      </c>
      <c r="Y614" s="135">
        <v>0.0</v>
      </c>
      <c r="Z614" s="135">
        <v>0.0</v>
      </c>
      <c r="AA614" s="135">
        <v>0.0</v>
      </c>
      <c r="AB614" s="135">
        <v>0.0</v>
      </c>
      <c r="AC614" s="135">
        <v>0.0</v>
      </c>
      <c r="AD614" s="135">
        <v>0.0</v>
      </c>
      <c r="AE614" s="135">
        <v>0.0</v>
      </c>
      <c r="AF614" s="137">
        <v>0.0</v>
      </c>
      <c r="AG614" s="137">
        <v>0.0</v>
      </c>
      <c r="AH614" s="137">
        <v>1.0</v>
      </c>
      <c r="AI614" s="137">
        <v>0.0</v>
      </c>
      <c r="AJ614" s="137">
        <v>1.0</v>
      </c>
      <c r="AK614" s="137">
        <v>1.0</v>
      </c>
      <c r="AL614" s="137">
        <v>2.0</v>
      </c>
      <c r="AM614" s="137">
        <v>2.0</v>
      </c>
      <c r="AN614" s="137">
        <v>7.0</v>
      </c>
    </row>
    <row r="615">
      <c r="A615" s="104"/>
      <c r="B615" s="136" t="s">
        <v>199</v>
      </c>
      <c r="C615" s="137">
        <v>233.0</v>
      </c>
      <c r="D615" s="137">
        <v>89.0</v>
      </c>
      <c r="E615" s="137">
        <v>144.0</v>
      </c>
      <c r="F615" s="135">
        <v>0.0</v>
      </c>
      <c r="G615" s="135">
        <v>0.0</v>
      </c>
      <c r="H615" s="135">
        <v>0.0</v>
      </c>
      <c r="I615" s="135">
        <v>0.0</v>
      </c>
      <c r="J615" s="135">
        <v>0.0</v>
      </c>
      <c r="K615" s="135">
        <v>0.0</v>
      </c>
      <c r="L615" s="135">
        <v>0.0</v>
      </c>
      <c r="M615" s="135">
        <v>0.0</v>
      </c>
      <c r="N615" s="135">
        <v>0.0</v>
      </c>
      <c r="O615" s="135">
        <v>0.0</v>
      </c>
      <c r="P615" s="135">
        <v>0.0</v>
      </c>
      <c r="Q615" s="135">
        <v>0.0</v>
      </c>
      <c r="R615" s="135">
        <v>0.0</v>
      </c>
      <c r="S615" s="135">
        <v>0.0</v>
      </c>
      <c r="T615" s="135">
        <v>0.0</v>
      </c>
      <c r="U615" s="135">
        <v>0.0</v>
      </c>
      <c r="V615" s="135">
        <v>0.0</v>
      </c>
      <c r="W615" s="135">
        <v>0.0</v>
      </c>
      <c r="X615" s="135">
        <v>0.0</v>
      </c>
      <c r="Y615" s="135">
        <v>0.0</v>
      </c>
      <c r="Z615" s="135">
        <v>0.0</v>
      </c>
      <c r="AA615" s="135">
        <v>0.0</v>
      </c>
      <c r="AB615" s="135">
        <v>0.0</v>
      </c>
      <c r="AC615" s="135">
        <v>0.0</v>
      </c>
      <c r="AD615" s="135">
        <v>0.0</v>
      </c>
      <c r="AE615" s="135">
        <v>0.0</v>
      </c>
      <c r="AF615" s="137">
        <v>8.0</v>
      </c>
      <c r="AG615" s="137">
        <v>26.0</v>
      </c>
      <c r="AH615" s="137">
        <v>16.0</v>
      </c>
      <c r="AI615" s="137">
        <v>31.0</v>
      </c>
      <c r="AJ615" s="137">
        <v>22.0</v>
      </c>
      <c r="AK615" s="137">
        <v>28.0</v>
      </c>
      <c r="AL615" s="137">
        <v>43.0</v>
      </c>
      <c r="AM615" s="137">
        <v>59.0</v>
      </c>
      <c r="AN615" s="137">
        <v>233.0</v>
      </c>
    </row>
    <row r="616">
      <c r="A616" s="132" t="s">
        <v>205</v>
      </c>
      <c r="B616" s="136" t="s">
        <v>198</v>
      </c>
      <c r="C616" s="137">
        <v>54.0</v>
      </c>
      <c r="D616" s="137">
        <v>17.0</v>
      </c>
      <c r="E616" s="137">
        <v>37.0</v>
      </c>
      <c r="F616" s="137">
        <v>0.0</v>
      </c>
      <c r="G616" s="137">
        <v>0.0</v>
      </c>
      <c r="H616" s="137">
        <v>0.0</v>
      </c>
      <c r="I616" s="137">
        <v>0.0</v>
      </c>
      <c r="J616" s="137">
        <v>1.0</v>
      </c>
      <c r="K616" s="137">
        <v>0.0</v>
      </c>
      <c r="L616" s="137">
        <v>0.0</v>
      </c>
      <c r="M616" s="137">
        <v>1.0</v>
      </c>
      <c r="N616" s="137">
        <v>1.0</v>
      </c>
      <c r="O616" s="137">
        <v>2.0</v>
      </c>
      <c r="P616" s="137">
        <v>3.0</v>
      </c>
      <c r="Q616" s="137">
        <v>7.0</v>
      </c>
      <c r="R616" s="137">
        <v>0.0</v>
      </c>
      <c r="S616" s="137">
        <v>0.0</v>
      </c>
      <c r="T616" s="137">
        <v>0.0</v>
      </c>
      <c r="U616" s="137">
        <v>0.0</v>
      </c>
      <c r="V616" s="137">
        <v>0.0</v>
      </c>
      <c r="W616" s="137">
        <v>4.0</v>
      </c>
      <c r="X616" s="137">
        <v>0.0</v>
      </c>
      <c r="Y616" s="137">
        <v>1.0</v>
      </c>
      <c r="Z616" s="137">
        <v>0.0</v>
      </c>
      <c r="AA616" s="137">
        <v>5.0</v>
      </c>
      <c r="AB616" s="137">
        <v>1.0</v>
      </c>
      <c r="AC616" s="137">
        <v>3.0</v>
      </c>
      <c r="AD616" s="137">
        <v>3.0</v>
      </c>
      <c r="AE616" s="137">
        <v>4.0</v>
      </c>
      <c r="AF616" s="137">
        <v>1.0</v>
      </c>
      <c r="AG616" s="137">
        <v>3.0</v>
      </c>
      <c r="AH616" s="137">
        <v>2.0</v>
      </c>
      <c r="AI616" s="137">
        <v>4.0</v>
      </c>
      <c r="AJ616" s="137">
        <v>3.0</v>
      </c>
      <c r="AK616" s="137">
        <v>0.0</v>
      </c>
      <c r="AL616" s="137">
        <v>2.0</v>
      </c>
      <c r="AM616" s="137">
        <v>3.0</v>
      </c>
      <c r="AN616" s="137">
        <v>54.0</v>
      </c>
    </row>
    <row r="617">
      <c r="A617" s="98"/>
      <c r="B617" s="136" t="s">
        <v>199</v>
      </c>
      <c r="C617" s="137">
        <v>6.0</v>
      </c>
      <c r="D617" s="137">
        <v>1.0</v>
      </c>
      <c r="E617" s="137">
        <v>5.0</v>
      </c>
      <c r="F617" s="137">
        <v>0.0</v>
      </c>
      <c r="G617" s="137">
        <v>1.0</v>
      </c>
      <c r="H617" s="137">
        <v>0.0</v>
      </c>
      <c r="I617" s="137">
        <v>0.0</v>
      </c>
      <c r="J617" s="137">
        <v>0.0</v>
      </c>
      <c r="K617" s="137">
        <v>0.0</v>
      </c>
      <c r="L617" s="137">
        <v>0.0</v>
      </c>
      <c r="M617" s="137">
        <v>0.0</v>
      </c>
      <c r="N617" s="137">
        <v>0.0</v>
      </c>
      <c r="O617" s="137">
        <v>0.0</v>
      </c>
      <c r="P617" s="137">
        <v>0.0</v>
      </c>
      <c r="Q617" s="137">
        <v>1.0</v>
      </c>
      <c r="R617" s="137">
        <v>0.0</v>
      </c>
      <c r="S617" s="137">
        <v>0.0</v>
      </c>
      <c r="T617" s="137">
        <v>0.0</v>
      </c>
      <c r="U617" s="137">
        <v>0.0</v>
      </c>
      <c r="V617" s="137">
        <v>0.0</v>
      </c>
      <c r="W617" s="137">
        <v>0.0</v>
      </c>
      <c r="X617" s="137">
        <v>0.0</v>
      </c>
      <c r="Y617" s="137">
        <v>0.0</v>
      </c>
      <c r="Z617" s="137">
        <v>0.0</v>
      </c>
      <c r="AA617" s="137">
        <v>1.0</v>
      </c>
      <c r="AB617" s="137">
        <v>0.0</v>
      </c>
      <c r="AC617" s="137">
        <v>1.0</v>
      </c>
      <c r="AD617" s="137">
        <v>0.0</v>
      </c>
      <c r="AE617" s="137">
        <v>0.0</v>
      </c>
      <c r="AF617" s="137">
        <v>0.0</v>
      </c>
      <c r="AG617" s="137">
        <v>0.0</v>
      </c>
      <c r="AH617" s="137">
        <v>0.0</v>
      </c>
      <c r="AI617" s="137">
        <v>0.0</v>
      </c>
      <c r="AJ617" s="137">
        <v>0.0</v>
      </c>
      <c r="AK617" s="137">
        <v>0.0</v>
      </c>
      <c r="AL617" s="137">
        <v>1.0</v>
      </c>
      <c r="AM617" s="137">
        <v>1.0</v>
      </c>
      <c r="AN617" s="137">
        <v>6.0</v>
      </c>
    </row>
    <row r="618">
      <c r="A618" s="104"/>
      <c r="B618" s="136" t="s">
        <v>206</v>
      </c>
      <c r="C618" s="137">
        <v>8.0</v>
      </c>
      <c r="D618" s="137">
        <v>1.0</v>
      </c>
      <c r="E618" s="137">
        <v>7.0</v>
      </c>
      <c r="F618" s="137">
        <v>0.0</v>
      </c>
      <c r="G618" s="137">
        <v>0.0</v>
      </c>
      <c r="H618" s="137">
        <v>0.0</v>
      </c>
      <c r="I618" s="137">
        <v>0.0</v>
      </c>
      <c r="J618" s="137">
        <v>0.0</v>
      </c>
      <c r="K618" s="137">
        <v>0.0</v>
      </c>
      <c r="L618" s="137">
        <v>0.0</v>
      </c>
      <c r="M618" s="137">
        <v>1.0</v>
      </c>
      <c r="N618" s="137">
        <v>0.0</v>
      </c>
      <c r="O618" s="137">
        <v>0.0</v>
      </c>
      <c r="P618" s="137">
        <v>0.0</v>
      </c>
      <c r="Q618" s="137">
        <v>1.0</v>
      </c>
      <c r="R618" s="137">
        <v>1.0</v>
      </c>
      <c r="S618" s="137">
        <v>0.0</v>
      </c>
      <c r="T618" s="137">
        <v>0.0</v>
      </c>
      <c r="U618" s="137">
        <v>0.0</v>
      </c>
      <c r="V618" s="137">
        <v>0.0</v>
      </c>
      <c r="W618" s="137">
        <v>1.0</v>
      </c>
      <c r="X618" s="137">
        <v>0.0</v>
      </c>
      <c r="Y618" s="137">
        <v>1.0</v>
      </c>
      <c r="Z618" s="137">
        <v>0.0</v>
      </c>
      <c r="AA618" s="137">
        <v>0.0</v>
      </c>
      <c r="AB618" s="137">
        <v>0.0</v>
      </c>
      <c r="AC618" s="137">
        <v>0.0</v>
      </c>
      <c r="AD618" s="137">
        <v>0.0</v>
      </c>
      <c r="AE618" s="137">
        <v>0.0</v>
      </c>
      <c r="AF618" s="137">
        <v>0.0</v>
      </c>
      <c r="AG618" s="137">
        <v>0.0</v>
      </c>
      <c r="AH618" s="137">
        <v>0.0</v>
      </c>
      <c r="AI618" s="137">
        <v>2.0</v>
      </c>
      <c r="AJ618" s="137">
        <v>0.0</v>
      </c>
      <c r="AK618" s="137">
        <v>0.0</v>
      </c>
      <c r="AL618" s="137">
        <v>0.0</v>
      </c>
      <c r="AM618" s="137">
        <v>1.0</v>
      </c>
      <c r="AN618" s="137">
        <v>8.0</v>
      </c>
    </row>
    <row r="619">
      <c r="A619" s="132" t="s">
        <v>207</v>
      </c>
      <c r="B619" s="136" t="s">
        <v>198</v>
      </c>
      <c r="C619" s="134">
        <v>9952.0</v>
      </c>
      <c r="D619" s="134">
        <v>2474.0</v>
      </c>
      <c r="E619" s="134">
        <v>7478.0</v>
      </c>
      <c r="F619" s="137">
        <v>36.0</v>
      </c>
      <c r="G619" s="137">
        <v>44.0</v>
      </c>
      <c r="H619" s="137">
        <v>38.0</v>
      </c>
      <c r="I619" s="137">
        <v>48.0</v>
      </c>
      <c r="J619" s="137">
        <v>50.0</v>
      </c>
      <c r="K619" s="137">
        <v>50.0</v>
      </c>
      <c r="L619" s="137">
        <v>61.0</v>
      </c>
      <c r="M619" s="137">
        <v>107.0</v>
      </c>
      <c r="N619" s="137">
        <v>43.0</v>
      </c>
      <c r="O619" s="137">
        <v>171.0</v>
      </c>
      <c r="P619" s="137">
        <v>62.0</v>
      </c>
      <c r="Q619" s="137">
        <v>297.0</v>
      </c>
      <c r="R619" s="137">
        <v>46.0</v>
      </c>
      <c r="S619" s="137">
        <v>250.0</v>
      </c>
      <c r="T619" s="137">
        <v>88.0</v>
      </c>
      <c r="U619" s="137">
        <v>298.0</v>
      </c>
      <c r="V619" s="137">
        <v>123.0</v>
      </c>
      <c r="W619" s="137">
        <v>435.0</v>
      </c>
      <c r="X619" s="137">
        <v>170.0</v>
      </c>
      <c r="Y619" s="137">
        <v>618.0</v>
      </c>
      <c r="Z619" s="137">
        <v>203.0</v>
      </c>
      <c r="AA619" s="137">
        <v>912.0</v>
      </c>
      <c r="AB619" s="137">
        <v>261.0</v>
      </c>
      <c r="AC619" s="137">
        <v>962.0</v>
      </c>
      <c r="AD619" s="137">
        <v>277.0</v>
      </c>
      <c r="AE619" s="137">
        <v>873.0</v>
      </c>
      <c r="AF619" s="137">
        <v>273.0</v>
      </c>
      <c r="AG619" s="137">
        <v>768.0</v>
      </c>
      <c r="AH619" s="137">
        <v>254.0</v>
      </c>
      <c r="AI619" s="137">
        <v>689.0</v>
      </c>
      <c r="AJ619" s="137">
        <v>216.0</v>
      </c>
      <c r="AK619" s="137">
        <v>470.0</v>
      </c>
      <c r="AL619" s="137">
        <v>273.0</v>
      </c>
      <c r="AM619" s="137">
        <v>486.0</v>
      </c>
      <c r="AN619" s="134">
        <v>9951.0</v>
      </c>
    </row>
    <row r="620">
      <c r="A620" s="98"/>
      <c r="B620" s="136" t="s">
        <v>199</v>
      </c>
      <c r="C620" s="137">
        <v>886.0</v>
      </c>
      <c r="D620" s="137">
        <v>220.0</v>
      </c>
      <c r="E620" s="137">
        <v>666.0</v>
      </c>
      <c r="F620" s="137">
        <v>71.0</v>
      </c>
      <c r="G620" s="137">
        <v>54.0</v>
      </c>
      <c r="H620" s="137">
        <v>8.0</v>
      </c>
      <c r="I620" s="137">
        <v>20.0</v>
      </c>
      <c r="J620" s="137">
        <v>3.0</v>
      </c>
      <c r="K620" s="137">
        <v>3.0</v>
      </c>
      <c r="L620" s="137">
        <v>0.0</v>
      </c>
      <c r="M620" s="137">
        <v>8.0</v>
      </c>
      <c r="N620" s="137">
        <v>1.0</v>
      </c>
      <c r="O620" s="137">
        <v>11.0</v>
      </c>
      <c r="P620" s="137">
        <v>1.0</v>
      </c>
      <c r="Q620" s="137">
        <v>11.0</v>
      </c>
      <c r="R620" s="137">
        <v>0.0</v>
      </c>
      <c r="S620" s="137">
        <v>5.0</v>
      </c>
      <c r="T620" s="137">
        <v>1.0</v>
      </c>
      <c r="U620" s="137">
        <v>5.0</v>
      </c>
      <c r="V620" s="137">
        <v>1.0</v>
      </c>
      <c r="W620" s="137">
        <v>7.0</v>
      </c>
      <c r="X620" s="137">
        <v>4.0</v>
      </c>
      <c r="Y620" s="137">
        <v>18.0</v>
      </c>
      <c r="Z620" s="137">
        <v>3.0</v>
      </c>
      <c r="AA620" s="137">
        <v>27.0</v>
      </c>
      <c r="AB620" s="137">
        <v>6.0</v>
      </c>
      <c r="AC620" s="137">
        <v>36.0</v>
      </c>
      <c r="AD620" s="137">
        <v>12.0</v>
      </c>
      <c r="AE620" s="137">
        <v>46.0</v>
      </c>
      <c r="AF620" s="137">
        <v>20.0</v>
      </c>
      <c r="AG620" s="137">
        <v>91.0</v>
      </c>
      <c r="AH620" s="137">
        <v>28.0</v>
      </c>
      <c r="AI620" s="137">
        <v>99.0</v>
      </c>
      <c r="AJ620" s="137">
        <v>27.0</v>
      </c>
      <c r="AK620" s="137">
        <v>101.0</v>
      </c>
      <c r="AL620" s="137">
        <v>34.0</v>
      </c>
      <c r="AM620" s="137">
        <v>124.0</v>
      </c>
      <c r="AN620" s="137">
        <v>886.0</v>
      </c>
    </row>
    <row r="621">
      <c r="A621" s="98"/>
      <c r="B621" s="136" t="s">
        <v>206</v>
      </c>
      <c r="C621" s="137">
        <v>3.0</v>
      </c>
      <c r="D621" s="137">
        <v>2.0</v>
      </c>
      <c r="E621" s="137">
        <v>1.0</v>
      </c>
      <c r="F621" s="137">
        <v>1.0</v>
      </c>
      <c r="G621" s="137">
        <v>0.0</v>
      </c>
      <c r="H621" s="137">
        <v>0.0</v>
      </c>
      <c r="I621" s="137">
        <v>0.0</v>
      </c>
      <c r="J621" s="137">
        <v>0.0</v>
      </c>
      <c r="K621" s="137">
        <v>0.0</v>
      </c>
      <c r="L621" s="137">
        <v>0.0</v>
      </c>
      <c r="M621" s="137">
        <v>0.0</v>
      </c>
      <c r="N621" s="137">
        <v>0.0</v>
      </c>
      <c r="O621" s="137">
        <v>0.0</v>
      </c>
      <c r="P621" s="137">
        <v>0.0</v>
      </c>
      <c r="Q621" s="137">
        <v>0.0</v>
      </c>
      <c r="R621" s="137">
        <v>0.0</v>
      </c>
      <c r="S621" s="137">
        <v>0.0</v>
      </c>
      <c r="T621" s="137">
        <v>0.0</v>
      </c>
      <c r="U621" s="137">
        <v>1.0</v>
      </c>
      <c r="V621" s="137">
        <v>0.0</v>
      </c>
      <c r="W621" s="137">
        <v>0.0</v>
      </c>
      <c r="X621" s="137">
        <v>0.0</v>
      </c>
      <c r="Y621" s="137">
        <v>0.0</v>
      </c>
      <c r="Z621" s="137">
        <v>0.0</v>
      </c>
      <c r="AA621" s="137">
        <v>0.0</v>
      </c>
      <c r="AB621" s="137">
        <v>0.0</v>
      </c>
      <c r="AC621" s="137">
        <v>0.0</v>
      </c>
      <c r="AD621" s="137">
        <v>0.0</v>
      </c>
      <c r="AE621" s="137">
        <v>0.0</v>
      </c>
      <c r="AF621" s="137">
        <v>1.0</v>
      </c>
      <c r="AG621" s="137">
        <v>0.0</v>
      </c>
      <c r="AH621" s="137">
        <v>0.0</v>
      </c>
      <c r="AI621" s="137">
        <v>0.0</v>
      </c>
      <c r="AJ621" s="137">
        <v>0.0</v>
      </c>
      <c r="AK621" s="137">
        <v>0.0</v>
      </c>
      <c r="AL621" s="137">
        <v>0.0</v>
      </c>
      <c r="AM621" s="137">
        <v>0.0</v>
      </c>
      <c r="AN621" s="137">
        <v>3.0</v>
      </c>
    </row>
    <row r="622">
      <c r="A622" s="98"/>
      <c r="B622" s="136" t="s">
        <v>200</v>
      </c>
      <c r="C622" s="134">
        <v>9904.0</v>
      </c>
      <c r="D622" s="134">
        <v>3770.0</v>
      </c>
      <c r="E622" s="134">
        <v>6134.0</v>
      </c>
      <c r="F622" s="134">
        <v>2182.0</v>
      </c>
      <c r="G622" s="134">
        <v>2030.0</v>
      </c>
      <c r="H622" s="137">
        <v>687.0</v>
      </c>
      <c r="I622" s="137">
        <v>759.0</v>
      </c>
      <c r="J622" s="137">
        <v>273.0</v>
      </c>
      <c r="K622" s="137">
        <v>278.0</v>
      </c>
      <c r="L622" s="137">
        <v>37.0</v>
      </c>
      <c r="M622" s="137">
        <v>282.0</v>
      </c>
      <c r="N622" s="137">
        <v>23.0</v>
      </c>
      <c r="O622" s="137">
        <v>422.0</v>
      </c>
      <c r="P622" s="137">
        <v>25.0</v>
      </c>
      <c r="Q622" s="137">
        <v>504.0</v>
      </c>
      <c r="R622" s="137">
        <v>28.0</v>
      </c>
      <c r="S622" s="137">
        <v>359.0</v>
      </c>
      <c r="T622" s="137">
        <v>20.0</v>
      </c>
      <c r="U622" s="137">
        <v>259.0</v>
      </c>
      <c r="V622" s="137">
        <v>23.0</v>
      </c>
      <c r="W622" s="137">
        <v>170.0</v>
      </c>
      <c r="X622" s="137">
        <v>52.0</v>
      </c>
      <c r="Y622" s="137">
        <v>176.0</v>
      </c>
      <c r="Z622" s="137">
        <v>67.0</v>
      </c>
      <c r="AA622" s="137">
        <v>204.0</v>
      </c>
      <c r="AB622" s="137">
        <v>67.0</v>
      </c>
      <c r="AC622" s="137">
        <v>185.0</v>
      </c>
      <c r="AD622" s="137">
        <v>67.0</v>
      </c>
      <c r="AE622" s="137">
        <v>137.0</v>
      </c>
      <c r="AF622" s="137">
        <v>56.0</v>
      </c>
      <c r="AG622" s="137">
        <v>155.0</v>
      </c>
      <c r="AH622" s="137">
        <v>68.0</v>
      </c>
      <c r="AI622" s="137">
        <v>86.0</v>
      </c>
      <c r="AJ622" s="137">
        <v>27.0</v>
      </c>
      <c r="AK622" s="137">
        <v>56.0</v>
      </c>
      <c r="AL622" s="137">
        <v>68.0</v>
      </c>
      <c r="AM622" s="137">
        <v>72.0</v>
      </c>
      <c r="AN622" s="134">
        <v>9889.0</v>
      </c>
    </row>
    <row r="623">
      <c r="A623" s="104"/>
      <c r="B623" s="136" t="s">
        <v>201</v>
      </c>
      <c r="C623" s="137">
        <v>97.0</v>
      </c>
      <c r="D623" s="137">
        <v>49.0</v>
      </c>
      <c r="E623" s="137">
        <v>48.0</v>
      </c>
      <c r="F623" s="137">
        <v>0.0</v>
      </c>
      <c r="G623" s="137">
        <v>1.0</v>
      </c>
      <c r="H623" s="137">
        <v>1.0</v>
      </c>
      <c r="I623" s="137">
        <v>0.0</v>
      </c>
      <c r="J623" s="137">
        <v>0.0</v>
      </c>
      <c r="K623" s="137">
        <v>0.0</v>
      </c>
      <c r="L623" s="137">
        <v>0.0</v>
      </c>
      <c r="M623" s="137">
        <v>0.0</v>
      </c>
      <c r="N623" s="137">
        <v>3.0</v>
      </c>
      <c r="O623" s="137">
        <v>0.0</v>
      </c>
      <c r="P623" s="137">
        <v>0.0</v>
      </c>
      <c r="Q623" s="137">
        <v>0.0</v>
      </c>
      <c r="R623" s="137">
        <v>0.0</v>
      </c>
      <c r="S623" s="137">
        <v>1.0</v>
      </c>
      <c r="T623" s="137">
        <v>5.0</v>
      </c>
      <c r="U623" s="137">
        <v>0.0</v>
      </c>
      <c r="V623" s="137">
        <v>1.0</v>
      </c>
      <c r="W623" s="137">
        <v>2.0</v>
      </c>
      <c r="X623" s="137">
        <v>25.0</v>
      </c>
      <c r="Y623" s="137">
        <v>0.0</v>
      </c>
      <c r="Z623" s="137">
        <v>0.0</v>
      </c>
      <c r="AA623" s="137">
        <v>38.0</v>
      </c>
      <c r="AB623" s="137">
        <v>0.0</v>
      </c>
      <c r="AC623" s="137">
        <v>2.0</v>
      </c>
      <c r="AD623" s="137">
        <v>9.0</v>
      </c>
      <c r="AE623" s="137">
        <v>0.0</v>
      </c>
      <c r="AF623" s="137">
        <v>4.0</v>
      </c>
      <c r="AG623" s="137">
        <v>1.0</v>
      </c>
      <c r="AH623" s="137">
        <v>0.0</v>
      </c>
      <c r="AI623" s="137">
        <v>0.0</v>
      </c>
      <c r="AJ623" s="137">
        <v>0.0</v>
      </c>
      <c r="AK623" s="137">
        <v>1.0</v>
      </c>
      <c r="AL623" s="137">
        <v>1.0</v>
      </c>
      <c r="AM623" s="137">
        <v>2.0</v>
      </c>
      <c r="AN623" s="137">
        <v>97.0</v>
      </c>
    </row>
    <row r="624">
      <c r="A624" s="132" t="s">
        <v>208</v>
      </c>
      <c r="B624" s="136" t="s">
        <v>198</v>
      </c>
      <c r="C624" s="137">
        <v>5.0</v>
      </c>
      <c r="D624" s="137">
        <v>4.0</v>
      </c>
      <c r="E624" s="137">
        <v>1.0</v>
      </c>
      <c r="F624" s="137">
        <v>4.0</v>
      </c>
      <c r="G624" s="137">
        <v>1.0</v>
      </c>
      <c r="H624" s="137">
        <v>0.0</v>
      </c>
      <c r="I624" s="137">
        <v>0.0</v>
      </c>
      <c r="J624" s="137">
        <v>0.0</v>
      </c>
      <c r="K624" s="137">
        <v>0.0</v>
      </c>
      <c r="L624" s="137">
        <v>0.0</v>
      </c>
      <c r="M624" s="137">
        <v>0.0</v>
      </c>
      <c r="N624" s="137">
        <v>0.0</v>
      </c>
      <c r="O624" s="137">
        <v>0.0</v>
      </c>
      <c r="P624" s="135">
        <v>0.0</v>
      </c>
      <c r="Q624" s="135">
        <v>0.0</v>
      </c>
      <c r="R624" s="135">
        <v>0.0</v>
      </c>
      <c r="S624" s="135">
        <v>0.0</v>
      </c>
      <c r="T624" s="135">
        <v>0.0</v>
      </c>
      <c r="U624" s="135">
        <v>0.0</v>
      </c>
      <c r="V624" s="135">
        <v>0.0</v>
      </c>
      <c r="W624" s="135">
        <v>0.0</v>
      </c>
      <c r="X624" s="135">
        <v>0.0</v>
      </c>
      <c r="Y624" s="135">
        <v>0.0</v>
      </c>
      <c r="Z624" s="135">
        <v>0.0</v>
      </c>
      <c r="AA624" s="135">
        <v>0.0</v>
      </c>
      <c r="AB624" s="135">
        <v>0.0</v>
      </c>
      <c r="AC624" s="135">
        <v>0.0</v>
      </c>
      <c r="AD624" s="135">
        <v>0.0</v>
      </c>
      <c r="AE624" s="135">
        <v>0.0</v>
      </c>
      <c r="AF624" s="135">
        <v>0.0</v>
      </c>
      <c r="AG624" s="135">
        <v>0.0</v>
      </c>
      <c r="AH624" s="135">
        <v>0.0</v>
      </c>
      <c r="AI624" s="135">
        <v>0.0</v>
      </c>
      <c r="AJ624" s="135">
        <v>0.0</v>
      </c>
      <c r="AK624" s="135">
        <v>0.0</v>
      </c>
      <c r="AL624" s="135">
        <v>0.0</v>
      </c>
      <c r="AM624" s="135">
        <v>0.0</v>
      </c>
      <c r="AN624" s="137">
        <v>5.0</v>
      </c>
    </row>
    <row r="625">
      <c r="A625" s="98"/>
      <c r="B625" s="136" t="s">
        <v>199</v>
      </c>
      <c r="C625" s="137">
        <v>47.0</v>
      </c>
      <c r="D625" s="137">
        <v>21.0</v>
      </c>
      <c r="E625" s="137">
        <v>26.0</v>
      </c>
      <c r="F625" s="137">
        <v>13.0</v>
      </c>
      <c r="G625" s="137">
        <v>18.0</v>
      </c>
      <c r="H625" s="137">
        <v>6.0</v>
      </c>
      <c r="I625" s="137">
        <v>6.0</v>
      </c>
      <c r="J625" s="137">
        <v>2.0</v>
      </c>
      <c r="K625" s="137">
        <v>2.0</v>
      </c>
      <c r="L625" s="137">
        <v>0.0</v>
      </c>
      <c r="M625" s="137">
        <v>0.0</v>
      </c>
      <c r="N625" s="137">
        <v>0.0</v>
      </c>
      <c r="O625" s="137">
        <v>0.0</v>
      </c>
      <c r="P625" s="135">
        <v>0.0</v>
      </c>
      <c r="Q625" s="135">
        <v>0.0</v>
      </c>
      <c r="R625" s="135">
        <v>0.0</v>
      </c>
      <c r="S625" s="135">
        <v>0.0</v>
      </c>
      <c r="T625" s="135">
        <v>0.0</v>
      </c>
      <c r="U625" s="135">
        <v>0.0</v>
      </c>
      <c r="V625" s="135">
        <v>0.0</v>
      </c>
      <c r="W625" s="135">
        <v>0.0</v>
      </c>
      <c r="X625" s="135">
        <v>0.0</v>
      </c>
      <c r="Y625" s="135">
        <v>0.0</v>
      </c>
      <c r="Z625" s="135">
        <v>0.0</v>
      </c>
      <c r="AA625" s="135">
        <v>0.0</v>
      </c>
      <c r="AB625" s="135">
        <v>0.0</v>
      </c>
      <c r="AC625" s="135">
        <v>0.0</v>
      </c>
      <c r="AD625" s="135">
        <v>0.0</v>
      </c>
      <c r="AE625" s="135">
        <v>0.0</v>
      </c>
      <c r="AF625" s="135">
        <v>0.0</v>
      </c>
      <c r="AG625" s="135">
        <v>0.0</v>
      </c>
      <c r="AH625" s="135">
        <v>0.0</v>
      </c>
      <c r="AI625" s="135">
        <v>0.0</v>
      </c>
      <c r="AJ625" s="135">
        <v>0.0</v>
      </c>
      <c r="AK625" s="135">
        <v>0.0</v>
      </c>
      <c r="AL625" s="135">
        <v>0.0</v>
      </c>
      <c r="AM625" s="135">
        <v>0.0</v>
      </c>
      <c r="AN625" s="137">
        <v>47.0</v>
      </c>
    </row>
    <row r="626">
      <c r="A626" s="98"/>
      <c r="B626" s="136" t="s">
        <v>206</v>
      </c>
      <c r="C626" s="137">
        <v>1.0</v>
      </c>
      <c r="D626" s="137">
        <v>0.0</v>
      </c>
      <c r="E626" s="137">
        <v>1.0</v>
      </c>
      <c r="F626" s="137">
        <v>0.0</v>
      </c>
      <c r="G626" s="137">
        <v>0.0</v>
      </c>
      <c r="H626" s="137">
        <v>0.0</v>
      </c>
      <c r="I626" s="137">
        <v>0.0</v>
      </c>
      <c r="J626" s="137">
        <v>0.0</v>
      </c>
      <c r="K626" s="137">
        <v>0.0</v>
      </c>
      <c r="L626" s="137">
        <v>0.0</v>
      </c>
      <c r="M626" s="137">
        <v>1.0</v>
      </c>
      <c r="N626" s="137">
        <v>0.0</v>
      </c>
      <c r="O626" s="137">
        <v>0.0</v>
      </c>
      <c r="P626" s="135">
        <v>0.0</v>
      </c>
      <c r="Q626" s="135">
        <v>0.0</v>
      </c>
      <c r="R626" s="135">
        <v>0.0</v>
      </c>
      <c r="S626" s="135">
        <v>0.0</v>
      </c>
      <c r="T626" s="135">
        <v>0.0</v>
      </c>
      <c r="U626" s="135">
        <v>0.0</v>
      </c>
      <c r="V626" s="135">
        <v>0.0</v>
      </c>
      <c r="W626" s="135">
        <v>0.0</v>
      </c>
      <c r="X626" s="135">
        <v>0.0</v>
      </c>
      <c r="Y626" s="135">
        <v>0.0</v>
      </c>
      <c r="Z626" s="135">
        <v>0.0</v>
      </c>
      <c r="AA626" s="135">
        <v>0.0</v>
      </c>
      <c r="AB626" s="135">
        <v>0.0</v>
      </c>
      <c r="AC626" s="135">
        <v>0.0</v>
      </c>
      <c r="AD626" s="135">
        <v>0.0</v>
      </c>
      <c r="AE626" s="135">
        <v>0.0</v>
      </c>
      <c r="AF626" s="135">
        <v>0.0</v>
      </c>
      <c r="AG626" s="135">
        <v>0.0</v>
      </c>
      <c r="AH626" s="135">
        <v>0.0</v>
      </c>
      <c r="AI626" s="135">
        <v>0.0</v>
      </c>
      <c r="AJ626" s="135">
        <v>0.0</v>
      </c>
      <c r="AK626" s="135">
        <v>0.0</v>
      </c>
      <c r="AL626" s="135">
        <v>0.0</v>
      </c>
      <c r="AM626" s="135">
        <v>0.0</v>
      </c>
      <c r="AN626" s="137">
        <v>1.0</v>
      </c>
    </row>
    <row r="627">
      <c r="A627" s="98"/>
      <c r="B627" s="136" t="s">
        <v>200</v>
      </c>
      <c r="C627" s="137">
        <v>32.0</v>
      </c>
      <c r="D627" s="137">
        <v>16.0</v>
      </c>
      <c r="E627" s="137">
        <v>16.0</v>
      </c>
      <c r="F627" s="137">
        <v>10.0</v>
      </c>
      <c r="G627" s="137">
        <v>9.0</v>
      </c>
      <c r="H627" s="137">
        <v>2.0</v>
      </c>
      <c r="I627" s="137">
        <v>4.0</v>
      </c>
      <c r="J627" s="137">
        <v>4.0</v>
      </c>
      <c r="K627" s="137">
        <v>1.0</v>
      </c>
      <c r="L627" s="137">
        <v>0.0</v>
      </c>
      <c r="M627" s="137">
        <v>2.0</v>
      </c>
      <c r="N627" s="137">
        <v>0.0</v>
      </c>
      <c r="O627" s="137">
        <v>0.0</v>
      </c>
      <c r="P627" s="135">
        <v>0.0</v>
      </c>
      <c r="Q627" s="135">
        <v>0.0</v>
      </c>
      <c r="R627" s="135">
        <v>0.0</v>
      </c>
      <c r="S627" s="135">
        <v>0.0</v>
      </c>
      <c r="T627" s="135">
        <v>0.0</v>
      </c>
      <c r="U627" s="135">
        <v>0.0</v>
      </c>
      <c r="V627" s="135">
        <v>0.0</v>
      </c>
      <c r="W627" s="135">
        <v>0.0</v>
      </c>
      <c r="X627" s="135">
        <v>0.0</v>
      </c>
      <c r="Y627" s="135">
        <v>0.0</v>
      </c>
      <c r="Z627" s="135">
        <v>0.0</v>
      </c>
      <c r="AA627" s="135">
        <v>0.0</v>
      </c>
      <c r="AB627" s="135">
        <v>0.0</v>
      </c>
      <c r="AC627" s="135">
        <v>0.0</v>
      </c>
      <c r="AD627" s="135">
        <v>0.0</v>
      </c>
      <c r="AE627" s="135">
        <v>0.0</v>
      </c>
      <c r="AF627" s="135">
        <v>0.0</v>
      </c>
      <c r="AG627" s="135">
        <v>0.0</v>
      </c>
      <c r="AH627" s="135">
        <v>0.0</v>
      </c>
      <c r="AI627" s="135">
        <v>0.0</v>
      </c>
      <c r="AJ627" s="135">
        <v>0.0</v>
      </c>
      <c r="AK627" s="135">
        <v>0.0</v>
      </c>
      <c r="AL627" s="135">
        <v>0.0</v>
      </c>
      <c r="AM627" s="135">
        <v>0.0</v>
      </c>
      <c r="AN627" s="137">
        <v>32.0</v>
      </c>
    </row>
    <row r="628">
      <c r="A628" s="104"/>
      <c r="B628" s="136" t="s">
        <v>201</v>
      </c>
      <c r="C628" s="137">
        <v>0.0</v>
      </c>
      <c r="D628" s="137">
        <v>0.0</v>
      </c>
      <c r="E628" s="137">
        <v>0.0</v>
      </c>
      <c r="F628" s="137">
        <v>0.0</v>
      </c>
      <c r="G628" s="137">
        <v>0.0</v>
      </c>
      <c r="H628" s="137">
        <v>0.0</v>
      </c>
      <c r="I628" s="137">
        <v>0.0</v>
      </c>
      <c r="J628" s="137">
        <v>0.0</v>
      </c>
      <c r="K628" s="137">
        <v>0.0</v>
      </c>
      <c r="L628" s="137">
        <v>0.0</v>
      </c>
      <c r="M628" s="137">
        <v>0.0</v>
      </c>
      <c r="N628" s="137">
        <v>0.0</v>
      </c>
      <c r="O628" s="137">
        <v>0.0</v>
      </c>
      <c r="P628" s="135">
        <v>0.0</v>
      </c>
      <c r="Q628" s="135">
        <v>0.0</v>
      </c>
      <c r="R628" s="135">
        <v>0.0</v>
      </c>
      <c r="S628" s="135">
        <v>0.0</v>
      </c>
      <c r="T628" s="135">
        <v>0.0</v>
      </c>
      <c r="U628" s="135">
        <v>0.0</v>
      </c>
      <c r="V628" s="135">
        <v>0.0</v>
      </c>
      <c r="W628" s="135">
        <v>0.0</v>
      </c>
      <c r="X628" s="135">
        <v>0.0</v>
      </c>
      <c r="Y628" s="135">
        <v>0.0</v>
      </c>
      <c r="Z628" s="135">
        <v>0.0</v>
      </c>
      <c r="AA628" s="135">
        <v>0.0</v>
      </c>
      <c r="AB628" s="135">
        <v>0.0</v>
      </c>
      <c r="AC628" s="135">
        <v>0.0</v>
      </c>
      <c r="AD628" s="135">
        <v>0.0</v>
      </c>
      <c r="AE628" s="135">
        <v>0.0</v>
      </c>
      <c r="AF628" s="135">
        <v>0.0</v>
      </c>
      <c r="AG628" s="135">
        <v>0.0</v>
      </c>
      <c r="AH628" s="135">
        <v>0.0</v>
      </c>
      <c r="AI628" s="135">
        <v>0.0</v>
      </c>
      <c r="AJ628" s="135">
        <v>0.0</v>
      </c>
      <c r="AK628" s="135">
        <v>0.0</v>
      </c>
      <c r="AL628" s="135">
        <v>0.0</v>
      </c>
      <c r="AM628" s="135">
        <v>0.0</v>
      </c>
      <c r="AN628" s="137">
        <v>0.0</v>
      </c>
    </row>
    <row r="629">
      <c r="A629" s="138" t="s">
        <v>234</v>
      </c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</row>
    <row r="630">
      <c r="A630" s="132" t="s">
        <v>197</v>
      </c>
      <c r="B630" s="133" t="s">
        <v>198</v>
      </c>
      <c r="C630" s="134">
        <v>66712.0</v>
      </c>
      <c r="D630" s="134">
        <v>24309.0</v>
      </c>
      <c r="E630" s="134">
        <v>42403.0</v>
      </c>
      <c r="F630" s="135">
        <v>0.0</v>
      </c>
      <c r="G630" s="135">
        <v>0.0</v>
      </c>
      <c r="H630" s="135">
        <v>0.0</v>
      </c>
      <c r="I630" s="135">
        <v>0.0</v>
      </c>
      <c r="J630" s="135">
        <v>0.0</v>
      </c>
      <c r="K630" s="135">
        <v>0.0</v>
      </c>
      <c r="L630" s="137">
        <v>32.0</v>
      </c>
      <c r="M630" s="137">
        <v>47.0</v>
      </c>
      <c r="N630" s="137">
        <v>48.0</v>
      </c>
      <c r="O630" s="137">
        <v>92.0</v>
      </c>
      <c r="P630" s="137">
        <v>111.0</v>
      </c>
      <c r="Q630" s="137">
        <v>264.0</v>
      </c>
      <c r="R630" s="137">
        <v>174.0</v>
      </c>
      <c r="S630" s="137">
        <v>484.0</v>
      </c>
      <c r="T630" s="137">
        <v>377.0</v>
      </c>
      <c r="U630" s="137">
        <v>922.0</v>
      </c>
      <c r="V630" s="137">
        <v>777.0</v>
      </c>
      <c r="W630" s="134">
        <v>1664.0</v>
      </c>
      <c r="X630" s="134">
        <v>1440.0</v>
      </c>
      <c r="Y630" s="134">
        <v>3126.0</v>
      </c>
      <c r="Z630" s="134">
        <v>2441.0</v>
      </c>
      <c r="AA630" s="134">
        <v>4865.0</v>
      </c>
      <c r="AB630" s="134">
        <v>3064.0</v>
      </c>
      <c r="AC630" s="134">
        <v>5640.0</v>
      </c>
      <c r="AD630" s="134">
        <v>3458.0</v>
      </c>
      <c r="AE630" s="134">
        <v>5789.0</v>
      </c>
      <c r="AF630" s="134">
        <v>3442.0</v>
      </c>
      <c r="AG630" s="134">
        <v>5451.0</v>
      </c>
      <c r="AH630" s="134">
        <v>3445.0</v>
      </c>
      <c r="AI630" s="134">
        <v>5305.0</v>
      </c>
      <c r="AJ630" s="134">
        <v>2652.0</v>
      </c>
      <c r="AK630" s="134">
        <v>4237.0</v>
      </c>
      <c r="AL630" s="134">
        <v>2849.0</v>
      </c>
      <c r="AM630" s="134">
        <v>4526.0</v>
      </c>
      <c r="AN630" s="134">
        <v>65876.0</v>
      </c>
    </row>
    <row r="631">
      <c r="A631" s="98"/>
      <c r="B631" s="136" t="s">
        <v>199</v>
      </c>
      <c r="C631" s="134">
        <v>33269.0</v>
      </c>
      <c r="D631" s="134">
        <v>12245.0</v>
      </c>
      <c r="E631" s="134">
        <v>21024.0</v>
      </c>
      <c r="F631" s="135">
        <v>0.0</v>
      </c>
      <c r="G631" s="135">
        <v>0.0</v>
      </c>
      <c r="H631" s="135">
        <v>0.0</v>
      </c>
      <c r="I631" s="135">
        <v>0.0</v>
      </c>
      <c r="J631" s="135">
        <v>0.0</v>
      </c>
      <c r="K631" s="135">
        <v>0.0</v>
      </c>
      <c r="L631" s="137">
        <v>2.0</v>
      </c>
      <c r="M631" s="137">
        <v>5.0</v>
      </c>
      <c r="N631" s="137">
        <v>8.0</v>
      </c>
      <c r="O631" s="137">
        <v>28.0</v>
      </c>
      <c r="P631" s="137">
        <v>23.0</v>
      </c>
      <c r="Q631" s="137">
        <v>78.0</v>
      </c>
      <c r="R631" s="137">
        <v>74.0</v>
      </c>
      <c r="S631" s="137">
        <v>142.0</v>
      </c>
      <c r="T631" s="137">
        <v>133.0</v>
      </c>
      <c r="U631" s="137">
        <v>327.0</v>
      </c>
      <c r="V631" s="137">
        <v>315.0</v>
      </c>
      <c r="W631" s="137">
        <v>698.0</v>
      </c>
      <c r="X631" s="137">
        <v>572.0</v>
      </c>
      <c r="Y631" s="134">
        <v>1313.0</v>
      </c>
      <c r="Z631" s="134">
        <v>1045.0</v>
      </c>
      <c r="AA631" s="134">
        <v>2215.0</v>
      </c>
      <c r="AB631" s="134">
        <v>1349.0</v>
      </c>
      <c r="AC631" s="134">
        <v>2734.0</v>
      </c>
      <c r="AD631" s="134">
        <v>1722.0</v>
      </c>
      <c r="AE631" s="134">
        <v>2898.0</v>
      </c>
      <c r="AF631" s="134">
        <v>1881.0</v>
      </c>
      <c r="AG631" s="134">
        <v>3135.0</v>
      </c>
      <c r="AH631" s="134">
        <v>2006.0</v>
      </c>
      <c r="AI631" s="134">
        <v>2801.0</v>
      </c>
      <c r="AJ631" s="134">
        <v>1566.0</v>
      </c>
      <c r="AK631" s="134">
        <v>2254.0</v>
      </c>
      <c r="AL631" s="134">
        <v>1549.0</v>
      </c>
      <c r="AM631" s="134">
        <v>2396.0</v>
      </c>
      <c r="AN631" s="134">
        <v>33131.0</v>
      </c>
    </row>
    <row r="632">
      <c r="A632" s="98"/>
      <c r="B632" s="136" t="s">
        <v>200</v>
      </c>
      <c r="C632" s="134">
        <v>26709.0</v>
      </c>
      <c r="D632" s="134">
        <v>9000.0</v>
      </c>
      <c r="E632" s="134">
        <v>17709.0</v>
      </c>
      <c r="F632" s="135">
        <v>0.0</v>
      </c>
      <c r="G632" s="135">
        <v>0.0</v>
      </c>
      <c r="H632" s="135">
        <v>0.0</v>
      </c>
      <c r="I632" s="135">
        <v>0.0</v>
      </c>
      <c r="J632" s="135">
        <v>0.0</v>
      </c>
      <c r="K632" s="135">
        <v>0.0</v>
      </c>
      <c r="L632" s="137">
        <v>18.0</v>
      </c>
      <c r="M632" s="137">
        <v>42.0</v>
      </c>
      <c r="N632" s="137">
        <v>16.0</v>
      </c>
      <c r="O632" s="137">
        <v>71.0</v>
      </c>
      <c r="P632" s="137">
        <v>52.0</v>
      </c>
      <c r="Q632" s="137">
        <v>185.0</v>
      </c>
      <c r="R632" s="137">
        <v>85.0</v>
      </c>
      <c r="S632" s="137">
        <v>247.0</v>
      </c>
      <c r="T632" s="137">
        <v>156.0</v>
      </c>
      <c r="U632" s="137">
        <v>420.0</v>
      </c>
      <c r="V632" s="137">
        <v>296.0</v>
      </c>
      <c r="W632" s="137">
        <v>775.0</v>
      </c>
      <c r="X632" s="137">
        <v>528.0</v>
      </c>
      <c r="Y632" s="134">
        <v>1413.0</v>
      </c>
      <c r="Z632" s="137">
        <v>927.0</v>
      </c>
      <c r="AA632" s="134">
        <v>2254.0</v>
      </c>
      <c r="AB632" s="134">
        <v>1062.0</v>
      </c>
      <c r="AC632" s="134">
        <v>2427.0</v>
      </c>
      <c r="AD632" s="134">
        <v>1257.0</v>
      </c>
      <c r="AE632" s="134">
        <v>2427.0</v>
      </c>
      <c r="AF632" s="134">
        <v>1291.0</v>
      </c>
      <c r="AG632" s="134">
        <v>2306.0</v>
      </c>
      <c r="AH632" s="134">
        <v>1334.0</v>
      </c>
      <c r="AI632" s="134">
        <v>2011.0</v>
      </c>
      <c r="AJ632" s="137">
        <v>990.0</v>
      </c>
      <c r="AK632" s="134">
        <v>1582.0</v>
      </c>
      <c r="AL632" s="137">
        <v>988.0</v>
      </c>
      <c r="AM632" s="134">
        <v>1555.0</v>
      </c>
      <c r="AN632" s="134">
        <v>26311.0</v>
      </c>
    </row>
    <row r="633">
      <c r="A633" s="104"/>
      <c r="B633" s="136" t="s">
        <v>201</v>
      </c>
      <c r="C633" s="134">
        <v>2860.0</v>
      </c>
      <c r="D633" s="134">
        <v>1215.0</v>
      </c>
      <c r="E633" s="134">
        <v>1645.0</v>
      </c>
      <c r="F633" s="135">
        <v>0.0</v>
      </c>
      <c r="G633" s="135">
        <v>0.0</v>
      </c>
      <c r="H633" s="135">
        <v>0.0</v>
      </c>
      <c r="I633" s="135">
        <v>0.0</v>
      </c>
      <c r="J633" s="135">
        <v>0.0</v>
      </c>
      <c r="K633" s="135">
        <v>0.0</v>
      </c>
      <c r="L633" s="137">
        <v>3.0</v>
      </c>
      <c r="M633" s="137">
        <v>4.0</v>
      </c>
      <c r="N633" s="137">
        <v>3.0</v>
      </c>
      <c r="O633" s="137">
        <v>8.0</v>
      </c>
      <c r="P633" s="137">
        <v>0.0</v>
      </c>
      <c r="Q633" s="137">
        <v>3.0</v>
      </c>
      <c r="R633" s="137">
        <v>19.0</v>
      </c>
      <c r="S633" s="137">
        <v>11.0</v>
      </c>
      <c r="T633" s="137">
        <v>29.0</v>
      </c>
      <c r="U633" s="137">
        <v>19.0</v>
      </c>
      <c r="V633" s="137">
        <v>63.0</v>
      </c>
      <c r="W633" s="137">
        <v>112.0</v>
      </c>
      <c r="X633" s="137">
        <v>101.0</v>
      </c>
      <c r="Y633" s="137">
        <v>134.0</v>
      </c>
      <c r="Z633" s="137">
        <v>88.0</v>
      </c>
      <c r="AA633" s="137">
        <v>160.0</v>
      </c>
      <c r="AB633" s="137">
        <v>124.0</v>
      </c>
      <c r="AC633" s="137">
        <v>157.0</v>
      </c>
      <c r="AD633" s="137">
        <v>140.0</v>
      </c>
      <c r="AE633" s="137">
        <v>237.0</v>
      </c>
      <c r="AF633" s="137">
        <v>145.0</v>
      </c>
      <c r="AG633" s="137">
        <v>187.0</v>
      </c>
      <c r="AH633" s="137">
        <v>152.0</v>
      </c>
      <c r="AI633" s="137">
        <v>182.0</v>
      </c>
      <c r="AJ633" s="137">
        <v>112.0</v>
      </c>
      <c r="AK633" s="137">
        <v>206.0</v>
      </c>
      <c r="AL633" s="137">
        <v>236.0</v>
      </c>
      <c r="AM633" s="137">
        <v>225.0</v>
      </c>
      <c r="AN633" s="134">
        <v>2825.0</v>
      </c>
    </row>
    <row r="634">
      <c r="A634" s="132" t="s">
        <v>202</v>
      </c>
      <c r="B634" s="136" t="s">
        <v>198</v>
      </c>
      <c r="C634" s="137">
        <v>261.0</v>
      </c>
      <c r="D634" s="137">
        <v>140.0</v>
      </c>
      <c r="E634" s="137">
        <v>121.0</v>
      </c>
      <c r="F634" s="137">
        <v>1.0</v>
      </c>
      <c r="G634" s="137">
        <v>3.0</v>
      </c>
      <c r="H634" s="137">
        <v>1.0</v>
      </c>
      <c r="I634" s="137">
        <v>2.0</v>
      </c>
      <c r="J634" s="137">
        <v>0.0</v>
      </c>
      <c r="K634" s="137">
        <v>0.0</v>
      </c>
      <c r="L634" s="137">
        <v>5.0</v>
      </c>
      <c r="M634" s="137">
        <v>3.0</v>
      </c>
      <c r="N634" s="137">
        <v>2.0</v>
      </c>
      <c r="O634" s="137">
        <v>7.0</v>
      </c>
      <c r="P634" s="137">
        <v>7.0</v>
      </c>
      <c r="Q634" s="137">
        <v>13.0</v>
      </c>
      <c r="R634" s="137">
        <v>17.0</v>
      </c>
      <c r="S634" s="137">
        <v>6.0</v>
      </c>
      <c r="T634" s="137">
        <v>9.0</v>
      </c>
      <c r="U634" s="137">
        <v>4.0</v>
      </c>
      <c r="V634" s="137">
        <v>14.0</v>
      </c>
      <c r="W634" s="137">
        <v>5.0</v>
      </c>
      <c r="X634" s="137">
        <v>18.0</v>
      </c>
      <c r="Y634" s="137">
        <v>7.0</v>
      </c>
      <c r="Z634" s="137">
        <v>13.0</v>
      </c>
      <c r="AA634" s="137">
        <v>14.0</v>
      </c>
      <c r="AB634" s="137">
        <v>13.0</v>
      </c>
      <c r="AC634" s="137">
        <v>7.0</v>
      </c>
      <c r="AD634" s="137">
        <v>13.0</v>
      </c>
      <c r="AE634" s="137">
        <v>18.0</v>
      </c>
      <c r="AF634" s="137">
        <v>7.0</v>
      </c>
      <c r="AG634" s="137">
        <v>12.0</v>
      </c>
      <c r="AH634" s="137">
        <v>6.0</v>
      </c>
      <c r="AI634" s="137">
        <v>11.0</v>
      </c>
      <c r="AJ634" s="137">
        <v>9.0</v>
      </c>
      <c r="AK634" s="137">
        <v>8.0</v>
      </c>
      <c r="AL634" s="137">
        <v>5.0</v>
      </c>
      <c r="AM634" s="137">
        <v>1.0</v>
      </c>
      <c r="AN634" s="137">
        <v>243.0</v>
      </c>
    </row>
    <row r="635">
      <c r="A635" s="104"/>
      <c r="B635" s="136" t="s">
        <v>199</v>
      </c>
      <c r="C635" s="137">
        <v>105.0</v>
      </c>
      <c r="D635" s="137">
        <v>55.0</v>
      </c>
      <c r="E635" s="137">
        <v>50.0</v>
      </c>
      <c r="F635" s="137">
        <v>1.0</v>
      </c>
      <c r="G635" s="137">
        <v>1.0</v>
      </c>
      <c r="H635" s="137">
        <v>2.0</v>
      </c>
      <c r="I635" s="137">
        <v>2.0</v>
      </c>
      <c r="J635" s="137">
        <v>1.0</v>
      </c>
      <c r="K635" s="137">
        <v>1.0</v>
      </c>
      <c r="L635" s="137">
        <v>4.0</v>
      </c>
      <c r="M635" s="137">
        <v>1.0</v>
      </c>
      <c r="N635" s="137">
        <v>1.0</v>
      </c>
      <c r="O635" s="137">
        <v>2.0</v>
      </c>
      <c r="P635" s="137">
        <v>5.0</v>
      </c>
      <c r="Q635" s="137">
        <v>4.0</v>
      </c>
      <c r="R635" s="137">
        <v>6.0</v>
      </c>
      <c r="S635" s="137">
        <v>5.0</v>
      </c>
      <c r="T635" s="137">
        <v>3.0</v>
      </c>
      <c r="U635" s="137">
        <v>1.0</v>
      </c>
      <c r="V635" s="137">
        <v>1.0</v>
      </c>
      <c r="W635" s="137">
        <v>1.0</v>
      </c>
      <c r="X635" s="137">
        <v>1.0</v>
      </c>
      <c r="Y635" s="137">
        <v>2.0</v>
      </c>
      <c r="Z635" s="137">
        <v>4.0</v>
      </c>
      <c r="AA635" s="137">
        <v>5.0</v>
      </c>
      <c r="AB635" s="137">
        <v>8.0</v>
      </c>
      <c r="AC635" s="137">
        <v>3.0</v>
      </c>
      <c r="AD635" s="137">
        <v>5.0</v>
      </c>
      <c r="AE635" s="137">
        <v>5.0</v>
      </c>
      <c r="AF635" s="137">
        <v>1.0</v>
      </c>
      <c r="AG635" s="137">
        <v>6.0</v>
      </c>
      <c r="AH635" s="137">
        <v>3.0</v>
      </c>
      <c r="AI635" s="137">
        <v>8.0</v>
      </c>
      <c r="AJ635" s="137">
        <v>3.0</v>
      </c>
      <c r="AK635" s="137">
        <v>1.0</v>
      </c>
      <c r="AL635" s="137">
        <v>6.0</v>
      </c>
      <c r="AM635" s="137">
        <v>2.0</v>
      </c>
      <c r="AN635" s="137">
        <v>103.0</v>
      </c>
    </row>
    <row r="636">
      <c r="A636" s="132" t="s">
        <v>203</v>
      </c>
      <c r="B636" s="136" t="s">
        <v>198</v>
      </c>
      <c r="C636" s="137">
        <v>6.0</v>
      </c>
      <c r="D636" s="137">
        <v>4.0</v>
      </c>
      <c r="E636" s="137">
        <v>2.0</v>
      </c>
      <c r="F636" s="135">
        <v>0.0</v>
      </c>
      <c r="G636" s="135">
        <v>0.0</v>
      </c>
      <c r="H636" s="135">
        <v>0.0</v>
      </c>
      <c r="I636" s="135">
        <v>0.0</v>
      </c>
      <c r="J636" s="135">
        <v>0.0</v>
      </c>
      <c r="K636" s="135">
        <v>0.0</v>
      </c>
      <c r="L636" s="135">
        <v>0.0</v>
      </c>
      <c r="M636" s="135">
        <v>0.0</v>
      </c>
      <c r="N636" s="135">
        <v>0.0</v>
      </c>
      <c r="O636" s="135">
        <v>0.0</v>
      </c>
      <c r="P636" s="135">
        <v>0.0</v>
      </c>
      <c r="Q636" s="135">
        <v>0.0</v>
      </c>
      <c r="R636" s="135">
        <v>0.0</v>
      </c>
      <c r="S636" s="135">
        <v>0.0</v>
      </c>
      <c r="T636" s="135">
        <v>0.0</v>
      </c>
      <c r="U636" s="135">
        <v>0.0</v>
      </c>
      <c r="V636" s="135">
        <v>0.0</v>
      </c>
      <c r="W636" s="135">
        <v>0.0</v>
      </c>
      <c r="X636" s="135">
        <v>0.0</v>
      </c>
      <c r="Y636" s="135">
        <v>0.0</v>
      </c>
      <c r="Z636" s="135">
        <v>0.0</v>
      </c>
      <c r="AA636" s="135">
        <v>0.0</v>
      </c>
      <c r="AB636" s="135">
        <v>0.0</v>
      </c>
      <c r="AC636" s="135">
        <v>0.0</v>
      </c>
      <c r="AD636" s="135">
        <v>0.0</v>
      </c>
      <c r="AE636" s="135">
        <v>0.0</v>
      </c>
      <c r="AF636" s="137">
        <v>0.0</v>
      </c>
      <c r="AG636" s="137">
        <v>0.0</v>
      </c>
      <c r="AH636" s="137">
        <v>1.0</v>
      </c>
      <c r="AI636" s="137">
        <v>0.0</v>
      </c>
      <c r="AJ636" s="137">
        <v>0.0</v>
      </c>
      <c r="AK636" s="137">
        <v>1.0</v>
      </c>
      <c r="AL636" s="137">
        <v>3.0</v>
      </c>
      <c r="AM636" s="137">
        <v>1.0</v>
      </c>
      <c r="AN636" s="137">
        <v>6.0</v>
      </c>
    </row>
    <row r="637">
      <c r="A637" s="104"/>
      <c r="B637" s="136" t="s">
        <v>199</v>
      </c>
      <c r="C637" s="137">
        <v>425.0</v>
      </c>
      <c r="D637" s="137">
        <v>170.0</v>
      </c>
      <c r="E637" s="137">
        <v>255.0</v>
      </c>
      <c r="F637" s="135">
        <v>0.0</v>
      </c>
      <c r="G637" s="135">
        <v>0.0</v>
      </c>
      <c r="H637" s="135">
        <v>0.0</v>
      </c>
      <c r="I637" s="135">
        <v>0.0</v>
      </c>
      <c r="J637" s="135">
        <v>0.0</v>
      </c>
      <c r="K637" s="135">
        <v>0.0</v>
      </c>
      <c r="L637" s="135">
        <v>0.0</v>
      </c>
      <c r="M637" s="135">
        <v>0.0</v>
      </c>
      <c r="N637" s="135">
        <v>0.0</v>
      </c>
      <c r="O637" s="135">
        <v>0.0</v>
      </c>
      <c r="P637" s="135">
        <v>0.0</v>
      </c>
      <c r="Q637" s="135">
        <v>0.0</v>
      </c>
      <c r="R637" s="135">
        <v>0.0</v>
      </c>
      <c r="S637" s="135">
        <v>0.0</v>
      </c>
      <c r="T637" s="135">
        <v>0.0</v>
      </c>
      <c r="U637" s="135">
        <v>0.0</v>
      </c>
      <c r="V637" s="135">
        <v>0.0</v>
      </c>
      <c r="W637" s="135">
        <v>0.0</v>
      </c>
      <c r="X637" s="135">
        <v>0.0</v>
      </c>
      <c r="Y637" s="135">
        <v>0.0</v>
      </c>
      <c r="Z637" s="135">
        <v>0.0</v>
      </c>
      <c r="AA637" s="135">
        <v>0.0</v>
      </c>
      <c r="AB637" s="135">
        <v>0.0</v>
      </c>
      <c r="AC637" s="135">
        <v>0.0</v>
      </c>
      <c r="AD637" s="135">
        <v>0.0</v>
      </c>
      <c r="AE637" s="135">
        <v>0.0</v>
      </c>
      <c r="AF637" s="137">
        <v>43.0</v>
      </c>
      <c r="AG637" s="137">
        <v>76.0</v>
      </c>
      <c r="AH637" s="137">
        <v>66.0</v>
      </c>
      <c r="AI637" s="137">
        <v>85.0</v>
      </c>
      <c r="AJ637" s="137">
        <v>35.0</v>
      </c>
      <c r="AK637" s="137">
        <v>55.0</v>
      </c>
      <c r="AL637" s="137">
        <v>26.0</v>
      </c>
      <c r="AM637" s="137">
        <v>39.0</v>
      </c>
      <c r="AN637" s="137">
        <v>424.0</v>
      </c>
    </row>
    <row r="638">
      <c r="A638" s="132" t="s">
        <v>204</v>
      </c>
      <c r="B638" s="136" t="s">
        <v>198</v>
      </c>
      <c r="C638" s="137">
        <v>2.0</v>
      </c>
      <c r="D638" s="137">
        <v>0.0</v>
      </c>
      <c r="E638" s="137">
        <v>2.0</v>
      </c>
      <c r="F638" s="135">
        <v>0.0</v>
      </c>
      <c r="G638" s="135">
        <v>0.0</v>
      </c>
      <c r="H638" s="135">
        <v>0.0</v>
      </c>
      <c r="I638" s="135">
        <v>0.0</v>
      </c>
      <c r="J638" s="135">
        <v>0.0</v>
      </c>
      <c r="K638" s="135">
        <v>0.0</v>
      </c>
      <c r="L638" s="135">
        <v>0.0</v>
      </c>
      <c r="M638" s="135">
        <v>0.0</v>
      </c>
      <c r="N638" s="135">
        <v>0.0</v>
      </c>
      <c r="O638" s="135">
        <v>0.0</v>
      </c>
      <c r="P638" s="135">
        <v>0.0</v>
      </c>
      <c r="Q638" s="135">
        <v>0.0</v>
      </c>
      <c r="R638" s="135">
        <v>0.0</v>
      </c>
      <c r="S638" s="135">
        <v>0.0</v>
      </c>
      <c r="T638" s="135">
        <v>0.0</v>
      </c>
      <c r="U638" s="135">
        <v>0.0</v>
      </c>
      <c r="V638" s="135">
        <v>0.0</v>
      </c>
      <c r="W638" s="135">
        <v>0.0</v>
      </c>
      <c r="X638" s="135">
        <v>0.0</v>
      </c>
      <c r="Y638" s="135">
        <v>0.0</v>
      </c>
      <c r="Z638" s="135">
        <v>0.0</v>
      </c>
      <c r="AA638" s="135">
        <v>0.0</v>
      </c>
      <c r="AB638" s="135">
        <v>0.0</v>
      </c>
      <c r="AC638" s="135">
        <v>0.0</v>
      </c>
      <c r="AD638" s="135">
        <v>0.0</v>
      </c>
      <c r="AE638" s="135">
        <v>0.0</v>
      </c>
      <c r="AF638" s="137">
        <v>0.0</v>
      </c>
      <c r="AG638" s="137">
        <v>1.0</v>
      </c>
      <c r="AH638" s="137">
        <v>0.0</v>
      </c>
      <c r="AI638" s="137">
        <v>0.0</v>
      </c>
      <c r="AJ638" s="137">
        <v>0.0</v>
      </c>
      <c r="AK638" s="137">
        <v>1.0</v>
      </c>
      <c r="AL638" s="137">
        <v>0.0</v>
      </c>
      <c r="AM638" s="137">
        <v>0.0</v>
      </c>
      <c r="AN638" s="137">
        <v>2.0</v>
      </c>
    </row>
    <row r="639">
      <c r="A639" s="104"/>
      <c r="B639" s="136" t="s">
        <v>199</v>
      </c>
      <c r="C639" s="137">
        <v>290.0</v>
      </c>
      <c r="D639" s="137">
        <v>112.0</v>
      </c>
      <c r="E639" s="137">
        <v>178.0</v>
      </c>
      <c r="F639" s="135">
        <v>0.0</v>
      </c>
      <c r="G639" s="135">
        <v>0.0</v>
      </c>
      <c r="H639" s="135">
        <v>0.0</v>
      </c>
      <c r="I639" s="135">
        <v>0.0</v>
      </c>
      <c r="J639" s="135">
        <v>0.0</v>
      </c>
      <c r="K639" s="135">
        <v>0.0</v>
      </c>
      <c r="L639" s="135">
        <v>0.0</v>
      </c>
      <c r="M639" s="135">
        <v>0.0</v>
      </c>
      <c r="N639" s="135">
        <v>0.0</v>
      </c>
      <c r="O639" s="135">
        <v>0.0</v>
      </c>
      <c r="P639" s="135">
        <v>0.0</v>
      </c>
      <c r="Q639" s="135">
        <v>0.0</v>
      </c>
      <c r="R639" s="135">
        <v>0.0</v>
      </c>
      <c r="S639" s="135">
        <v>0.0</v>
      </c>
      <c r="T639" s="135">
        <v>0.0</v>
      </c>
      <c r="U639" s="135">
        <v>0.0</v>
      </c>
      <c r="V639" s="135">
        <v>0.0</v>
      </c>
      <c r="W639" s="135">
        <v>0.0</v>
      </c>
      <c r="X639" s="135">
        <v>0.0</v>
      </c>
      <c r="Y639" s="135">
        <v>0.0</v>
      </c>
      <c r="Z639" s="135">
        <v>0.0</v>
      </c>
      <c r="AA639" s="135">
        <v>0.0</v>
      </c>
      <c r="AB639" s="135">
        <v>0.0</v>
      </c>
      <c r="AC639" s="135">
        <v>0.0</v>
      </c>
      <c r="AD639" s="135">
        <v>0.0</v>
      </c>
      <c r="AE639" s="135">
        <v>0.0</v>
      </c>
      <c r="AF639" s="137">
        <v>7.0</v>
      </c>
      <c r="AG639" s="137">
        <v>24.0</v>
      </c>
      <c r="AH639" s="137">
        <v>18.0</v>
      </c>
      <c r="AI639" s="137">
        <v>36.0</v>
      </c>
      <c r="AJ639" s="137">
        <v>34.0</v>
      </c>
      <c r="AK639" s="137">
        <v>41.0</v>
      </c>
      <c r="AL639" s="137">
        <v>53.0</v>
      </c>
      <c r="AM639" s="137">
        <v>77.0</v>
      </c>
      <c r="AN639" s="137">
        <v>289.0</v>
      </c>
    </row>
    <row r="640">
      <c r="A640" s="132" t="s">
        <v>205</v>
      </c>
      <c r="B640" s="136" t="s">
        <v>198</v>
      </c>
      <c r="C640" s="137">
        <v>106.0</v>
      </c>
      <c r="D640" s="137">
        <v>29.0</v>
      </c>
      <c r="E640" s="137">
        <v>77.0</v>
      </c>
      <c r="F640" s="137">
        <v>0.0</v>
      </c>
      <c r="G640" s="137">
        <v>0.0</v>
      </c>
      <c r="H640" s="137">
        <v>1.0</v>
      </c>
      <c r="I640" s="137">
        <v>1.0</v>
      </c>
      <c r="J640" s="137">
        <v>1.0</v>
      </c>
      <c r="K640" s="137">
        <v>0.0</v>
      </c>
      <c r="L640" s="137">
        <v>6.0</v>
      </c>
      <c r="M640" s="137">
        <v>30.0</v>
      </c>
      <c r="N640" s="137">
        <v>8.0</v>
      </c>
      <c r="O640" s="137">
        <v>8.0</v>
      </c>
      <c r="P640" s="137">
        <v>5.0</v>
      </c>
      <c r="Q640" s="137">
        <v>5.0</v>
      </c>
      <c r="R640" s="137">
        <v>0.0</v>
      </c>
      <c r="S640" s="137">
        <v>6.0</v>
      </c>
      <c r="T640" s="137">
        <v>3.0</v>
      </c>
      <c r="U640" s="137">
        <v>6.0</v>
      </c>
      <c r="V640" s="137">
        <v>0.0</v>
      </c>
      <c r="W640" s="137">
        <v>3.0</v>
      </c>
      <c r="X640" s="137">
        <v>4.0</v>
      </c>
      <c r="Y640" s="137">
        <v>5.0</v>
      </c>
      <c r="Z640" s="137">
        <v>0.0</v>
      </c>
      <c r="AA640" s="137">
        <v>2.0</v>
      </c>
      <c r="AB640" s="137">
        <v>0.0</v>
      </c>
      <c r="AC640" s="137">
        <v>8.0</v>
      </c>
      <c r="AD640" s="137">
        <v>0.0</v>
      </c>
      <c r="AE640" s="137">
        <v>1.0</v>
      </c>
      <c r="AF640" s="137">
        <v>0.0</v>
      </c>
      <c r="AG640" s="137">
        <v>0.0</v>
      </c>
      <c r="AH640" s="137">
        <v>1.0</v>
      </c>
      <c r="AI640" s="137">
        <v>0.0</v>
      </c>
      <c r="AJ640" s="137">
        <v>0.0</v>
      </c>
      <c r="AK640" s="137">
        <v>0.0</v>
      </c>
      <c r="AL640" s="137">
        <v>0.0</v>
      </c>
      <c r="AM640" s="137">
        <v>2.0</v>
      </c>
      <c r="AN640" s="137">
        <v>106.0</v>
      </c>
    </row>
    <row r="641">
      <c r="A641" s="98"/>
      <c r="B641" s="136" t="s">
        <v>199</v>
      </c>
      <c r="C641" s="137">
        <v>3.0</v>
      </c>
      <c r="D641" s="137">
        <v>0.0</v>
      </c>
      <c r="E641" s="137">
        <v>3.0</v>
      </c>
      <c r="F641" s="137">
        <v>0.0</v>
      </c>
      <c r="G641" s="137">
        <v>0.0</v>
      </c>
      <c r="H641" s="137">
        <v>0.0</v>
      </c>
      <c r="I641" s="137">
        <v>2.0</v>
      </c>
      <c r="J641" s="137">
        <v>0.0</v>
      </c>
      <c r="K641" s="137">
        <v>0.0</v>
      </c>
      <c r="L641" s="137">
        <v>0.0</v>
      </c>
      <c r="M641" s="137">
        <v>0.0</v>
      </c>
      <c r="N641" s="137">
        <v>0.0</v>
      </c>
      <c r="O641" s="137">
        <v>0.0</v>
      </c>
      <c r="P641" s="137">
        <v>0.0</v>
      </c>
      <c r="Q641" s="137">
        <v>0.0</v>
      </c>
      <c r="R641" s="137">
        <v>0.0</v>
      </c>
      <c r="S641" s="137">
        <v>0.0</v>
      </c>
      <c r="T641" s="137">
        <v>0.0</v>
      </c>
      <c r="U641" s="137">
        <v>0.0</v>
      </c>
      <c r="V641" s="137">
        <v>0.0</v>
      </c>
      <c r="W641" s="137">
        <v>0.0</v>
      </c>
      <c r="X641" s="137">
        <v>0.0</v>
      </c>
      <c r="Y641" s="137">
        <v>0.0</v>
      </c>
      <c r="Z641" s="137">
        <v>0.0</v>
      </c>
      <c r="AA641" s="137">
        <v>0.0</v>
      </c>
      <c r="AB641" s="137">
        <v>0.0</v>
      </c>
      <c r="AC641" s="137">
        <v>0.0</v>
      </c>
      <c r="AD641" s="137">
        <v>0.0</v>
      </c>
      <c r="AE641" s="137">
        <v>0.0</v>
      </c>
      <c r="AF641" s="137">
        <v>0.0</v>
      </c>
      <c r="AG641" s="137">
        <v>1.0</v>
      </c>
      <c r="AH641" s="137">
        <v>0.0</v>
      </c>
      <c r="AI641" s="137">
        <v>0.0</v>
      </c>
      <c r="AJ641" s="137">
        <v>0.0</v>
      </c>
      <c r="AK641" s="137">
        <v>0.0</v>
      </c>
      <c r="AL641" s="137">
        <v>0.0</v>
      </c>
      <c r="AM641" s="137">
        <v>0.0</v>
      </c>
      <c r="AN641" s="137">
        <v>3.0</v>
      </c>
    </row>
    <row r="642">
      <c r="A642" s="104"/>
      <c r="B642" s="136" t="s">
        <v>206</v>
      </c>
      <c r="C642" s="137">
        <v>614.0</v>
      </c>
      <c r="D642" s="137">
        <v>137.0</v>
      </c>
      <c r="E642" s="137">
        <v>477.0</v>
      </c>
      <c r="F642" s="137">
        <v>0.0</v>
      </c>
      <c r="G642" s="137">
        <v>0.0</v>
      </c>
      <c r="H642" s="137">
        <v>8.0</v>
      </c>
      <c r="I642" s="137">
        <v>0.0</v>
      </c>
      <c r="J642" s="137">
        <v>0.0</v>
      </c>
      <c r="K642" s="137">
        <v>1.0</v>
      </c>
      <c r="L642" s="137">
        <v>26.0</v>
      </c>
      <c r="M642" s="137">
        <v>98.0</v>
      </c>
      <c r="N642" s="137">
        <v>32.0</v>
      </c>
      <c r="O642" s="137">
        <v>75.0</v>
      </c>
      <c r="P642" s="137">
        <v>28.0</v>
      </c>
      <c r="Q642" s="137">
        <v>86.0</v>
      </c>
      <c r="R642" s="137">
        <v>9.0</v>
      </c>
      <c r="S642" s="137">
        <v>63.0</v>
      </c>
      <c r="T642" s="137">
        <v>6.0</v>
      </c>
      <c r="U642" s="137">
        <v>56.0</v>
      </c>
      <c r="V642" s="137">
        <v>8.0</v>
      </c>
      <c r="W642" s="137">
        <v>24.0</v>
      </c>
      <c r="X642" s="137">
        <v>11.0</v>
      </c>
      <c r="Y642" s="137">
        <v>32.0</v>
      </c>
      <c r="Z642" s="137">
        <v>3.0</v>
      </c>
      <c r="AA642" s="137">
        <v>12.0</v>
      </c>
      <c r="AB642" s="137">
        <v>1.0</v>
      </c>
      <c r="AC642" s="137">
        <v>12.0</v>
      </c>
      <c r="AD642" s="137">
        <v>3.0</v>
      </c>
      <c r="AE642" s="137">
        <v>11.0</v>
      </c>
      <c r="AF642" s="137">
        <v>1.0</v>
      </c>
      <c r="AG642" s="137">
        <v>3.0</v>
      </c>
      <c r="AH642" s="137">
        <v>0.0</v>
      </c>
      <c r="AI642" s="137">
        <v>2.0</v>
      </c>
      <c r="AJ642" s="137">
        <v>0.0</v>
      </c>
      <c r="AK642" s="137">
        <v>1.0</v>
      </c>
      <c r="AL642" s="137">
        <v>1.0</v>
      </c>
      <c r="AM642" s="137">
        <v>1.0</v>
      </c>
      <c r="AN642" s="137">
        <v>610.0</v>
      </c>
    </row>
    <row r="643">
      <c r="A643" s="132" t="s">
        <v>207</v>
      </c>
      <c r="B643" s="136" t="s">
        <v>198</v>
      </c>
      <c r="C643" s="134">
        <v>18505.0</v>
      </c>
      <c r="D643" s="134">
        <v>5293.0</v>
      </c>
      <c r="E643" s="134">
        <v>13212.0</v>
      </c>
      <c r="F643" s="137">
        <v>462.0</v>
      </c>
      <c r="G643" s="137">
        <v>337.0</v>
      </c>
      <c r="H643" s="137">
        <v>381.0</v>
      </c>
      <c r="I643" s="137">
        <v>244.0</v>
      </c>
      <c r="J643" s="137">
        <v>300.0</v>
      </c>
      <c r="K643" s="137">
        <v>249.0</v>
      </c>
      <c r="L643" s="137">
        <v>182.0</v>
      </c>
      <c r="M643" s="137">
        <v>295.0</v>
      </c>
      <c r="N643" s="137">
        <v>102.0</v>
      </c>
      <c r="O643" s="137">
        <v>296.0</v>
      </c>
      <c r="P643" s="137">
        <v>96.0</v>
      </c>
      <c r="Q643" s="137">
        <v>447.0</v>
      </c>
      <c r="R643" s="137">
        <v>105.0</v>
      </c>
      <c r="S643" s="137">
        <v>448.0</v>
      </c>
      <c r="T643" s="137">
        <v>112.0</v>
      </c>
      <c r="U643" s="137">
        <v>572.0</v>
      </c>
      <c r="V643" s="137">
        <v>196.0</v>
      </c>
      <c r="W643" s="137">
        <v>693.0</v>
      </c>
      <c r="X643" s="137">
        <v>207.0</v>
      </c>
      <c r="Y643" s="134">
        <v>1105.0</v>
      </c>
      <c r="Z643" s="137">
        <v>373.0</v>
      </c>
      <c r="AA643" s="134">
        <v>1386.0</v>
      </c>
      <c r="AB643" s="137">
        <v>410.0</v>
      </c>
      <c r="AC643" s="134">
        <v>1388.0</v>
      </c>
      <c r="AD643" s="137">
        <v>431.0</v>
      </c>
      <c r="AE643" s="134">
        <v>1417.0</v>
      </c>
      <c r="AF643" s="137">
        <v>482.0</v>
      </c>
      <c r="AG643" s="134">
        <v>1265.0</v>
      </c>
      <c r="AH643" s="137">
        <v>504.0</v>
      </c>
      <c r="AI643" s="134">
        <v>1206.0</v>
      </c>
      <c r="AJ643" s="137">
        <v>446.0</v>
      </c>
      <c r="AK643" s="137">
        <v>873.0</v>
      </c>
      <c r="AL643" s="137">
        <v>504.0</v>
      </c>
      <c r="AM643" s="137">
        <v>992.0</v>
      </c>
      <c r="AN643" s="134">
        <v>18221.0</v>
      </c>
    </row>
    <row r="644">
      <c r="A644" s="98"/>
      <c r="B644" s="136" t="s">
        <v>199</v>
      </c>
      <c r="C644" s="134">
        <v>1581.0</v>
      </c>
      <c r="D644" s="137">
        <v>632.0</v>
      </c>
      <c r="E644" s="137">
        <v>949.0</v>
      </c>
      <c r="F644" s="137">
        <v>115.0</v>
      </c>
      <c r="G644" s="137">
        <v>93.0</v>
      </c>
      <c r="H644" s="137">
        <v>29.0</v>
      </c>
      <c r="I644" s="137">
        <v>21.0</v>
      </c>
      <c r="J644" s="137">
        <v>4.0</v>
      </c>
      <c r="K644" s="137">
        <v>11.0</v>
      </c>
      <c r="L644" s="137">
        <v>8.0</v>
      </c>
      <c r="M644" s="137">
        <v>15.0</v>
      </c>
      <c r="N644" s="137">
        <v>9.0</v>
      </c>
      <c r="O644" s="137">
        <v>12.0</v>
      </c>
      <c r="P644" s="137">
        <v>5.0</v>
      </c>
      <c r="Q644" s="137">
        <v>26.0</v>
      </c>
      <c r="R644" s="137">
        <v>2.0</v>
      </c>
      <c r="S644" s="137">
        <v>16.0</v>
      </c>
      <c r="T644" s="137">
        <v>4.0</v>
      </c>
      <c r="U644" s="137">
        <v>10.0</v>
      </c>
      <c r="V644" s="137">
        <v>12.0</v>
      </c>
      <c r="W644" s="137">
        <v>24.0</v>
      </c>
      <c r="X644" s="137">
        <v>5.0</v>
      </c>
      <c r="Y644" s="137">
        <v>51.0</v>
      </c>
      <c r="Z644" s="137">
        <v>30.0</v>
      </c>
      <c r="AA644" s="137">
        <v>77.0</v>
      </c>
      <c r="AB644" s="137">
        <v>63.0</v>
      </c>
      <c r="AC644" s="137">
        <v>119.0</v>
      </c>
      <c r="AD644" s="137">
        <v>86.0</v>
      </c>
      <c r="AE644" s="137">
        <v>138.0</v>
      </c>
      <c r="AF644" s="137">
        <v>70.0</v>
      </c>
      <c r="AG644" s="137">
        <v>135.0</v>
      </c>
      <c r="AH644" s="137">
        <v>57.0</v>
      </c>
      <c r="AI644" s="137">
        <v>67.0</v>
      </c>
      <c r="AJ644" s="137">
        <v>57.0</v>
      </c>
      <c r="AK644" s="137">
        <v>41.0</v>
      </c>
      <c r="AL644" s="137">
        <v>75.0</v>
      </c>
      <c r="AM644" s="137">
        <v>93.0</v>
      </c>
      <c r="AN644" s="134">
        <v>1575.0</v>
      </c>
    </row>
    <row r="645">
      <c r="A645" s="98"/>
      <c r="B645" s="136" t="s">
        <v>206</v>
      </c>
      <c r="C645" s="137">
        <v>42.0</v>
      </c>
      <c r="D645" s="137">
        <v>7.0</v>
      </c>
      <c r="E645" s="137">
        <v>35.0</v>
      </c>
      <c r="F645" s="137">
        <v>1.0</v>
      </c>
      <c r="G645" s="137">
        <v>1.0</v>
      </c>
      <c r="H645" s="137">
        <v>3.0</v>
      </c>
      <c r="I645" s="137">
        <v>0.0</v>
      </c>
      <c r="J645" s="137">
        <v>1.0</v>
      </c>
      <c r="K645" s="137">
        <v>2.0</v>
      </c>
      <c r="L645" s="137">
        <v>1.0</v>
      </c>
      <c r="M645" s="137">
        <v>2.0</v>
      </c>
      <c r="N645" s="137">
        <v>0.0</v>
      </c>
      <c r="O645" s="137">
        <v>5.0</v>
      </c>
      <c r="P645" s="137">
        <v>0.0</v>
      </c>
      <c r="Q645" s="137">
        <v>10.0</v>
      </c>
      <c r="R645" s="137">
        <v>0.0</v>
      </c>
      <c r="S645" s="137">
        <v>2.0</v>
      </c>
      <c r="T645" s="137">
        <v>0.0</v>
      </c>
      <c r="U645" s="137">
        <v>3.0</v>
      </c>
      <c r="V645" s="137">
        <v>0.0</v>
      </c>
      <c r="W645" s="137">
        <v>4.0</v>
      </c>
      <c r="X645" s="137">
        <v>0.0</v>
      </c>
      <c r="Y645" s="137">
        <v>0.0</v>
      </c>
      <c r="Z645" s="137">
        <v>1.0</v>
      </c>
      <c r="AA645" s="137">
        <v>4.0</v>
      </c>
      <c r="AB645" s="137">
        <v>0.0</v>
      </c>
      <c r="AC645" s="137">
        <v>2.0</v>
      </c>
      <c r="AD645" s="137">
        <v>0.0</v>
      </c>
      <c r="AE645" s="137">
        <v>0.0</v>
      </c>
      <c r="AF645" s="137">
        <v>0.0</v>
      </c>
      <c r="AG645" s="137">
        <v>0.0</v>
      </c>
      <c r="AH645" s="137">
        <v>0.0</v>
      </c>
      <c r="AI645" s="137">
        <v>0.0</v>
      </c>
      <c r="AJ645" s="137">
        <v>0.0</v>
      </c>
      <c r="AK645" s="137">
        <v>0.0</v>
      </c>
      <c r="AL645" s="137">
        <v>0.0</v>
      </c>
      <c r="AM645" s="137">
        <v>0.0</v>
      </c>
      <c r="AN645" s="137">
        <v>41.0</v>
      </c>
    </row>
    <row r="646">
      <c r="A646" s="98"/>
      <c r="B646" s="136" t="s">
        <v>200</v>
      </c>
      <c r="C646" s="134">
        <v>4952.0</v>
      </c>
      <c r="D646" s="134">
        <v>2017.0</v>
      </c>
      <c r="E646" s="134">
        <v>2935.0</v>
      </c>
      <c r="F646" s="134">
        <v>1098.0</v>
      </c>
      <c r="G646" s="134">
        <v>1003.0</v>
      </c>
      <c r="H646" s="137">
        <v>469.0</v>
      </c>
      <c r="I646" s="137">
        <v>468.0</v>
      </c>
      <c r="J646" s="137">
        <v>199.0</v>
      </c>
      <c r="K646" s="137">
        <v>206.0</v>
      </c>
      <c r="L646" s="137">
        <v>18.0</v>
      </c>
      <c r="M646" s="137">
        <v>149.0</v>
      </c>
      <c r="N646" s="137">
        <v>18.0</v>
      </c>
      <c r="O646" s="137">
        <v>177.0</v>
      </c>
      <c r="P646" s="137">
        <v>19.0</v>
      </c>
      <c r="Q646" s="137">
        <v>207.0</v>
      </c>
      <c r="R646" s="137">
        <v>18.0</v>
      </c>
      <c r="S646" s="137">
        <v>137.0</v>
      </c>
      <c r="T646" s="137">
        <v>17.0</v>
      </c>
      <c r="U646" s="137">
        <v>100.0</v>
      </c>
      <c r="V646" s="137">
        <v>19.0</v>
      </c>
      <c r="W646" s="137">
        <v>85.0</v>
      </c>
      <c r="X646" s="137">
        <v>20.0</v>
      </c>
      <c r="Y646" s="137">
        <v>97.0</v>
      </c>
      <c r="Z646" s="137">
        <v>19.0</v>
      </c>
      <c r="AA646" s="137">
        <v>98.0</v>
      </c>
      <c r="AB646" s="137">
        <v>20.0</v>
      </c>
      <c r="AC646" s="137">
        <v>63.0</v>
      </c>
      <c r="AD646" s="137">
        <v>18.0</v>
      </c>
      <c r="AE646" s="137">
        <v>61.0</v>
      </c>
      <c r="AF646" s="137">
        <v>17.0</v>
      </c>
      <c r="AG646" s="137">
        <v>36.0</v>
      </c>
      <c r="AH646" s="137">
        <v>20.0</v>
      </c>
      <c r="AI646" s="137">
        <v>16.0</v>
      </c>
      <c r="AJ646" s="137">
        <v>9.0</v>
      </c>
      <c r="AK646" s="137">
        <v>14.0</v>
      </c>
      <c r="AL646" s="137">
        <v>19.0</v>
      </c>
      <c r="AM646" s="137">
        <v>18.0</v>
      </c>
      <c r="AN646" s="134">
        <v>4900.0</v>
      </c>
    </row>
    <row r="647">
      <c r="A647" s="104"/>
      <c r="B647" s="136" t="s">
        <v>201</v>
      </c>
      <c r="C647" s="134">
        <v>8182.0</v>
      </c>
      <c r="D647" s="134">
        <v>3660.0</v>
      </c>
      <c r="E647" s="134">
        <v>4522.0</v>
      </c>
      <c r="F647" s="137">
        <v>163.0</v>
      </c>
      <c r="G647" s="137">
        <v>148.0</v>
      </c>
      <c r="H647" s="137">
        <v>221.0</v>
      </c>
      <c r="I647" s="137">
        <v>198.0</v>
      </c>
      <c r="J647" s="137">
        <v>219.0</v>
      </c>
      <c r="K647" s="137">
        <v>186.0</v>
      </c>
      <c r="L647" s="137">
        <v>130.0</v>
      </c>
      <c r="M647" s="137">
        <v>206.0</v>
      </c>
      <c r="N647" s="137">
        <v>115.0</v>
      </c>
      <c r="O647" s="137">
        <v>212.0</v>
      </c>
      <c r="P647" s="137">
        <v>167.0</v>
      </c>
      <c r="Q647" s="137">
        <v>288.0</v>
      </c>
      <c r="R647" s="137">
        <v>122.0</v>
      </c>
      <c r="S647" s="137">
        <v>221.0</v>
      </c>
      <c r="T647" s="137">
        <v>150.0</v>
      </c>
      <c r="U647" s="137">
        <v>220.0</v>
      </c>
      <c r="V647" s="137">
        <v>211.0</v>
      </c>
      <c r="W647" s="137">
        <v>301.0</v>
      </c>
      <c r="X647" s="137">
        <v>227.0</v>
      </c>
      <c r="Y647" s="137">
        <v>352.0</v>
      </c>
      <c r="Z647" s="137">
        <v>344.0</v>
      </c>
      <c r="AA647" s="137">
        <v>331.0</v>
      </c>
      <c r="AB647" s="137">
        <v>288.0</v>
      </c>
      <c r="AC647" s="137">
        <v>292.0</v>
      </c>
      <c r="AD647" s="137">
        <v>251.0</v>
      </c>
      <c r="AE647" s="137">
        <v>362.0</v>
      </c>
      <c r="AF647" s="137">
        <v>253.0</v>
      </c>
      <c r="AG647" s="137">
        <v>390.0</v>
      </c>
      <c r="AH647" s="137">
        <v>241.0</v>
      </c>
      <c r="AI647" s="137">
        <v>315.0</v>
      </c>
      <c r="AJ647" s="137">
        <v>236.0</v>
      </c>
      <c r="AK647" s="137">
        <v>205.0</v>
      </c>
      <c r="AL647" s="137">
        <v>322.0</v>
      </c>
      <c r="AM647" s="137">
        <v>295.0</v>
      </c>
      <c r="AN647" s="134">
        <v>7972.0</v>
      </c>
    </row>
    <row r="648">
      <c r="A648" s="132" t="s">
        <v>208</v>
      </c>
      <c r="B648" s="136" t="s">
        <v>198</v>
      </c>
      <c r="C648" s="137">
        <v>7.0</v>
      </c>
      <c r="D648" s="137">
        <v>2.0</v>
      </c>
      <c r="E648" s="137">
        <v>5.0</v>
      </c>
      <c r="F648" s="137">
        <v>1.0</v>
      </c>
      <c r="G648" s="137">
        <v>3.0</v>
      </c>
      <c r="H648" s="137">
        <v>1.0</v>
      </c>
      <c r="I648" s="137">
        <v>1.0</v>
      </c>
      <c r="J648" s="137">
        <v>0.0</v>
      </c>
      <c r="K648" s="137">
        <v>1.0</v>
      </c>
      <c r="L648" s="137">
        <v>0.0</v>
      </c>
      <c r="M648" s="137">
        <v>0.0</v>
      </c>
      <c r="N648" s="137">
        <v>0.0</v>
      </c>
      <c r="O648" s="137">
        <v>0.0</v>
      </c>
      <c r="P648" s="135">
        <v>0.0</v>
      </c>
      <c r="Q648" s="135">
        <v>0.0</v>
      </c>
      <c r="R648" s="135">
        <v>0.0</v>
      </c>
      <c r="S648" s="135">
        <v>0.0</v>
      </c>
      <c r="T648" s="135">
        <v>0.0</v>
      </c>
      <c r="U648" s="135">
        <v>0.0</v>
      </c>
      <c r="V648" s="135">
        <v>0.0</v>
      </c>
      <c r="W648" s="135">
        <v>0.0</v>
      </c>
      <c r="X648" s="135">
        <v>0.0</v>
      </c>
      <c r="Y648" s="135">
        <v>0.0</v>
      </c>
      <c r="Z648" s="135">
        <v>0.0</v>
      </c>
      <c r="AA648" s="135">
        <v>0.0</v>
      </c>
      <c r="AB648" s="135">
        <v>0.0</v>
      </c>
      <c r="AC648" s="135">
        <v>0.0</v>
      </c>
      <c r="AD648" s="135">
        <v>0.0</v>
      </c>
      <c r="AE648" s="135">
        <v>0.0</v>
      </c>
      <c r="AF648" s="135">
        <v>0.0</v>
      </c>
      <c r="AG648" s="135">
        <v>0.0</v>
      </c>
      <c r="AH648" s="135">
        <v>0.0</v>
      </c>
      <c r="AI648" s="135">
        <v>0.0</v>
      </c>
      <c r="AJ648" s="135">
        <v>0.0</v>
      </c>
      <c r="AK648" s="135">
        <v>0.0</v>
      </c>
      <c r="AL648" s="135">
        <v>0.0</v>
      </c>
      <c r="AM648" s="135">
        <v>0.0</v>
      </c>
      <c r="AN648" s="137">
        <v>7.0</v>
      </c>
    </row>
    <row r="649">
      <c r="A649" s="98"/>
      <c r="B649" s="136" t="s">
        <v>199</v>
      </c>
      <c r="C649" s="137">
        <v>64.0</v>
      </c>
      <c r="D649" s="137">
        <v>41.0</v>
      </c>
      <c r="E649" s="137">
        <v>23.0</v>
      </c>
      <c r="F649" s="137">
        <v>31.0</v>
      </c>
      <c r="G649" s="137">
        <v>21.0</v>
      </c>
      <c r="H649" s="137">
        <v>7.0</v>
      </c>
      <c r="I649" s="137">
        <v>2.0</v>
      </c>
      <c r="J649" s="137">
        <v>1.0</v>
      </c>
      <c r="K649" s="137">
        <v>0.0</v>
      </c>
      <c r="L649" s="137">
        <v>2.0</v>
      </c>
      <c r="M649" s="137">
        <v>0.0</v>
      </c>
      <c r="N649" s="137">
        <v>0.0</v>
      </c>
      <c r="O649" s="137">
        <v>0.0</v>
      </c>
      <c r="P649" s="135">
        <v>0.0</v>
      </c>
      <c r="Q649" s="135">
        <v>0.0</v>
      </c>
      <c r="R649" s="135">
        <v>0.0</v>
      </c>
      <c r="S649" s="135">
        <v>0.0</v>
      </c>
      <c r="T649" s="135">
        <v>0.0</v>
      </c>
      <c r="U649" s="135">
        <v>0.0</v>
      </c>
      <c r="V649" s="135">
        <v>0.0</v>
      </c>
      <c r="W649" s="135">
        <v>0.0</v>
      </c>
      <c r="X649" s="135">
        <v>0.0</v>
      </c>
      <c r="Y649" s="135">
        <v>0.0</v>
      </c>
      <c r="Z649" s="135">
        <v>0.0</v>
      </c>
      <c r="AA649" s="135">
        <v>0.0</v>
      </c>
      <c r="AB649" s="135">
        <v>0.0</v>
      </c>
      <c r="AC649" s="135">
        <v>0.0</v>
      </c>
      <c r="AD649" s="135">
        <v>0.0</v>
      </c>
      <c r="AE649" s="135">
        <v>0.0</v>
      </c>
      <c r="AF649" s="135">
        <v>0.0</v>
      </c>
      <c r="AG649" s="135">
        <v>0.0</v>
      </c>
      <c r="AH649" s="135">
        <v>0.0</v>
      </c>
      <c r="AI649" s="135">
        <v>0.0</v>
      </c>
      <c r="AJ649" s="135">
        <v>0.0</v>
      </c>
      <c r="AK649" s="135">
        <v>0.0</v>
      </c>
      <c r="AL649" s="135">
        <v>0.0</v>
      </c>
      <c r="AM649" s="135">
        <v>0.0</v>
      </c>
      <c r="AN649" s="137">
        <v>60.0</v>
      </c>
    </row>
    <row r="650">
      <c r="A650" s="98"/>
      <c r="B650" s="136" t="s">
        <v>206</v>
      </c>
      <c r="C650" s="137">
        <v>0.0</v>
      </c>
      <c r="D650" s="137">
        <v>0.0</v>
      </c>
      <c r="E650" s="137">
        <v>0.0</v>
      </c>
      <c r="F650" s="137">
        <v>0.0</v>
      </c>
      <c r="G650" s="137">
        <v>0.0</v>
      </c>
      <c r="H650" s="137">
        <v>0.0</v>
      </c>
      <c r="I650" s="137">
        <v>0.0</v>
      </c>
      <c r="J650" s="137">
        <v>0.0</v>
      </c>
      <c r="K650" s="137">
        <v>0.0</v>
      </c>
      <c r="L650" s="137">
        <v>0.0</v>
      </c>
      <c r="M650" s="137">
        <v>0.0</v>
      </c>
      <c r="N650" s="137">
        <v>0.0</v>
      </c>
      <c r="O650" s="137">
        <v>0.0</v>
      </c>
      <c r="P650" s="135">
        <v>0.0</v>
      </c>
      <c r="Q650" s="135">
        <v>0.0</v>
      </c>
      <c r="R650" s="135">
        <v>0.0</v>
      </c>
      <c r="S650" s="135">
        <v>0.0</v>
      </c>
      <c r="T650" s="135">
        <v>0.0</v>
      </c>
      <c r="U650" s="135">
        <v>0.0</v>
      </c>
      <c r="V650" s="135">
        <v>0.0</v>
      </c>
      <c r="W650" s="135">
        <v>0.0</v>
      </c>
      <c r="X650" s="135">
        <v>0.0</v>
      </c>
      <c r="Y650" s="135">
        <v>0.0</v>
      </c>
      <c r="Z650" s="135">
        <v>0.0</v>
      </c>
      <c r="AA650" s="135">
        <v>0.0</v>
      </c>
      <c r="AB650" s="135">
        <v>0.0</v>
      </c>
      <c r="AC650" s="135">
        <v>0.0</v>
      </c>
      <c r="AD650" s="135">
        <v>0.0</v>
      </c>
      <c r="AE650" s="135">
        <v>0.0</v>
      </c>
      <c r="AF650" s="135">
        <v>0.0</v>
      </c>
      <c r="AG650" s="135">
        <v>0.0</v>
      </c>
      <c r="AH650" s="135">
        <v>0.0</v>
      </c>
      <c r="AI650" s="135">
        <v>0.0</v>
      </c>
      <c r="AJ650" s="135">
        <v>0.0</v>
      </c>
      <c r="AK650" s="135">
        <v>0.0</v>
      </c>
      <c r="AL650" s="135">
        <v>0.0</v>
      </c>
      <c r="AM650" s="135">
        <v>0.0</v>
      </c>
      <c r="AN650" s="137">
        <v>0.0</v>
      </c>
    </row>
    <row r="651">
      <c r="A651" s="98"/>
      <c r="B651" s="136" t="s">
        <v>200</v>
      </c>
      <c r="C651" s="137">
        <v>114.0</v>
      </c>
      <c r="D651" s="137">
        <v>41.0</v>
      </c>
      <c r="E651" s="137">
        <v>73.0</v>
      </c>
      <c r="F651" s="137">
        <v>34.0</v>
      </c>
      <c r="G651" s="137">
        <v>53.0</v>
      </c>
      <c r="H651" s="137">
        <v>4.0</v>
      </c>
      <c r="I651" s="137">
        <v>9.0</v>
      </c>
      <c r="J651" s="137">
        <v>0.0</v>
      </c>
      <c r="K651" s="137">
        <v>6.0</v>
      </c>
      <c r="L651" s="137">
        <v>3.0</v>
      </c>
      <c r="M651" s="137">
        <v>4.0</v>
      </c>
      <c r="N651" s="137">
        <v>0.0</v>
      </c>
      <c r="O651" s="137">
        <v>1.0</v>
      </c>
      <c r="P651" s="135">
        <v>0.0</v>
      </c>
      <c r="Q651" s="135">
        <v>0.0</v>
      </c>
      <c r="R651" s="135">
        <v>0.0</v>
      </c>
      <c r="S651" s="135">
        <v>0.0</v>
      </c>
      <c r="T651" s="135">
        <v>0.0</v>
      </c>
      <c r="U651" s="135">
        <v>0.0</v>
      </c>
      <c r="V651" s="135">
        <v>0.0</v>
      </c>
      <c r="W651" s="135">
        <v>0.0</v>
      </c>
      <c r="X651" s="135">
        <v>0.0</v>
      </c>
      <c r="Y651" s="135">
        <v>0.0</v>
      </c>
      <c r="Z651" s="135">
        <v>0.0</v>
      </c>
      <c r="AA651" s="135">
        <v>0.0</v>
      </c>
      <c r="AB651" s="135">
        <v>0.0</v>
      </c>
      <c r="AC651" s="135">
        <v>0.0</v>
      </c>
      <c r="AD651" s="135">
        <v>0.0</v>
      </c>
      <c r="AE651" s="135">
        <v>0.0</v>
      </c>
      <c r="AF651" s="135">
        <v>0.0</v>
      </c>
      <c r="AG651" s="135">
        <v>0.0</v>
      </c>
      <c r="AH651" s="135">
        <v>0.0</v>
      </c>
      <c r="AI651" s="135">
        <v>0.0</v>
      </c>
      <c r="AJ651" s="135">
        <v>0.0</v>
      </c>
      <c r="AK651" s="135">
        <v>0.0</v>
      </c>
      <c r="AL651" s="135">
        <v>0.0</v>
      </c>
      <c r="AM651" s="135">
        <v>0.0</v>
      </c>
      <c r="AN651" s="137">
        <v>112.0</v>
      </c>
    </row>
    <row r="652">
      <c r="A652" s="104"/>
      <c r="B652" s="136" t="s">
        <v>201</v>
      </c>
      <c r="C652" s="137">
        <v>0.0</v>
      </c>
      <c r="D652" s="137">
        <v>0.0</v>
      </c>
      <c r="E652" s="137">
        <v>0.0</v>
      </c>
      <c r="F652" s="137">
        <v>0.0</v>
      </c>
      <c r="G652" s="137">
        <v>0.0</v>
      </c>
      <c r="H652" s="137">
        <v>0.0</v>
      </c>
      <c r="I652" s="137">
        <v>0.0</v>
      </c>
      <c r="J652" s="137">
        <v>0.0</v>
      </c>
      <c r="K652" s="137">
        <v>0.0</v>
      </c>
      <c r="L652" s="137">
        <v>0.0</v>
      </c>
      <c r="M652" s="137">
        <v>0.0</v>
      </c>
      <c r="N652" s="137">
        <v>0.0</v>
      </c>
      <c r="O652" s="137">
        <v>0.0</v>
      </c>
      <c r="P652" s="135">
        <v>0.0</v>
      </c>
      <c r="Q652" s="135">
        <v>0.0</v>
      </c>
      <c r="R652" s="135">
        <v>0.0</v>
      </c>
      <c r="S652" s="135">
        <v>0.0</v>
      </c>
      <c r="T652" s="135">
        <v>0.0</v>
      </c>
      <c r="U652" s="135">
        <v>0.0</v>
      </c>
      <c r="V652" s="135">
        <v>0.0</v>
      </c>
      <c r="W652" s="135">
        <v>0.0</v>
      </c>
      <c r="X652" s="135">
        <v>0.0</v>
      </c>
      <c r="Y652" s="135">
        <v>0.0</v>
      </c>
      <c r="Z652" s="135">
        <v>0.0</v>
      </c>
      <c r="AA652" s="135">
        <v>0.0</v>
      </c>
      <c r="AB652" s="135">
        <v>0.0</v>
      </c>
      <c r="AC652" s="135">
        <v>0.0</v>
      </c>
      <c r="AD652" s="135">
        <v>0.0</v>
      </c>
      <c r="AE652" s="135">
        <v>0.0</v>
      </c>
      <c r="AF652" s="135">
        <v>0.0</v>
      </c>
      <c r="AG652" s="135">
        <v>0.0</v>
      </c>
      <c r="AH652" s="135">
        <v>0.0</v>
      </c>
      <c r="AI652" s="135">
        <v>0.0</v>
      </c>
      <c r="AJ652" s="135">
        <v>0.0</v>
      </c>
      <c r="AK652" s="135">
        <v>0.0</v>
      </c>
      <c r="AL652" s="135">
        <v>0.0</v>
      </c>
      <c r="AM652" s="135">
        <v>0.0</v>
      </c>
      <c r="AN652" s="137">
        <v>0.0</v>
      </c>
    </row>
    <row r="653">
      <c r="A653" s="138" t="s">
        <v>235</v>
      </c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</row>
    <row r="654">
      <c r="A654" s="132" t="s">
        <v>197</v>
      </c>
      <c r="B654" s="133" t="s">
        <v>198</v>
      </c>
      <c r="C654" s="134">
        <v>34468.0</v>
      </c>
      <c r="D654" s="134">
        <v>12742.0</v>
      </c>
      <c r="E654" s="134">
        <v>21726.0</v>
      </c>
      <c r="F654" s="135">
        <v>0.0</v>
      </c>
      <c r="G654" s="135">
        <v>0.0</v>
      </c>
      <c r="H654" s="135">
        <v>0.0</v>
      </c>
      <c r="I654" s="135">
        <v>0.0</v>
      </c>
      <c r="J654" s="135">
        <v>0.0</v>
      </c>
      <c r="K654" s="135">
        <v>0.0</v>
      </c>
      <c r="L654" s="137">
        <v>25.0</v>
      </c>
      <c r="M654" s="137">
        <v>34.0</v>
      </c>
      <c r="N654" s="137">
        <v>39.0</v>
      </c>
      <c r="O654" s="137">
        <v>56.0</v>
      </c>
      <c r="P654" s="137">
        <v>53.0</v>
      </c>
      <c r="Q654" s="137">
        <v>149.0</v>
      </c>
      <c r="R654" s="137">
        <v>143.0</v>
      </c>
      <c r="S654" s="137">
        <v>291.0</v>
      </c>
      <c r="T654" s="137">
        <v>254.0</v>
      </c>
      <c r="U654" s="137">
        <v>523.0</v>
      </c>
      <c r="V654" s="137">
        <v>512.0</v>
      </c>
      <c r="W654" s="134">
        <v>1018.0</v>
      </c>
      <c r="X654" s="137">
        <v>846.0</v>
      </c>
      <c r="Y654" s="134">
        <v>1690.0</v>
      </c>
      <c r="Z654" s="134">
        <v>1359.0</v>
      </c>
      <c r="AA654" s="134">
        <v>2428.0</v>
      </c>
      <c r="AB654" s="134">
        <v>1688.0</v>
      </c>
      <c r="AC654" s="134">
        <v>2738.0</v>
      </c>
      <c r="AD654" s="134">
        <v>1661.0</v>
      </c>
      <c r="AE654" s="134">
        <v>2798.0</v>
      </c>
      <c r="AF654" s="134">
        <v>1705.0</v>
      </c>
      <c r="AG654" s="134">
        <v>2756.0</v>
      </c>
      <c r="AH654" s="134">
        <v>1723.0</v>
      </c>
      <c r="AI654" s="134">
        <v>2573.0</v>
      </c>
      <c r="AJ654" s="134">
        <v>1408.0</v>
      </c>
      <c r="AK654" s="134">
        <v>2171.0</v>
      </c>
      <c r="AL654" s="134">
        <v>1326.0</v>
      </c>
      <c r="AM654" s="134">
        <v>2501.0</v>
      </c>
      <c r="AN654" s="134">
        <v>33014.0</v>
      </c>
    </row>
    <row r="655">
      <c r="A655" s="98"/>
      <c r="B655" s="136" t="s">
        <v>199</v>
      </c>
      <c r="C655" s="134">
        <v>22211.0</v>
      </c>
      <c r="D655" s="134">
        <v>7954.0</v>
      </c>
      <c r="E655" s="134">
        <v>14257.0</v>
      </c>
      <c r="F655" s="135">
        <v>0.0</v>
      </c>
      <c r="G655" s="135">
        <v>0.0</v>
      </c>
      <c r="H655" s="135">
        <v>0.0</v>
      </c>
      <c r="I655" s="135">
        <v>0.0</v>
      </c>
      <c r="J655" s="135">
        <v>0.0</v>
      </c>
      <c r="K655" s="135">
        <v>0.0</v>
      </c>
      <c r="L655" s="137">
        <v>8.0</v>
      </c>
      <c r="M655" s="137">
        <v>7.0</v>
      </c>
      <c r="N655" s="137">
        <v>11.0</v>
      </c>
      <c r="O655" s="137">
        <v>16.0</v>
      </c>
      <c r="P655" s="137">
        <v>36.0</v>
      </c>
      <c r="Q655" s="137">
        <v>60.0</v>
      </c>
      <c r="R655" s="137">
        <v>51.0</v>
      </c>
      <c r="S655" s="137">
        <v>138.0</v>
      </c>
      <c r="T655" s="137">
        <v>102.0</v>
      </c>
      <c r="U655" s="137">
        <v>262.0</v>
      </c>
      <c r="V655" s="137">
        <v>230.0</v>
      </c>
      <c r="W655" s="137">
        <v>518.0</v>
      </c>
      <c r="X655" s="137">
        <v>483.0</v>
      </c>
      <c r="Y655" s="137">
        <v>983.0</v>
      </c>
      <c r="Z655" s="137">
        <v>742.0</v>
      </c>
      <c r="AA655" s="134">
        <v>1602.0</v>
      </c>
      <c r="AB655" s="137">
        <v>953.0</v>
      </c>
      <c r="AC655" s="134">
        <v>1707.0</v>
      </c>
      <c r="AD655" s="134">
        <v>1071.0</v>
      </c>
      <c r="AE655" s="134">
        <v>1853.0</v>
      </c>
      <c r="AF655" s="134">
        <v>1126.0</v>
      </c>
      <c r="AG655" s="134">
        <v>1809.0</v>
      </c>
      <c r="AH655" s="134">
        <v>1167.0</v>
      </c>
      <c r="AI655" s="134">
        <v>1822.0</v>
      </c>
      <c r="AJ655" s="137">
        <v>970.0</v>
      </c>
      <c r="AK655" s="134">
        <v>1581.0</v>
      </c>
      <c r="AL655" s="134">
        <v>1004.0</v>
      </c>
      <c r="AM655" s="134">
        <v>1899.0</v>
      </c>
      <c r="AN655" s="134">
        <v>21747.0</v>
      </c>
    </row>
    <row r="656">
      <c r="A656" s="98"/>
      <c r="B656" s="136" t="s">
        <v>200</v>
      </c>
      <c r="C656" s="134">
        <v>22427.0</v>
      </c>
      <c r="D656" s="134">
        <v>7646.0</v>
      </c>
      <c r="E656" s="134">
        <v>14781.0</v>
      </c>
      <c r="F656" s="135">
        <v>0.0</v>
      </c>
      <c r="G656" s="135">
        <v>0.0</v>
      </c>
      <c r="H656" s="135">
        <v>0.0</v>
      </c>
      <c r="I656" s="135">
        <v>0.0</v>
      </c>
      <c r="J656" s="135">
        <v>0.0</v>
      </c>
      <c r="K656" s="135">
        <v>0.0</v>
      </c>
      <c r="L656" s="137">
        <v>7.0</v>
      </c>
      <c r="M656" s="137">
        <v>19.0</v>
      </c>
      <c r="N656" s="137">
        <v>20.0</v>
      </c>
      <c r="O656" s="137">
        <v>27.0</v>
      </c>
      <c r="P656" s="137">
        <v>43.0</v>
      </c>
      <c r="Q656" s="137">
        <v>92.0</v>
      </c>
      <c r="R656" s="137">
        <v>90.0</v>
      </c>
      <c r="S656" s="137">
        <v>200.0</v>
      </c>
      <c r="T656" s="137">
        <v>135.0</v>
      </c>
      <c r="U656" s="137">
        <v>367.0</v>
      </c>
      <c r="V656" s="137">
        <v>268.0</v>
      </c>
      <c r="W656" s="137">
        <v>639.0</v>
      </c>
      <c r="X656" s="137">
        <v>509.0</v>
      </c>
      <c r="Y656" s="134">
        <v>1140.0</v>
      </c>
      <c r="Z656" s="137">
        <v>833.0</v>
      </c>
      <c r="AA656" s="134">
        <v>1766.0</v>
      </c>
      <c r="AB656" s="137">
        <v>970.0</v>
      </c>
      <c r="AC656" s="134">
        <v>1863.0</v>
      </c>
      <c r="AD656" s="134">
        <v>1013.0</v>
      </c>
      <c r="AE656" s="134">
        <v>1945.0</v>
      </c>
      <c r="AF656" s="134">
        <v>1076.0</v>
      </c>
      <c r="AG656" s="134">
        <v>1843.0</v>
      </c>
      <c r="AH656" s="134">
        <v>1058.0</v>
      </c>
      <c r="AI656" s="134">
        <v>1775.0</v>
      </c>
      <c r="AJ656" s="137">
        <v>861.0</v>
      </c>
      <c r="AK656" s="134">
        <v>1480.0</v>
      </c>
      <c r="AL656" s="137">
        <v>763.0</v>
      </c>
      <c r="AM656" s="134">
        <v>1625.0</v>
      </c>
      <c r="AN656" s="134">
        <v>22112.0</v>
      </c>
    </row>
    <row r="657">
      <c r="A657" s="104"/>
      <c r="B657" s="136" t="s">
        <v>201</v>
      </c>
      <c r="C657" s="134">
        <v>5088.0</v>
      </c>
      <c r="D657" s="134">
        <v>2040.0</v>
      </c>
      <c r="E657" s="134">
        <v>3048.0</v>
      </c>
      <c r="F657" s="135">
        <v>0.0</v>
      </c>
      <c r="G657" s="135">
        <v>0.0</v>
      </c>
      <c r="H657" s="135">
        <v>0.0</v>
      </c>
      <c r="I657" s="135">
        <v>0.0</v>
      </c>
      <c r="J657" s="135">
        <v>0.0</v>
      </c>
      <c r="K657" s="135">
        <v>0.0</v>
      </c>
      <c r="L657" s="137">
        <v>9.0</v>
      </c>
      <c r="M657" s="137">
        <v>9.0</v>
      </c>
      <c r="N657" s="137">
        <v>10.0</v>
      </c>
      <c r="O657" s="137">
        <v>37.0</v>
      </c>
      <c r="P657" s="137">
        <v>36.0</v>
      </c>
      <c r="Q657" s="137">
        <v>48.0</v>
      </c>
      <c r="R657" s="137">
        <v>46.0</v>
      </c>
      <c r="S657" s="137">
        <v>70.0</v>
      </c>
      <c r="T657" s="137">
        <v>51.0</v>
      </c>
      <c r="U657" s="137">
        <v>129.0</v>
      </c>
      <c r="V657" s="137">
        <v>88.0</v>
      </c>
      <c r="W657" s="137">
        <v>175.0</v>
      </c>
      <c r="X657" s="137">
        <v>154.0</v>
      </c>
      <c r="Y657" s="137">
        <v>190.0</v>
      </c>
      <c r="Z657" s="137">
        <v>227.0</v>
      </c>
      <c r="AA657" s="137">
        <v>312.0</v>
      </c>
      <c r="AB657" s="137">
        <v>230.0</v>
      </c>
      <c r="AC657" s="137">
        <v>333.0</v>
      </c>
      <c r="AD657" s="137">
        <v>212.0</v>
      </c>
      <c r="AE657" s="137">
        <v>311.0</v>
      </c>
      <c r="AF657" s="137">
        <v>250.0</v>
      </c>
      <c r="AG657" s="137">
        <v>366.0</v>
      </c>
      <c r="AH657" s="137">
        <v>285.0</v>
      </c>
      <c r="AI657" s="137">
        <v>378.0</v>
      </c>
      <c r="AJ657" s="137">
        <v>192.0</v>
      </c>
      <c r="AK657" s="137">
        <v>312.0</v>
      </c>
      <c r="AL657" s="137">
        <v>250.0</v>
      </c>
      <c r="AM657" s="137">
        <v>378.0</v>
      </c>
      <c r="AN657" s="134">
        <v>4735.0</v>
      </c>
    </row>
    <row r="658">
      <c r="A658" s="132" t="s">
        <v>202</v>
      </c>
      <c r="B658" s="136" t="s">
        <v>198</v>
      </c>
      <c r="C658" s="137">
        <v>180.0</v>
      </c>
      <c r="D658" s="137">
        <v>120.0</v>
      </c>
      <c r="E658" s="137">
        <v>60.0</v>
      </c>
      <c r="F658" s="137">
        <v>3.0</v>
      </c>
      <c r="G658" s="137">
        <v>2.0</v>
      </c>
      <c r="H658" s="137">
        <v>13.0</v>
      </c>
      <c r="I658" s="137">
        <v>10.0</v>
      </c>
      <c r="J658" s="137">
        <v>13.0</v>
      </c>
      <c r="K658" s="137">
        <v>0.0</v>
      </c>
      <c r="L658" s="137">
        <v>3.0</v>
      </c>
      <c r="M658" s="137">
        <v>5.0</v>
      </c>
      <c r="N658" s="137">
        <v>1.0</v>
      </c>
      <c r="O658" s="137">
        <v>8.0</v>
      </c>
      <c r="P658" s="137">
        <v>4.0</v>
      </c>
      <c r="Q658" s="137">
        <v>3.0</v>
      </c>
      <c r="R658" s="137">
        <v>5.0</v>
      </c>
      <c r="S658" s="137">
        <v>2.0</v>
      </c>
      <c r="T658" s="137">
        <v>13.0</v>
      </c>
      <c r="U658" s="137">
        <v>7.0</v>
      </c>
      <c r="V658" s="137">
        <v>5.0</v>
      </c>
      <c r="W658" s="137">
        <v>14.0</v>
      </c>
      <c r="X658" s="137">
        <v>14.0</v>
      </c>
      <c r="Y658" s="137">
        <v>5.0</v>
      </c>
      <c r="Z658" s="137">
        <v>9.0</v>
      </c>
      <c r="AA658" s="137">
        <v>1.0</v>
      </c>
      <c r="AB658" s="137">
        <v>13.0</v>
      </c>
      <c r="AC658" s="137">
        <v>0.0</v>
      </c>
      <c r="AD658" s="137">
        <v>1.0</v>
      </c>
      <c r="AE658" s="137">
        <v>1.0</v>
      </c>
      <c r="AF658" s="137">
        <v>4.0</v>
      </c>
      <c r="AG658" s="137">
        <v>0.0</v>
      </c>
      <c r="AH658" s="137">
        <v>5.0</v>
      </c>
      <c r="AI658" s="137">
        <v>0.0</v>
      </c>
      <c r="AJ658" s="137">
        <v>3.0</v>
      </c>
      <c r="AK658" s="137">
        <v>0.0</v>
      </c>
      <c r="AL658" s="137">
        <v>11.0</v>
      </c>
      <c r="AM658" s="137">
        <v>2.0</v>
      </c>
      <c r="AN658" s="137">
        <v>141.0</v>
      </c>
    </row>
    <row r="659">
      <c r="A659" s="104"/>
      <c r="B659" s="136" t="s">
        <v>199</v>
      </c>
      <c r="C659" s="137">
        <v>124.0</v>
      </c>
      <c r="D659" s="137">
        <v>77.0</v>
      </c>
      <c r="E659" s="137">
        <v>47.0</v>
      </c>
      <c r="F659" s="137">
        <v>13.0</v>
      </c>
      <c r="G659" s="137">
        <v>5.0</v>
      </c>
      <c r="H659" s="137">
        <v>17.0</v>
      </c>
      <c r="I659" s="137">
        <v>11.0</v>
      </c>
      <c r="J659" s="137">
        <v>6.0</v>
      </c>
      <c r="K659" s="137">
        <v>0.0</v>
      </c>
      <c r="L659" s="137">
        <v>0.0</v>
      </c>
      <c r="M659" s="137">
        <v>1.0</v>
      </c>
      <c r="N659" s="137">
        <v>1.0</v>
      </c>
      <c r="O659" s="137">
        <v>1.0</v>
      </c>
      <c r="P659" s="137">
        <v>0.0</v>
      </c>
      <c r="Q659" s="137">
        <v>2.0</v>
      </c>
      <c r="R659" s="137">
        <v>1.0</v>
      </c>
      <c r="S659" s="137">
        <v>0.0</v>
      </c>
      <c r="T659" s="137">
        <v>1.0</v>
      </c>
      <c r="U659" s="137">
        <v>4.0</v>
      </c>
      <c r="V659" s="137">
        <v>1.0</v>
      </c>
      <c r="W659" s="137">
        <v>2.0</v>
      </c>
      <c r="X659" s="137">
        <v>3.0</v>
      </c>
      <c r="Y659" s="137">
        <v>2.0</v>
      </c>
      <c r="Z659" s="137">
        <v>8.0</v>
      </c>
      <c r="AA659" s="137">
        <v>0.0</v>
      </c>
      <c r="AB659" s="137">
        <v>1.0</v>
      </c>
      <c r="AC659" s="137">
        <v>6.0</v>
      </c>
      <c r="AD659" s="137">
        <v>1.0</v>
      </c>
      <c r="AE659" s="137">
        <v>3.0</v>
      </c>
      <c r="AF659" s="137">
        <v>2.0</v>
      </c>
      <c r="AG659" s="137">
        <v>1.0</v>
      </c>
      <c r="AH659" s="137">
        <v>9.0</v>
      </c>
      <c r="AI659" s="137">
        <v>1.0</v>
      </c>
      <c r="AJ659" s="137">
        <v>3.0</v>
      </c>
      <c r="AK659" s="137">
        <v>2.0</v>
      </c>
      <c r="AL659" s="137">
        <v>10.0</v>
      </c>
      <c r="AM659" s="137">
        <v>6.0</v>
      </c>
      <c r="AN659" s="137">
        <v>118.0</v>
      </c>
    </row>
    <row r="660">
      <c r="A660" s="132" t="s">
        <v>203</v>
      </c>
      <c r="B660" s="136" t="s">
        <v>198</v>
      </c>
      <c r="C660" s="137">
        <v>13.0</v>
      </c>
      <c r="D660" s="137">
        <v>12.0</v>
      </c>
      <c r="E660" s="137">
        <v>1.0</v>
      </c>
      <c r="F660" s="135">
        <v>0.0</v>
      </c>
      <c r="G660" s="135">
        <v>0.0</v>
      </c>
      <c r="H660" s="135">
        <v>0.0</v>
      </c>
      <c r="I660" s="135">
        <v>0.0</v>
      </c>
      <c r="J660" s="135">
        <v>0.0</v>
      </c>
      <c r="K660" s="135">
        <v>0.0</v>
      </c>
      <c r="L660" s="135">
        <v>0.0</v>
      </c>
      <c r="M660" s="135">
        <v>0.0</v>
      </c>
      <c r="N660" s="135">
        <v>0.0</v>
      </c>
      <c r="O660" s="135">
        <v>0.0</v>
      </c>
      <c r="P660" s="135">
        <v>0.0</v>
      </c>
      <c r="Q660" s="135">
        <v>0.0</v>
      </c>
      <c r="R660" s="135">
        <v>0.0</v>
      </c>
      <c r="S660" s="135">
        <v>0.0</v>
      </c>
      <c r="T660" s="135">
        <v>0.0</v>
      </c>
      <c r="U660" s="135">
        <v>0.0</v>
      </c>
      <c r="V660" s="135">
        <v>0.0</v>
      </c>
      <c r="W660" s="135">
        <v>0.0</v>
      </c>
      <c r="X660" s="135">
        <v>0.0</v>
      </c>
      <c r="Y660" s="135">
        <v>0.0</v>
      </c>
      <c r="Z660" s="135">
        <v>0.0</v>
      </c>
      <c r="AA660" s="135">
        <v>0.0</v>
      </c>
      <c r="AB660" s="135">
        <v>0.0</v>
      </c>
      <c r="AC660" s="135">
        <v>0.0</v>
      </c>
      <c r="AD660" s="135">
        <v>0.0</v>
      </c>
      <c r="AE660" s="135">
        <v>0.0</v>
      </c>
      <c r="AF660" s="137">
        <v>10.0</v>
      </c>
      <c r="AG660" s="137">
        <v>0.0</v>
      </c>
      <c r="AH660" s="137">
        <v>1.0</v>
      </c>
      <c r="AI660" s="137">
        <v>1.0</v>
      </c>
      <c r="AJ660" s="137">
        <v>0.0</v>
      </c>
      <c r="AK660" s="137">
        <v>0.0</v>
      </c>
      <c r="AL660" s="137">
        <v>1.0</v>
      </c>
      <c r="AM660" s="137">
        <v>0.0</v>
      </c>
      <c r="AN660" s="137">
        <v>13.0</v>
      </c>
    </row>
    <row r="661">
      <c r="A661" s="104"/>
      <c r="B661" s="136" t="s">
        <v>199</v>
      </c>
      <c r="C661" s="137">
        <v>343.0</v>
      </c>
      <c r="D661" s="137">
        <v>121.0</v>
      </c>
      <c r="E661" s="137">
        <v>222.0</v>
      </c>
      <c r="F661" s="135">
        <v>0.0</v>
      </c>
      <c r="G661" s="135">
        <v>0.0</v>
      </c>
      <c r="H661" s="135">
        <v>0.0</v>
      </c>
      <c r="I661" s="135">
        <v>0.0</v>
      </c>
      <c r="J661" s="135">
        <v>0.0</v>
      </c>
      <c r="K661" s="135">
        <v>0.0</v>
      </c>
      <c r="L661" s="135">
        <v>0.0</v>
      </c>
      <c r="M661" s="135">
        <v>0.0</v>
      </c>
      <c r="N661" s="135">
        <v>0.0</v>
      </c>
      <c r="O661" s="135">
        <v>0.0</v>
      </c>
      <c r="P661" s="135">
        <v>0.0</v>
      </c>
      <c r="Q661" s="135">
        <v>0.0</v>
      </c>
      <c r="R661" s="135">
        <v>0.0</v>
      </c>
      <c r="S661" s="135">
        <v>0.0</v>
      </c>
      <c r="T661" s="135">
        <v>0.0</v>
      </c>
      <c r="U661" s="135">
        <v>0.0</v>
      </c>
      <c r="V661" s="135">
        <v>0.0</v>
      </c>
      <c r="W661" s="135">
        <v>0.0</v>
      </c>
      <c r="X661" s="135">
        <v>0.0</v>
      </c>
      <c r="Y661" s="135">
        <v>0.0</v>
      </c>
      <c r="Z661" s="135">
        <v>0.0</v>
      </c>
      <c r="AA661" s="135">
        <v>0.0</v>
      </c>
      <c r="AB661" s="135">
        <v>0.0</v>
      </c>
      <c r="AC661" s="135">
        <v>0.0</v>
      </c>
      <c r="AD661" s="135">
        <v>0.0</v>
      </c>
      <c r="AE661" s="135">
        <v>0.0</v>
      </c>
      <c r="AF661" s="137">
        <v>41.0</v>
      </c>
      <c r="AG661" s="137">
        <v>63.0</v>
      </c>
      <c r="AH661" s="137">
        <v>36.0</v>
      </c>
      <c r="AI661" s="137">
        <v>67.0</v>
      </c>
      <c r="AJ661" s="137">
        <v>22.0</v>
      </c>
      <c r="AK661" s="137">
        <v>47.0</v>
      </c>
      <c r="AL661" s="137">
        <v>22.0</v>
      </c>
      <c r="AM661" s="137">
        <v>45.0</v>
      </c>
      <c r="AN661" s="137">
        <v>339.0</v>
      </c>
    </row>
    <row r="662">
      <c r="A662" s="132" t="s">
        <v>204</v>
      </c>
      <c r="B662" s="136" t="s">
        <v>198</v>
      </c>
      <c r="C662" s="137">
        <v>14.0</v>
      </c>
      <c r="D662" s="137">
        <v>6.0</v>
      </c>
      <c r="E662" s="137">
        <v>8.0</v>
      </c>
      <c r="F662" s="135">
        <v>0.0</v>
      </c>
      <c r="G662" s="135">
        <v>0.0</v>
      </c>
      <c r="H662" s="135">
        <v>0.0</v>
      </c>
      <c r="I662" s="135">
        <v>0.0</v>
      </c>
      <c r="J662" s="135">
        <v>0.0</v>
      </c>
      <c r="K662" s="135">
        <v>0.0</v>
      </c>
      <c r="L662" s="135">
        <v>0.0</v>
      </c>
      <c r="M662" s="135">
        <v>0.0</v>
      </c>
      <c r="N662" s="135">
        <v>0.0</v>
      </c>
      <c r="O662" s="135">
        <v>0.0</v>
      </c>
      <c r="P662" s="135">
        <v>0.0</v>
      </c>
      <c r="Q662" s="135">
        <v>0.0</v>
      </c>
      <c r="R662" s="135">
        <v>0.0</v>
      </c>
      <c r="S662" s="135">
        <v>0.0</v>
      </c>
      <c r="T662" s="135">
        <v>0.0</v>
      </c>
      <c r="U662" s="135">
        <v>0.0</v>
      </c>
      <c r="V662" s="135">
        <v>0.0</v>
      </c>
      <c r="W662" s="135">
        <v>0.0</v>
      </c>
      <c r="X662" s="135">
        <v>0.0</v>
      </c>
      <c r="Y662" s="135">
        <v>0.0</v>
      </c>
      <c r="Z662" s="135">
        <v>0.0</v>
      </c>
      <c r="AA662" s="135">
        <v>0.0</v>
      </c>
      <c r="AB662" s="135">
        <v>0.0</v>
      </c>
      <c r="AC662" s="135">
        <v>0.0</v>
      </c>
      <c r="AD662" s="135">
        <v>0.0</v>
      </c>
      <c r="AE662" s="135">
        <v>0.0</v>
      </c>
      <c r="AF662" s="137">
        <v>0.0</v>
      </c>
      <c r="AG662" s="137">
        <v>1.0</v>
      </c>
      <c r="AH662" s="137">
        <v>0.0</v>
      </c>
      <c r="AI662" s="137">
        <v>1.0</v>
      </c>
      <c r="AJ662" s="137">
        <v>2.0</v>
      </c>
      <c r="AK662" s="137">
        <v>0.0</v>
      </c>
      <c r="AL662" s="137">
        <v>4.0</v>
      </c>
      <c r="AM662" s="137">
        <v>6.0</v>
      </c>
      <c r="AN662" s="137">
        <v>14.0</v>
      </c>
    </row>
    <row r="663">
      <c r="A663" s="104"/>
      <c r="B663" s="136" t="s">
        <v>199</v>
      </c>
      <c r="C663" s="137">
        <v>249.0</v>
      </c>
      <c r="D663" s="137">
        <v>91.0</v>
      </c>
      <c r="E663" s="137">
        <v>158.0</v>
      </c>
      <c r="F663" s="135">
        <v>0.0</v>
      </c>
      <c r="G663" s="135">
        <v>0.0</v>
      </c>
      <c r="H663" s="135">
        <v>0.0</v>
      </c>
      <c r="I663" s="135">
        <v>0.0</v>
      </c>
      <c r="J663" s="135">
        <v>0.0</v>
      </c>
      <c r="K663" s="135">
        <v>0.0</v>
      </c>
      <c r="L663" s="135">
        <v>0.0</v>
      </c>
      <c r="M663" s="135">
        <v>0.0</v>
      </c>
      <c r="N663" s="135">
        <v>0.0</v>
      </c>
      <c r="O663" s="135">
        <v>0.0</v>
      </c>
      <c r="P663" s="135">
        <v>0.0</v>
      </c>
      <c r="Q663" s="135">
        <v>0.0</v>
      </c>
      <c r="R663" s="135">
        <v>0.0</v>
      </c>
      <c r="S663" s="135">
        <v>0.0</v>
      </c>
      <c r="T663" s="135">
        <v>0.0</v>
      </c>
      <c r="U663" s="135">
        <v>0.0</v>
      </c>
      <c r="V663" s="135">
        <v>0.0</v>
      </c>
      <c r="W663" s="135">
        <v>0.0</v>
      </c>
      <c r="X663" s="135">
        <v>0.0</v>
      </c>
      <c r="Y663" s="135">
        <v>0.0</v>
      </c>
      <c r="Z663" s="135">
        <v>0.0</v>
      </c>
      <c r="AA663" s="135">
        <v>0.0</v>
      </c>
      <c r="AB663" s="135">
        <v>0.0</v>
      </c>
      <c r="AC663" s="135">
        <v>0.0</v>
      </c>
      <c r="AD663" s="135">
        <v>0.0</v>
      </c>
      <c r="AE663" s="135">
        <v>0.0</v>
      </c>
      <c r="AF663" s="137">
        <v>10.0</v>
      </c>
      <c r="AG663" s="137">
        <v>16.0</v>
      </c>
      <c r="AH663" s="137">
        <v>13.0</v>
      </c>
      <c r="AI663" s="137">
        <v>26.0</v>
      </c>
      <c r="AJ663" s="137">
        <v>25.0</v>
      </c>
      <c r="AK663" s="137">
        <v>48.0</v>
      </c>
      <c r="AL663" s="137">
        <v>43.0</v>
      </c>
      <c r="AM663" s="137">
        <v>68.0</v>
      </c>
      <c r="AN663" s="137">
        <v>242.0</v>
      </c>
    </row>
    <row r="664">
      <c r="A664" s="132" t="s">
        <v>205</v>
      </c>
      <c r="B664" s="136" t="s">
        <v>198</v>
      </c>
      <c r="C664" s="137">
        <v>16.0</v>
      </c>
      <c r="D664" s="137">
        <v>4.0</v>
      </c>
      <c r="E664" s="137">
        <v>12.0</v>
      </c>
      <c r="F664" s="137">
        <v>0.0</v>
      </c>
      <c r="G664" s="137">
        <v>0.0</v>
      </c>
      <c r="H664" s="137">
        <v>0.0</v>
      </c>
      <c r="I664" s="137">
        <v>0.0</v>
      </c>
      <c r="J664" s="137">
        <v>0.0</v>
      </c>
      <c r="K664" s="137">
        <v>1.0</v>
      </c>
      <c r="L664" s="137">
        <v>0.0</v>
      </c>
      <c r="M664" s="137">
        <v>0.0</v>
      </c>
      <c r="N664" s="137">
        <v>0.0</v>
      </c>
      <c r="O664" s="137">
        <v>0.0</v>
      </c>
      <c r="P664" s="137">
        <v>1.0</v>
      </c>
      <c r="Q664" s="137">
        <v>1.0</v>
      </c>
      <c r="R664" s="137">
        <v>0.0</v>
      </c>
      <c r="S664" s="137">
        <v>1.0</v>
      </c>
      <c r="T664" s="137">
        <v>0.0</v>
      </c>
      <c r="U664" s="137">
        <v>1.0</v>
      </c>
      <c r="V664" s="137">
        <v>0.0</v>
      </c>
      <c r="W664" s="137">
        <v>0.0</v>
      </c>
      <c r="X664" s="137">
        <v>0.0</v>
      </c>
      <c r="Y664" s="137">
        <v>0.0</v>
      </c>
      <c r="Z664" s="137">
        <v>1.0</v>
      </c>
      <c r="AA664" s="137">
        <v>0.0</v>
      </c>
      <c r="AB664" s="137">
        <v>0.0</v>
      </c>
      <c r="AC664" s="137">
        <v>1.0</v>
      </c>
      <c r="AD664" s="137">
        <v>0.0</v>
      </c>
      <c r="AE664" s="137">
        <v>2.0</v>
      </c>
      <c r="AF664" s="137">
        <v>0.0</v>
      </c>
      <c r="AG664" s="137">
        <v>3.0</v>
      </c>
      <c r="AH664" s="137">
        <v>0.0</v>
      </c>
      <c r="AI664" s="137">
        <v>0.0</v>
      </c>
      <c r="AJ664" s="137">
        <v>1.0</v>
      </c>
      <c r="AK664" s="137">
        <v>1.0</v>
      </c>
      <c r="AL664" s="137">
        <v>1.0</v>
      </c>
      <c r="AM664" s="137">
        <v>1.0</v>
      </c>
      <c r="AN664" s="137">
        <v>6.0</v>
      </c>
    </row>
    <row r="665">
      <c r="A665" s="98"/>
      <c r="B665" s="136" t="s">
        <v>199</v>
      </c>
      <c r="C665" s="137">
        <v>1.0</v>
      </c>
      <c r="D665" s="137">
        <v>0.0</v>
      </c>
      <c r="E665" s="137">
        <v>1.0</v>
      </c>
      <c r="F665" s="137">
        <v>0.0</v>
      </c>
      <c r="G665" s="137">
        <v>0.0</v>
      </c>
      <c r="H665" s="137">
        <v>0.0</v>
      </c>
      <c r="I665" s="137">
        <v>0.0</v>
      </c>
      <c r="J665" s="137">
        <v>0.0</v>
      </c>
      <c r="K665" s="137">
        <v>0.0</v>
      </c>
      <c r="L665" s="137">
        <v>0.0</v>
      </c>
      <c r="M665" s="137">
        <v>0.0</v>
      </c>
      <c r="N665" s="137">
        <v>0.0</v>
      </c>
      <c r="O665" s="137">
        <v>0.0</v>
      </c>
      <c r="P665" s="137">
        <v>0.0</v>
      </c>
      <c r="Q665" s="137">
        <v>0.0</v>
      </c>
      <c r="R665" s="137">
        <v>0.0</v>
      </c>
      <c r="S665" s="137">
        <v>0.0</v>
      </c>
      <c r="T665" s="137">
        <v>0.0</v>
      </c>
      <c r="U665" s="137">
        <v>0.0</v>
      </c>
      <c r="V665" s="137">
        <v>0.0</v>
      </c>
      <c r="W665" s="137">
        <v>0.0</v>
      </c>
      <c r="X665" s="137">
        <v>0.0</v>
      </c>
      <c r="Y665" s="137">
        <v>0.0</v>
      </c>
      <c r="Z665" s="137">
        <v>0.0</v>
      </c>
      <c r="AA665" s="137">
        <v>0.0</v>
      </c>
      <c r="AB665" s="137">
        <v>0.0</v>
      </c>
      <c r="AC665" s="137">
        <v>0.0</v>
      </c>
      <c r="AD665" s="137">
        <v>0.0</v>
      </c>
      <c r="AE665" s="137">
        <v>1.0</v>
      </c>
      <c r="AF665" s="137">
        <v>0.0</v>
      </c>
      <c r="AG665" s="137">
        <v>0.0</v>
      </c>
      <c r="AH665" s="137">
        <v>0.0</v>
      </c>
      <c r="AI665" s="137">
        <v>0.0</v>
      </c>
      <c r="AJ665" s="137">
        <v>0.0</v>
      </c>
      <c r="AK665" s="137">
        <v>0.0</v>
      </c>
      <c r="AL665" s="137">
        <v>0.0</v>
      </c>
      <c r="AM665" s="137">
        <v>0.0</v>
      </c>
      <c r="AN665" s="137">
        <v>1.0</v>
      </c>
    </row>
    <row r="666">
      <c r="A666" s="104"/>
      <c r="B666" s="136" t="s">
        <v>206</v>
      </c>
      <c r="C666" s="137">
        <v>3.0</v>
      </c>
      <c r="D666" s="137">
        <v>3.0</v>
      </c>
      <c r="E666" s="137">
        <v>0.0</v>
      </c>
      <c r="F666" s="137">
        <v>0.0</v>
      </c>
      <c r="G666" s="137">
        <v>0.0</v>
      </c>
      <c r="H666" s="137">
        <v>0.0</v>
      </c>
      <c r="I666" s="137">
        <v>0.0</v>
      </c>
      <c r="J666" s="137">
        <v>0.0</v>
      </c>
      <c r="K666" s="137">
        <v>0.0</v>
      </c>
      <c r="L666" s="137">
        <v>0.0</v>
      </c>
      <c r="M666" s="137">
        <v>0.0</v>
      </c>
      <c r="N666" s="137">
        <v>3.0</v>
      </c>
      <c r="O666" s="137">
        <v>0.0</v>
      </c>
      <c r="P666" s="137">
        <v>0.0</v>
      </c>
      <c r="Q666" s="137">
        <v>0.0</v>
      </c>
      <c r="R666" s="137">
        <v>0.0</v>
      </c>
      <c r="S666" s="137">
        <v>0.0</v>
      </c>
      <c r="T666" s="137">
        <v>0.0</v>
      </c>
      <c r="U666" s="137">
        <v>0.0</v>
      </c>
      <c r="V666" s="137">
        <v>0.0</v>
      </c>
      <c r="W666" s="137">
        <v>0.0</v>
      </c>
      <c r="X666" s="137">
        <v>0.0</v>
      </c>
      <c r="Y666" s="137">
        <v>0.0</v>
      </c>
      <c r="Z666" s="137">
        <v>0.0</v>
      </c>
      <c r="AA666" s="137">
        <v>0.0</v>
      </c>
      <c r="AB666" s="137">
        <v>0.0</v>
      </c>
      <c r="AC666" s="137">
        <v>0.0</v>
      </c>
      <c r="AD666" s="137">
        <v>0.0</v>
      </c>
      <c r="AE666" s="137">
        <v>0.0</v>
      </c>
      <c r="AF666" s="137">
        <v>0.0</v>
      </c>
      <c r="AG666" s="137">
        <v>0.0</v>
      </c>
      <c r="AH666" s="137">
        <v>0.0</v>
      </c>
      <c r="AI666" s="137">
        <v>0.0</v>
      </c>
      <c r="AJ666" s="137">
        <v>0.0</v>
      </c>
      <c r="AK666" s="137">
        <v>0.0</v>
      </c>
      <c r="AL666" s="137">
        <v>0.0</v>
      </c>
      <c r="AM666" s="137">
        <v>0.0</v>
      </c>
      <c r="AN666" s="137">
        <v>3.0</v>
      </c>
    </row>
    <row r="667">
      <c r="A667" s="132" t="s">
        <v>207</v>
      </c>
      <c r="B667" s="136" t="s">
        <v>198</v>
      </c>
      <c r="C667" s="134">
        <v>6841.0</v>
      </c>
      <c r="D667" s="134">
        <v>2082.0</v>
      </c>
      <c r="E667" s="134">
        <v>4759.0</v>
      </c>
      <c r="F667" s="137">
        <v>75.0</v>
      </c>
      <c r="G667" s="137">
        <v>84.0</v>
      </c>
      <c r="H667" s="137">
        <v>61.0</v>
      </c>
      <c r="I667" s="137">
        <v>53.0</v>
      </c>
      <c r="J667" s="137">
        <v>57.0</v>
      </c>
      <c r="K667" s="137">
        <v>39.0</v>
      </c>
      <c r="L667" s="137">
        <v>68.0</v>
      </c>
      <c r="M667" s="137">
        <v>67.0</v>
      </c>
      <c r="N667" s="137">
        <v>49.0</v>
      </c>
      <c r="O667" s="137">
        <v>71.0</v>
      </c>
      <c r="P667" s="137">
        <v>40.0</v>
      </c>
      <c r="Q667" s="137">
        <v>156.0</v>
      </c>
      <c r="R667" s="137">
        <v>77.0</v>
      </c>
      <c r="S667" s="137">
        <v>193.0</v>
      </c>
      <c r="T667" s="137">
        <v>78.0</v>
      </c>
      <c r="U667" s="137">
        <v>203.0</v>
      </c>
      <c r="V667" s="137">
        <v>88.0</v>
      </c>
      <c r="W667" s="137">
        <v>286.0</v>
      </c>
      <c r="X667" s="137">
        <v>107.0</v>
      </c>
      <c r="Y667" s="137">
        <v>407.0</v>
      </c>
      <c r="Z667" s="137">
        <v>125.0</v>
      </c>
      <c r="AA667" s="137">
        <v>429.0</v>
      </c>
      <c r="AB667" s="137">
        <v>167.0</v>
      </c>
      <c r="AC667" s="137">
        <v>436.0</v>
      </c>
      <c r="AD667" s="137">
        <v>206.0</v>
      </c>
      <c r="AE667" s="137">
        <v>472.0</v>
      </c>
      <c r="AF667" s="137">
        <v>192.0</v>
      </c>
      <c r="AG667" s="137">
        <v>535.0</v>
      </c>
      <c r="AH667" s="137">
        <v>187.0</v>
      </c>
      <c r="AI667" s="137">
        <v>394.0</v>
      </c>
      <c r="AJ667" s="137">
        <v>209.0</v>
      </c>
      <c r="AK667" s="137">
        <v>366.0</v>
      </c>
      <c r="AL667" s="137">
        <v>296.0</v>
      </c>
      <c r="AM667" s="137">
        <v>568.0</v>
      </c>
      <c r="AN667" s="134">
        <v>6659.0</v>
      </c>
    </row>
    <row r="668">
      <c r="A668" s="98"/>
      <c r="B668" s="136" t="s">
        <v>199</v>
      </c>
      <c r="C668" s="137">
        <v>907.0</v>
      </c>
      <c r="D668" s="137">
        <v>383.0</v>
      </c>
      <c r="E668" s="137">
        <v>524.0</v>
      </c>
      <c r="F668" s="137">
        <v>47.0</v>
      </c>
      <c r="G668" s="137">
        <v>37.0</v>
      </c>
      <c r="H668" s="137">
        <v>9.0</v>
      </c>
      <c r="I668" s="137">
        <v>9.0</v>
      </c>
      <c r="J668" s="137">
        <v>1.0</v>
      </c>
      <c r="K668" s="137">
        <v>3.0</v>
      </c>
      <c r="L668" s="137">
        <v>4.0</v>
      </c>
      <c r="M668" s="137">
        <v>9.0</v>
      </c>
      <c r="N668" s="137">
        <v>4.0</v>
      </c>
      <c r="O668" s="137">
        <v>2.0</v>
      </c>
      <c r="P668" s="137">
        <v>6.0</v>
      </c>
      <c r="Q668" s="137">
        <v>4.0</v>
      </c>
      <c r="R668" s="137">
        <v>10.0</v>
      </c>
      <c r="S668" s="137">
        <v>10.0</v>
      </c>
      <c r="T668" s="137">
        <v>11.0</v>
      </c>
      <c r="U668" s="137">
        <v>8.0</v>
      </c>
      <c r="V668" s="137">
        <v>15.0</v>
      </c>
      <c r="W668" s="137">
        <v>14.0</v>
      </c>
      <c r="X668" s="137">
        <v>23.0</v>
      </c>
      <c r="Y668" s="137">
        <v>33.0</v>
      </c>
      <c r="Z668" s="137">
        <v>25.0</v>
      </c>
      <c r="AA668" s="137">
        <v>52.0</v>
      </c>
      <c r="AB668" s="137">
        <v>15.0</v>
      </c>
      <c r="AC668" s="137">
        <v>43.0</v>
      </c>
      <c r="AD668" s="137">
        <v>39.0</v>
      </c>
      <c r="AE668" s="137">
        <v>52.0</v>
      </c>
      <c r="AF668" s="137">
        <v>36.0</v>
      </c>
      <c r="AG668" s="137">
        <v>63.0</v>
      </c>
      <c r="AH668" s="137">
        <v>39.0</v>
      </c>
      <c r="AI668" s="137">
        <v>57.0</v>
      </c>
      <c r="AJ668" s="137">
        <v>36.0</v>
      </c>
      <c r="AK668" s="137">
        <v>36.0</v>
      </c>
      <c r="AL668" s="137">
        <v>63.0</v>
      </c>
      <c r="AM668" s="137">
        <v>92.0</v>
      </c>
      <c r="AN668" s="137">
        <v>822.0</v>
      </c>
    </row>
    <row r="669">
      <c r="A669" s="98"/>
      <c r="B669" s="136" t="s">
        <v>206</v>
      </c>
      <c r="C669" s="137">
        <v>151.0</v>
      </c>
      <c r="D669" s="137">
        <v>36.0</v>
      </c>
      <c r="E669" s="137">
        <v>115.0</v>
      </c>
      <c r="F669" s="137">
        <v>29.0</v>
      </c>
      <c r="G669" s="137">
        <v>33.0</v>
      </c>
      <c r="H669" s="137">
        <v>3.0</v>
      </c>
      <c r="I669" s="137">
        <v>18.0</v>
      </c>
      <c r="J669" s="137">
        <v>0.0</v>
      </c>
      <c r="K669" s="137">
        <v>0.0</v>
      </c>
      <c r="L669" s="137">
        <v>0.0</v>
      </c>
      <c r="M669" s="137">
        <v>0.0</v>
      </c>
      <c r="N669" s="137">
        <v>0.0</v>
      </c>
      <c r="O669" s="137">
        <v>1.0</v>
      </c>
      <c r="P669" s="137">
        <v>0.0</v>
      </c>
      <c r="Q669" s="137">
        <v>1.0</v>
      </c>
      <c r="R669" s="137">
        <v>0.0</v>
      </c>
      <c r="S669" s="137">
        <v>5.0</v>
      </c>
      <c r="T669" s="137">
        <v>0.0</v>
      </c>
      <c r="U669" s="137">
        <v>4.0</v>
      </c>
      <c r="V669" s="137">
        <v>0.0</v>
      </c>
      <c r="W669" s="137">
        <v>4.0</v>
      </c>
      <c r="X669" s="137">
        <v>1.0</v>
      </c>
      <c r="Y669" s="137">
        <v>3.0</v>
      </c>
      <c r="Z669" s="137">
        <v>0.0</v>
      </c>
      <c r="AA669" s="137">
        <v>14.0</v>
      </c>
      <c r="AB669" s="137">
        <v>0.0</v>
      </c>
      <c r="AC669" s="137">
        <v>15.0</v>
      </c>
      <c r="AD669" s="137">
        <v>0.0</v>
      </c>
      <c r="AE669" s="137">
        <v>11.0</v>
      </c>
      <c r="AF669" s="137">
        <v>1.0</v>
      </c>
      <c r="AG669" s="137">
        <v>2.0</v>
      </c>
      <c r="AH669" s="137">
        <v>0.0</v>
      </c>
      <c r="AI669" s="137">
        <v>4.0</v>
      </c>
      <c r="AJ669" s="137">
        <v>2.0</v>
      </c>
      <c r="AK669" s="137">
        <v>0.0</v>
      </c>
      <c r="AL669" s="137">
        <v>0.0</v>
      </c>
      <c r="AM669" s="137">
        <v>0.0</v>
      </c>
      <c r="AN669" s="137">
        <v>149.0</v>
      </c>
    </row>
    <row r="670">
      <c r="A670" s="98"/>
      <c r="B670" s="136" t="s">
        <v>200</v>
      </c>
      <c r="C670" s="134">
        <v>6241.0</v>
      </c>
      <c r="D670" s="134">
        <v>2452.0</v>
      </c>
      <c r="E670" s="134">
        <v>3789.0</v>
      </c>
      <c r="F670" s="134">
        <v>1436.0</v>
      </c>
      <c r="G670" s="134">
        <v>1498.0</v>
      </c>
      <c r="H670" s="137">
        <v>604.0</v>
      </c>
      <c r="I670" s="137">
        <v>601.0</v>
      </c>
      <c r="J670" s="137">
        <v>130.0</v>
      </c>
      <c r="K670" s="137">
        <v>132.0</v>
      </c>
      <c r="L670" s="137">
        <v>57.0</v>
      </c>
      <c r="M670" s="137">
        <v>161.0</v>
      </c>
      <c r="N670" s="137">
        <v>12.0</v>
      </c>
      <c r="O670" s="137">
        <v>245.0</v>
      </c>
      <c r="P670" s="137">
        <v>10.0</v>
      </c>
      <c r="Q670" s="137">
        <v>254.0</v>
      </c>
      <c r="R670" s="137">
        <v>13.0</v>
      </c>
      <c r="S670" s="137">
        <v>250.0</v>
      </c>
      <c r="T670" s="137">
        <v>12.0</v>
      </c>
      <c r="U670" s="137">
        <v>157.0</v>
      </c>
      <c r="V670" s="137">
        <v>15.0</v>
      </c>
      <c r="W670" s="137">
        <v>92.0</v>
      </c>
      <c r="X670" s="137">
        <v>11.0</v>
      </c>
      <c r="Y670" s="137">
        <v>76.0</v>
      </c>
      <c r="Z670" s="137">
        <v>16.0</v>
      </c>
      <c r="AA670" s="137">
        <v>75.0</v>
      </c>
      <c r="AB670" s="137">
        <v>11.0</v>
      </c>
      <c r="AC670" s="137">
        <v>31.0</v>
      </c>
      <c r="AD670" s="137">
        <v>13.0</v>
      </c>
      <c r="AE670" s="137">
        <v>34.0</v>
      </c>
      <c r="AF670" s="137">
        <v>32.0</v>
      </c>
      <c r="AG670" s="137">
        <v>50.0</v>
      </c>
      <c r="AH670" s="137">
        <v>34.0</v>
      </c>
      <c r="AI670" s="137">
        <v>56.0</v>
      </c>
      <c r="AJ670" s="137">
        <v>23.0</v>
      </c>
      <c r="AK670" s="137">
        <v>34.0</v>
      </c>
      <c r="AL670" s="137">
        <v>23.0</v>
      </c>
      <c r="AM670" s="137">
        <v>43.0</v>
      </c>
      <c r="AN670" s="134">
        <v>6144.0</v>
      </c>
    </row>
    <row r="671">
      <c r="A671" s="104"/>
      <c r="B671" s="136" t="s">
        <v>201</v>
      </c>
      <c r="C671" s="134">
        <v>7213.0</v>
      </c>
      <c r="D671" s="134">
        <v>3179.0</v>
      </c>
      <c r="E671" s="134">
        <v>4034.0</v>
      </c>
      <c r="F671" s="137">
        <v>175.0</v>
      </c>
      <c r="G671" s="137">
        <v>209.0</v>
      </c>
      <c r="H671" s="137">
        <v>157.0</v>
      </c>
      <c r="I671" s="137">
        <v>196.0</v>
      </c>
      <c r="J671" s="137">
        <v>158.0</v>
      </c>
      <c r="K671" s="137">
        <v>171.0</v>
      </c>
      <c r="L671" s="137">
        <v>94.0</v>
      </c>
      <c r="M671" s="137">
        <v>109.0</v>
      </c>
      <c r="N671" s="137">
        <v>108.0</v>
      </c>
      <c r="O671" s="137">
        <v>135.0</v>
      </c>
      <c r="P671" s="137">
        <v>136.0</v>
      </c>
      <c r="Q671" s="137">
        <v>160.0</v>
      </c>
      <c r="R671" s="137">
        <v>153.0</v>
      </c>
      <c r="S671" s="137">
        <v>198.0</v>
      </c>
      <c r="T671" s="137">
        <v>191.0</v>
      </c>
      <c r="U671" s="137">
        <v>240.0</v>
      </c>
      <c r="V671" s="137">
        <v>171.0</v>
      </c>
      <c r="W671" s="137">
        <v>231.0</v>
      </c>
      <c r="X671" s="137">
        <v>229.0</v>
      </c>
      <c r="Y671" s="137">
        <v>281.0</v>
      </c>
      <c r="Z671" s="137">
        <v>239.0</v>
      </c>
      <c r="AA671" s="137">
        <v>382.0</v>
      </c>
      <c r="AB671" s="137">
        <v>223.0</v>
      </c>
      <c r="AC671" s="137">
        <v>258.0</v>
      </c>
      <c r="AD671" s="137">
        <v>206.0</v>
      </c>
      <c r="AE671" s="137">
        <v>278.0</v>
      </c>
      <c r="AF671" s="137">
        <v>233.0</v>
      </c>
      <c r="AG671" s="137">
        <v>243.0</v>
      </c>
      <c r="AH671" s="137">
        <v>247.0</v>
      </c>
      <c r="AI671" s="137">
        <v>332.0</v>
      </c>
      <c r="AJ671" s="137">
        <v>228.0</v>
      </c>
      <c r="AK671" s="137">
        <v>288.0</v>
      </c>
      <c r="AL671" s="137">
        <v>231.0</v>
      </c>
      <c r="AM671" s="137">
        <v>323.0</v>
      </c>
      <c r="AN671" s="134">
        <v>6981.0</v>
      </c>
    </row>
    <row r="672">
      <c r="A672" s="132" t="s">
        <v>208</v>
      </c>
      <c r="B672" s="136" t="s">
        <v>198</v>
      </c>
      <c r="C672" s="137">
        <v>1.0</v>
      </c>
      <c r="D672" s="137">
        <v>1.0</v>
      </c>
      <c r="E672" s="137">
        <v>0.0</v>
      </c>
      <c r="F672" s="137">
        <v>1.0</v>
      </c>
      <c r="G672" s="137">
        <v>0.0</v>
      </c>
      <c r="H672" s="137">
        <v>0.0</v>
      </c>
      <c r="I672" s="137">
        <v>0.0</v>
      </c>
      <c r="J672" s="137">
        <v>0.0</v>
      </c>
      <c r="K672" s="137">
        <v>0.0</v>
      </c>
      <c r="L672" s="137">
        <v>0.0</v>
      </c>
      <c r="M672" s="137">
        <v>0.0</v>
      </c>
      <c r="N672" s="137">
        <v>0.0</v>
      </c>
      <c r="O672" s="137">
        <v>0.0</v>
      </c>
      <c r="P672" s="135">
        <v>0.0</v>
      </c>
      <c r="Q672" s="135">
        <v>0.0</v>
      </c>
      <c r="R672" s="135">
        <v>0.0</v>
      </c>
      <c r="S672" s="135">
        <v>0.0</v>
      </c>
      <c r="T672" s="135">
        <v>0.0</v>
      </c>
      <c r="U672" s="135">
        <v>0.0</v>
      </c>
      <c r="V672" s="135">
        <v>0.0</v>
      </c>
      <c r="W672" s="135">
        <v>0.0</v>
      </c>
      <c r="X672" s="135">
        <v>0.0</v>
      </c>
      <c r="Y672" s="135">
        <v>0.0</v>
      </c>
      <c r="Z672" s="135">
        <v>0.0</v>
      </c>
      <c r="AA672" s="135">
        <v>0.0</v>
      </c>
      <c r="AB672" s="135">
        <v>0.0</v>
      </c>
      <c r="AC672" s="135">
        <v>0.0</v>
      </c>
      <c r="AD672" s="135">
        <v>0.0</v>
      </c>
      <c r="AE672" s="135">
        <v>0.0</v>
      </c>
      <c r="AF672" s="135">
        <v>0.0</v>
      </c>
      <c r="AG672" s="135">
        <v>0.0</v>
      </c>
      <c r="AH672" s="135">
        <v>0.0</v>
      </c>
      <c r="AI672" s="135">
        <v>0.0</v>
      </c>
      <c r="AJ672" s="135">
        <v>0.0</v>
      </c>
      <c r="AK672" s="135">
        <v>0.0</v>
      </c>
      <c r="AL672" s="135">
        <v>0.0</v>
      </c>
      <c r="AM672" s="135">
        <v>0.0</v>
      </c>
      <c r="AN672" s="137">
        <v>1.0</v>
      </c>
    </row>
    <row r="673">
      <c r="A673" s="98"/>
      <c r="B673" s="136" t="s">
        <v>199</v>
      </c>
      <c r="C673" s="137">
        <v>12.0</v>
      </c>
      <c r="D673" s="137">
        <v>8.0</v>
      </c>
      <c r="E673" s="137">
        <v>4.0</v>
      </c>
      <c r="F673" s="137">
        <v>8.0</v>
      </c>
      <c r="G673" s="137">
        <v>3.0</v>
      </c>
      <c r="H673" s="137">
        <v>0.0</v>
      </c>
      <c r="I673" s="137">
        <v>1.0</v>
      </c>
      <c r="J673" s="137">
        <v>0.0</v>
      </c>
      <c r="K673" s="137">
        <v>0.0</v>
      </c>
      <c r="L673" s="137">
        <v>0.0</v>
      </c>
      <c r="M673" s="137">
        <v>0.0</v>
      </c>
      <c r="N673" s="137">
        <v>0.0</v>
      </c>
      <c r="O673" s="137">
        <v>0.0</v>
      </c>
      <c r="P673" s="135">
        <v>0.0</v>
      </c>
      <c r="Q673" s="135">
        <v>0.0</v>
      </c>
      <c r="R673" s="135">
        <v>0.0</v>
      </c>
      <c r="S673" s="135">
        <v>0.0</v>
      </c>
      <c r="T673" s="135">
        <v>0.0</v>
      </c>
      <c r="U673" s="135">
        <v>0.0</v>
      </c>
      <c r="V673" s="135">
        <v>0.0</v>
      </c>
      <c r="W673" s="135">
        <v>0.0</v>
      </c>
      <c r="X673" s="135">
        <v>0.0</v>
      </c>
      <c r="Y673" s="135">
        <v>0.0</v>
      </c>
      <c r="Z673" s="135">
        <v>0.0</v>
      </c>
      <c r="AA673" s="135">
        <v>0.0</v>
      </c>
      <c r="AB673" s="135">
        <v>0.0</v>
      </c>
      <c r="AC673" s="135">
        <v>0.0</v>
      </c>
      <c r="AD673" s="135">
        <v>0.0</v>
      </c>
      <c r="AE673" s="135">
        <v>0.0</v>
      </c>
      <c r="AF673" s="135">
        <v>0.0</v>
      </c>
      <c r="AG673" s="135">
        <v>0.0</v>
      </c>
      <c r="AH673" s="135">
        <v>0.0</v>
      </c>
      <c r="AI673" s="135">
        <v>0.0</v>
      </c>
      <c r="AJ673" s="135">
        <v>0.0</v>
      </c>
      <c r="AK673" s="135">
        <v>0.0</v>
      </c>
      <c r="AL673" s="135">
        <v>0.0</v>
      </c>
      <c r="AM673" s="135">
        <v>0.0</v>
      </c>
      <c r="AN673" s="137">
        <v>10.0</v>
      </c>
    </row>
    <row r="674">
      <c r="A674" s="98"/>
      <c r="B674" s="136" t="s">
        <v>206</v>
      </c>
      <c r="C674" s="137">
        <v>0.0</v>
      </c>
      <c r="D674" s="137">
        <v>0.0</v>
      </c>
      <c r="E674" s="137">
        <v>0.0</v>
      </c>
      <c r="F674" s="137">
        <v>0.0</v>
      </c>
      <c r="G674" s="137">
        <v>0.0</v>
      </c>
      <c r="H674" s="137">
        <v>0.0</v>
      </c>
      <c r="I674" s="137">
        <v>0.0</v>
      </c>
      <c r="J674" s="137">
        <v>0.0</v>
      </c>
      <c r="K674" s="137">
        <v>0.0</v>
      </c>
      <c r="L674" s="137">
        <v>0.0</v>
      </c>
      <c r="M674" s="137">
        <v>0.0</v>
      </c>
      <c r="N674" s="137">
        <v>0.0</v>
      </c>
      <c r="O674" s="137">
        <v>0.0</v>
      </c>
      <c r="P674" s="135">
        <v>0.0</v>
      </c>
      <c r="Q674" s="135">
        <v>0.0</v>
      </c>
      <c r="R674" s="135">
        <v>0.0</v>
      </c>
      <c r="S674" s="135">
        <v>0.0</v>
      </c>
      <c r="T674" s="135">
        <v>0.0</v>
      </c>
      <c r="U674" s="135">
        <v>0.0</v>
      </c>
      <c r="V674" s="135">
        <v>0.0</v>
      </c>
      <c r="W674" s="135">
        <v>0.0</v>
      </c>
      <c r="X674" s="135">
        <v>0.0</v>
      </c>
      <c r="Y674" s="135">
        <v>0.0</v>
      </c>
      <c r="Z674" s="135">
        <v>0.0</v>
      </c>
      <c r="AA674" s="135">
        <v>0.0</v>
      </c>
      <c r="AB674" s="135">
        <v>0.0</v>
      </c>
      <c r="AC674" s="135">
        <v>0.0</v>
      </c>
      <c r="AD674" s="135">
        <v>0.0</v>
      </c>
      <c r="AE674" s="135">
        <v>0.0</v>
      </c>
      <c r="AF674" s="135">
        <v>0.0</v>
      </c>
      <c r="AG674" s="135">
        <v>0.0</v>
      </c>
      <c r="AH674" s="135">
        <v>0.0</v>
      </c>
      <c r="AI674" s="135">
        <v>0.0</v>
      </c>
      <c r="AJ674" s="135">
        <v>0.0</v>
      </c>
      <c r="AK674" s="135">
        <v>0.0</v>
      </c>
      <c r="AL674" s="135">
        <v>0.0</v>
      </c>
      <c r="AM674" s="135">
        <v>0.0</v>
      </c>
      <c r="AN674" s="137">
        <v>0.0</v>
      </c>
    </row>
    <row r="675">
      <c r="A675" s="98"/>
      <c r="B675" s="136" t="s">
        <v>200</v>
      </c>
      <c r="C675" s="137">
        <v>6.0</v>
      </c>
      <c r="D675" s="137">
        <v>2.0</v>
      </c>
      <c r="E675" s="137">
        <v>4.0</v>
      </c>
      <c r="F675" s="137">
        <v>1.0</v>
      </c>
      <c r="G675" s="137">
        <v>3.0</v>
      </c>
      <c r="H675" s="137">
        <v>1.0</v>
      </c>
      <c r="I675" s="137">
        <v>0.0</v>
      </c>
      <c r="J675" s="137">
        <v>0.0</v>
      </c>
      <c r="K675" s="137">
        <v>0.0</v>
      </c>
      <c r="L675" s="137">
        <v>0.0</v>
      </c>
      <c r="M675" s="137">
        <v>1.0</v>
      </c>
      <c r="N675" s="137">
        <v>0.0</v>
      </c>
      <c r="O675" s="137">
        <v>0.0</v>
      </c>
      <c r="P675" s="135">
        <v>0.0</v>
      </c>
      <c r="Q675" s="135">
        <v>0.0</v>
      </c>
      <c r="R675" s="135">
        <v>0.0</v>
      </c>
      <c r="S675" s="135">
        <v>0.0</v>
      </c>
      <c r="T675" s="135">
        <v>0.0</v>
      </c>
      <c r="U675" s="135">
        <v>0.0</v>
      </c>
      <c r="V675" s="135">
        <v>0.0</v>
      </c>
      <c r="W675" s="135">
        <v>0.0</v>
      </c>
      <c r="X675" s="135">
        <v>0.0</v>
      </c>
      <c r="Y675" s="135">
        <v>0.0</v>
      </c>
      <c r="Z675" s="135">
        <v>0.0</v>
      </c>
      <c r="AA675" s="135">
        <v>0.0</v>
      </c>
      <c r="AB675" s="135">
        <v>0.0</v>
      </c>
      <c r="AC675" s="135">
        <v>0.0</v>
      </c>
      <c r="AD675" s="135">
        <v>0.0</v>
      </c>
      <c r="AE675" s="135">
        <v>0.0</v>
      </c>
      <c r="AF675" s="135">
        <v>0.0</v>
      </c>
      <c r="AG675" s="135">
        <v>0.0</v>
      </c>
      <c r="AH675" s="135">
        <v>0.0</v>
      </c>
      <c r="AI675" s="135">
        <v>0.0</v>
      </c>
      <c r="AJ675" s="135">
        <v>0.0</v>
      </c>
      <c r="AK675" s="135">
        <v>0.0</v>
      </c>
      <c r="AL675" s="135">
        <v>0.0</v>
      </c>
      <c r="AM675" s="135">
        <v>0.0</v>
      </c>
      <c r="AN675" s="137">
        <v>6.0</v>
      </c>
    </row>
    <row r="676">
      <c r="A676" s="104"/>
      <c r="B676" s="136" t="s">
        <v>201</v>
      </c>
      <c r="C676" s="137">
        <v>0.0</v>
      </c>
      <c r="D676" s="137">
        <v>0.0</v>
      </c>
      <c r="E676" s="137">
        <v>0.0</v>
      </c>
      <c r="F676" s="137">
        <v>0.0</v>
      </c>
      <c r="G676" s="137">
        <v>0.0</v>
      </c>
      <c r="H676" s="137">
        <v>0.0</v>
      </c>
      <c r="I676" s="137">
        <v>0.0</v>
      </c>
      <c r="J676" s="137">
        <v>0.0</v>
      </c>
      <c r="K676" s="137">
        <v>0.0</v>
      </c>
      <c r="L676" s="137">
        <v>0.0</v>
      </c>
      <c r="M676" s="137">
        <v>0.0</v>
      </c>
      <c r="N676" s="137">
        <v>0.0</v>
      </c>
      <c r="O676" s="137">
        <v>0.0</v>
      </c>
      <c r="P676" s="135">
        <v>0.0</v>
      </c>
      <c r="Q676" s="135">
        <v>0.0</v>
      </c>
      <c r="R676" s="135">
        <v>0.0</v>
      </c>
      <c r="S676" s="135">
        <v>0.0</v>
      </c>
      <c r="T676" s="135">
        <v>0.0</v>
      </c>
      <c r="U676" s="135">
        <v>0.0</v>
      </c>
      <c r="V676" s="135">
        <v>0.0</v>
      </c>
      <c r="W676" s="135">
        <v>0.0</v>
      </c>
      <c r="X676" s="135">
        <v>0.0</v>
      </c>
      <c r="Y676" s="135">
        <v>0.0</v>
      </c>
      <c r="Z676" s="135">
        <v>0.0</v>
      </c>
      <c r="AA676" s="135">
        <v>0.0</v>
      </c>
      <c r="AB676" s="135">
        <v>0.0</v>
      </c>
      <c r="AC676" s="135">
        <v>0.0</v>
      </c>
      <c r="AD676" s="135">
        <v>0.0</v>
      </c>
      <c r="AE676" s="135">
        <v>0.0</v>
      </c>
      <c r="AF676" s="135">
        <v>0.0</v>
      </c>
      <c r="AG676" s="135">
        <v>0.0</v>
      </c>
      <c r="AH676" s="135">
        <v>0.0</v>
      </c>
      <c r="AI676" s="135">
        <v>0.0</v>
      </c>
      <c r="AJ676" s="135">
        <v>0.0</v>
      </c>
      <c r="AK676" s="135">
        <v>0.0</v>
      </c>
      <c r="AL676" s="135">
        <v>0.0</v>
      </c>
      <c r="AM676" s="135">
        <v>0.0</v>
      </c>
      <c r="AN676" s="137">
        <v>0.0</v>
      </c>
    </row>
    <row r="677">
      <c r="A677" s="138" t="s">
        <v>236</v>
      </c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</row>
    <row r="678">
      <c r="A678" s="132" t="s">
        <v>197</v>
      </c>
      <c r="B678" s="133" t="s">
        <v>198</v>
      </c>
      <c r="C678" s="134">
        <v>19880.0</v>
      </c>
      <c r="D678" s="134">
        <v>7595.0</v>
      </c>
      <c r="E678" s="134">
        <v>12285.0</v>
      </c>
      <c r="F678" s="135">
        <v>0.0</v>
      </c>
      <c r="G678" s="135">
        <v>0.0</v>
      </c>
      <c r="H678" s="135">
        <v>0.0</v>
      </c>
      <c r="I678" s="135">
        <v>0.0</v>
      </c>
      <c r="J678" s="135">
        <v>0.0</v>
      </c>
      <c r="K678" s="135">
        <v>0.0</v>
      </c>
      <c r="L678" s="137">
        <v>4.0</v>
      </c>
      <c r="M678" s="137">
        <v>10.0</v>
      </c>
      <c r="N678" s="137">
        <v>15.0</v>
      </c>
      <c r="O678" s="137">
        <v>26.0</v>
      </c>
      <c r="P678" s="137">
        <v>33.0</v>
      </c>
      <c r="Q678" s="137">
        <v>89.0</v>
      </c>
      <c r="R678" s="137">
        <v>66.0</v>
      </c>
      <c r="S678" s="137">
        <v>136.0</v>
      </c>
      <c r="T678" s="137">
        <v>124.0</v>
      </c>
      <c r="U678" s="137">
        <v>210.0</v>
      </c>
      <c r="V678" s="137">
        <v>244.0</v>
      </c>
      <c r="W678" s="137">
        <v>461.0</v>
      </c>
      <c r="X678" s="137">
        <v>440.0</v>
      </c>
      <c r="Y678" s="137">
        <v>859.0</v>
      </c>
      <c r="Z678" s="137">
        <v>760.0</v>
      </c>
      <c r="AA678" s="134">
        <v>1375.0</v>
      </c>
      <c r="AB678" s="137">
        <v>944.0</v>
      </c>
      <c r="AC678" s="134">
        <v>1614.0</v>
      </c>
      <c r="AD678" s="134">
        <v>1020.0</v>
      </c>
      <c r="AE678" s="134">
        <v>1830.0</v>
      </c>
      <c r="AF678" s="134">
        <v>1117.0</v>
      </c>
      <c r="AG678" s="134">
        <v>1716.0</v>
      </c>
      <c r="AH678" s="134">
        <v>1169.0</v>
      </c>
      <c r="AI678" s="134">
        <v>1518.0</v>
      </c>
      <c r="AJ678" s="137">
        <v>847.0</v>
      </c>
      <c r="AK678" s="134">
        <v>1227.0</v>
      </c>
      <c r="AL678" s="137">
        <v>812.0</v>
      </c>
      <c r="AM678" s="134">
        <v>1214.0</v>
      </c>
      <c r="AN678" s="134">
        <v>19705.0</v>
      </c>
    </row>
    <row r="679">
      <c r="A679" s="98"/>
      <c r="B679" s="136" t="s">
        <v>199</v>
      </c>
      <c r="C679" s="134">
        <v>5534.0</v>
      </c>
      <c r="D679" s="134">
        <v>2175.0</v>
      </c>
      <c r="E679" s="134">
        <v>3359.0</v>
      </c>
      <c r="F679" s="135">
        <v>0.0</v>
      </c>
      <c r="G679" s="135">
        <v>0.0</v>
      </c>
      <c r="H679" s="135">
        <v>0.0</v>
      </c>
      <c r="I679" s="135">
        <v>0.0</v>
      </c>
      <c r="J679" s="135">
        <v>0.0</v>
      </c>
      <c r="K679" s="135">
        <v>0.0</v>
      </c>
      <c r="L679" s="137">
        <v>2.0</v>
      </c>
      <c r="M679" s="137">
        <v>2.0</v>
      </c>
      <c r="N679" s="137">
        <v>9.0</v>
      </c>
      <c r="O679" s="137">
        <v>10.0</v>
      </c>
      <c r="P679" s="137">
        <v>21.0</v>
      </c>
      <c r="Q679" s="137">
        <v>31.0</v>
      </c>
      <c r="R679" s="137">
        <v>25.0</v>
      </c>
      <c r="S679" s="137">
        <v>42.0</v>
      </c>
      <c r="T679" s="137">
        <v>39.0</v>
      </c>
      <c r="U679" s="137">
        <v>66.0</v>
      </c>
      <c r="V679" s="137">
        <v>81.0</v>
      </c>
      <c r="W679" s="137">
        <v>147.0</v>
      </c>
      <c r="X679" s="137">
        <v>130.0</v>
      </c>
      <c r="Y679" s="137">
        <v>220.0</v>
      </c>
      <c r="Z679" s="137">
        <v>225.0</v>
      </c>
      <c r="AA679" s="137">
        <v>370.0</v>
      </c>
      <c r="AB679" s="137">
        <v>253.0</v>
      </c>
      <c r="AC679" s="137">
        <v>424.0</v>
      </c>
      <c r="AD679" s="137">
        <v>288.0</v>
      </c>
      <c r="AE679" s="137">
        <v>507.0</v>
      </c>
      <c r="AF679" s="137">
        <v>303.0</v>
      </c>
      <c r="AG679" s="137">
        <v>483.0</v>
      </c>
      <c r="AH679" s="137">
        <v>313.0</v>
      </c>
      <c r="AI679" s="137">
        <v>377.0</v>
      </c>
      <c r="AJ679" s="137">
        <v>231.0</v>
      </c>
      <c r="AK679" s="137">
        <v>315.0</v>
      </c>
      <c r="AL679" s="137">
        <v>255.0</v>
      </c>
      <c r="AM679" s="137">
        <v>365.0</v>
      </c>
      <c r="AN679" s="134">
        <v>5482.0</v>
      </c>
    </row>
    <row r="680">
      <c r="A680" s="98"/>
      <c r="B680" s="136" t="s">
        <v>200</v>
      </c>
      <c r="C680" s="134">
        <v>3329.0</v>
      </c>
      <c r="D680" s="134">
        <v>1167.0</v>
      </c>
      <c r="E680" s="134">
        <v>2162.0</v>
      </c>
      <c r="F680" s="135">
        <v>0.0</v>
      </c>
      <c r="G680" s="135">
        <v>0.0</v>
      </c>
      <c r="H680" s="135">
        <v>0.0</v>
      </c>
      <c r="I680" s="135">
        <v>0.0</v>
      </c>
      <c r="J680" s="135">
        <v>0.0</v>
      </c>
      <c r="K680" s="135">
        <v>0.0</v>
      </c>
      <c r="L680" s="137">
        <v>3.0</v>
      </c>
      <c r="M680" s="137">
        <v>3.0</v>
      </c>
      <c r="N680" s="137">
        <v>6.0</v>
      </c>
      <c r="O680" s="137">
        <v>13.0</v>
      </c>
      <c r="P680" s="137">
        <v>9.0</v>
      </c>
      <c r="Q680" s="137">
        <v>20.0</v>
      </c>
      <c r="R680" s="137">
        <v>29.0</v>
      </c>
      <c r="S680" s="137">
        <v>42.0</v>
      </c>
      <c r="T680" s="137">
        <v>28.0</v>
      </c>
      <c r="U680" s="137">
        <v>54.0</v>
      </c>
      <c r="V680" s="137">
        <v>47.0</v>
      </c>
      <c r="W680" s="137">
        <v>115.0</v>
      </c>
      <c r="X680" s="137">
        <v>84.0</v>
      </c>
      <c r="Y680" s="137">
        <v>168.0</v>
      </c>
      <c r="Z680" s="137">
        <v>139.0</v>
      </c>
      <c r="AA680" s="137">
        <v>254.0</v>
      </c>
      <c r="AB680" s="137">
        <v>136.0</v>
      </c>
      <c r="AC680" s="137">
        <v>303.0</v>
      </c>
      <c r="AD680" s="137">
        <v>151.0</v>
      </c>
      <c r="AE680" s="137">
        <v>350.0</v>
      </c>
      <c r="AF680" s="137">
        <v>150.0</v>
      </c>
      <c r="AG680" s="137">
        <v>314.0</v>
      </c>
      <c r="AH680" s="137">
        <v>167.0</v>
      </c>
      <c r="AI680" s="137">
        <v>243.0</v>
      </c>
      <c r="AJ680" s="137">
        <v>121.0</v>
      </c>
      <c r="AK680" s="137">
        <v>139.0</v>
      </c>
      <c r="AL680" s="137">
        <v>97.0</v>
      </c>
      <c r="AM680" s="137">
        <v>144.0</v>
      </c>
      <c r="AN680" s="134">
        <v>3318.0</v>
      </c>
    </row>
    <row r="681">
      <c r="A681" s="104"/>
      <c r="B681" s="136" t="s">
        <v>201</v>
      </c>
      <c r="C681" s="137">
        <v>257.0</v>
      </c>
      <c r="D681" s="137">
        <v>108.0</v>
      </c>
      <c r="E681" s="137">
        <v>149.0</v>
      </c>
      <c r="F681" s="135">
        <v>0.0</v>
      </c>
      <c r="G681" s="135">
        <v>0.0</v>
      </c>
      <c r="H681" s="135">
        <v>0.0</v>
      </c>
      <c r="I681" s="135">
        <v>0.0</v>
      </c>
      <c r="J681" s="135">
        <v>0.0</v>
      </c>
      <c r="K681" s="135">
        <v>0.0</v>
      </c>
      <c r="L681" s="137">
        <v>1.0</v>
      </c>
      <c r="M681" s="137">
        <v>2.0</v>
      </c>
      <c r="N681" s="137">
        <v>2.0</v>
      </c>
      <c r="O681" s="137">
        <v>1.0</v>
      </c>
      <c r="P681" s="137">
        <v>0.0</v>
      </c>
      <c r="Q681" s="137">
        <v>1.0</v>
      </c>
      <c r="R681" s="137">
        <v>2.0</v>
      </c>
      <c r="S681" s="137">
        <v>5.0</v>
      </c>
      <c r="T681" s="137">
        <v>1.0</v>
      </c>
      <c r="U681" s="137">
        <v>28.0</v>
      </c>
      <c r="V681" s="137">
        <v>5.0</v>
      </c>
      <c r="W681" s="137">
        <v>14.0</v>
      </c>
      <c r="X681" s="137">
        <v>6.0</v>
      </c>
      <c r="Y681" s="137">
        <v>6.0</v>
      </c>
      <c r="Z681" s="137">
        <v>17.0</v>
      </c>
      <c r="AA681" s="137">
        <v>22.0</v>
      </c>
      <c r="AB681" s="137">
        <v>12.0</v>
      </c>
      <c r="AC681" s="137">
        <v>5.0</v>
      </c>
      <c r="AD681" s="137">
        <v>24.0</v>
      </c>
      <c r="AE681" s="137">
        <v>17.0</v>
      </c>
      <c r="AF681" s="137">
        <v>9.0</v>
      </c>
      <c r="AG681" s="137">
        <v>5.0</v>
      </c>
      <c r="AH681" s="137">
        <v>7.0</v>
      </c>
      <c r="AI681" s="137">
        <v>26.0</v>
      </c>
      <c r="AJ681" s="137">
        <v>11.0</v>
      </c>
      <c r="AK681" s="137">
        <v>2.0</v>
      </c>
      <c r="AL681" s="137">
        <v>11.0</v>
      </c>
      <c r="AM681" s="137">
        <v>15.0</v>
      </c>
      <c r="AN681" s="137">
        <v>257.0</v>
      </c>
    </row>
    <row r="682">
      <c r="A682" s="132" t="s">
        <v>202</v>
      </c>
      <c r="B682" s="136" t="s">
        <v>198</v>
      </c>
      <c r="C682" s="137">
        <v>36.0</v>
      </c>
      <c r="D682" s="137">
        <v>24.0</v>
      </c>
      <c r="E682" s="137">
        <v>12.0</v>
      </c>
      <c r="F682" s="137">
        <v>0.0</v>
      </c>
      <c r="G682" s="137">
        <v>1.0</v>
      </c>
      <c r="H682" s="137">
        <v>0.0</v>
      </c>
      <c r="I682" s="137">
        <v>0.0</v>
      </c>
      <c r="J682" s="137">
        <v>0.0</v>
      </c>
      <c r="K682" s="137">
        <v>0.0</v>
      </c>
      <c r="L682" s="137">
        <v>0.0</v>
      </c>
      <c r="M682" s="137">
        <v>1.0</v>
      </c>
      <c r="N682" s="137">
        <v>0.0</v>
      </c>
      <c r="O682" s="137">
        <v>0.0</v>
      </c>
      <c r="P682" s="137">
        <v>2.0</v>
      </c>
      <c r="Q682" s="137">
        <v>0.0</v>
      </c>
      <c r="R682" s="137">
        <v>0.0</v>
      </c>
      <c r="S682" s="137">
        <v>0.0</v>
      </c>
      <c r="T682" s="137">
        <v>0.0</v>
      </c>
      <c r="U682" s="137">
        <v>0.0</v>
      </c>
      <c r="V682" s="137">
        <v>4.0</v>
      </c>
      <c r="W682" s="137">
        <v>0.0</v>
      </c>
      <c r="X682" s="137">
        <v>4.0</v>
      </c>
      <c r="Y682" s="137">
        <v>0.0</v>
      </c>
      <c r="Z682" s="137">
        <v>6.0</v>
      </c>
      <c r="AA682" s="137">
        <v>3.0</v>
      </c>
      <c r="AB682" s="137">
        <v>2.0</v>
      </c>
      <c r="AC682" s="137">
        <v>0.0</v>
      </c>
      <c r="AD682" s="137">
        <v>1.0</v>
      </c>
      <c r="AE682" s="137">
        <v>3.0</v>
      </c>
      <c r="AF682" s="137">
        <v>3.0</v>
      </c>
      <c r="AG682" s="137">
        <v>3.0</v>
      </c>
      <c r="AH682" s="137">
        <v>1.0</v>
      </c>
      <c r="AI682" s="137">
        <v>0.0</v>
      </c>
      <c r="AJ682" s="137">
        <v>0.0</v>
      </c>
      <c r="AK682" s="137">
        <v>0.0</v>
      </c>
      <c r="AL682" s="137">
        <v>1.0</v>
      </c>
      <c r="AM682" s="137">
        <v>1.0</v>
      </c>
      <c r="AN682" s="137">
        <v>38.0</v>
      </c>
    </row>
    <row r="683">
      <c r="A683" s="104"/>
      <c r="B683" s="136" t="s">
        <v>199</v>
      </c>
      <c r="C683" s="137">
        <v>43.0</v>
      </c>
      <c r="D683" s="137">
        <v>30.0</v>
      </c>
      <c r="E683" s="137">
        <v>13.0</v>
      </c>
      <c r="F683" s="137">
        <v>4.0</v>
      </c>
      <c r="G683" s="137">
        <v>0.0</v>
      </c>
      <c r="H683" s="137">
        <v>4.0</v>
      </c>
      <c r="I683" s="137">
        <v>0.0</v>
      </c>
      <c r="J683" s="137">
        <v>0.0</v>
      </c>
      <c r="K683" s="137">
        <v>4.0</v>
      </c>
      <c r="L683" s="137">
        <v>12.0</v>
      </c>
      <c r="M683" s="137">
        <v>1.0</v>
      </c>
      <c r="N683" s="137">
        <v>0.0</v>
      </c>
      <c r="O683" s="137">
        <v>0.0</v>
      </c>
      <c r="P683" s="137">
        <v>0.0</v>
      </c>
      <c r="Q683" s="137">
        <v>0.0</v>
      </c>
      <c r="R683" s="137">
        <v>0.0</v>
      </c>
      <c r="S683" s="137">
        <v>0.0</v>
      </c>
      <c r="T683" s="137">
        <v>0.0</v>
      </c>
      <c r="U683" s="137">
        <v>0.0</v>
      </c>
      <c r="V683" s="137">
        <v>0.0</v>
      </c>
      <c r="W683" s="137">
        <v>0.0</v>
      </c>
      <c r="X683" s="137">
        <v>1.0</v>
      </c>
      <c r="Y683" s="137">
        <v>0.0</v>
      </c>
      <c r="Z683" s="137">
        <v>0.0</v>
      </c>
      <c r="AA683" s="137">
        <v>2.0</v>
      </c>
      <c r="AB683" s="137">
        <v>3.0</v>
      </c>
      <c r="AC683" s="137">
        <v>0.0</v>
      </c>
      <c r="AD683" s="137">
        <v>2.0</v>
      </c>
      <c r="AE683" s="137">
        <v>0.0</v>
      </c>
      <c r="AF683" s="137">
        <v>0.0</v>
      </c>
      <c r="AG683" s="137">
        <v>4.0</v>
      </c>
      <c r="AH683" s="137">
        <v>2.0</v>
      </c>
      <c r="AI683" s="137">
        <v>2.0</v>
      </c>
      <c r="AJ683" s="137">
        <v>0.0</v>
      </c>
      <c r="AK683" s="137">
        <v>0.0</v>
      </c>
      <c r="AL683" s="137">
        <v>2.0</v>
      </c>
      <c r="AM683" s="137">
        <v>0.0</v>
      </c>
      <c r="AN683" s="137">
        <v>43.0</v>
      </c>
    </row>
    <row r="684">
      <c r="A684" s="132" t="s">
        <v>203</v>
      </c>
      <c r="B684" s="136" t="s">
        <v>198</v>
      </c>
      <c r="C684" s="137">
        <v>0.0</v>
      </c>
      <c r="D684" s="137">
        <v>0.0</v>
      </c>
      <c r="E684" s="137">
        <v>0.0</v>
      </c>
      <c r="F684" s="135">
        <v>0.0</v>
      </c>
      <c r="G684" s="135">
        <v>0.0</v>
      </c>
      <c r="H684" s="135">
        <v>0.0</v>
      </c>
      <c r="I684" s="135">
        <v>0.0</v>
      </c>
      <c r="J684" s="135">
        <v>0.0</v>
      </c>
      <c r="K684" s="135">
        <v>0.0</v>
      </c>
      <c r="L684" s="135">
        <v>0.0</v>
      </c>
      <c r="M684" s="135">
        <v>0.0</v>
      </c>
      <c r="N684" s="135">
        <v>0.0</v>
      </c>
      <c r="O684" s="135">
        <v>0.0</v>
      </c>
      <c r="P684" s="135">
        <v>0.0</v>
      </c>
      <c r="Q684" s="135">
        <v>0.0</v>
      </c>
      <c r="R684" s="135">
        <v>0.0</v>
      </c>
      <c r="S684" s="135">
        <v>0.0</v>
      </c>
      <c r="T684" s="135">
        <v>0.0</v>
      </c>
      <c r="U684" s="135">
        <v>0.0</v>
      </c>
      <c r="V684" s="135">
        <v>0.0</v>
      </c>
      <c r="W684" s="135">
        <v>0.0</v>
      </c>
      <c r="X684" s="135">
        <v>0.0</v>
      </c>
      <c r="Y684" s="135">
        <v>0.0</v>
      </c>
      <c r="Z684" s="135">
        <v>0.0</v>
      </c>
      <c r="AA684" s="135">
        <v>0.0</v>
      </c>
      <c r="AB684" s="135">
        <v>0.0</v>
      </c>
      <c r="AC684" s="135">
        <v>0.0</v>
      </c>
      <c r="AD684" s="135">
        <v>0.0</v>
      </c>
      <c r="AE684" s="135">
        <v>0.0</v>
      </c>
      <c r="AF684" s="137">
        <v>0.0</v>
      </c>
      <c r="AG684" s="137">
        <v>0.0</v>
      </c>
      <c r="AH684" s="137">
        <v>0.0</v>
      </c>
      <c r="AI684" s="137">
        <v>0.0</v>
      </c>
      <c r="AJ684" s="137">
        <v>0.0</v>
      </c>
      <c r="AK684" s="137">
        <v>0.0</v>
      </c>
      <c r="AL684" s="137">
        <v>0.0</v>
      </c>
      <c r="AM684" s="137">
        <v>0.0</v>
      </c>
      <c r="AN684" s="137">
        <v>0.0</v>
      </c>
    </row>
    <row r="685">
      <c r="A685" s="104"/>
      <c r="B685" s="136" t="s">
        <v>199</v>
      </c>
      <c r="C685" s="137">
        <v>15.0</v>
      </c>
      <c r="D685" s="137">
        <v>5.0</v>
      </c>
      <c r="E685" s="137">
        <v>10.0</v>
      </c>
      <c r="F685" s="135">
        <v>0.0</v>
      </c>
      <c r="G685" s="135">
        <v>0.0</v>
      </c>
      <c r="H685" s="135">
        <v>0.0</v>
      </c>
      <c r="I685" s="135">
        <v>0.0</v>
      </c>
      <c r="J685" s="135">
        <v>0.0</v>
      </c>
      <c r="K685" s="135">
        <v>0.0</v>
      </c>
      <c r="L685" s="135">
        <v>0.0</v>
      </c>
      <c r="M685" s="135">
        <v>0.0</v>
      </c>
      <c r="N685" s="135">
        <v>0.0</v>
      </c>
      <c r="O685" s="135">
        <v>0.0</v>
      </c>
      <c r="P685" s="135">
        <v>0.0</v>
      </c>
      <c r="Q685" s="135">
        <v>0.0</v>
      </c>
      <c r="R685" s="135">
        <v>0.0</v>
      </c>
      <c r="S685" s="135">
        <v>0.0</v>
      </c>
      <c r="T685" s="135">
        <v>0.0</v>
      </c>
      <c r="U685" s="135">
        <v>0.0</v>
      </c>
      <c r="V685" s="135">
        <v>0.0</v>
      </c>
      <c r="W685" s="135">
        <v>0.0</v>
      </c>
      <c r="X685" s="135">
        <v>0.0</v>
      </c>
      <c r="Y685" s="135">
        <v>0.0</v>
      </c>
      <c r="Z685" s="135">
        <v>0.0</v>
      </c>
      <c r="AA685" s="135">
        <v>0.0</v>
      </c>
      <c r="AB685" s="135">
        <v>0.0</v>
      </c>
      <c r="AC685" s="135">
        <v>0.0</v>
      </c>
      <c r="AD685" s="135">
        <v>0.0</v>
      </c>
      <c r="AE685" s="135">
        <v>0.0</v>
      </c>
      <c r="AF685" s="137">
        <v>2.0</v>
      </c>
      <c r="AG685" s="137">
        <v>3.0</v>
      </c>
      <c r="AH685" s="137">
        <v>1.0</v>
      </c>
      <c r="AI685" s="137">
        <v>3.0</v>
      </c>
      <c r="AJ685" s="137">
        <v>1.0</v>
      </c>
      <c r="AK685" s="137">
        <v>1.0</v>
      </c>
      <c r="AL685" s="137">
        <v>1.0</v>
      </c>
      <c r="AM685" s="137">
        <v>3.0</v>
      </c>
      <c r="AN685" s="137">
        <v>15.0</v>
      </c>
    </row>
    <row r="686">
      <c r="A686" s="132" t="s">
        <v>204</v>
      </c>
      <c r="B686" s="136" t="s">
        <v>198</v>
      </c>
      <c r="C686" s="137">
        <v>4.0</v>
      </c>
      <c r="D686" s="137">
        <v>1.0</v>
      </c>
      <c r="E686" s="137">
        <v>3.0</v>
      </c>
      <c r="F686" s="135">
        <v>0.0</v>
      </c>
      <c r="G686" s="135">
        <v>0.0</v>
      </c>
      <c r="H686" s="135">
        <v>0.0</v>
      </c>
      <c r="I686" s="135">
        <v>0.0</v>
      </c>
      <c r="J686" s="135">
        <v>0.0</v>
      </c>
      <c r="K686" s="135">
        <v>0.0</v>
      </c>
      <c r="L686" s="135">
        <v>0.0</v>
      </c>
      <c r="M686" s="135">
        <v>0.0</v>
      </c>
      <c r="N686" s="135">
        <v>0.0</v>
      </c>
      <c r="O686" s="135">
        <v>0.0</v>
      </c>
      <c r="P686" s="135">
        <v>0.0</v>
      </c>
      <c r="Q686" s="135">
        <v>0.0</v>
      </c>
      <c r="R686" s="135">
        <v>0.0</v>
      </c>
      <c r="S686" s="135">
        <v>0.0</v>
      </c>
      <c r="T686" s="135">
        <v>0.0</v>
      </c>
      <c r="U686" s="135">
        <v>0.0</v>
      </c>
      <c r="V686" s="135">
        <v>0.0</v>
      </c>
      <c r="W686" s="135">
        <v>0.0</v>
      </c>
      <c r="X686" s="135">
        <v>0.0</v>
      </c>
      <c r="Y686" s="135">
        <v>0.0</v>
      </c>
      <c r="Z686" s="135">
        <v>0.0</v>
      </c>
      <c r="AA686" s="135">
        <v>0.0</v>
      </c>
      <c r="AB686" s="135">
        <v>0.0</v>
      </c>
      <c r="AC686" s="135">
        <v>0.0</v>
      </c>
      <c r="AD686" s="135">
        <v>0.0</v>
      </c>
      <c r="AE686" s="135">
        <v>0.0</v>
      </c>
      <c r="AF686" s="137">
        <v>0.0</v>
      </c>
      <c r="AG686" s="137">
        <v>0.0</v>
      </c>
      <c r="AH686" s="137">
        <v>0.0</v>
      </c>
      <c r="AI686" s="137">
        <v>0.0</v>
      </c>
      <c r="AJ686" s="137">
        <v>1.0</v>
      </c>
      <c r="AK686" s="137">
        <v>1.0</v>
      </c>
      <c r="AL686" s="137">
        <v>0.0</v>
      </c>
      <c r="AM686" s="137">
        <v>2.0</v>
      </c>
      <c r="AN686" s="137">
        <v>4.0</v>
      </c>
    </row>
    <row r="687">
      <c r="A687" s="104"/>
      <c r="B687" s="136" t="s">
        <v>199</v>
      </c>
      <c r="C687" s="137">
        <v>25.0</v>
      </c>
      <c r="D687" s="137">
        <v>12.0</v>
      </c>
      <c r="E687" s="137">
        <v>13.0</v>
      </c>
      <c r="F687" s="135">
        <v>0.0</v>
      </c>
      <c r="G687" s="135">
        <v>0.0</v>
      </c>
      <c r="H687" s="135">
        <v>0.0</v>
      </c>
      <c r="I687" s="135">
        <v>0.0</v>
      </c>
      <c r="J687" s="135">
        <v>0.0</v>
      </c>
      <c r="K687" s="135">
        <v>0.0</v>
      </c>
      <c r="L687" s="135">
        <v>0.0</v>
      </c>
      <c r="M687" s="135">
        <v>0.0</v>
      </c>
      <c r="N687" s="135">
        <v>0.0</v>
      </c>
      <c r="O687" s="135">
        <v>0.0</v>
      </c>
      <c r="P687" s="135">
        <v>0.0</v>
      </c>
      <c r="Q687" s="135">
        <v>0.0</v>
      </c>
      <c r="R687" s="135">
        <v>0.0</v>
      </c>
      <c r="S687" s="135">
        <v>0.0</v>
      </c>
      <c r="T687" s="135">
        <v>0.0</v>
      </c>
      <c r="U687" s="135">
        <v>0.0</v>
      </c>
      <c r="V687" s="135">
        <v>0.0</v>
      </c>
      <c r="W687" s="135">
        <v>0.0</v>
      </c>
      <c r="X687" s="135">
        <v>0.0</v>
      </c>
      <c r="Y687" s="135">
        <v>0.0</v>
      </c>
      <c r="Z687" s="135">
        <v>0.0</v>
      </c>
      <c r="AA687" s="135">
        <v>0.0</v>
      </c>
      <c r="AB687" s="135">
        <v>0.0</v>
      </c>
      <c r="AC687" s="135">
        <v>0.0</v>
      </c>
      <c r="AD687" s="135">
        <v>0.0</v>
      </c>
      <c r="AE687" s="135">
        <v>0.0</v>
      </c>
      <c r="AF687" s="137">
        <v>1.0</v>
      </c>
      <c r="AG687" s="137">
        <v>2.0</v>
      </c>
      <c r="AH687" s="137">
        <v>3.0</v>
      </c>
      <c r="AI687" s="137">
        <v>2.0</v>
      </c>
      <c r="AJ687" s="137">
        <v>3.0</v>
      </c>
      <c r="AK687" s="137">
        <v>2.0</v>
      </c>
      <c r="AL687" s="137">
        <v>5.0</v>
      </c>
      <c r="AM687" s="137">
        <v>7.0</v>
      </c>
      <c r="AN687" s="137">
        <v>25.0</v>
      </c>
    </row>
    <row r="688">
      <c r="A688" s="132" t="s">
        <v>205</v>
      </c>
      <c r="B688" s="136" t="s">
        <v>198</v>
      </c>
      <c r="C688" s="137">
        <v>0.0</v>
      </c>
      <c r="D688" s="137">
        <v>0.0</v>
      </c>
      <c r="E688" s="137">
        <v>0.0</v>
      </c>
      <c r="F688" s="137">
        <v>0.0</v>
      </c>
      <c r="G688" s="137">
        <v>0.0</v>
      </c>
      <c r="H688" s="137">
        <v>0.0</v>
      </c>
      <c r="I688" s="137">
        <v>0.0</v>
      </c>
      <c r="J688" s="137">
        <v>0.0</v>
      </c>
      <c r="K688" s="137">
        <v>0.0</v>
      </c>
      <c r="L688" s="137">
        <v>0.0</v>
      </c>
      <c r="M688" s="137">
        <v>0.0</v>
      </c>
      <c r="N688" s="137">
        <v>0.0</v>
      </c>
      <c r="O688" s="137">
        <v>0.0</v>
      </c>
      <c r="P688" s="137">
        <v>0.0</v>
      </c>
      <c r="Q688" s="137">
        <v>0.0</v>
      </c>
      <c r="R688" s="137">
        <v>0.0</v>
      </c>
      <c r="S688" s="137">
        <v>0.0</v>
      </c>
      <c r="T688" s="137">
        <v>0.0</v>
      </c>
      <c r="U688" s="137">
        <v>0.0</v>
      </c>
      <c r="V688" s="137">
        <v>0.0</v>
      </c>
      <c r="W688" s="137">
        <v>0.0</v>
      </c>
      <c r="X688" s="137">
        <v>0.0</v>
      </c>
      <c r="Y688" s="137">
        <v>0.0</v>
      </c>
      <c r="Z688" s="137">
        <v>0.0</v>
      </c>
      <c r="AA688" s="137">
        <v>0.0</v>
      </c>
      <c r="AB688" s="137">
        <v>0.0</v>
      </c>
      <c r="AC688" s="137">
        <v>0.0</v>
      </c>
      <c r="AD688" s="137">
        <v>0.0</v>
      </c>
      <c r="AE688" s="137">
        <v>0.0</v>
      </c>
      <c r="AF688" s="137">
        <v>0.0</v>
      </c>
      <c r="AG688" s="137">
        <v>0.0</v>
      </c>
      <c r="AH688" s="137">
        <v>0.0</v>
      </c>
      <c r="AI688" s="137">
        <v>0.0</v>
      </c>
      <c r="AJ688" s="137">
        <v>0.0</v>
      </c>
      <c r="AK688" s="137">
        <v>0.0</v>
      </c>
      <c r="AL688" s="137">
        <v>0.0</v>
      </c>
      <c r="AM688" s="137">
        <v>0.0</v>
      </c>
      <c r="AN688" s="137">
        <v>0.0</v>
      </c>
    </row>
    <row r="689">
      <c r="A689" s="98"/>
      <c r="B689" s="136" t="s">
        <v>199</v>
      </c>
      <c r="C689" s="137">
        <v>1.0</v>
      </c>
      <c r="D689" s="137">
        <v>1.0</v>
      </c>
      <c r="E689" s="137">
        <v>0.0</v>
      </c>
      <c r="F689" s="137">
        <v>0.0</v>
      </c>
      <c r="G689" s="137">
        <v>0.0</v>
      </c>
      <c r="H689" s="137">
        <v>0.0</v>
      </c>
      <c r="I689" s="137">
        <v>0.0</v>
      </c>
      <c r="J689" s="137">
        <v>0.0</v>
      </c>
      <c r="K689" s="137">
        <v>0.0</v>
      </c>
      <c r="L689" s="137">
        <v>0.0</v>
      </c>
      <c r="M689" s="137">
        <v>0.0</v>
      </c>
      <c r="N689" s="137">
        <v>0.0</v>
      </c>
      <c r="O689" s="137">
        <v>0.0</v>
      </c>
      <c r="P689" s="137">
        <v>0.0</v>
      </c>
      <c r="Q689" s="137">
        <v>0.0</v>
      </c>
      <c r="R689" s="137">
        <v>0.0</v>
      </c>
      <c r="S689" s="137">
        <v>0.0</v>
      </c>
      <c r="T689" s="137">
        <v>0.0</v>
      </c>
      <c r="U689" s="137">
        <v>0.0</v>
      </c>
      <c r="V689" s="137">
        <v>0.0</v>
      </c>
      <c r="W689" s="137">
        <v>0.0</v>
      </c>
      <c r="X689" s="137">
        <v>0.0</v>
      </c>
      <c r="Y689" s="137">
        <v>0.0</v>
      </c>
      <c r="Z689" s="137">
        <v>0.0</v>
      </c>
      <c r="AA689" s="137">
        <v>0.0</v>
      </c>
      <c r="AB689" s="137">
        <v>1.0</v>
      </c>
      <c r="AC689" s="137">
        <v>0.0</v>
      </c>
      <c r="AD689" s="137">
        <v>0.0</v>
      </c>
      <c r="AE689" s="137">
        <v>0.0</v>
      </c>
      <c r="AF689" s="137">
        <v>0.0</v>
      </c>
      <c r="AG689" s="137">
        <v>0.0</v>
      </c>
      <c r="AH689" s="137">
        <v>0.0</v>
      </c>
      <c r="AI689" s="137">
        <v>0.0</v>
      </c>
      <c r="AJ689" s="137">
        <v>0.0</v>
      </c>
      <c r="AK689" s="137">
        <v>0.0</v>
      </c>
      <c r="AL689" s="137">
        <v>0.0</v>
      </c>
      <c r="AM689" s="137">
        <v>0.0</v>
      </c>
      <c r="AN689" s="137">
        <v>1.0</v>
      </c>
    </row>
    <row r="690">
      <c r="A690" s="104"/>
      <c r="B690" s="136" t="s">
        <v>206</v>
      </c>
      <c r="C690" s="137">
        <v>45.0</v>
      </c>
      <c r="D690" s="137">
        <v>4.0</v>
      </c>
      <c r="E690" s="137">
        <v>41.0</v>
      </c>
      <c r="F690" s="137">
        <v>0.0</v>
      </c>
      <c r="G690" s="137">
        <v>0.0</v>
      </c>
      <c r="H690" s="137">
        <v>0.0</v>
      </c>
      <c r="I690" s="137">
        <v>0.0</v>
      </c>
      <c r="J690" s="137">
        <v>0.0</v>
      </c>
      <c r="K690" s="137">
        <v>0.0</v>
      </c>
      <c r="L690" s="137">
        <v>0.0</v>
      </c>
      <c r="M690" s="137">
        <v>7.0</v>
      </c>
      <c r="N690" s="137">
        <v>3.0</v>
      </c>
      <c r="O690" s="137">
        <v>9.0</v>
      </c>
      <c r="P690" s="137">
        <v>0.0</v>
      </c>
      <c r="Q690" s="137">
        <v>6.0</v>
      </c>
      <c r="R690" s="137">
        <v>0.0</v>
      </c>
      <c r="S690" s="137">
        <v>9.0</v>
      </c>
      <c r="T690" s="137">
        <v>0.0</v>
      </c>
      <c r="U690" s="137">
        <v>3.0</v>
      </c>
      <c r="V690" s="137">
        <v>1.0</v>
      </c>
      <c r="W690" s="137">
        <v>2.0</v>
      </c>
      <c r="X690" s="137">
        <v>0.0</v>
      </c>
      <c r="Y690" s="137">
        <v>1.0</v>
      </c>
      <c r="Z690" s="137">
        <v>0.0</v>
      </c>
      <c r="AA690" s="137">
        <v>4.0</v>
      </c>
      <c r="AB690" s="137">
        <v>0.0</v>
      </c>
      <c r="AC690" s="137">
        <v>0.0</v>
      </c>
      <c r="AD690" s="137">
        <v>0.0</v>
      </c>
      <c r="AE690" s="137">
        <v>0.0</v>
      </c>
      <c r="AF690" s="137">
        <v>0.0</v>
      </c>
      <c r="AG690" s="137">
        <v>0.0</v>
      </c>
      <c r="AH690" s="137">
        <v>0.0</v>
      </c>
      <c r="AI690" s="137">
        <v>0.0</v>
      </c>
      <c r="AJ690" s="137">
        <v>0.0</v>
      </c>
      <c r="AK690" s="137">
        <v>0.0</v>
      </c>
      <c r="AL690" s="137">
        <v>0.0</v>
      </c>
      <c r="AM690" s="137">
        <v>0.0</v>
      </c>
      <c r="AN690" s="137">
        <v>45.0</v>
      </c>
    </row>
    <row r="691">
      <c r="A691" s="132" t="s">
        <v>207</v>
      </c>
      <c r="B691" s="136" t="s">
        <v>198</v>
      </c>
      <c r="C691" s="134">
        <v>2802.0</v>
      </c>
      <c r="D691" s="137">
        <v>797.0</v>
      </c>
      <c r="E691" s="134">
        <v>2005.0</v>
      </c>
      <c r="F691" s="137">
        <v>27.0</v>
      </c>
      <c r="G691" s="137">
        <v>29.0</v>
      </c>
      <c r="H691" s="137">
        <v>19.0</v>
      </c>
      <c r="I691" s="137">
        <v>21.0</v>
      </c>
      <c r="J691" s="137">
        <v>25.0</v>
      </c>
      <c r="K691" s="137">
        <v>11.0</v>
      </c>
      <c r="L691" s="137">
        <v>15.0</v>
      </c>
      <c r="M691" s="137">
        <v>19.0</v>
      </c>
      <c r="N691" s="137">
        <v>9.0</v>
      </c>
      <c r="O691" s="137">
        <v>51.0</v>
      </c>
      <c r="P691" s="137">
        <v>17.0</v>
      </c>
      <c r="Q691" s="137">
        <v>56.0</v>
      </c>
      <c r="R691" s="137">
        <v>22.0</v>
      </c>
      <c r="S691" s="137">
        <v>73.0</v>
      </c>
      <c r="T691" s="137">
        <v>20.0</v>
      </c>
      <c r="U691" s="137">
        <v>83.0</v>
      </c>
      <c r="V691" s="137">
        <v>21.0</v>
      </c>
      <c r="W691" s="137">
        <v>108.0</v>
      </c>
      <c r="X691" s="137">
        <v>26.0</v>
      </c>
      <c r="Y691" s="137">
        <v>189.0</v>
      </c>
      <c r="Z691" s="137">
        <v>43.0</v>
      </c>
      <c r="AA691" s="137">
        <v>212.0</v>
      </c>
      <c r="AB691" s="137">
        <v>70.0</v>
      </c>
      <c r="AC691" s="137">
        <v>216.0</v>
      </c>
      <c r="AD691" s="137">
        <v>61.0</v>
      </c>
      <c r="AE691" s="137">
        <v>223.0</v>
      </c>
      <c r="AF691" s="137">
        <v>88.0</v>
      </c>
      <c r="AG691" s="137">
        <v>210.0</v>
      </c>
      <c r="AH691" s="137">
        <v>90.0</v>
      </c>
      <c r="AI691" s="137">
        <v>203.0</v>
      </c>
      <c r="AJ691" s="137">
        <v>113.0</v>
      </c>
      <c r="AK691" s="137">
        <v>122.0</v>
      </c>
      <c r="AL691" s="137">
        <v>131.0</v>
      </c>
      <c r="AM691" s="137">
        <v>179.0</v>
      </c>
      <c r="AN691" s="134">
        <v>2751.0</v>
      </c>
    </row>
    <row r="692">
      <c r="A692" s="98"/>
      <c r="B692" s="136" t="s">
        <v>199</v>
      </c>
      <c r="C692" s="137">
        <v>359.0</v>
      </c>
      <c r="D692" s="137">
        <v>129.0</v>
      </c>
      <c r="E692" s="137">
        <v>230.0</v>
      </c>
      <c r="F692" s="137">
        <v>2.0</v>
      </c>
      <c r="G692" s="137">
        <v>2.0</v>
      </c>
      <c r="H692" s="137">
        <v>2.0</v>
      </c>
      <c r="I692" s="137">
        <v>3.0</v>
      </c>
      <c r="J692" s="137">
        <v>0.0</v>
      </c>
      <c r="K692" s="137">
        <v>0.0</v>
      </c>
      <c r="L692" s="137">
        <v>0.0</v>
      </c>
      <c r="M692" s="137">
        <v>2.0</v>
      </c>
      <c r="N692" s="137">
        <v>1.0</v>
      </c>
      <c r="O692" s="137">
        <v>1.0</v>
      </c>
      <c r="P692" s="137">
        <v>3.0</v>
      </c>
      <c r="Q692" s="137">
        <v>2.0</v>
      </c>
      <c r="R692" s="137">
        <v>0.0</v>
      </c>
      <c r="S692" s="137">
        <v>6.0</v>
      </c>
      <c r="T692" s="137">
        <v>2.0</v>
      </c>
      <c r="U692" s="137">
        <v>7.0</v>
      </c>
      <c r="V692" s="137">
        <v>5.0</v>
      </c>
      <c r="W692" s="137">
        <v>11.0</v>
      </c>
      <c r="X692" s="137">
        <v>8.0</v>
      </c>
      <c r="Y692" s="137">
        <v>11.0</v>
      </c>
      <c r="Z692" s="137">
        <v>6.0</v>
      </c>
      <c r="AA692" s="137">
        <v>15.0</v>
      </c>
      <c r="AB692" s="137">
        <v>6.0</v>
      </c>
      <c r="AC692" s="137">
        <v>14.0</v>
      </c>
      <c r="AD692" s="137">
        <v>14.0</v>
      </c>
      <c r="AE692" s="137">
        <v>40.0</v>
      </c>
      <c r="AF692" s="137">
        <v>21.0</v>
      </c>
      <c r="AG692" s="137">
        <v>34.0</v>
      </c>
      <c r="AH692" s="137">
        <v>20.0</v>
      </c>
      <c r="AI692" s="137">
        <v>35.0</v>
      </c>
      <c r="AJ692" s="137">
        <v>17.0</v>
      </c>
      <c r="AK692" s="137">
        <v>23.0</v>
      </c>
      <c r="AL692" s="137">
        <v>22.0</v>
      </c>
      <c r="AM692" s="137">
        <v>24.0</v>
      </c>
      <c r="AN692" s="137">
        <v>357.0</v>
      </c>
    </row>
    <row r="693">
      <c r="A693" s="98"/>
      <c r="B693" s="136" t="s">
        <v>206</v>
      </c>
      <c r="C693" s="137">
        <v>86.0</v>
      </c>
      <c r="D693" s="137">
        <v>5.0</v>
      </c>
      <c r="E693" s="137">
        <v>81.0</v>
      </c>
      <c r="F693" s="137">
        <v>1.0</v>
      </c>
      <c r="G693" s="137">
        <v>0.0</v>
      </c>
      <c r="H693" s="137">
        <v>2.0</v>
      </c>
      <c r="I693" s="137">
        <v>3.0</v>
      </c>
      <c r="J693" s="137">
        <v>1.0</v>
      </c>
      <c r="K693" s="137">
        <v>3.0</v>
      </c>
      <c r="L693" s="137">
        <v>0.0</v>
      </c>
      <c r="M693" s="137">
        <v>5.0</v>
      </c>
      <c r="N693" s="137">
        <v>1.0</v>
      </c>
      <c r="O693" s="137">
        <v>15.0</v>
      </c>
      <c r="P693" s="137">
        <v>0.0</v>
      </c>
      <c r="Q693" s="137">
        <v>11.0</v>
      </c>
      <c r="R693" s="137">
        <v>0.0</v>
      </c>
      <c r="S693" s="137">
        <v>8.0</v>
      </c>
      <c r="T693" s="137">
        <v>0.0</v>
      </c>
      <c r="U693" s="137">
        <v>7.0</v>
      </c>
      <c r="V693" s="137">
        <v>0.0</v>
      </c>
      <c r="W693" s="137">
        <v>14.0</v>
      </c>
      <c r="X693" s="137">
        <v>0.0</v>
      </c>
      <c r="Y693" s="137">
        <v>3.0</v>
      </c>
      <c r="Z693" s="137">
        <v>0.0</v>
      </c>
      <c r="AA693" s="137">
        <v>3.0</v>
      </c>
      <c r="AB693" s="137">
        <v>0.0</v>
      </c>
      <c r="AC693" s="137">
        <v>5.0</v>
      </c>
      <c r="AD693" s="137">
        <v>0.0</v>
      </c>
      <c r="AE693" s="137">
        <v>1.0</v>
      </c>
      <c r="AF693" s="137">
        <v>0.0</v>
      </c>
      <c r="AG693" s="137">
        <v>2.0</v>
      </c>
      <c r="AH693" s="137">
        <v>0.0</v>
      </c>
      <c r="AI693" s="137">
        <v>0.0</v>
      </c>
      <c r="AJ693" s="137">
        <v>0.0</v>
      </c>
      <c r="AK693" s="137">
        <v>0.0</v>
      </c>
      <c r="AL693" s="137">
        <v>0.0</v>
      </c>
      <c r="AM693" s="137">
        <v>1.0</v>
      </c>
      <c r="AN693" s="137">
        <v>86.0</v>
      </c>
    </row>
    <row r="694">
      <c r="A694" s="98"/>
      <c r="B694" s="136" t="s">
        <v>200</v>
      </c>
      <c r="C694" s="137">
        <v>779.0</v>
      </c>
      <c r="D694" s="137">
        <v>235.0</v>
      </c>
      <c r="E694" s="137">
        <v>544.0</v>
      </c>
      <c r="F694" s="137">
        <v>144.0</v>
      </c>
      <c r="G694" s="137">
        <v>110.0</v>
      </c>
      <c r="H694" s="137">
        <v>20.0</v>
      </c>
      <c r="I694" s="137">
        <v>25.0</v>
      </c>
      <c r="J694" s="137">
        <v>11.0</v>
      </c>
      <c r="K694" s="137">
        <v>18.0</v>
      </c>
      <c r="L694" s="137">
        <v>11.0</v>
      </c>
      <c r="M694" s="137">
        <v>32.0</v>
      </c>
      <c r="N694" s="137">
        <v>0.0</v>
      </c>
      <c r="O694" s="137">
        <v>47.0</v>
      </c>
      <c r="P694" s="137">
        <v>3.0</v>
      </c>
      <c r="Q694" s="137">
        <v>82.0</v>
      </c>
      <c r="R694" s="137">
        <v>4.0</v>
      </c>
      <c r="S694" s="137">
        <v>62.0</v>
      </c>
      <c r="T694" s="137">
        <v>0.0</v>
      </c>
      <c r="U694" s="137">
        <v>38.0</v>
      </c>
      <c r="V694" s="137">
        <v>4.0</v>
      </c>
      <c r="W694" s="137">
        <v>14.0</v>
      </c>
      <c r="X694" s="137">
        <v>3.0</v>
      </c>
      <c r="Y694" s="137">
        <v>14.0</v>
      </c>
      <c r="Z694" s="137">
        <v>3.0</v>
      </c>
      <c r="AA694" s="137">
        <v>11.0</v>
      </c>
      <c r="AB694" s="137">
        <v>6.0</v>
      </c>
      <c r="AC694" s="137">
        <v>21.0</v>
      </c>
      <c r="AD694" s="137">
        <v>8.0</v>
      </c>
      <c r="AE694" s="137">
        <v>25.0</v>
      </c>
      <c r="AF694" s="137">
        <v>5.0</v>
      </c>
      <c r="AG694" s="137">
        <v>13.0</v>
      </c>
      <c r="AH694" s="137">
        <v>3.0</v>
      </c>
      <c r="AI694" s="137">
        <v>18.0</v>
      </c>
      <c r="AJ694" s="137">
        <v>2.0</v>
      </c>
      <c r="AK694" s="137">
        <v>6.0</v>
      </c>
      <c r="AL694" s="137">
        <v>8.0</v>
      </c>
      <c r="AM694" s="137">
        <v>8.0</v>
      </c>
      <c r="AN694" s="137">
        <v>770.0</v>
      </c>
    </row>
    <row r="695">
      <c r="A695" s="104"/>
      <c r="B695" s="136" t="s">
        <v>201</v>
      </c>
      <c r="C695" s="137">
        <v>0.0</v>
      </c>
      <c r="D695" s="137">
        <v>0.0</v>
      </c>
      <c r="E695" s="137">
        <v>0.0</v>
      </c>
      <c r="F695" s="137">
        <v>0.0</v>
      </c>
      <c r="G695" s="137">
        <v>0.0</v>
      </c>
      <c r="H695" s="137">
        <v>0.0</v>
      </c>
      <c r="I695" s="137">
        <v>0.0</v>
      </c>
      <c r="J695" s="137">
        <v>0.0</v>
      </c>
      <c r="K695" s="137">
        <v>0.0</v>
      </c>
      <c r="L695" s="137">
        <v>0.0</v>
      </c>
      <c r="M695" s="137">
        <v>0.0</v>
      </c>
      <c r="N695" s="137">
        <v>0.0</v>
      </c>
      <c r="O695" s="137">
        <v>0.0</v>
      </c>
      <c r="P695" s="137">
        <v>0.0</v>
      </c>
      <c r="Q695" s="137">
        <v>0.0</v>
      </c>
      <c r="R695" s="137">
        <v>0.0</v>
      </c>
      <c r="S695" s="137">
        <v>0.0</v>
      </c>
      <c r="T695" s="137">
        <v>0.0</v>
      </c>
      <c r="U695" s="137">
        <v>0.0</v>
      </c>
      <c r="V695" s="137">
        <v>0.0</v>
      </c>
      <c r="W695" s="137">
        <v>0.0</v>
      </c>
      <c r="X695" s="137">
        <v>0.0</v>
      </c>
      <c r="Y695" s="137">
        <v>0.0</v>
      </c>
      <c r="Z695" s="137">
        <v>0.0</v>
      </c>
      <c r="AA695" s="137">
        <v>0.0</v>
      </c>
      <c r="AB695" s="137">
        <v>0.0</v>
      </c>
      <c r="AC695" s="137">
        <v>0.0</v>
      </c>
      <c r="AD695" s="137">
        <v>0.0</v>
      </c>
      <c r="AE695" s="137">
        <v>0.0</v>
      </c>
      <c r="AF695" s="137">
        <v>0.0</v>
      </c>
      <c r="AG695" s="137">
        <v>0.0</v>
      </c>
      <c r="AH695" s="137">
        <v>0.0</v>
      </c>
      <c r="AI695" s="137">
        <v>0.0</v>
      </c>
      <c r="AJ695" s="137">
        <v>0.0</v>
      </c>
      <c r="AK695" s="137">
        <v>0.0</v>
      </c>
      <c r="AL695" s="137">
        <v>0.0</v>
      </c>
      <c r="AM695" s="137">
        <v>0.0</v>
      </c>
      <c r="AN695" s="137">
        <v>0.0</v>
      </c>
    </row>
    <row r="696">
      <c r="A696" s="132" t="s">
        <v>208</v>
      </c>
      <c r="B696" s="136" t="s">
        <v>198</v>
      </c>
      <c r="C696" s="137">
        <v>4.0</v>
      </c>
      <c r="D696" s="137">
        <v>2.0</v>
      </c>
      <c r="E696" s="137">
        <v>2.0</v>
      </c>
      <c r="F696" s="137">
        <v>2.0</v>
      </c>
      <c r="G696" s="137">
        <v>1.0</v>
      </c>
      <c r="H696" s="137">
        <v>0.0</v>
      </c>
      <c r="I696" s="137">
        <v>1.0</v>
      </c>
      <c r="J696" s="137">
        <v>0.0</v>
      </c>
      <c r="K696" s="137">
        <v>0.0</v>
      </c>
      <c r="L696" s="137">
        <v>0.0</v>
      </c>
      <c r="M696" s="137">
        <v>0.0</v>
      </c>
      <c r="N696" s="137">
        <v>0.0</v>
      </c>
      <c r="O696" s="137">
        <v>0.0</v>
      </c>
      <c r="P696" s="135">
        <v>0.0</v>
      </c>
      <c r="Q696" s="135">
        <v>0.0</v>
      </c>
      <c r="R696" s="135">
        <v>0.0</v>
      </c>
      <c r="S696" s="135">
        <v>0.0</v>
      </c>
      <c r="T696" s="135">
        <v>0.0</v>
      </c>
      <c r="U696" s="135">
        <v>0.0</v>
      </c>
      <c r="V696" s="135">
        <v>0.0</v>
      </c>
      <c r="W696" s="135">
        <v>0.0</v>
      </c>
      <c r="X696" s="135">
        <v>0.0</v>
      </c>
      <c r="Y696" s="135">
        <v>0.0</v>
      </c>
      <c r="Z696" s="135">
        <v>0.0</v>
      </c>
      <c r="AA696" s="135">
        <v>0.0</v>
      </c>
      <c r="AB696" s="135">
        <v>0.0</v>
      </c>
      <c r="AC696" s="135">
        <v>0.0</v>
      </c>
      <c r="AD696" s="135">
        <v>0.0</v>
      </c>
      <c r="AE696" s="135">
        <v>0.0</v>
      </c>
      <c r="AF696" s="135">
        <v>0.0</v>
      </c>
      <c r="AG696" s="135">
        <v>0.0</v>
      </c>
      <c r="AH696" s="135">
        <v>0.0</v>
      </c>
      <c r="AI696" s="135">
        <v>0.0</v>
      </c>
      <c r="AJ696" s="135">
        <v>0.0</v>
      </c>
      <c r="AK696" s="135">
        <v>0.0</v>
      </c>
      <c r="AL696" s="135">
        <v>0.0</v>
      </c>
      <c r="AM696" s="135">
        <v>0.0</v>
      </c>
      <c r="AN696" s="137">
        <v>4.0</v>
      </c>
    </row>
    <row r="697">
      <c r="A697" s="98"/>
      <c r="B697" s="136" t="s">
        <v>199</v>
      </c>
      <c r="C697" s="137">
        <v>5.0</v>
      </c>
      <c r="D697" s="137">
        <v>2.0</v>
      </c>
      <c r="E697" s="137">
        <v>3.0</v>
      </c>
      <c r="F697" s="137">
        <v>0.0</v>
      </c>
      <c r="G697" s="137">
        <v>2.0</v>
      </c>
      <c r="H697" s="137">
        <v>2.0</v>
      </c>
      <c r="I697" s="137">
        <v>1.0</v>
      </c>
      <c r="J697" s="137">
        <v>0.0</v>
      </c>
      <c r="K697" s="137">
        <v>0.0</v>
      </c>
      <c r="L697" s="137">
        <v>0.0</v>
      </c>
      <c r="M697" s="137">
        <v>0.0</v>
      </c>
      <c r="N697" s="137">
        <v>0.0</v>
      </c>
      <c r="O697" s="137">
        <v>0.0</v>
      </c>
      <c r="P697" s="135">
        <v>0.0</v>
      </c>
      <c r="Q697" s="135">
        <v>0.0</v>
      </c>
      <c r="R697" s="135">
        <v>0.0</v>
      </c>
      <c r="S697" s="135">
        <v>0.0</v>
      </c>
      <c r="T697" s="135">
        <v>0.0</v>
      </c>
      <c r="U697" s="135">
        <v>0.0</v>
      </c>
      <c r="V697" s="135">
        <v>0.0</v>
      </c>
      <c r="W697" s="135">
        <v>0.0</v>
      </c>
      <c r="X697" s="135">
        <v>0.0</v>
      </c>
      <c r="Y697" s="135">
        <v>0.0</v>
      </c>
      <c r="Z697" s="135">
        <v>0.0</v>
      </c>
      <c r="AA697" s="135">
        <v>0.0</v>
      </c>
      <c r="AB697" s="135">
        <v>0.0</v>
      </c>
      <c r="AC697" s="135">
        <v>0.0</v>
      </c>
      <c r="AD697" s="135">
        <v>0.0</v>
      </c>
      <c r="AE697" s="135">
        <v>0.0</v>
      </c>
      <c r="AF697" s="135">
        <v>0.0</v>
      </c>
      <c r="AG697" s="135">
        <v>0.0</v>
      </c>
      <c r="AH697" s="135">
        <v>0.0</v>
      </c>
      <c r="AI697" s="135">
        <v>0.0</v>
      </c>
      <c r="AJ697" s="135">
        <v>0.0</v>
      </c>
      <c r="AK697" s="135">
        <v>0.0</v>
      </c>
      <c r="AL697" s="135">
        <v>0.0</v>
      </c>
      <c r="AM697" s="135">
        <v>0.0</v>
      </c>
      <c r="AN697" s="137">
        <v>5.0</v>
      </c>
    </row>
    <row r="698">
      <c r="A698" s="98"/>
      <c r="B698" s="136" t="s">
        <v>206</v>
      </c>
      <c r="C698" s="137">
        <v>0.0</v>
      </c>
      <c r="D698" s="137">
        <v>0.0</v>
      </c>
      <c r="E698" s="137">
        <v>0.0</v>
      </c>
      <c r="F698" s="137">
        <v>0.0</v>
      </c>
      <c r="G698" s="137">
        <v>0.0</v>
      </c>
      <c r="H698" s="137">
        <v>0.0</v>
      </c>
      <c r="I698" s="137">
        <v>0.0</v>
      </c>
      <c r="J698" s="137">
        <v>0.0</v>
      </c>
      <c r="K698" s="137">
        <v>0.0</v>
      </c>
      <c r="L698" s="137">
        <v>0.0</v>
      </c>
      <c r="M698" s="137">
        <v>0.0</v>
      </c>
      <c r="N698" s="137">
        <v>0.0</v>
      </c>
      <c r="O698" s="137">
        <v>0.0</v>
      </c>
      <c r="P698" s="135">
        <v>0.0</v>
      </c>
      <c r="Q698" s="135">
        <v>0.0</v>
      </c>
      <c r="R698" s="135">
        <v>0.0</v>
      </c>
      <c r="S698" s="135">
        <v>0.0</v>
      </c>
      <c r="T698" s="135">
        <v>0.0</v>
      </c>
      <c r="U698" s="135">
        <v>0.0</v>
      </c>
      <c r="V698" s="135">
        <v>0.0</v>
      </c>
      <c r="W698" s="135">
        <v>0.0</v>
      </c>
      <c r="X698" s="135">
        <v>0.0</v>
      </c>
      <c r="Y698" s="135">
        <v>0.0</v>
      </c>
      <c r="Z698" s="135">
        <v>0.0</v>
      </c>
      <c r="AA698" s="135">
        <v>0.0</v>
      </c>
      <c r="AB698" s="135">
        <v>0.0</v>
      </c>
      <c r="AC698" s="135">
        <v>0.0</v>
      </c>
      <c r="AD698" s="135">
        <v>0.0</v>
      </c>
      <c r="AE698" s="135">
        <v>0.0</v>
      </c>
      <c r="AF698" s="135">
        <v>0.0</v>
      </c>
      <c r="AG698" s="135">
        <v>0.0</v>
      </c>
      <c r="AH698" s="135">
        <v>0.0</v>
      </c>
      <c r="AI698" s="135">
        <v>0.0</v>
      </c>
      <c r="AJ698" s="135">
        <v>0.0</v>
      </c>
      <c r="AK698" s="135">
        <v>0.0</v>
      </c>
      <c r="AL698" s="135">
        <v>0.0</v>
      </c>
      <c r="AM698" s="135">
        <v>0.0</v>
      </c>
      <c r="AN698" s="137">
        <v>0.0</v>
      </c>
    </row>
    <row r="699">
      <c r="A699" s="98"/>
      <c r="B699" s="136" t="s">
        <v>200</v>
      </c>
      <c r="C699" s="137">
        <v>0.0</v>
      </c>
      <c r="D699" s="137">
        <v>0.0</v>
      </c>
      <c r="E699" s="137">
        <v>0.0</v>
      </c>
      <c r="F699" s="137">
        <v>0.0</v>
      </c>
      <c r="G699" s="137">
        <v>0.0</v>
      </c>
      <c r="H699" s="137">
        <v>0.0</v>
      </c>
      <c r="I699" s="137">
        <v>0.0</v>
      </c>
      <c r="J699" s="137">
        <v>0.0</v>
      </c>
      <c r="K699" s="137">
        <v>0.0</v>
      </c>
      <c r="L699" s="137">
        <v>0.0</v>
      </c>
      <c r="M699" s="137">
        <v>0.0</v>
      </c>
      <c r="N699" s="137">
        <v>0.0</v>
      </c>
      <c r="O699" s="137">
        <v>0.0</v>
      </c>
      <c r="P699" s="135">
        <v>0.0</v>
      </c>
      <c r="Q699" s="135">
        <v>0.0</v>
      </c>
      <c r="R699" s="135">
        <v>0.0</v>
      </c>
      <c r="S699" s="135">
        <v>0.0</v>
      </c>
      <c r="T699" s="135">
        <v>0.0</v>
      </c>
      <c r="U699" s="135">
        <v>0.0</v>
      </c>
      <c r="V699" s="135">
        <v>0.0</v>
      </c>
      <c r="W699" s="135">
        <v>0.0</v>
      </c>
      <c r="X699" s="135">
        <v>0.0</v>
      </c>
      <c r="Y699" s="135">
        <v>0.0</v>
      </c>
      <c r="Z699" s="135">
        <v>0.0</v>
      </c>
      <c r="AA699" s="135">
        <v>0.0</v>
      </c>
      <c r="AB699" s="135">
        <v>0.0</v>
      </c>
      <c r="AC699" s="135">
        <v>0.0</v>
      </c>
      <c r="AD699" s="135">
        <v>0.0</v>
      </c>
      <c r="AE699" s="135">
        <v>0.0</v>
      </c>
      <c r="AF699" s="135">
        <v>0.0</v>
      </c>
      <c r="AG699" s="135">
        <v>0.0</v>
      </c>
      <c r="AH699" s="135">
        <v>0.0</v>
      </c>
      <c r="AI699" s="135">
        <v>0.0</v>
      </c>
      <c r="AJ699" s="135">
        <v>0.0</v>
      </c>
      <c r="AK699" s="135">
        <v>0.0</v>
      </c>
      <c r="AL699" s="135">
        <v>0.0</v>
      </c>
      <c r="AM699" s="135">
        <v>0.0</v>
      </c>
      <c r="AN699" s="137">
        <v>0.0</v>
      </c>
    </row>
    <row r="700">
      <c r="A700" s="104"/>
      <c r="B700" s="136" t="s">
        <v>201</v>
      </c>
      <c r="C700" s="137">
        <v>0.0</v>
      </c>
      <c r="D700" s="137">
        <v>0.0</v>
      </c>
      <c r="E700" s="137">
        <v>0.0</v>
      </c>
      <c r="F700" s="137">
        <v>0.0</v>
      </c>
      <c r="G700" s="137">
        <v>0.0</v>
      </c>
      <c r="H700" s="137">
        <v>0.0</v>
      </c>
      <c r="I700" s="137">
        <v>0.0</v>
      </c>
      <c r="J700" s="137">
        <v>0.0</v>
      </c>
      <c r="K700" s="137">
        <v>0.0</v>
      </c>
      <c r="L700" s="137">
        <v>0.0</v>
      </c>
      <c r="M700" s="137">
        <v>0.0</v>
      </c>
      <c r="N700" s="137">
        <v>0.0</v>
      </c>
      <c r="O700" s="137">
        <v>0.0</v>
      </c>
      <c r="P700" s="135">
        <v>0.0</v>
      </c>
      <c r="Q700" s="135">
        <v>0.0</v>
      </c>
      <c r="R700" s="135">
        <v>0.0</v>
      </c>
      <c r="S700" s="135">
        <v>0.0</v>
      </c>
      <c r="T700" s="135">
        <v>0.0</v>
      </c>
      <c r="U700" s="135">
        <v>0.0</v>
      </c>
      <c r="V700" s="135">
        <v>0.0</v>
      </c>
      <c r="W700" s="135">
        <v>0.0</v>
      </c>
      <c r="X700" s="135">
        <v>0.0</v>
      </c>
      <c r="Y700" s="135">
        <v>0.0</v>
      </c>
      <c r="Z700" s="135">
        <v>0.0</v>
      </c>
      <c r="AA700" s="135">
        <v>0.0</v>
      </c>
      <c r="AB700" s="135">
        <v>0.0</v>
      </c>
      <c r="AC700" s="135">
        <v>0.0</v>
      </c>
      <c r="AD700" s="135">
        <v>0.0</v>
      </c>
      <c r="AE700" s="135">
        <v>0.0</v>
      </c>
      <c r="AF700" s="135">
        <v>0.0</v>
      </c>
      <c r="AG700" s="135">
        <v>0.0</v>
      </c>
      <c r="AH700" s="135">
        <v>0.0</v>
      </c>
      <c r="AI700" s="135">
        <v>0.0</v>
      </c>
      <c r="AJ700" s="135">
        <v>0.0</v>
      </c>
      <c r="AK700" s="135">
        <v>0.0</v>
      </c>
      <c r="AL700" s="135">
        <v>0.0</v>
      </c>
      <c r="AM700" s="135">
        <v>0.0</v>
      </c>
      <c r="AN700" s="137">
        <v>0.0</v>
      </c>
    </row>
    <row r="701">
      <c r="A701" s="138" t="s">
        <v>237</v>
      </c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</row>
    <row r="702">
      <c r="A702" s="132" t="s">
        <v>197</v>
      </c>
      <c r="B702" s="133" t="s">
        <v>198</v>
      </c>
      <c r="C702" s="134">
        <v>18407.0</v>
      </c>
      <c r="D702" s="134">
        <v>7321.0</v>
      </c>
      <c r="E702" s="134">
        <v>11086.0</v>
      </c>
      <c r="F702" s="135">
        <v>0.0</v>
      </c>
      <c r="G702" s="135">
        <v>0.0</v>
      </c>
      <c r="H702" s="135">
        <v>0.0</v>
      </c>
      <c r="I702" s="135">
        <v>0.0</v>
      </c>
      <c r="J702" s="135">
        <v>0.0</v>
      </c>
      <c r="K702" s="135">
        <v>0.0</v>
      </c>
      <c r="L702" s="137">
        <v>10.0</v>
      </c>
      <c r="M702" s="137">
        <v>10.0</v>
      </c>
      <c r="N702" s="137">
        <v>7.0</v>
      </c>
      <c r="O702" s="137">
        <v>35.0</v>
      </c>
      <c r="P702" s="137">
        <v>28.0</v>
      </c>
      <c r="Q702" s="137">
        <v>44.0</v>
      </c>
      <c r="R702" s="137">
        <v>63.0</v>
      </c>
      <c r="S702" s="137">
        <v>116.0</v>
      </c>
      <c r="T702" s="137">
        <v>129.0</v>
      </c>
      <c r="U702" s="137">
        <v>197.0</v>
      </c>
      <c r="V702" s="137">
        <v>200.0</v>
      </c>
      <c r="W702" s="137">
        <v>357.0</v>
      </c>
      <c r="X702" s="137">
        <v>352.0</v>
      </c>
      <c r="Y702" s="137">
        <v>668.0</v>
      </c>
      <c r="Z702" s="137">
        <v>705.0</v>
      </c>
      <c r="AA702" s="134">
        <v>1084.0</v>
      </c>
      <c r="AB702" s="134">
        <v>1002.0</v>
      </c>
      <c r="AC702" s="134">
        <v>1362.0</v>
      </c>
      <c r="AD702" s="134">
        <v>1141.0</v>
      </c>
      <c r="AE702" s="134">
        <v>1618.0</v>
      </c>
      <c r="AF702" s="134">
        <v>1067.0</v>
      </c>
      <c r="AG702" s="134">
        <v>1473.0</v>
      </c>
      <c r="AH702" s="134">
        <v>1059.0</v>
      </c>
      <c r="AI702" s="134">
        <v>1467.0</v>
      </c>
      <c r="AJ702" s="137">
        <v>758.0</v>
      </c>
      <c r="AK702" s="134">
        <v>1187.0</v>
      </c>
      <c r="AL702" s="137">
        <v>800.0</v>
      </c>
      <c r="AM702" s="134">
        <v>1468.0</v>
      </c>
      <c r="AN702" s="134">
        <v>18029.0</v>
      </c>
    </row>
    <row r="703">
      <c r="A703" s="98"/>
      <c r="B703" s="136" t="s">
        <v>199</v>
      </c>
      <c r="C703" s="134">
        <v>13974.0</v>
      </c>
      <c r="D703" s="134">
        <v>5382.0</v>
      </c>
      <c r="E703" s="134">
        <v>8592.0</v>
      </c>
      <c r="F703" s="135">
        <v>0.0</v>
      </c>
      <c r="G703" s="135">
        <v>0.0</v>
      </c>
      <c r="H703" s="135">
        <v>0.0</v>
      </c>
      <c r="I703" s="135">
        <v>0.0</v>
      </c>
      <c r="J703" s="135">
        <v>0.0</v>
      </c>
      <c r="K703" s="135">
        <v>0.0</v>
      </c>
      <c r="L703" s="137">
        <v>6.0</v>
      </c>
      <c r="M703" s="137">
        <v>2.0</v>
      </c>
      <c r="N703" s="137">
        <v>3.0</v>
      </c>
      <c r="O703" s="137">
        <v>9.0</v>
      </c>
      <c r="P703" s="137">
        <v>13.0</v>
      </c>
      <c r="Q703" s="137">
        <v>21.0</v>
      </c>
      <c r="R703" s="137">
        <v>28.0</v>
      </c>
      <c r="S703" s="137">
        <v>54.0</v>
      </c>
      <c r="T703" s="137">
        <v>67.0</v>
      </c>
      <c r="U703" s="137">
        <v>138.0</v>
      </c>
      <c r="V703" s="137">
        <v>126.0</v>
      </c>
      <c r="W703" s="137">
        <v>241.0</v>
      </c>
      <c r="X703" s="137">
        <v>225.0</v>
      </c>
      <c r="Y703" s="137">
        <v>426.0</v>
      </c>
      <c r="Z703" s="137">
        <v>410.0</v>
      </c>
      <c r="AA703" s="137">
        <v>789.0</v>
      </c>
      <c r="AB703" s="137">
        <v>685.0</v>
      </c>
      <c r="AC703" s="134">
        <v>1060.0</v>
      </c>
      <c r="AD703" s="137">
        <v>835.0</v>
      </c>
      <c r="AE703" s="134">
        <v>1244.0</v>
      </c>
      <c r="AF703" s="137">
        <v>822.0</v>
      </c>
      <c r="AG703" s="134">
        <v>1208.0</v>
      </c>
      <c r="AH703" s="137">
        <v>840.0</v>
      </c>
      <c r="AI703" s="134">
        <v>1235.0</v>
      </c>
      <c r="AJ703" s="137">
        <v>649.0</v>
      </c>
      <c r="AK703" s="137">
        <v>975.0</v>
      </c>
      <c r="AL703" s="137">
        <v>673.0</v>
      </c>
      <c r="AM703" s="134">
        <v>1190.0</v>
      </c>
      <c r="AN703" s="134">
        <v>13873.0</v>
      </c>
    </row>
    <row r="704">
      <c r="A704" s="98"/>
      <c r="B704" s="136" t="s">
        <v>200</v>
      </c>
      <c r="C704" s="134">
        <v>4087.0</v>
      </c>
      <c r="D704" s="134">
        <v>1573.0</v>
      </c>
      <c r="E704" s="134">
        <v>2514.0</v>
      </c>
      <c r="F704" s="135">
        <v>0.0</v>
      </c>
      <c r="G704" s="135">
        <v>0.0</v>
      </c>
      <c r="H704" s="135">
        <v>0.0</v>
      </c>
      <c r="I704" s="135">
        <v>0.0</v>
      </c>
      <c r="J704" s="135">
        <v>0.0</v>
      </c>
      <c r="K704" s="135">
        <v>0.0</v>
      </c>
      <c r="L704" s="137">
        <v>3.0</v>
      </c>
      <c r="M704" s="137">
        <v>6.0</v>
      </c>
      <c r="N704" s="137">
        <v>4.0</v>
      </c>
      <c r="O704" s="137">
        <v>16.0</v>
      </c>
      <c r="P704" s="137">
        <v>10.0</v>
      </c>
      <c r="Q704" s="137">
        <v>33.0</v>
      </c>
      <c r="R704" s="137">
        <v>31.0</v>
      </c>
      <c r="S704" s="137">
        <v>47.0</v>
      </c>
      <c r="T704" s="137">
        <v>45.0</v>
      </c>
      <c r="U704" s="137">
        <v>74.0</v>
      </c>
      <c r="V704" s="137">
        <v>84.0</v>
      </c>
      <c r="W704" s="137">
        <v>136.0</v>
      </c>
      <c r="X704" s="137">
        <v>97.0</v>
      </c>
      <c r="Y704" s="137">
        <v>189.0</v>
      </c>
      <c r="Z704" s="137">
        <v>160.0</v>
      </c>
      <c r="AA704" s="137">
        <v>307.0</v>
      </c>
      <c r="AB704" s="137">
        <v>221.0</v>
      </c>
      <c r="AC704" s="137">
        <v>354.0</v>
      </c>
      <c r="AD704" s="137">
        <v>278.0</v>
      </c>
      <c r="AE704" s="137">
        <v>376.0</v>
      </c>
      <c r="AF704" s="137">
        <v>225.0</v>
      </c>
      <c r="AG704" s="137">
        <v>313.0</v>
      </c>
      <c r="AH704" s="137">
        <v>180.0</v>
      </c>
      <c r="AI704" s="137">
        <v>271.0</v>
      </c>
      <c r="AJ704" s="137">
        <v>119.0</v>
      </c>
      <c r="AK704" s="137">
        <v>207.0</v>
      </c>
      <c r="AL704" s="137">
        <v>116.0</v>
      </c>
      <c r="AM704" s="137">
        <v>185.0</v>
      </c>
      <c r="AN704" s="134">
        <v>4044.0</v>
      </c>
    </row>
    <row r="705">
      <c r="A705" s="104"/>
      <c r="B705" s="136" t="s">
        <v>201</v>
      </c>
      <c r="C705" s="137">
        <v>41.0</v>
      </c>
      <c r="D705" s="137">
        <v>18.0</v>
      </c>
      <c r="E705" s="137">
        <v>23.0</v>
      </c>
      <c r="F705" s="135">
        <v>0.0</v>
      </c>
      <c r="G705" s="135">
        <v>0.0</v>
      </c>
      <c r="H705" s="135">
        <v>0.0</v>
      </c>
      <c r="I705" s="135">
        <v>0.0</v>
      </c>
      <c r="J705" s="135">
        <v>0.0</v>
      </c>
      <c r="K705" s="135">
        <v>0.0</v>
      </c>
      <c r="L705" s="137">
        <v>0.0</v>
      </c>
      <c r="M705" s="137">
        <v>0.0</v>
      </c>
      <c r="N705" s="137">
        <v>0.0</v>
      </c>
      <c r="O705" s="137">
        <v>0.0</v>
      </c>
      <c r="P705" s="137">
        <v>0.0</v>
      </c>
      <c r="Q705" s="137">
        <v>2.0</v>
      </c>
      <c r="R705" s="137">
        <v>3.0</v>
      </c>
      <c r="S705" s="137">
        <v>0.0</v>
      </c>
      <c r="T705" s="137">
        <v>0.0</v>
      </c>
      <c r="U705" s="137">
        <v>1.0</v>
      </c>
      <c r="V705" s="137">
        <v>0.0</v>
      </c>
      <c r="W705" s="137">
        <v>2.0</v>
      </c>
      <c r="X705" s="137">
        <v>2.0</v>
      </c>
      <c r="Y705" s="137">
        <v>2.0</v>
      </c>
      <c r="Z705" s="137">
        <v>2.0</v>
      </c>
      <c r="AA705" s="137">
        <v>1.0</v>
      </c>
      <c r="AB705" s="137">
        <v>3.0</v>
      </c>
      <c r="AC705" s="137">
        <v>1.0</v>
      </c>
      <c r="AD705" s="137">
        <v>6.0</v>
      </c>
      <c r="AE705" s="137">
        <v>1.0</v>
      </c>
      <c r="AF705" s="137">
        <v>0.0</v>
      </c>
      <c r="AG705" s="137">
        <v>3.0</v>
      </c>
      <c r="AH705" s="137">
        <v>1.0</v>
      </c>
      <c r="AI705" s="137">
        <v>4.0</v>
      </c>
      <c r="AJ705" s="137">
        <v>1.0</v>
      </c>
      <c r="AK705" s="137">
        <v>5.0</v>
      </c>
      <c r="AL705" s="137">
        <v>0.0</v>
      </c>
      <c r="AM705" s="137">
        <v>1.0</v>
      </c>
      <c r="AN705" s="137">
        <v>9.0</v>
      </c>
    </row>
    <row r="706">
      <c r="A706" s="132" t="s">
        <v>202</v>
      </c>
      <c r="B706" s="136" t="s">
        <v>198</v>
      </c>
      <c r="C706" s="137">
        <v>43.0</v>
      </c>
      <c r="D706" s="137">
        <v>30.0</v>
      </c>
      <c r="E706" s="137">
        <v>13.0</v>
      </c>
      <c r="F706" s="137">
        <v>0.0</v>
      </c>
      <c r="G706" s="137">
        <v>0.0</v>
      </c>
      <c r="H706" s="137">
        <v>0.0</v>
      </c>
      <c r="I706" s="137">
        <v>0.0</v>
      </c>
      <c r="J706" s="137">
        <v>0.0</v>
      </c>
      <c r="K706" s="137">
        <v>0.0</v>
      </c>
      <c r="L706" s="137">
        <v>0.0</v>
      </c>
      <c r="M706" s="137">
        <v>0.0</v>
      </c>
      <c r="N706" s="137">
        <v>0.0</v>
      </c>
      <c r="O706" s="137">
        <v>0.0</v>
      </c>
      <c r="P706" s="137">
        <v>0.0</v>
      </c>
      <c r="Q706" s="137">
        <v>1.0</v>
      </c>
      <c r="R706" s="137">
        <v>0.0</v>
      </c>
      <c r="S706" s="137">
        <v>0.0</v>
      </c>
      <c r="T706" s="137">
        <v>3.0</v>
      </c>
      <c r="U706" s="137">
        <v>0.0</v>
      </c>
      <c r="V706" s="137">
        <v>3.0</v>
      </c>
      <c r="W706" s="137">
        <v>0.0</v>
      </c>
      <c r="X706" s="137">
        <v>1.0</v>
      </c>
      <c r="Y706" s="137">
        <v>0.0</v>
      </c>
      <c r="Z706" s="137">
        <v>1.0</v>
      </c>
      <c r="AA706" s="137">
        <v>0.0</v>
      </c>
      <c r="AB706" s="137">
        <v>0.0</v>
      </c>
      <c r="AC706" s="137">
        <v>3.0</v>
      </c>
      <c r="AD706" s="137">
        <v>13.0</v>
      </c>
      <c r="AE706" s="137">
        <v>0.0</v>
      </c>
      <c r="AF706" s="137">
        <v>1.0</v>
      </c>
      <c r="AG706" s="137">
        <v>0.0</v>
      </c>
      <c r="AH706" s="137">
        <v>6.0</v>
      </c>
      <c r="AI706" s="137">
        <v>0.0</v>
      </c>
      <c r="AJ706" s="137">
        <v>2.0</v>
      </c>
      <c r="AK706" s="137">
        <v>1.0</v>
      </c>
      <c r="AL706" s="137">
        <v>0.0</v>
      </c>
      <c r="AM706" s="137">
        <v>8.0</v>
      </c>
      <c r="AN706" s="137">
        <v>42.0</v>
      </c>
    </row>
    <row r="707">
      <c r="A707" s="104"/>
      <c r="B707" s="136" t="s">
        <v>199</v>
      </c>
      <c r="C707" s="137">
        <v>16.0</v>
      </c>
      <c r="D707" s="137">
        <v>11.0</v>
      </c>
      <c r="E707" s="137">
        <v>5.0</v>
      </c>
      <c r="F707" s="137">
        <v>0.0</v>
      </c>
      <c r="G707" s="137">
        <v>0.0</v>
      </c>
      <c r="H707" s="137">
        <v>0.0</v>
      </c>
      <c r="I707" s="137">
        <v>0.0</v>
      </c>
      <c r="J707" s="137">
        <v>0.0</v>
      </c>
      <c r="K707" s="137">
        <v>0.0</v>
      </c>
      <c r="L707" s="137">
        <v>0.0</v>
      </c>
      <c r="M707" s="137">
        <v>0.0</v>
      </c>
      <c r="N707" s="137">
        <v>0.0</v>
      </c>
      <c r="O707" s="137">
        <v>0.0</v>
      </c>
      <c r="P707" s="137">
        <v>0.0</v>
      </c>
      <c r="Q707" s="137">
        <v>0.0</v>
      </c>
      <c r="R707" s="137">
        <v>0.0</v>
      </c>
      <c r="S707" s="137">
        <v>0.0</v>
      </c>
      <c r="T707" s="137">
        <v>0.0</v>
      </c>
      <c r="U707" s="137">
        <v>0.0</v>
      </c>
      <c r="V707" s="137">
        <v>1.0</v>
      </c>
      <c r="W707" s="137">
        <v>0.0</v>
      </c>
      <c r="X707" s="137">
        <v>3.0</v>
      </c>
      <c r="Y707" s="137">
        <v>0.0</v>
      </c>
      <c r="Z707" s="137">
        <v>0.0</v>
      </c>
      <c r="AA707" s="137">
        <v>0.0</v>
      </c>
      <c r="AB707" s="137">
        <v>0.0</v>
      </c>
      <c r="AC707" s="137">
        <v>2.0</v>
      </c>
      <c r="AD707" s="137">
        <v>3.0</v>
      </c>
      <c r="AE707" s="137">
        <v>0.0</v>
      </c>
      <c r="AF707" s="137">
        <v>1.0</v>
      </c>
      <c r="AG707" s="137">
        <v>0.0</v>
      </c>
      <c r="AH707" s="137">
        <v>2.0</v>
      </c>
      <c r="AI707" s="137">
        <v>0.0</v>
      </c>
      <c r="AJ707" s="137">
        <v>0.0</v>
      </c>
      <c r="AK707" s="137">
        <v>0.0</v>
      </c>
      <c r="AL707" s="137">
        <v>1.0</v>
      </c>
      <c r="AM707" s="137">
        <v>3.0</v>
      </c>
      <c r="AN707" s="137">
        <v>16.0</v>
      </c>
    </row>
    <row r="708">
      <c r="A708" s="132" t="s">
        <v>203</v>
      </c>
      <c r="B708" s="136" t="s">
        <v>198</v>
      </c>
      <c r="C708" s="137">
        <v>3.0</v>
      </c>
      <c r="D708" s="137">
        <v>2.0</v>
      </c>
      <c r="E708" s="137">
        <v>1.0</v>
      </c>
      <c r="F708" s="135">
        <v>0.0</v>
      </c>
      <c r="G708" s="135">
        <v>0.0</v>
      </c>
      <c r="H708" s="135">
        <v>0.0</v>
      </c>
      <c r="I708" s="135">
        <v>0.0</v>
      </c>
      <c r="J708" s="135">
        <v>0.0</v>
      </c>
      <c r="K708" s="135">
        <v>0.0</v>
      </c>
      <c r="L708" s="135">
        <v>0.0</v>
      </c>
      <c r="M708" s="135">
        <v>0.0</v>
      </c>
      <c r="N708" s="135">
        <v>0.0</v>
      </c>
      <c r="O708" s="135">
        <v>0.0</v>
      </c>
      <c r="P708" s="135">
        <v>0.0</v>
      </c>
      <c r="Q708" s="135">
        <v>0.0</v>
      </c>
      <c r="R708" s="135">
        <v>0.0</v>
      </c>
      <c r="S708" s="135">
        <v>0.0</v>
      </c>
      <c r="T708" s="135">
        <v>0.0</v>
      </c>
      <c r="U708" s="135">
        <v>0.0</v>
      </c>
      <c r="V708" s="135">
        <v>0.0</v>
      </c>
      <c r="W708" s="135">
        <v>0.0</v>
      </c>
      <c r="X708" s="135">
        <v>0.0</v>
      </c>
      <c r="Y708" s="135">
        <v>0.0</v>
      </c>
      <c r="Z708" s="135">
        <v>0.0</v>
      </c>
      <c r="AA708" s="135">
        <v>0.0</v>
      </c>
      <c r="AB708" s="135">
        <v>0.0</v>
      </c>
      <c r="AC708" s="135">
        <v>0.0</v>
      </c>
      <c r="AD708" s="135">
        <v>0.0</v>
      </c>
      <c r="AE708" s="135">
        <v>0.0</v>
      </c>
      <c r="AF708" s="137">
        <v>1.0</v>
      </c>
      <c r="AG708" s="137">
        <v>0.0</v>
      </c>
      <c r="AH708" s="137">
        <v>1.0</v>
      </c>
      <c r="AI708" s="137">
        <v>1.0</v>
      </c>
      <c r="AJ708" s="137">
        <v>0.0</v>
      </c>
      <c r="AK708" s="137">
        <v>0.0</v>
      </c>
      <c r="AL708" s="137">
        <v>0.0</v>
      </c>
      <c r="AM708" s="137">
        <v>0.0</v>
      </c>
      <c r="AN708" s="137">
        <v>3.0</v>
      </c>
    </row>
    <row r="709">
      <c r="A709" s="104"/>
      <c r="B709" s="136" t="s">
        <v>199</v>
      </c>
      <c r="C709" s="137">
        <v>393.0</v>
      </c>
      <c r="D709" s="137">
        <v>147.0</v>
      </c>
      <c r="E709" s="137">
        <v>246.0</v>
      </c>
      <c r="F709" s="135">
        <v>0.0</v>
      </c>
      <c r="G709" s="135">
        <v>0.0</v>
      </c>
      <c r="H709" s="135">
        <v>0.0</v>
      </c>
      <c r="I709" s="135">
        <v>0.0</v>
      </c>
      <c r="J709" s="135">
        <v>0.0</v>
      </c>
      <c r="K709" s="135">
        <v>0.0</v>
      </c>
      <c r="L709" s="135">
        <v>0.0</v>
      </c>
      <c r="M709" s="135">
        <v>0.0</v>
      </c>
      <c r="N709" s="135">
        <v>0.0</v>
      </c>
      <c r="O709" s="135">
        <v>0.0</v>
      </c>
      <c r="P709" s="135">
        <v>0.0</v>
      </c>
      <c r="Q709" s="135">
        <v>0.0</v>
      </c>
      <c r="R709" s="135">
        <v>0.0</v>
      </c>
      <c r="S709" s="135">
        <v>0.0</v>
      </c>
      <c r="T709" s="135">
        <v>0.0</v>
      </c>
      <c r="U709" s="135">
        <v>0.0</v>
      </c>
      <c r="V709" s="135">
        <v>0.0</v>
      </c>
      <c r="W709" s="135">
        <v>0.0</v>
      </c>
      <c r="X709" s="135">
        <v>0.0</v>
      </c>
      <c r="Y709" s="135">
        <v>0.0</v>
      </c>
      <c r="Z709" s="135">
        <v>0.0</v>
      </c>
      <c r="AA709" s="135">
        <v>0.0</v>
      </c>
      <c r="AB709" s="135">
        <v>0.0</v>
      </c>
      <c r="AC709" s="135">
        <v>0.0</v>
      </c>
      <c r="AD709" s="135">
        <v>0.0</v>
      </c>
      <c r="AE709" s="135">
        <v>0.0</v>
      </c>
      <c r="AF709" s="137">
        <v>38.0</v>
      </c>
      <c r="AG709" s="137">
        <v>53.0</v>
      </c>
      <c r="AH709" s="137">
        <v>34.0</v>
      </c>
      <c r="AI709" s="137">
        <v>69.0</v>
      </c>
      <c r="AJ709" s="137">
        <v>43.0</v>
      </c>
      <c r="AK709" s="137">
        <v>65.0</v>
      </c>
      <c r="AL709" s="137">
        <v>32.0</v>
      </c>
      <c r="AM709" s="137">
        <v>59.0</v>
      </c>
      <c r="AN709" s="137">
        <v>393.0</v>
      </c>
    </row>
    <row r="710">
      <c r="A710" s="132" t="s">
        <v>204</v>
      </c>
      <c r="B710" s="136" t="s">
        <v>198</v>
      </c>
      <c r="C710" s="137">
        <v>5.0</v>
      </c>
      <c r="D710" s="137">
        <v>1.0</v>
      </c>
      <c r="E710" s="137">
        <v>4.0</v>
      </c>
      <c r="F710" s="135">
        <v>0.0</v>
      </c>
      <c r="G710" s="135">
        <v>0.0</v>
      </c>
      <c r="H710" s="135">
        <v>0.0</v>
      </c>
      <c r="I710" s="135">
        <v>0.0</v>
      </c>
      <c r="J710" s="135">
        <v>0.0</v>
      </c>
      <c r="K710" s="135">
        <v>0.0</v>
      </c>
      <c r="L710" s="135">
        <v>0.0</v>
      </c>
      <c r="M710" s="135">
        <v>0.0</v>
      </c>
      <c r="N710" s="135">
        <v>0.0</v>
      </c>
      <c r="O710" s="135">
        <v>0.0</v>
      </c>
      <c r="P710" s="135">
        <v>0.0</v>
      </c>
      <c r="Q710" s="135">
        <v>0.0</v>
      </c>
      <c r="R710" s="135">
        <v>0.0</v>
      </c>
      <c r="S710" s="135">
        <v>0.0</v>
      </c>
      <c r="T710" s="135">
        <v>0.0</v>
      </c>
      <c r="U710" s="135">
        <v>0.0</v>
      </c>
      <c r="V710" s="135">
        <v>0.0</v>
      </c>
      <c r="W710" s="135">
        <v>0.0</v>
      </c>
      <c r="X710" s="135">
        <v>0.0</v>
      </c>
      <c r="Y710" s="135">
        <v>0.0</v>
      </c>
      <c r="Z710" s="135">
        <v>0.0</v>
      </c>
      <c r="AA710" s="135">
        <v>0.0</v>
      </c>
      <c r="AB710" s="135">
        <v>0.0</v>
      </c>
      <c r="AC710" s="135">
        <v>0.0</v>
      </c>
      <c r="AD710" s="135">
        <v>0.0</v>
      </c>
      <c r="AE710" s="135">
        <v>0.0</v>
      </c>
      <c r="AF710" s="137">
        <v>0.0</v>
      </c>
      <c r="AG710" s="137">
        <v>0.0</v>
      </c>
      <c r="AH710" s="137">
        <v>1.0</v>
      </c>
      <c r="AI710" s="137">
        <v>1.0</v>
      </c>
      <c r="AJ710" s="137">
        <v>0.0</v>
      </c>
      <c r="AK710" s="137">
        <v>0.0</v>
      </c>
      <c r="AL710" s="137">
        <v>0.0</v>
      </c>
      <c r="AM710" s="137">
        <v>3.0</v>
      </c>
      <c r="AN710" s="137">
        <v>5.0</v>
      </c>
    </row>
    <row r="711">
      <c r="A711" s="104"/>
      <c r="B711" s="136" t="s">
        <v>199</v>
      </c>
      <c r="C711" s="137">
        <v>119.0</v>
      </c>
      <c r="D711" s="137">
        <v>40.0</v>
      </c>
      <c r="E711" s="137">
        <v>79.0</v>
      </c>
      <c r="F711" s="135">
        <v>0.0</v>
      </c>
      <c r="G711" s="135">
        <v>0.0</v>
      </c>
      <c r="H711" s="135">
        <v>0.0</v>
      </c>
      <c r="I711" s="135">
        <v>0.0</v>
      </c>
      <c r="J711" s="135">
        <v>0.0</v>
      </c>
      <c r="K711" s="135">
        <v>0.0</v>
      </c>
      <c r="L711" s="135">
        <v>0.0</v>
      </c>
      <c r="M711" s="135">
        <v>0.0</v>
      </c>
      <c r="N711" s="135">
        <v>0.0</v>
      </c>
      <c r="O711" s="135">
        <v>0.0</v>
      </c>
      <c r="P711" s="135">
        <v>0.0</v>
      </c>
      <c r="Q711" s="135">
        <v>0.0</v>
      </c>
      <c r="R711" s="135">
        <v>0.0</v>
      </c>
      <c r="S711" s="135">
        <v>0.0</v>
      </c>
      <c r="T711" s="135">
        <v>0.0</v>
      </c>
      <c r="U711" s="135">
        <v>0.0</v>
      </c>
      <c r="V711" s="135">
        <v>0.0</v>
      </c>
      <c r="W711" s="135">
        <v>0.0</v>
      </c>
      <c r="X711" s="135">
        <v>0.0</v>
      </c>
      <c r="Y711" s="135">
        <v>0.0</v>
      </c>
      <c r="Z711" s="135">
        <v>0.0</v>
      </c>
      <c r="AA711" s="135">
        <v>0.0</v>
      </c>
      <c r="AB711" s="135">
        <v>0.0</v>
      </c>
      <c r="AC711" s="135">
        <v>0.0</v>
      </c>
      <c r="AD711" s="135">
        <v>0.0</v>
      </c>
      <c r="AE711" s="135">
        <v>0.0</v>
      </c>
      <c r="AF711" s="137">
        <v>5.0</v>
      </c>
      <c r="AG711" s="137">
        <v>5.0</v>
      </c>
      <c r="AH711" s="137">
        <v>2.0</v>
      </c>
      <c r="AI711" s="137">
        <v>7.0</v>
      </c>
      <c r="AJ711" s="137">
        <v>7.0</v>
      </c>
      <c r="AK711" s="137">
        <v>18.0</v>
      </c>
      <c r="AL711" s="137">
        <v>26.0</v>
      </c>
      <c r="AM711" s="137">
        <v>49.0</v>
      </c>
      <c r="AN711" s="137">
        <v>119.0</v>
      </c>
    </row>
    <row r="712">
      <c r="A712" s="132" t="s">
        <v>205</v>
      </c>
      <c r="B712" s="136" t="s">
        <v>198</v>
      </c>
      <c r="C712" s="137">
        <v>20.0</v>
      </c>
      <c r="D712" s="137">
        <v>3.0</v>
      </c>
      <c r="E712" s="137">
        <v>17.0</v>
      </c>
      <c r="F712" s="137">
        <v>0.0</v>
      </c>
      <c r="G712" s="137">
        <v>1.0</v>
      </c>
      <c r="H712" s="137">
        <v>0.0</v>
      </c>
      <c r="I712" s="137">
        <v>0.0</v>
      </c>
      <c r="J712" s="137">
        <v>0.0</v>
      </c>
      <c r="K712" s="137">
        <v>0.0</v>
      </c>
      <c r="L712" s="137">
        <v>1.0</v>
      </c>
      <c r="M712" s="137">
        <v>1.0</v>
      </c>
      <c r="N712" s="137">
        <v>0.0</v>
      </c>
      <c r="O712" s="137">
        <v>1.0</v>
      </c>
      <c r="P712" s="137">
        <v>0.0</v>
      </c>
      <c r="Q712" s="137">
        <v>3.0</v>
      </c>
      <c r="R712" s="137">
        <v>0.0</v>
      </c>
      <c r="S712" s="137">
        <v>2.0</v>
      </c>
      <c r="T712" s="137">
        <v>0.0</v>
      </c>
      <c r="U712" s="137">
        <v>1.0</v>
      </c>
      <c r="V712" s="137">
        <v>0.0</v>
      </c>
      <c r="W712" s="137">
        <v>1.0</v>
      </c>
      <c r="X712" s="137">
        <v>1.0</v>
      </c>
      <c r="Y712" s="137">
        <v>4.0</v>
      </c>
      <c r="Z712" s="137">
        <v>1.0</v>
      </c>
      <c r="AA712" s="137">
        <v>1.0</v>
      </c>
      <c r="AB712" s="137">
        <v>0.0</v>
      </c>
      <c r="AC712" s="137">
        <v>2.0</v>
      </c>
      <c r="AD712" s="137">
        <v>0.0</v>
      </c>
      <c r="AE712" s="137">
        <v>0.0</v>
      </c>
      <c r="AF712" s="137">
        <v>0.0</v>
      </c>
      <c r="AG712" s="137">
        <v>0.0</v>
      </c>
      <c r="AH712" s="137">
        <v>0.0</v>
      </c>
      <c r="AI712" s="137">
        <v>0.0</v>
      </c>
      <c r="AJ712" s="137">
        <v>0.0</v>
      </c>
      <c r="AK712" s="137">
        <v>0.0</v>
      </c>
      <c r="AL712" s="137">
        <v>0.0</v>
      </c>
      <c r="AM712" s="137">
        <v>0.0</v>
      </c>
      <c r="AN712" s="137">
        <v>19.0</v>
      </c>
    </row>
    <row r="713">
      <c r="A713" s="98"/>
      <c r="B713" s="136" t="s">
        <v>199</v>
      </c>
      <c r="C713" s="137">
        <v>0.0</v>
      </c>
      <c r="D713" s="137">
        <v>0.0</v>
      </c>
      <c r="E713" s="137">
        <v>0.0</v>
      </c>
      <c r="F713" s="137">
        <v>0.0</v>
      </c>
      <c r="G713" s="137">
        <v>0.0</v>
      </c>
      <c r="H713" s="137">
        <v>0.0</v>
      </c>
      <c r="I713" s="137">
        <v>0.0</v>
      </c>
      <c r="J713" s="137">
        <v>0.0</v>
      </c>
      <c r="K713" s="137">
        <v>0.0</v>
      </c>
      <c r="L713" s="137">
        <v>0.0</v>
      </c>
      <c r="M713" s="137">
        <v>0.0</v>
      </c>
      <c r="N713" s="137">
        <v>0.0</v>
      </c>
      <c r="O713" s="137">
        <v>0.0</v>
      </c>
      <c r="P713" s="137">
        <v>0.0</v>
      </c>
      <c r="Q713" s="137">
        <v>0.0</v>
      </c>
      <c r="R713" s="137">
        <v>0.0</v>
      </c>
      <c r="S713" s="137">
        <v>0.0</v>
      </c>
      <c r="T713" s="137">
        <v>0.0</v>
      </c>
      <c r="U713" s="137">
        <v>0.0</v>
      </c>
      <c r="V713" s="137">
        <v>0.0</v>
      </c>
      <c r="W713" s="137">
        <v>0.0</v>
      </c>
      <c r="X713" s="137">
        <v>0.0</v>
      </c>
      <c r="Y713" s="137">
        <v>0.0</v>
      </c>
      <c r="Z713" s="137">
        <v>0.0</v>
      </c>
      <c r="AA713" s="137">
        <v>0.0</v>
      </c>
      <c r="AB713" s="137">
        <v>0.0</v>
      </c>
      <c r="AC713" s="137">
        <v>0.0</v>
      </c>
      <c r="AD713" s="137">
        <v>0.0</v>
      </c>
      <c r="AE713" s="137">
        <v>0.0</v>
      </c>
      <c r="AF713" s="137">
        <v>0.0</v>
      </c>
      <c r="AG713" s="137">
        <v>0.0</v>
      </c>
      <c r="AH713" s="137">
        <v>0.0</v>
      </c>
      <c r="AI713" s="137">
        <v>0.0</v>
      </c>
      <c r="AJ713" s="137">
        <v>0.0</v>
      </c>
      <c r="AK713" s="137">
        <v>0.0</v>
      </c>
      <c r="AL713" s="137">
        <v>0.0</v>
      </c>
      <c r="AM713" s="137">
        <v>0.0</v>
      </c>
      <c r="AN713" s="137">
        <v>0.0</v>
      </c>
    </row>
    <row r="714">
      <c r="A714" s="104"/>
      <c r="B714" s="136" t="s">
        <v>206</v>
      </c>
      <c r="C714" s="137">
        <v>27.0</v>
      </c>
      <c r="D714" s="137">
        <v>3.0</v>
      </c>
      <c r="E714" s="137">
        <v>24.0</v>
      </c>
      <c r="F714" s="137">
        <v>0.0</v>
      </c>
      <c r="G714" s="137">
        <v>0.0</v>
      </c>
      <c r="H714" s="137">
        <v>0.0</v>
      </c>
      <c r="I714" s="137">
        <v>0.0</v>
      </c>
      <c r="J714" s="137">
        <v>0.0</v>
      </c>
      <c r="K714" s="137">
        <v>0.0</v>
      </c>
      <c r="L714" s="137">
        <v>0.0</v>
      </c>
      <c r="M714" s="137">
        <v>9.0</v>
      </c>
      <c r="N714" s="137">
        <v>2.0</v>
      </c>
      <c r="O714" s="137">
        <v>12.0</v>
      </c>
      <c r="P714" s="137">
        <v>1.0</v>
      </c>
      <c r="Q714" s="137">
        <v>2.0</v>
      </c>
      <c r="R714" s="137">
        <v>0.0</v>
      </c>
      <c r="S714" s="137">
        <v>0.0</v>
      </c>
      <c r="T714" s="137">
        <v>0.0</v>
      </c>
      <c r="U714" s="137">
        <v>0.0</v>
      </c>
      <c r="V714" s="137">
        <v>0.0</v>
      </c>
      <c r="W714" s="137">
        <v>1.0</v>
      </c>
      <c r="X714" s="137">
        <v>0.0</v>
      </c>
      <c r="Y714" s="137">
        <v>0.0</v>
      </c>
      <c r="Z714" s="137">
        <v>0.0</v>
      </c>
      <c r="AA714" s="137">
        <v>0.0</v>
      </c>
      <c r="AB714" s="137">
        <v>0.0</v>
      </c>
      <c r="AC714" s="137">
        <v>0.0</v>
      </c>
      <c r="AD714" s="137">
        <v>0.0</v>
      </c>
      <c r="AE714" s="137">
        <v>0.0</v>
      </c>
      <c r="AF714" s="137">
        <v>0.0</v>
      </c>
      <c r="AG714" s="137">
        <v>0.0</v>
      </c>
      <c r="AH714" s="137">
        <v>0.0</v>
      </c>
      <c r="AI714" s="137">
        <v>0.0</v>
      </c>
      <c r="AJ714" s="137">
        <v>0.0</v>
      </c>
      <c r="AK714" s="137">
        <v>0.0</v>
      </c>
      <c r="AL714" s="137">
        <v>0.0</v>
      </c>
      <c r="AM714" s="137">
        <v>0.0</v>
      </c>
      <c r="AN714" s="137">
        <v>27.0</v>
      </c>
    </row>
    <row r="715">
      <c r="A715" s="132" t="s">
        <v>207</v>
      </c>
      <c r="B715" s="136" t="s">
        <v>198</v>
      </c>
      <c r="C715" s="134">
        <v>7330.0</v>
      </c>
      <c r="D715" s="134">
        <v>2035.0</v>
      </c>
      <c r="E715" s="134">
        <v>5295.0</v>
      </c>
      <c r="F715" s="137">
        <v>58.0</v>
      </c>
      <c r="G715" s="137">
        <v>51.0</v>
      </c>
      <c r="H715" s="137">
        <v>56.0</v>
      </c>
      <c r="I715" s="137">
        <v>52.0</v>
      </c>
      <c r="J715" s="137">
        <v>32.0</v>
      </c>
      <c r="K715" s="137">
        <v>53.0</v>
      </c>
      <c r="L715" s="137">
        <v>130.0</v>
      </c>
      <c r="M715" s="137">
        <v>87.0</v>
      </c>
      <c r="N715" s="137">
        <v>69.0</v>
      </c>
      <c r="O715" s="137">
        <v>135.0</v>
      </c>
      <c r="P715" s="137">
        <v>96.0</v>
      </c>
      <c r="Q715" s="137">
        <v>195.0</v>
      </c>
      <c r="R715" s="137">
        <v>96.0</v>
      </c>
      <c r="S715" s="137">
        <v>256.0</v>
      </c>
      <c r="T715" s="137">
        <v>98.0</v>
      </c>
      <c r="U715" s="137">
        <v>314.0</v>
      </c>
      <c r="V715" s="137">
        <v>116.0</v>
      </c>
      <c r="W715" s="137">
        <v>321.0</v>
      </c>
      <c r="X715" s="137">
        <v>147.0</v>
      </c>
      <c r="Y715" s="137">
        <v>427.0</v>
      </c>
      <c r="Z715" s="137">
        <v>209.0</v>
      </c>
      <c r="AA715" s="137">
        <v>601.0</v>
      </c>
      <c r="AB715" s="137">
        <v>245.0</v>
      </c>
      <c r="AC715" s="137">
        <v>730.0</v>
      </c>
      <c r="AD715" s="137">
        <v>227.0</v>
      </c>
      <c r="AE715" s="137">
        <v>658.0</v>
      </c>
      <c r="AF715" s="137">
        <v>151.0</v>
      </c>
      <c r="AG715" s="137">
        <v>482.0</v>
      </c>
      <c r="AH715" s="137">
        <v>146.0</v>
      </c>
      <c r="AI715" s="137">
        <v>406.0</v>
      </c>
      <c r="AJ715" s="137">
        <v>82.0</v>
      </c>
      <c r="AK715" s="137">
        <v>278.0</v>
      </c>
      <c r="AL715" s="137">
        <v>77.0</v>
      </c>
      <c r="AM715" s="137">
        <v>249.0</v>
      </c>
      <c r="AN715" s="134">
        <v>6892.0</v>
      </c>
    </row>
    <row r="716">
      <c r="A716" s="98"/>
      <c r="B716" s="136" t="s">
        <v>199</v>
      </c>
      <c r="C716" s="137">
        <v>454.0</v>
      </c>
      <c r="D716" s="137">
        <v>156.0</v>
      </c>
      <c r="E716" s="137">
        <v>298.0</v>
      </c>
      <c r="F716" s="137">
        <v>18.0</v>
      </c>
      <c r="G716" s="137">
        <v>12.0</v>
      </c>
      <c r="H716" s="137">
        <v>3.0</v>
      </c>
      <c r="I716" s="137">
        <v>4.0</v>
      </c>
      <c r="J716" s="137">
        <v>1.0</v>
      </c>
      <c r="K716" s="137">
        <v>6.0</v>
      </c>
      <c r="L716" s="137">
        <v>1.0</v>
      </c>
      <c r="M716" s="137">
        <v>3.0</v>
      </c>
      <c r="N716" s="137">
        <v>3.0</v>
      </c>
      <c r="O716" s="137">
        <v>15.0</v>
      </c>
      <c r="P716" s="137">
        <v>6.0</v>
      </c>
      <c r="Q716" s="137">
        <v>11.0</v>
      </c>
      <c r="R716" s="137">
        <v>3.0</v>
      </c>
      <c r="S716" s="137">
        <v>7.0</v>
      </c>
      <c r="T716" s="137">
        <v>3.0</v>
      </c>
      <c r="U716" s="137">
        <v>8.0</v>
      </c>
      <c r="V716" s="137">
        <v>7.0</v>
      </c>
      <c r="W716" s="137">
        <v>11.0</v>
      </c>
      <c r="X716" s="137">
        <v>4.0</v>
      </c>
      <c r="Y716" s="137">
        <v>6.0</v>
      </c>
      <c r="Z716" s="137">
        <v>6.0</v>
      </c>
      <c r="AA716" s="137">
        <v>13.0</v>
      </c>
      <c r="AB716" s="137">
        <v>10.0</v>
      </c>
      <c r="AC716" s="137">
        <v>18.0</v>
      </c>
      <c r="AD716" s="137">
        <v>12.0</v>
      </c>
      <c r="AE716" s="137">
        <v>31.0</v>
      </c>
      <c r="AF716" s="137">
        <v>28.0</v>
      </c>
      <c r="AG716" s="137">
        <v>54.0</v>
      </c>
      <c r="AH716" s="137">
        <v>20.0</v>
      </c>
      <c r="AI716" s="137">
        <v>35.0</v>
      </c>
      <c r="AJ716" s="137">
        <v>14.0</v>
      </c>
      <c r="AK716" s="137">
        <v>34.0</v>
      </c>
      <c r="AL716" s="137">
        <v>17.0</v>
      </c>
      <c r="AM716" s="137">
        <v>30.0</v>
      </c>
      <c r="AN716" s="137">
        <v>433.0</v>
      </c>
    </row>
    <row r="717">
      <c r="A717" s="98"/>
      <c r="B717" s="136" t="s">
        <v>206</v>
      </c>
      <c r="C717" s="137">
        <v>41.0</v>
      </c>
      <c r="D717" s="137">
        <v>6.0</v>
      </c>
      <c r="E717" s="137">
        <v>35.0</v>
      </c>
      <c r="F717" s="137">
        <v>5.0</v>
      </c>
      <c r="G717" s="137">
        <v>7.0</v>
      </c>
      <c r="H717" s="137">
        <v>0.0</v>
      </c>
      <c r="I717" s="137">
        <v>1.0</v>
      </c>
      <c r="J717" s="137">
        <v>0.0</v>
      </c>
      <c r="K717" s="137">
        <v>0.0</v>
      </c>
      <c r="L717" s="137">
        <v>0.0</v>
      </c>
      <c r="M717" s="137">
        <v>3.0</v>
      </c>
      <c r="N717" s="137">
        <v>0.0</v>
      </c>
      <c r="O717" s="137">
        <v>0.0</v>
      </c>
      <c r="P717" s="137">
        <v>0.0</v>
      </c>
      <c r="Q717" s="137">
        <v>5.0</v>
      </c>
      <c r="R717" s="137">
        <v>0.0</v>
      </c>
      <c r="S717" s="137">
        <v>2.0</v>
      </c>
      <c r="T717" s="137">
        <v>0.0</v>
      </c>
      <c r="U717" s="137">
        <v>4.0</v>
      </c>
      <c r="V717" s="137">
        <v>0.0</v>
      </c>
      <c r="W717" s="137">
        <v>5.0</v>
      </c>
      <c r="X717" s="137">
        <v>0.0</v>
      </c>
      <c r="Y717" s="137">
        <v>3.0</v>
      </c>
      <c r="Z717" s="137">
        <v>0.0</v>
      </c>
      <c r="AA717" s="137">
        <v>2.0</v>
      </c>
      <c r="AB717" s="137">
        <v>0.0</v>
      </c>
      <c r="AC717" s="137">
        <v>2.0</v>
      </c>
      <c r="AD717" s="137">
        <v>0.0</v>
      </c>
      <c r="AE717" s="137">
        <v>0.0</v>
      </c>
      <c r="AF717" s="137">
        <v>0.0</v>
      </c>
      <c r="AG717" s="137">
        <v>0.0</v>
      </c>
      <c r="AH717" s="137">
        <v>0.0</v>
      </c>
      <c r="AI717" s="137">
        <v>1.0</v>
      </c>
      <c r="AJ717" s="137">
        <v>0.0</v>
      </c>
      <c r="AK717" s="137">
        <v>0.0</v>
      </c>
      <c r="AL717" s="137">
        <v>1.0</v>
      </c>
      <c r="AM717" s="137">
        <v>0.0</v>
      </c>
      <c r="AN717" s="137">
        <v>39.0</v>
      </c>
    </row>
    <row r="718">
      <c r="A718" s="98"/>
      <c r="B718" s="136" t="s">
        <v>200</v>
      </c>
      <c r="C718" s="134">
        <v>3150.0</v>
      </c>
      <c r="D718" s="134">
        <v>1187.0</v>
      </c>
      <c r="E718" s="134">
        <v>1963.0</v>
      </c>
      <c r="F718" s="137">
        <v>669.0</v>
      </c>
      <c r="G718" s="137">
        <v>573.0</v>
      </c>
      <c r="H718" s="137">
        <v>163.0</v>
      </c>
      <c r="I718" s="137">
        <v>127.0</v>
      </c>
      <c r="J718" s="137">
        <v>116.0</v>
      </c>
      <c r="K718" s="137">
        <v>115.0</v>
      </c>
      <c r="L718" s="137">
        <v>38.0</v>
      </c>
      <c r="M718" s="137">
        <v>142.0</v>
      </c>
      <c r="N718" s="137">
        <v>10.0</v>
      </c>
      <c r="O718" s="137">
        <v>112.0</v>
      </c>
      <c r="P718" s="137">
        <v>29.0</v>
      </c>
      <c r="Q718" s="137">
        <v>127.0</v>
      </c>
      <c r="R718" s="137">
        <v>31.0</v>
      </c>
      <c r="S718" s="137">
        <v>135.0</v>
      </c>
      <c r="T718" s="137">
        <v>21.0</v>
      </c>
      <c r="U718" s="137">
        <v>128.0</v>
      </c>
      <c r="V718" s="137">
        <v>6.0</v>
      </c>
      <c r="W718" s="137">
        <v>76.0</v>
      </c>
      <c r="X718" s="137">
        <v>5.0</v>
      </c>
      <c r="Y718" s="137">
        <v>68.0</v>
      </c>
      <c r="Z718" s="137">
        <v>14.0</v>
      </c>
      <c r="AA718" s="137">
        <v>83.0</v>
      </c>
      <c r="AB718" s="137">
        <v>20.0</v>
      </c>
      <c r="AC718" s="137">
        <v>100.0</v>
      </c>
      <c r="AD718" s="137">
        <v>10.0</v>
      </c>
      <c r="AE718" s="137">
        <v>63.0</v>
      </c>
      <c r="AF718" s="137">
        <v>12.0</v>
      </c>
      <c r="AG718" s="137">
        <v>39.0</v>
      </c>
      <c r="AH718" s="137">
        <v>19.0</v>
      </c>
      <c r="AI718" s="137">
        <v>34.0</v>
      </c>
      <c r="AJ718" s="137">
        <v>5.0</v>
      </c>
      <c r="AK718" s="137">
        <v>27.0</v>
      </c>
      <c r="AL718" s="137">
        <v>19.0</v>
      </c>
      <c r="AM718" s="137">
        <v>14.0</v>
      </c>
      <c r="AN718" s="134">
        <v>2931.0</v>
      </c>
    </row>
    <row r="719">
      <c r="A719" s="104"/>
      <c r="B719" s="136" t="s">
        <v>201</v>
      </c>
      <c r="C719" s="134">
        <v>2107.0</v>
      </c>
      <c r="D719" s="137">
        <v>820.0</v>
      </c>
      <c r="E719" s="134">
        <v>1287.0</v>
      </c>
      <c r="F719" s="137">
        <v>1.0</v>
      </c>
      <c r="G719" s="137">
        <v>3.0</v>
      </c>
      <c r="H719" s="137">
        <v>10.0</v>
      </c>
      <c r="I719" s="137">
        <v>10.0</v>
      </c>
      <c r="J719" s="137">
        <v>27.0</v>
      </c>
      <c r="K719" s="137">
        <v>17.0</v>
      </c>
      <c r="L719" s="137">
        <v>17.0</v>
      </c>
      <c r="M719" s="137">
        <v>21.0</v>
      </c>
      <c r="N719" s="137">
        <v>16.0</v>
      </c>
      <c r="O719" s="137">
        <v>49.0</v>
      </c>
      <c r="P719" s="137">
        <v>31.0</v>
      </c>
      <c r="Q719" s="137">
        <v>48.0</v>
      </c>
      <c r="R719" s="137">
        <v>41.0</v>
      </c>
      <c r="S719" s="137">
        <v>71.0</v>
      </c>
      <c r="T719" s="137">
        <v>25.0</v>
      </c>
      <c r="U719" s="137">
        <v>34.0</v>
      </c>
      <c r="V719" s="137">
        <v>40.0</v>
      </c>
      <c r="W719" s="137">
        <v>112.0</v>
      </c>
      <c r="X719" s="137">
        <v>51.0</v>
      </c>
      <c r="Y719" s="137">
        <v>83.0</v>
      </c>
      <c r="Z719" s="137">
        <v>57.0</v>
      </c>
      <c r="AA719" s="137">
        <v>131.0</v>
      </c>
      <c r="AB719" s="137">
        <v>56.0</v>
      </c>
      <c r="AC719" s="137">
        <v>99.0</v>
      </c>
      <c r="AD719" s="137">
        <v>100.0</v>
      </c>
      <c r="AE719" s="137">
        <v>143.0</v>
      </c>
      <c r="AF719" s="137">
        <v>70.0</v>
      </c>
      <c r="AG719" s="137">
        <v>194.0</v>
      </c>
      <c r="AH719" s="137">
        <v>112.0</v>
      </c>
      <c r="AI719" s="137">
        <v>152.0</v>
      </c>
      <c r="AJ719" s="137">
        <v>103.0</v>
      </c>
      <c r="AK719" s="137">
        <v>67.0</v>
      </c>
      <c r="AL719" s="137">
        <v>63.0</v>
      </c>
      <c r="AM719" s="137">
        <v>53.0</v>
      </c>
      <c r="AN719" s="134">
        <v>2056.0</v>
      </c>
    </row>
    <row r="720">
      <c r="A720" s="132" t="s">
        <v>208</v>
      </c>
      <c r="B720" s="136" t="s">
        <v>198</v>
      </c>
      <c r="C720" s="137">
        <v>5.0</v>
      </c>
      <c r="D720" s="137">
        <v>3.0</v>
      </c>
      <c r="E720" s="137">
        <v>2.0</v>
      </c>
      <c r="F720" s="137">
        <v>3.0</v>
      </c>
      <c r="G720" s="137">
        <v>1.0</v>
      </c>
      <c r="H720" s="137">
        <v>0.0</v>
      </c>
      <c r="I720" s="137">
        <v>0.0</v>
      </c>
      <c r="J720" s="137">
        <v>0.0</v>
      </c>
      <c r="K720" s="137">
        <v>1.0</v>
      </c>
      <c r="L720" s="137">
        <v>0.0</v>
      </c>
      <c r="M720" s="137">
        <v>0.0</v>
      </c>
      <c r="N720" s="137">
        <v>0.0</v>
      </c>
      <c r="O720" s="137">
        <v>0.0</v>
      </c>
      <c r="P720" s="135">
        <v>0.0</v>
      </c>
      <c r="Q720" s="135">
        <v>0.0</v>
      </c>
      <c r="R720" s="135">
        <v>0.0</v>
      </c>
      <c r="S720" s="135">
        <v>0.0</v>
      </c>
      <c r="T720" s="135">
        <v>0.0</v>
      </c>
      <c r="U720" s="135">
        <v>0.0</v>
      </c>
      <c r="V720" s="135">
        <v>0.0</v>
      </c>
      <c r="W720" s="135">
        <v>0.0</v>
      </c>
      <c r="X720" s="135">
        <v>0.0</v>
      </c>
      <c r="Y720" s="135">
        <v>0.0</v>
      </c>
      <c r="Z720" s="135">
        <v>0.0</v>
      </c>
      <c r="AA720" s="135">
        <v>0.0</v>
      </c>
      <c r="AB720" s="135">
        <v>0.0</v>
      </c>
      <c r="AC720" s="135">
        <v>0.0</v>
      </c>
      <c r="AD720" s="135">
        <v>0.0</v>
      </c>
      <c r="AE720" s="135">
        <v>0.0</v>
      </c>
      <c r="AF720" s="135">
        <v>0.0</v>
      </c>
      <c r="AG720" s="135">
        <v>0.0</v>
      </c>
      <c r="AH720" s="135">
        <v>0.0</v>
      </c>
      <c r="AI720" s="135">
        <v>0.0</v>
      </c>
      <c r="AJ720" s="135">
        <v>0.0</v>
      </c>
      <c r="AK720" s="135">
        <v>0.0</v>
      </c>
      <c r="AL720" s="135">
        <v>0.0</v>
      </c>
      <c r="AM720" s="135">
        <v>0.0</v>
      </c>
      <c r="AN720" s="137">
        <v>4.0</v>
      </c>
    </row>
    <row r="721">
      <c r="A721" s="98"/>
      <c r="B721" s="136" t="s">
        <v>199</v>
      </c>
      <c r="C721" s="137">
        <v>3.0</v>
      </c>
      <c r="D721" s="137">
        <v>2.0</v>
      </c>
      <c r="E721" s="137">
        <v>1.0</v>
      </c>
      <c r="F721" s="137">
        <v>2.0</v>
      </c>
      <c r="G721" s="137">
        <v>1.0</v>
      </c>
      <c r="H721" s="137">
        <v>0.0</v>
      </c>
      <c r="I721" s="137">
        <v>0.0</v>
      </c>
      <c r="J721" s="137">
        <v>0.0</v>
      </c>
      <c r="K721" s="137">
        <v>0.0</v>
      </c>
      <c r="L721" s="137">
        <v>0.0</v>
      </c>
      <c r="M721" s="137">
        <v>0.0</v>
      </c>
      <c r="N721" s="137">
        <v>0.0</v>
      </c>
      <c r="O721" s="137">
        <v>0.0</v>
      </c>
      <c r="P721" s="135">
        <v>0.0</v>
      </c>
      <c r="Q721" s="135">
        <v>0.0</v>
      </c>
      <c r="R721" s="135">
        <v>0.0</v>
      </c>
      <c r="S721" s="135">
        <v>0.0</v>
      </c>
      <c r="T721" s="135">
        <v>0.0</v>
      </c>
      <c r="U721" s="135">
        <v>0.0</v>
      </c>
      <c r="V721" s="135">
        <v>0.0</v>
      </c>
      <c r="W721" s="135">
        <v>0.0</v>
      </c>
      <c r="X721" s="135">
        <v>0.0</v>
      </c>
      <c r="Y721" s="135">
        <v>0.0</v>
      </c>
      <c r="Z721" s="135">
        <v>0.0</v>
      </c>
      <c r="AA721" s="135">
        <v>0.0</v>
      </c>
      <c r="AB721" s="135">
        <v>0.0</v>
      </c>
      <c r="AC721" s="135">
        <v>0.0</v>
      </c>
      <c r="AD721" s="135">
        <v>0.0</v>
      </c>
      <c r="AE721" s="135">
        <v>0.0</v>
      </c>
      <c r="AF721" s="135">
        <v>0.0</v>
      </c>
      <c r="AG721" s="135">
        <v>0.0</v>
      </c>
      <c r="AH721" s="135">
        <v>0.0</v>
      </c>
      <c r="AI721" s="135">
        <v>0.0</v>
      </c>
      <c r="AJ721" s="135">
        <v>0.0</v>
      </c>
      <c r="AK721" s="135">
        <v>0.0</v>
      </c>
      <c r="AL721" s="135">
        <v>0.0</v>
      </c>
      <c r="AM721" s="135">
        <v>0.0</v>
      </c>
      <c r="AN721" s="137">
        <v>3.0</v>
      </c>
    </row>
    <row r="722">
      <c r="A722" s="98"/>
      <c r="B722" s="136" t="s">
        <v>206</v>
      </c>
      <c r="C722" s="137">
        <v>0.0</v>
      </c>
      <c r="D722" s="137">
        <v>0.0</v>
      </c>
      <c r="E722" s="137">
        <v>0.0</v>
      </c>
      <c r="F722" s="137">
        <v>0.0</v>
      </c>
      <c r="G722" s="137">
        <v>0.0</v>
      </c>
      <c r="H722" s="137">
        <v>0.0</v>
      </c>
      <c r="I722" s="137">
        <v>0.0</v>
      </c>
      <c r="J722" s="137">
        <v>0.0</v>
      </c>
      <c r="K722" s="137">
        <v>0.0</v>
      </c>
      <c r="L722" s="137">
        <v>0.0</v>
      </c>
      <c r="M722" s="137">
        <v>0.0</v>
      </c>
      <c r="N722" s="137">
        <v>0.0</v>
      </c>
      <c r="O722" s="137">
        <v>0.0</v>
      </c>
      <c r="P722" s="135">
        <v>0.0</v>
      </c>
      <c r="Q722" s="135">
        <v>0.0</v>
      </c>
      <c r="R722" s="135">
        <v>0.0</v>
      </c>
      <c r="S722" s="135">
        <v>0.0</v>
      </c>
      <c r="T722" s="135">
        <v>0.0</v>
      </c>
      <c r="U722" s="135">
        <v>0.0</v>
      </c>
      <c r="V722" s="135">
        <v>0.0</v>
      </c>
      <c r="W722" s="135">
        <v>0.0</v>
      </c>
      <c r="X722" s="135">
        <v>0.0</v>
      </c>
      <c r="Y722" s="135">
        <v>0.0</v>
      </c>
      <c r="Z722" s="135">
        <v>0.0</v>
      </c>
      <c r="AA722" s="135">
        <v>0.0</v>
      </c>
      <c r="AB722" s="135">
        <v>0.0</v>
      </c>
      <c r="AC722" s="135">
        <v>0.0</v>
      </c>
      <c r="AD722" s="135">
        <v>0.0</v>
      </c>
      <c r="AE722" s="135">
        <v>0.0</v>
      </c>
      <c r="AF722" s="135">
        <v>0.0</v>
      </c>
      <c r="AG722" s="135">
        <v>0.0</v>
      </c>
      <c r="AH722" s="135">
        <v>0.0</v>
      </c>
      <c r="AI722" s="135">
        <v>0.0</v>
      </c>
      <c r="AJ722" s="135">
        <v>0.0</v>
      </c>
      <c r="AK722" s="135">
        <v>0.0</v>
      </c>
      <c r="AL722" s="135">
        <v>0.0</v>
      </c>
      <c r="AM722" s="135">
        <v>0.0</v>
      </c>
      <c r="AN722" s="137">
        <v>0.0</v>
      </c>
    </row>
    <row r="723">
      <c r="A723" s="98"/>
      <c r="B723" s="136" t="s">
        <v>200</v>
      </c>
      <c r="C723" s="137">
        <v>36.0</v>
      </c>
      <c r="D723" s="137">
        <v>18.0</v>
      </c>
      <c r="E723" s="137">
        <v>18.0</v>
      </c>
      <c r="F723" s="137">
        <v>12.0</v>
      </c>
      <c r="G723" s="137">
        <v>11.0</v>
      </c>
      <c r="H723" s="137">
        <v>2.0</v>
      </c>
      <c r="I723" s="137">
        <v>4.0</v>
      </c>
      <c r="J723" s="137">
        <v>3.0</v>
      </c>
      <c r="K723" s="137">
        <v>2.0</v>
      </c>
      <c r="L723" s="137">
        <v>1.0</v>
      </c>
      <c r="M723" s="137">
        <v>1.0</v>
      </c>
      <c r="N723" s="137">
        <v>0.0</v>
      </c>
      <c r="O723" s="137">
        <v>0.0</v>
      </c>
      <c r="P723" s="135">
        <v>0.0</v>
      </c>
      <c r="Q723" s="135">
        <v>0.0</v>
      </c>
      <c r="R723" s="135">
        <v>0.0</v>
      </c>
      <c r="S723" s="135">
        <v>0.0</v>
      </c>
      <c r="T723" s="135">
        <v>0.0</v>
      </c>
      <c r="U723" s="135">
        <v>0.0</v>
      </c>
      <c r="V723" s="135">
        <v>0.0</v>
      </c>
      <c r="W723" s="135">
        <v>0.0</v>
      </c>
      <c r="X723" s="135">
        <v>0.0</v>
      </c>
      <c r="Y723" s="135">
        <v>0.0</v>
      </c>
      <c r="Z723" s="135">
        <v>0.0</v>
      </c>
      <c r="AA723" s="135">
        <v>0.0</v>
      </c>
      <c r="AB723" s="135">
        <v>0.0</v>
      </c>
      <c r="AC723" s="135">
        <v>0.0</v>
      </c>
      <c r="AD723" s="135">
        <v>0.0</v>
      </c>
      <c r="AE723" s="135">
        <v>0.0</v>
      </c>
      <c r="AF723" s="135">
        <v>0.0</v>
      </c>
      <c r="AG723" s="135">
        <v>0.0</v>
      </c>
      <c r="AH723" s="135">
        <v>0.0</v>
      </c>
      <c r="AI723" s="135">
        <v>0.0</v>
      </c>
      <c r="AJ723" s="135">
        <v>0.0</v>
      </c>
      <c r="AK723" s="135">
        <v>0.0</v>
      </c>
      <c r="AL723" s="135">
        <v>0.0</v>
      </c>
      <c r="AM723" s="135">
        <v>0.0</v>
      </c>
      <c r="AN723" s="137">
        <v>36.0</v>
      </c>
    </row>
    <row r="724">
      <c r="A724" s="104"/>
      <c r="B724" s="136" t="s">
        <v>201</v>
      </c>
      <c r="C724" s="137">
        <v>0.0</v>
      </c>
      <c r="D724" s="137">
        <v>0.0</v>
      </c>
      <c r="E724" s="137">
        <v>0.0</v>
      </c>
      <c r="F724" s="137">
        <v>0.0</v>
      </c>
      <c r="G724" s="137">
        <v>0.0</v>
      </c>
      <c r="H724" s="137">
        <v>0.0</v>
      </c>
      <c r="I724" s="137">
        <v>0.0</v>
      </c>
      <c r="J724" s="137">
        <v>0.0</v>
      </c>
      <c r="K724" s="137">
        <v>0.0</v>
      </c>
      <c r="L724" s="137">
        <v>0.0</v>
      </c>
      <c r="M724" s="137">
        <v>0.0</v>
      </c>
      <c r="N724" s="137">
        <v>0.0</v>
      </c>
      <c r="O724" s="137">
        <v>0.0</v>
      </c>
      <c r="P724" s="135">
        <v>0.0</v>
      </c>
      <c r="Q724" s="135">
        <v>0.0</v>
      </c>
      <c r="R724" s="135">
        <v>0.0</v>
      </c>
      <c r="S724" s="135">
        <v>0.0</v>
      </c>
      <c r="T724" s="135">
        <v>0.0</v>
      </c>
      <c r="U724" s="135">
        <v>0.0</v>
      </c>
      <c r="V724" s="135">
        <v>0.0</v>
      </c>
      <c r="W724" s="135">
        <v>0.0</v>
      </c>
      <c r="X724" s="135">
        <v>0.0</v>
      </c>
      <c r="Y724" s="135">
        <v>0.0</v>
      </c>
      <c r="Z724" s="135">
        <v>0.0</v>
      </c>
      <c r="AA724" s="135">
        <v>0.0</v>
      </c>
      <c r="AB724" s="135">
        <v>0.0</v>
      </c>
      <c r="AC724" s="135">
        <v>0.0</v>
      </c>
      <c r="AD724" s="135">
        <v>0.0</v>
      </c>
      <c r="AE724" s="135">
        <v>0.0</v>
      </c>
      <c r="AF724" s="135">
        <v>0.0</v>
      </c>
      <c r="AG724" s="135">
        <v>0.0</v>
      </c>
      <c r="AH724" s="135">
        <v>0.0</v>
      </c>
      <c r="AI724" s="135">
        <v>0.0</v>
      </c>
      <c r="AJ724" s="135">
        <v>0.0</v>
      </c>
      <c r="AK724" s="135">
        <v>0.0</v>
      </c>
      <c r="AL724" s="135">
        <v>0.0</v>
      </c>
      <c r="AM724" s="135">
        <v>0.0</v>
      </c>
      <c r="AN724" s="137">
        <v>0.0</v>
      </c>
    </row>
  </sheetData>
  <mergeCells count="264">
    <mergeCell ref="A341:AN341"/>
    <mergeCell ref="A365:AN365"/>
    <mergeCell ref="A389:AN389"/>
    <mergeCell ref="A413:AN413"/>
    <mergeCell ref="A437:AN437"/>
    <mergeCell ref="A461:AN461"/>
    <mergeCell ref="A485:AN485"/>
    <mergeCell ref="A677:AN677"/>
    <mergeCell ref="A701:AN701"/>
    <mergeCell ref="A509:AN509"/>
    <mergeCell ref="A533:AN533"/>
    <mergeCell ref="A557:AN557"/>
    <mergeCell ref="A581:AN581"/>
    <mergeCell ref="A605:AN605"/>
    <mergeCell ref="A629:AN629"/>
    <mergeCell ref="A653:AN653"/>
    <mergeCell ref="A510:A513"/>
    <mergeCell ref="A514:A515"/>
    <mergeCell ref="A516:A517"/>
    <mergeCell ref="A518:A519"/>
    <mergeCell ref="A520:A522"/>
    <mergeCell ref="A523:A527"/>
    <mergeCell ref="A528:A532"/>
    <mergeCell ref="A534:A537"/>
    <mergeCell ref="A538:A539"/>
    <mergeCell ref="A540:A541"/>
    <mergeCell ref="A542:A543"/>
    <mergeCell ref="A544:A546"/>
    <mergeCell ref="A547:A551"/>
    <mergeCell ref="A552:A556"/>
    <mergeCell ref="A558:A561"/>
    <mergeCell ref="A562:A563"/>
    <mergeCell ref="A564:A565"/>
    <mergeCell ref="A566:A567"/>
    <mergeCell ref="A568:A570"/>
    <mergeCell ref="A571:A575"/>
    <mergeCell ref="A576:A580"/>
    <mergeCell ref="A582:A585"/>
    <mergeCell ref="A586:A587"/>
    <mergeCell ref="A588:A589"/>
    <mergeCell ref="A590:A591"/>
    <mergeCell ref="A592:A594"/>
    <mergeCell ref="A595:A599"/>
    <mergeCell ref="A600:A604"/>
    <mergeCell ref="A606:A609"/>
    <mergeCell ref="A610:A611"/>
    <mergeCell ref="A612:A613"/>
    <mergeCell ref="A614:A615"/>
    <mergeCell ref="A616:A618"/>
    <mergeCell ref="A619:A623"/>
    <mergeCell ref="A624:A628"/>
    <mergeCell ref="A630:A633"/>
    <mergeCell ref="A634:A635"/>
    <mergeCell ref="A636:A637"/>
    <mergeCell ref="A638:A639"/>
    <mergeCell ref="A640:A642"/>
    <mergeCell ref="A643:A647"/>
    <mergeCell ref="A648:A652"/>
    <mergeCell ref="A654:A657"/>
    <mergeCell ref="A658:A659"/>
    <mergeCell ref="A660:A661"/>
    <mergeCell ref="A662:A663"/>
    <mergeCell ref="A664:A666"/>
    <mergeCell ref="A667:A671"/>
    <mergeCell ref="A672:A676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84:A85"/>
    <mergeCell ref="A86:A87"/>
    <mergeCell ref="A88:A90"/>
    <mergeCell ref="A91:A95"/>
    <mergeCell ref="A96:A100"/>
    <mergeCell ref="A101:AN101"/>
    <mergeCell ref="A102:A105"/>
    <mergeCell ref="A106:A107"/>
    <mergeCell ref="A108:A109"/>
    <mergeCell ref="A110:A111"/>
    <mergeCell ref="A112:A114"/>
    <mergeCell ref="A115:A119"/>
    <mergeCell ref="A120:A124"/>
    <mergeCell ref="A125:AN125"/>
    <mergeCell ref="A126:A129"/>
    <mergeCell ref="A130:A131"/>
    <mergeCell ref="A132:A133"/>
    <mergeCell ref="A134:A135"/>
    <mergeCell ref="A136:A138"/>
    <mergeCell ref="A139:A143"/>
    <mergeCell ref="A149:AN149"/>
    <mergeCell ref="A173:AN173"/>
    <mergeCell ref="A144:A148"/>
    <mergeCell ref="A150:A153"/>
    <mergeCell ref="A154:A155"/>
    <mergeCell ref="A156:A157"/>
    <mergeCell ref="A158:A159"/>
    <mergeCell ref="A160:A162"/>
    <mergeCell ref="A163:A167"/>
    <mergeCell ref="A168:A172"/>
    <mergeCell ref="A174:A177"/>
    <mergeCell ref="A178:A179"/>
    <mergeCell ref="A180:A181"/>
    <mergeCell ref="A182:A183"/>
    <mergeCell ref="A184:A186"/>
    <mergeCell ref="A187:A191"/>
    <mergeCell ref="A198:A201"/>
    <mergeCell ref="A202:A203"/>
    <mergeCell ref="A204:A205"/>
    <mergeCell ref="A206:A207"/>
    <mergeCell ref="A208:A210"/>
    <mergeCell ref="A211:A215"/>
    <mergeCell ref="A216:A220"/>
    <mergeCell ref="A222:A225"/>
    <mergeCell ref="A226:A227"/>
    <mergeCell ref="A228:A229"/>
    <mergeCell ref="A230:A231"/>
    <mergeCell ref="A232:A234"/>
    <mergeCell ref="A235:A239"/>
    <mergeCell ref="A240:A244"/>
    <mergeCell ref="A246:A249"/>
    <mergeCell ref="A250:A251"/>
    <mergeCell ref="A252:A253"/>
    <mergeCell ref="A254:A255"/>
    <mergeCell ref="A256:A258"/>
    <mergeCell ref="A259:A263"/>
    <mergeCell ref="A264:A268"/>
    <mergeCell ref="A270:A273"/>
    <mergeCell ref="A274:A275"/>
    <mergeCell ref="A276:A277"/>
    <mergeCell ref="A278:A279"/>
    <mergeCell ref="A280:A282"/>
    <mergeCell ref="A283:A287"/>
    <mergeCell ref="A288:A292"/>
    <mergeCell ref="A294:A297"/>
    <mergeCell ref="A298:A299"/>
    <mergeCell ref="A300:A301"/>
    <mergeCell ref="A302:A303"/>
    <mergeCell ref="A304:A306"/>
    <mergeCell ref="A307:A311"/>
    <mergeCell ref="A312:A316"/>
    <mergeCell ref="A318:A321"/>
    <mergeCell ref="A322:A323"/>
    <mergeCell ref="A324:A325"/>
    <mergeCell ref="A326:A327"/>
    <mergeCell ref="A328:A330"/>
    <mergeCell ref="A331:A335"/>
    <mergeCell ref="A336:A340"/>
    <mergeCell ref="AH3:AI3"/>
    <mergeCell ref="AJ3:AK3"/>
    <mergeCell ref="A1:C1"/>
    <mergeCell ref="E1:H1"/>
    <mergeCell ref="A2:A4"/>
    <mergeCell ref="B2:B4"/>
    <mergeCell ref="C2:E3"/>
    <mergeCell ref="F2:AM2"/>
    <mergeCell ref="AN2:AN4"/>
    <mergeCell ref="AL3:AM3"/>
    <mergeCell ref="A5:AN5"/>
    <mergeCell ref="A6:A9"/>
    <mergeCell ref="A10:A11"/>
    <mergeCell ref="A12:A13"/>
    <mergeCell ref="A14:A15"/>
    <mergeCell ref="A16:A18"/>
    <mergeCell ref="A19:A23"/>
    <mergeCell ref="A24:A28"/>
    <mergeCell ref="A29:AN29"/>
    <mergeCell ref="A30:A33"/>
    <mergeCell ref="A34:A35"/>
    <mergeCell ref="A36:A37"/>
    <mergeCell ref="A38:A39"/>
    <mergeCell ref="A40:A42"/>
    <mergeCell ref="A43:A47"/>
    <mergeCell ref="A48:A52"/>
    <mergeCell ref="A53:AN53"/>
    <mergeCell ref="A54:A57"/>
    <mergeCell ref="A58:A59"/>
    <mergeCell ref="A60:A61"/>
    <mergeCell ref="A62:A63"/>
    <mergeCell ref="A64:A66"/>
    <mergeCell ref="A67:A71"/>
    <mergeCell ref="A72:A76"/>
    <mergeCell ref="A77:AN77"/>
    <mergeCell ref="A78:A81"/>
    <mergeCell ref="A82:A83"/>
    <mergeCell ref="A192:A196"/>
    <mergeCell ref="A197:AN197"/>
    <mergeCell ref="A221:AN221"/>
    <mergeCell ref="A245:AN245"/>
    <mergeCell ref="A269:AN269"/>
    <mergeCell ref="A293:AN293"/>
    <mergeCell ref="A317:AN317"/>
    <mergeCell ref="A342:A345"/>
    <mergeCell ref="A346:A347"/>
    <mergeCell ref="A348:A349"/>
    <mergeCell ref="A350:A351"/>
    <mergeCell ref="A352:A354"/>
    <mergeCell ref="A355:A359"/>
    <mergeCell ref="A360:A364"/>
    <mergeCell ref="A366:A369"/>
    <mergeCell ref="A370:A371"/>
    <mergeCell ref="A372:A373"/>
    <mergeCell ref="A374:A375"/>
    <mergeCell ref="A376:A378"/>
    <mergeCell ref="A379:A383"/>
    <mergeCell ref="A384:A388"/>
    <mergeCell ref="A390:A393"/>
    <mergeCell ref="A394:A395"/>
    <mergeCell ref="A396:A397"/>
    <mergeCell ref="A398:A399"/>
    <mergeCell ref="A400:A402"/>
    <mergeCell ref="A403:A407"/>
    <mergeCell ref="A408:A412"/>
    <mergeCell ref="A414:A417"/>
    <mergeCell ref="A418:A419"/>
    <mergeCell ref="A420:A421"/>
    <mergeCell ref="A422:A423"/>
    <mergeCell ref="A424:A426"/>
    <mergeCell ref="A427:A431"/>
    <mergeCell ref="A432:A436"/>
    <mergeCell ref="A438:A441"/>
    <mergeCell ref="A442:A443"/>
    <mergeCell ref="A444:A445"/>
    <mergeCell ref="A446:A447"/>
    <mergeCell ref="A448:A450"/>
    <mergeCell ref="A451:A455"/>
    <mergeCell ref="A456:A460"/>
    <mergeCell ref="A462:A465"/>
    <mergeCell ref="A466:A467"/>
    <mergeCell ref="A468:A469"/>
    <mergeCell ref="A470:A471"/>
    <mergeCell ref="A472:A474"/>
    <mergeCell ref="A475:A479"/>
    <mergeCell ref="A480:A484"/>
    <mergeCell ref="A486:A489"/>
    <mergeCell ref="A490:A491"/>
    <mergeCell ref="A492:A493"/>
    <mergeCell ref="A494:A495"/>
    <mergeCell ref="A496:A498"/>
    <mergeCell ref="A499:A503"/>
    <mergeCell ref="A504:A508"/>
    <mergeCell ref="A702:A705"/>
    <mergeCell ref="A706:A707"/>
    <mergeCell ref="A708:A709"/>
    <mergeCell ref="A710:A711"/>
    <mergeCell ref="A712:A714"/>
    <mergeCell ref="A715:A719"/>
    <mergeCell ref="A720:A724"/>
    <mergeCell ref="A678:A681"/>
    <mergeCell ref="A682:A683"/>
    <mergeCell ref="A684:A685"/>
    <mergeCell ref="A686:A687"/>
    <mergeCell ref="A688:A690"/>
    <mergeCell ref="A691:A695"/>
    <mergeCell ref="A696:A70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4" t="s">
        <v>239</v>
      </c>
    </row>
    <row r="2">
      <c r="A2" s="125" t="s">
        <v>173</v>
      </c>
      <c r="B2" s="125" t="s">
        <v>174</v>
      </c>
      <c r="C2" s="126" t="s">
        <v>175</v>
      </c>
      <c r="D2" s="15"/>
      <c r="E2" s="13"/>
      <c r="F2" s="127" t="s">
        <v>176</v>
      </c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7"/>
      <c r="AN2" s="125" t="s">
        <v>177</v>
      </c>
    </row>
    <row r="3">
      <c r="A3" s="98"/>
      <c r="B3" s="98"/>
      <c r="C3" s="99"/>
      <c r="D3" s="100"/>
      <c r="E3" s="101"/>
      <c r="F3" s="127" t="s">
        <v>178</v>
      </c>
      <c r="G3" s="97"/>
      <c r="H3" s="128">
        <v>45905.0</v>
      </c>
      <c r="I3" s="97"/>
      <c r="J3" s="129">
        <v>45944.0</v>
      </c>
      <c r="K3" s="97"/>
      <c r="L3" s="127" t="s">
        <v>179</v>
      </c>
      <c r="M3" s="97"/>
      <c r="N3" s="127" t="s">
        <v>180</v>
      </c>
      <c r="O3" s="97"/>
      <c r="P3" s="127" t="s">
        <v>181</v>
      </c>
      <c r="Q3" s="97"/>
      <c r="R3" s="127" t="s">
        <v>182</v>
      </c>
      <c r="S3" s="97"/>
      <c r="T3" s="127" t="s">
        <v>183</v>
      </c>
      <c r="U3" s="97"/>
      <c r="V3" s="127" t="s">
        <v>184</v>
      </c>
      <c r="W3" s="97"/>
      <c r="X3" s="127" t="s">
        <v>185</v>
      </c>
      <c r="Y3" s="97"/>
      <c r="Z3" s="127" t="s">
        <v>186</v>
      </c>
      <c r="AA3" s="97"/>
      <c r="AB3" s="127" t="s">
        <v>187</v>
      </c>
      <c r="AC3" s="97"/>
      <c r="AD3" s="127" t="s">
        <v>188</v>
      </c>
      <c r="AE3" s="97"/>
      <c r="AF3" s="127" t="s">
        <v>189</v>
      </c>
      <c r="AG3" s="97"/>
      <c r="AH3" s="127" t="s">
        <v>190</v>
      </c>
      <c r="AI3" s="97"/>
      <c r="AJ3" s="127" t="s">
        <v>191</v>
      </c>
      <c r="AK3" s="97"/>
      <c r="AL3" s="127" t="s">
        <v>192</v>
      </c>
      <c r="AM3" s="97"/>
      <c r="AN3" s="98"/>
    </row>
    <row r="4">
      <c r="A4" s="104"/>
      <c r="B4" s="104"/>
      <c r="C4" s="130" t="s">
        <v>193</v>
      </c>
      <c r="D4" s="130" t="s">
        <v>194</v>
      </c>
      <c r="E4" s="130" t="s">
        <v>195</v>
      </c>
      <c r="F4" s="130" t="s">
        <v>194</v>
      </c>
      <c r="G4" s="130" t="s">
        <v>195</v>
      </c>
      <c r="H4" s="130" t="s">
        <v>194</v>
      </c>
      <c r="I4" s="130" t="s">
        <v>195</v>
      </c>
      <c r="J4" s="130" t="s">
        <v>194</v>
      </c>
      <c r="K4" s="130" t="s">
        <v>195</v>
      </c>
      <c r="L4" s="130" t="s">
        <v>194</v>
      </c>
      <c r="M4" s="130" t="s">
        <v>195</v>
      </c>
      <c r="N4" s="130" t="s">
        <v>194</v>
      </c>
      <c r="O4" s="130" t="s">
        <v>195</v>
      </c>
      <c r="P4" s="130" t="s">
        <v>194</v>
      </c>
      <c r="Q4" s="130" t="s">
        <v>195</v>
      </c>
      <c r="R4" s="130" t="s">
        <v>194</v>
      </c>
      <c r="S4" s="130" t="s">
        <v>195</v>
      </c>
      <c r="T4" s="130" t="s">
        <v>194</v>
      </c>
      <c r="U4" s="130" t="s">
        <v>195</v>
      </c>
      <c r="V4" s="130" t="s">
        <v>194</v>
      </c>
      <c r="W4" s="130" t="s">
        <v>195</v>
      </c>
      <c r="X4" s="130" t="s">
        <v>194</v>
      </c>
      <c r="Y4" s="130" t="s">
        <v>195</v>
      </c>
      <c r="Z4" s="130" t="s">
        <v>194</v>
      </c>
      <c r="AA4" s="130" t="s">
        <v>195</v>
      </c>
      <c r="AB4" s="130" t="s">
        <v>194</v>
      </c>
      <c r="AC4" s="130" t="s">
        <v>195</v>
      </c>
      <c r="AD4" s="130" t="s">
        <v>194</v>
      </c>
      <c r="AE4" s="130" t="s">
        <v>195</v>
      </c>
      <c r="AF4" s="130" t="s">
        <v>194</v>
      </c>
      <c r="AG4" s="130" t="s">
        <v>195</v>
      </c>
      <c r="AH4" s="130" t="s">
        <v>194</v>
      </c>
      <c r="AI4" s="130" t="s">
        <v>195</v>
      </c>
      <c r="AJ4" s="130" t="s">
        <v>194</v>
      </c>
      <c r="AK4" s="130" t="s">
        <v>195</v>
      </c>
      <c r="AL4" s="130" t="s">
        <v>194</v>
      </c>
      <c r="AM4" s="130" t="s">
        <v>195</v>
      </c>
      <c r="AN4" s="104"/>
    </row>
    <row r="5">
      <c r="A5" s="131" t="s">
        <v>196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</row>
    <row r="6">
      <c r="A6" s="132" t="s">
        <v>197</v>
      </c>
      <c r="B6" s="133" t="s">
        <v>198</v>
      </c>
      <c r="C6" s="134">
        <v>5560806.0</v>
      </c>
      <c r="D6" s="134">
        <v>2028288.0</v>
      </c>
      <c r="E6" s="134">
        <v>3532518.0</v>
      </c>
      <c r="F6" s="135">
        <v>0.0</v>
      </c>
      <c r="G6" s="135">
        <v>0.0</v>
      </c>
      <c r="H6" s="135">
        <v>0.0</v>
      </c>
      <c r="I6" s="135">
        <v>0.0</v>
      </c>
      <c r="J6" s="135">
        <v>0.0</v>
      </c>
      <c r="K6" s="135">
        <v>0.0</v>
      </c>
      <c r="L6" s="134">
        <v>3420.0</v>
      </c>
      <c r="M6" s="134">
        <v>5474.0</v>
      </c>
      <c r="N6" s="134">
        <v>5372.0</v>
      </c>
      <c r="O6" s="134">
        <v>11148.0</v>
      </c>
      <c r="P6" s="134">
        <v>10606.0</v>
      </c>
      <c r="Q6" s="134">
        <v>23416.0</v>
      </c>
      <c r="R6" s="134">
        <v>18742.0</v>
      </c>
      <c r="S6" s="134">
        <v>40896.0</v>
      </c>
      <c r="T6" s="134">
        <v>32792.0</v>
      </c>
      <c r="U6" s="134">
        <v>70270.0</v>
      </c>
      <c r="V6" s="134">
        <v>58130.0</v>
      </c>
      <c r="W6" s="134">
        <v>123432.0</v>
      </c>
      <c r="X6" s="134">
        <v>99908.0</v>
      </c>
      <c r="Y6" s="134">
        <v>216302.0</v>
      </c>
      <c r="Z6" s="134">
        <v>171414.0</v>
      </c>
      <c r="AA6" s="134">
        <v>359746.0</v>
      </c>
      <c r="AB6" s="134">
        <v>246160.0</v>
      </c>
      <c r="AC6" s="134">
        <v>458110.0</v>
      </c>
      <c r="AD6" s="134">
        <v>284092.0</v>
      </c>
      <c r="AE6" s="134">
        <v>491396.0</v>
      </c>
      <c r="AF6" s="134">
        <v>308114.0</v>
      </c>
      <c r="AG6" s="134">
        <v>488696.0</v>
      </c>
      <c r="AH6" s="134">
        <v>302838.0</v>
      </c>
      <c r="AI6" s="134">
        <v>455722.0</v>
      </c>
      <c r="AJ6" s="134">
        <v>239446.0</v>
      </c>
      <c r="AK6" s="134">
        <v>364440.0</v>
      </c>
      <c r="AL6" s="134">
        <v>247242.0</v>
      </c>
      <c r="AM6" s="134">
        <v>423482.0</v>
      </c>
      <c r="AN6" s="134">
        <v>5514534.0</v>
      </c>
    </row>
    <row r="7">
      <c r="A7" s="98"/>
      <c r="B7" s="136" t="s">
        <v>199</v>
      </c>
      <c r="C7" s="134">
        <v>2552008.0</v>
      </c>
      <c r="D7" s="134">
        <v>929456.0</v>
      </c>
      <c r="E7" s="134">
        <v>1622538.0</v>
      </c>
      <c r="F7" s="135">
        <v>0.0</v>
      </c>
      <c r="G7" s="135">
        <v>0.0</v>
      </c>
      <c r="H7" s="135">
        <v>0.0</v>
      </c>
      <c r="I7" s="135">
        <v>0.0</v>
      </c>
      <c r="J7" s="135">
        <v>0.0</v>
      </c>
      <c r="K7" s="135">
        <v>0.0</v>
      </c>
      <c r="L7" s="137">
        <v>816.0</v>
      </c>
      <c r="M7" s="134">
        <v>1124.0</v>
      </c>
      <c r="N7" s="134">
        <v>1696.0</v>
      </c>
      <c r="O7" s="134">
        <v>3084.0</v>
      </c>
      <c r="P7" s="134">
        <v>3412.0</v>
      </c>
      <c r="Q7" s="134">
        <v>7360.0</v>
      </c>
      <c r="R7" s="134">
        <v>6760.0</v>
      </c>
      <c r="S7" s="134">
        <v>14006.0</v>
      </c>
      <c r="T7" s="134">
        <v>12328.0</v>
      </c>
      <c r="U7" s="134">
        <v>25430.0</v>
      </c>
      <c r="V7" s="134">
        <v>22200.0</v>
      </c>
      <c r="W7" s="134">
        <v>47916.0</v>
      </c>
      <c r="X7" s="134">
        <v>39650.0</v>
      </c>
      <c r="Y7" s="134">
        <v>88702.0</v>
      </c>
      <c r="Z7" s="134">
        <v>71416.0</v>
      </c>
      <c r="AA7" s="134">
        <v>152756.0</v>
      </c>
      <c r="AB7" s="134">
        <v>103670.0</v>
      </c>
      <c r="AC7" s="134">
        <v>199500.0</v>
      </c>
      <c r="AD7" s="134">
        <v>124550.0</v>
      </c>
      <c r="AE7" s="134">
        <v>221482.0</v>
      </c>
      <c r="AF7" s="134">
        <v>145756.0</v>
      </c>
      <c r="AG7" s="134">
        <v>238574.0</v>
      </c>
      <c r="AH7" s="134">
        <v>150220.0</v>
      </c>
      <c r="AI7" s="134">
        <v>226788.0</v>
      </c>
      <c r="AJ7" s="134">
        <v>121274.0</v>
      </c>
      <c r="AK7" s="134">
        <v>182332.0</v>
      </c>
      <c r="AL7" s="134">
        <v>125710.0</v>
      </c>
      <c r="AM7" s="134">
        <v>213494.0</v>
      </c>
      <c r="AN7" s="134">
        <v>2527630.0</v>
      </c>
    </row>
    <row r="8">
      <c r="A8" s="98"/>
      <c r="B8" s="136" t="s">
        <v>200</v>
      </c>
      <c r="C8" s="134">
        <v>2174036.0</v>
      </c>
      <c r="D8" s="134">
        <v>747376.0</v>
      </c>
      <c r="E8" s="134">
        <v>1426660.0</v>
      </c>
      <c r="F8" s="135">
        <v>0.0</v>
      </c>
      <c r="G8" s="135">
        <v>0.0</v>
      </c>
      <c r="H8" s="135">
        <v>0.0</v>
      </c>
      <c r="I8" s="135">
        <v>0.0</v>
      </c>
      <c r="J8" s="135">
        <v>0.0</v>
      </c>
      <c r="K8" s="135">
        <v>0.0</v>
      </c>
      <c r="L8" s="134">
        <v>1460.0</v>
      </c>
      <c r="M8" s="134">
        <v>2504.0</v>
      </c>
      <c r="N8" s="134">
        <v>2264.0</v>
      </c>
      <c r="O8" s="134">
        <v>5538.0</v>
      </c>
      <c r="P8" s="134">
        <v>4542.0</v>
      </c>
      <c r="Q8" s="134">
        <v>11290.0</v>
      </c>
      <c r="R8" s="134">
        <v>7562.0</v>
      </c>
      <c r="S8" s="134">
        <v>18468.0</v>
      </c>
      <c r="T8" s="134">
        <v>12878.0</v>
      </c>
      <c r="U8" s="134">
        <v>31074.0</v>
      </c>
      <c r="V8" s="134">
        <v>23062.0</v>
      </c>
      <c r="W8" s="134">
        <v>53984.0</v>
      </c>
      <c r="X8" s="134">
        <v>38286.0</v>
      </c>
      <c r="Y8" s="134">
        <v>93852.0</v>
      </c>
      <c r="Z8" s="134">
        <v>65014.0</v>
      </c>
      <c r="AA8" s="134">
        <v>152416.0</v>
      </c>
      <c r="AB8" s="134">
        <v>90220.0</v>
      </c>
      <c r="AC8" s="134">
        <v>190922.0</v>
      </c>
      <c r="AD8" s="134">
        <v>103108.0</v>
      </c>
      <c r="AE8" s="134">
        <v>200262.0</v>
      </c>
      <c r="AF8" s="134">
        <v>112404.0</v>
      </c>
      <c r="AG8" s="134">
        <v>197636.0</v>
      </c>
      <c r="AH8" s="134">
        <v>112846.0</v>
      </c>
      <c r="AI8" s="134">
        <v>182184.0</v>
      </c>
      <c r="AJ8" s="134">
        <v>88888.0</v>
      </c>
      <c r="AK8" s="134">
        <v>139280.0</v>
      </c>
      <c r="AL8" s="134">
        <v>84832.0</v>
      </c>
      <c r="AM8" s="134">
        <v>147240.0</v>
      </c>
      <c r="AN8" s="134">
        <v>2150452.0</v>
      </c>
    </row>
    <row r="9">
      <c r="A9" s="104"/>
      <c r="B9" s="136" t="s">
        <v>201</v>
      </c>
      <c r="C9" s="134">
        <v>179088.0</v>
      </c>
      <c r="D9" s="134">
        <v>67332.0</v>
      </c>
      <c r="E9" s="134">
        <v>111756.0</v>
      </c>
      <c r="F9" s="135">
        <v>0.0</v>
      </c>
      <c r="G9" s="135">
        <v>0.0</v>
      </c>
      <c r="H9" s="135">
        <v>0.0</v>
      </c>
      <c r="I9" s="135">
        <v>0.0</v>
      </c>
      <c r="J9" s="135">
        <v>0.0</v>
      </c>
      <c r="K9" s="135">
        <v>0.0</v>
      </c>
      <c r="L9" s="137">
        <v>246.0</v>
      </c>
      <c r="M9" s="137">
        <v>314.0</v>
      </c>
      <c r="N9" s="137">
        <v>326.0</v>
      </c>
      <c r="O9" s="137">
        <v>632.0</v>
      </c>
      <c r="P9" s="137">
        <v>572.0</v>
      </c>
      <c r="Q9" s="134">
        <v>1150.0</v>
      </c>
      <c r="R9" s="137">
        <v>912.0</v>
      </c>
      <c r="S9" s="134">
        <v>1884.0</v>
      </c>
      <c r="T9" s="134">
        <v>1544.0</v>
      </c>
      <c r="U9" s="134">
        <v>2702.0</v>
      </c>
      <c r="V9" s="134">
        <v>2044.0</v>
      </c>
      <c r="W9" s="134">
        <v>4648.0</v>
      </c>
      <c r="X9" s="134">
        <v>3456.0</v>
      </c>
      <c r="Y9" s="134">
        <v>7458.0</v>
      </c>
      <c r="Z9" s="134">
        <v>5956.0</v>
      </c>
      <c r="AA9" s="134">
        <v>12138.0</v>
      </c>
      <c r="AB9" s="134">
        <v>7846.0</v>
      </c>
      <c r="AC9" s="134">
        <v>14410.0</v>
      </c>
      <c r="AD9" s="134">
        <v>8840.0</v>
      </c>
      <c r="AE9" s="134">
        <v>14944.0</v>
      </c>
      <c r="AF9" s="134">
        <v>9426.0</v>
      </c>
      <c r="AG9" s="134">
        <v>15202.0</v>
      </c>
      <c r="AH9" s="134">
        <v>10276.0</v>
      </c>
      <c r="AI9" s="134">
        <v>13518.0</v>
      </c>
      <c r="AJ9" s="134">
        <v>7206.0</v>
      </c>
      <c r="AK9" s="134">
        <v>10096.0</v>
      </c>
      <c r="AL9" s="134">
        <v>8682.0</v>
      </c>
      <c r="AM9" s="134">
        <v>12658.0</v>
      </c>
      <c r="AN9" s="134">
        <v>177438.0</v>
      </c>
    </row>
    <row r="10">
      <c r="A10" s="132" t="s">
        <v>202</v>
      </c>
      <c r="B10" s="136" t="s">
        <v>198</v>
      </c>
      <c r="C10" s="134">
        <v>25396.0</v>
      </c>
      <c r="D10" s="134">
        <v>14158.0</v>
      </c>
      <c r="E10" s="134">
        <v>11238.0</v>
      </c>
      <c r="F10" s="137">
        <v>386.0</v>
      </c>
      <c r="G10" s="137">
        <v>352.0</v>
      </c>
      <c r="H10" s="137">
        <v>384.0</v>
      </c>
      <c r="I10" s="137">
        <v>378.0</v>
      </c>
      <c r="J10" s="137">
        <v>324.0</v>
      </c>
      <c r="K10" s="137">
        <v>256.0</v>
      </c>
      <c r="L10" s="137">
        <v>386.0</v>
      </c>
      <c r="M10" s="137">
        <v>456.0</v>
      </c>
      <c r="N10" s="134">
        <v>1046.0</v>
      </c>
      <c r="O10" s="137">
        <v>818.0</v>
      </c>
      <c r="P10" s="134">
        <v>1320.0</v>
      </c>
      <c r="Q10" s="134">
        <v>1050.0</v>
      </c>
      <c r="R10" s="134">
        <v>1278.0</v>
      </c>
      <c r="S10" s="137">
        <v>944.0</v>
      </c>
      <c r="T10" s="134">
        <v>1230.0</v>
      </c>
      <c r="U10" s="137">
        <v>780.0</v>
      </c>
      <c r="V10" s="137">
        <v>958.0</v>
      </c>
      <c r="W10" s="137">
        <v>704.0</v>
      </c>
      <c r="X10" s="134">
        <v>1054.0</v>
      </c>
      <c r="Y10" s="137">
        <v>740.0</v>
      </c>
      <c r="Z10" s="134">
        <v>1244.0</v>
      </c>
      <c r="AA10" s="137">
        <v>866.0</v>
      </c>
      <c r="AB10" s="134">
        <v>1086.0</v>
      </c>
      <c r="AC10" s="137">
        <v>828.0</v>
      </c>
      <c r="AD10" s="134">
        <v>1056.0</v>
      </c>
      <c r="AE10" s="137">
        <v>790.0</v>
      </c>
      <c r="AF10" s="137">
        <v>758.0</v>
      </c>
      <c r="AG10" s="137">
        <v>602.0</v>
      </c>
      <c r="AH10" s="137">
        <v>554.0</v>
      </c>
      <c r="AI10" s="137">
        <v>588.0</v>
      </c>
      <c r="AJ10" s="137">
        <v>534.0</v>
      </c>
      <c r="AK10" s="137">
        <v>402.0</v>
      </c>
      <c r="AL10" s="137">
        <v>560.0</v>
      </c>
      <c r="AM10" s="137">
        <v>684.0</v>
      </c>
      <c r="AN10" s="134">
        <v>24424.0</v>
      </c>
    </row>
    <row r="11">
      <c r="A11" s="104"/>
      <c r="B11" s="136" t="s">
        <v>199</v>
      </c>
      <c r="C11" s="134">
        <v>20892.0</v>
      </c>
      <c r="D11" s="134">
        <v>11632.0</v>
      </c>
      <c r="E11" s="134">
        <v>9260.0</v>
      </c>
      <c r="F11" s="137">
        <v>400.0</v>
      </c>
      <c r="G11" s="137">
        <v>360.0</v>
      </c>
      <c r="H11" s="137">
        <v>316.0</v>
      </c>
      <c r="I11" s="137">
        <v>336.0</v>
      </c>
      <c r="J11" s="137">
        <v>290.0</v>
      </c>
      <c r="K11" s="137">
        <v>418.0</v>
      </c>
      <c r="L11" s="137">
        <v>242.0</v>
      </c>
      <c r="M11" s="137">
        <v>252.0</v>
      </c>
      <c r="N11" s="137">
        <v>766.0</v>
      </c>
      <c r="O11" s="137">
        <v>714.0</v>
      </c>
      <c r="P11" s="137">
        <v>832.0</v>
      </c>
      <c r="Q11" s="137">
        <v>918.0</v>
      </c>
      <c r="R11" s="134">
        <v>1332.0</v>
      </c>
      <c r="S11" s="134">
        <v>1148.0</v>
      </c>
      <c r="T11" s="134">
        <v>1300.0</v>
      </c>
      <c r="U11" s="137">
        <v>724.0</v>
      </c>
      <c r="V11" s="137">
        <v>730.0</v>
      </c>
      <c r="W11" s="137">
        <v>514.0</v>
      </c>
      <c r="X11" s="137">
        <v>912.0</v>
      </c>
      <c r="Y11" s="137">
        <v>610.0</v>
      </c>
      <c r="Z11" s="134">
        <v>1116.0</v>
      </c>
      <c r="AA11" s="137">
        <v>728.0</v>
      </c>
      <c r="AB11" s="134">
        <v>1046.0</v>
      </c>
      <c r="AC11" s="137">
        <v>550.0</v>
      </c>
      <c r="AD11" s="137">
        <v>864.0</v>
      </c>
      <c r="AE11" s="137">
        <v>304.0</v>
      </c>
      <c r="AF11" s="137">
        <v>566.0</v>
      </c>
      <c r="AG11" s="137">
        <v>426.0</v>
      </c>
      <c r="AH11" s="137">
        <v>320.0</v>
      </c>
      <c r="AI11" s="137">
        <v>562.0</v>
      </c>
      <c r="AJ11" s="137">
        <v>330.0</v>
      </c>
      <c r="AK11" s="137">
        <v>178.0</v>
      </c>
      <c r="AL11" s="137">
        <v>270.0</v>
      </c>
      <c r="AM11" s="137">
        <v>518.0</v>
      </c>
      <c r="AN11" s="134">
        <v>20450.0</v>
      </c>
    </row>
    <row r="12">
      <c r="A12" s="132" t="s">
        <v>203</v>
      </c>
      <c r="B12" s="136" t="s">
        <v>198</v>
      </c>
      <c r="C12" s="134">
        <v>6958.0</v>
      </c>
      <c r="D12" s="134">
        <v>2932.0</v>
      </c>
      <c r="E12" s="134">
        <v>4026.0</v>
      </c>
      <c r="F12" s="135">
        <v>0.0</v>
      </c>
      <c r="G12" s="135">
        <v>0.0</v>
      </c>
      <c r="H12" s="135">
        <v>0.0</v>
      </c>
      <c r="I12" s="135">
        <v>0.0</v>
      </c>
      <c r="J12" s="135">
        <v>0.0</v>
      </c>
      <c r="K12" s="135">
        <v>0.0</v>
      </c>
      <c r="L12" s="135">
        <v>0.0</v>
      </c>
      <c r="M12" s="135">
        <v>0.0</v>
      </c>
      <c r="N12" s="135">
        <v>0.0</v>
      </c>
      <c r="O12" s="135">
        <v>0.0</v>
      </c>
      <c r="P12" s="135">
        <v>0.0</v>
      </c>
      <c r="Q12" s="135">
        <v>0.0</v>
      </c>
      <c r="R12" s="135">
        <v>0.0</v>
      </c>
      <c r="S12" s="135">
        <v>0.0</v>
      </c>
      <c r="T12" s="135">
        <v>0.0</v>
      </c>
      <c r="U12" s="135">
        <v>0.0</v>
      </c>
      <c r="V12" s="135">
        <v>0.0</v>
      </c>
      <c r="W12" s="135">
        <v>0.0</v>
      </c>
      <c r="X12" s="135">
        <v>0.0</v>
      </c>
      <c r="Y12" s="135">
        <v>0.0</v>
      </c>
      <c r="Z12" s="135">
        <v>0.0</v>
      </c>
      <c r="AA12" s="135">
        <v>0.0</v>
      </c>
      <c r="AB12" s="135">
        <v>0.0</v>
      </c>
      <c r="AC12" s="135">
        <v>0.0</v>
      </c>
      <c r="AD12" s="135">
        <v>0.0</v>
      </c>
      <c r="AE12" s="135">
        <v>0.0</v>
      </c>
      <c r="AF12" s="137">
        <v>684.0</v>
      </c>
      <c r="AG12" s="137">
        <v>982.0</v>
      </c>
      <c r="AH12" s="137">
        <v>822.0</v>
      </c>
      <c r="AI12" s="134">
        <v>1046.0</v>
      </c>
      <c r="AJ12" s="137">
        <v>640.0</v>
      </c>
      <c r="AK12" s="137">
        <v>864.0</v>
      </c>
      <c r="AL12" s="137">
        <v>786.0</v>
      </c>
      <c r="AM12" s="134">
        <v>1134.0</v>
      </c>
      <c r="AN12" s="134">
        <v>6934.0</v>
      </c>
    </row>
    <row r="13">
      <c r="A13" s="104"/>
      <c r="B13" s="136" t="s">
        <v>199</v>
      </c>
      <c r="C13" s="134">
        <v>57010.0</v>
      </c>
      <c r="D13" s="134">
        <v>21018.0</v>
      </c>
      <c r="E13" s="134">
        <v>36024.0</v>
      </c>
      <c r="F13" s="135">
        <v>0.0</v>
      </c>
      <c r="G13" s="135">
        <v>0.0</v>
      </c>
      <c r="H13" s="135">
        <v>0.0</v>
      </c>
      <c r="I13" s="135">
        <v>0.0</v>
      </c>
      <c r="J13" s="135">
        <v>0.0</v>
      </c>
      <c r="K13" s="135">
        <v>0.0</v>
      </c>
      <c r="L13" s="135">
        <v>0.0</v>
      </c>
      <c r="M13" s="135">
        <v>0.0</v>
      </c>
      <c r="N13" s="135">
        <v>0.0</v>
      </c>
      <c r="O13" s="135">
        <v>0.0</v>
      </c>
      <c r="P13" s="135">
        <v>0.0</v>
      </c>
      <c r="Q13" s="135">
        <v>0.0</v>
      </c>
      <c r="R13" s="135">
        <v>0.0</v>
      </c>
      <c r="S13" s="135">
        <v>0.0</v>
      </c>
      <c r="T13" s="135">
        <v>0.0</v>
      </c>
      <c r="U13" s="135">
        <v>0.0</v>
      </c>
      <c r="V13" s="135">
        <v>0.0</v>
      </c>
      <c r="W13" s="135">
        <v>0.0</v>
      </c>
      <c r="X13" s="135">
        <v>0.0</v>
      </c>
      <c r="Y13" s="135">
        <v>0.0</v>
      </c>
      <c r="Z13" s="135">
        <v>0.0</v>
      </c>
      <c r="AA13" s="135">
        <v>0.0</v>
      </c>
      <c r="AB13" s="135">
        <v>0.0</v>
      </c>
      <c r="AC13" s="135">
        <v>0.0</v>
      </c>
      <c r="AD13" s="135">
        <v>0.0</v>
      </c>
      <c r="AE13" s="135">
        <v>0.0</v>
      </c>
      <c r="AF13" s="134">
        <v>5496.0</v>
      </c>
      <c r="AG13" s="134">
        <v>10298.0</v>
      </c>
      <c r="AH13" s="134">
        <v>6222.0</v>
      </c>
      <c r="AI13" s="134">
        <v>10438.0</v>
      </c>
      <c r="AJ13" s="134">
        <v>5112.0</v>
      </c>
      <c r="AK13" s="134">
        <v>8188.0</v>
      </c>
      <c r="AL13" s="134">
        <v>4156.0</v>
      </c>
      <c r="AM13" s="134">
        <v>7100.0</v>
      </c>
      <c r="AN13" s="134">
        <v>56536.0</v>
      </c>
    </row>
    <row r="14">
      <c r="A14" s="132" t="s">
        <v>204</v>
      </c>
      <c r="B14" s="136" t="s">
        <v>198</v>
      </c>
      <c r="C14" s="134">
        <v>1808.0</v>
      </c>
      <c r="D14" s="137">
        <v>682.0</v>
      </c>
      <c r="E14" s="134">
        <v>1126.0</v>
      </c>
      <c r="F14" s="135">
        <v>0.0</v>
      </c>
      <c r="G14" s="135">
        <v>0.0</v>
      </c>
      <c r="H14" s="135">
        <v>0.0</v>
      </c>
      <c r="I14" s="135">
        <v>0.0</v>
      </c>
      <c r="J14" s="135">
        <v>0.0</v>
      </c>
      <c r="K14" s="135">
        <v>0.0</v>
      </c>
      <c r="L14" s="135">
        <v>0.0</v>
      </c>
      <c r="M14" s="135">
        <v>0.0</v>
      </c>
      <c r="N14" s="135">
        <v>0.0</v>
      </c>
      <c r="O14" s="135">
        <v>0.0</v>
      </c>
      <c r="P14" s="135">
        <v>0.0</v>
      </c>
      <c r="Q14" s="135">
        <v>0.0</v>
      </c>
      <c r="R14" s="135">
        <v>0.0</v>
      </c>
      <c r="S14" s="135">
        <v>0.0</v>
      </c>
      <c r="T14" s="135">
        <v>0.0</v>
      </c>
      <c r="U14" s="135">
        <v>0.0</v>
      </c>
      <c r="V14" s="135">
        <v>0.0</v>
      </c>
      <c r="W14" s="135">
        <v>0.0</v>
      </c>
      <c r="X14" s="135">
        <v>0.0</v>
      </c>
      <c r="Y14" s="135">
        <v>0.0</v>
      </c>
      <c r="Z14" s="135">
        <v>0.0</v>
      </c>
      <c r="AA14" s="135">
        <v>0.0</v>
      </c>
      <c r="AB14" s="135">
        <v>0.0</v>
      </c>
      <c r="AC14" s="135">
        <v>0.0</v>
      </c>
      <c r="AD14" s="135">
        <v>0.0</v>
      </c>
      <c r="AE14" s="135">
        <v>0.0</v>
      </c>
      <c r="AF14" s="137">
        <v>110.0</v>
      </c>
      <c r="AG14" s="137">
        <v>132.0</v>
      </c>
      <c r="AH14" s="137">
        <v>140.0</v>
      </c>
      <c r="AI14" s="137">
        <v>184.0</v>
      </c>
      <c r="AJ14" s="137">
        <v>110.0</v>
      </c>
      <c r="AK14" s="137">
        <v>240.0</v>
      </c>
      <c r="AL14" s="137">
        <v>322.0</v>
      </c>
      <c r="AM14" s="137">
        <v>570.0</v>
      </c>
      <c r="AN14" s="134">
        <v>1796.0</v>
      </c>
    </row>
    <row r="15">
      <c r="A15" s="104"/>
      <c r="B15" s="136" t="s">
        <v>199</v>
      </c>
      <c r="C15" s="134">
        <v>31190.0</v>
      </c>
      <c r="D15" s="134">
        <v>11056.0</v>
      </c>
      <c r="E15" s="134">
        <v>20134.0</v>
      </c>
      <c r="F15" s="135">
        <v>0.0</v>
      </c>
      <c r="G15" s="135">
        <v>0.0</v>
      </c>
      <c r="H15" s="135">
        <v>0.0</v>
      </c>
      <c r="I15" s="135">
        <v>0.0</v>
      </c>
      <c r="J15" s="135">
        <v>0.0</v>
      </c>
      <c r="K15" s="135">
        <v>0.0</v>
      </c>
      <c r="L15" s="135">
        <v>0.0</v>
      </c>
      <c r="M15" s="135">
        <v>0.0</v>
      </c>
      <c r="N15" s="135">
        <v>0.0</v>
      </c>
      <c r="O15" s="135">
        <v>0.0</v>
      </c>
      <c r="P15" s="135">
        <v>0.0</v>
      </c>
      <c r="Q15" s="135">
        <v>0.0</v>
      </c>
      <c r="R15" s="135">
        <v>0.0</v>
      </c>
      <c r="S15" s="135">
        <v>0.0</v>
      </c>
      <c r="T15" s="135">
        <v>0.0</v>
      </c>
      <c r="U15" s="135">
        <v>0.0</v>
      </c>
      <c r="V15" s="135">
        <v>0.0</v>
      </c>
      <c r="W15" s="135">
        <v>0.0</v>
      </c>
      <c r="X15" s="135">
        <v>0.0</v>
      </c>
      <c r="Y15" s="135">
        <v>0.0</v>
      </c>
      <c r="Z15" s="135">
        <v>0.0</v>
      </c>
      <c r="AA15" s="135">
        <v>0.0</v>
      </c>
      <c r="AB15" s="135">
        <v>0.0</v>
      </c>
      <c r="AC15" s="135">
        <v>0.0</v>
      </c>
      <c r="AD15" s="135">
        <v>0.0</v>
      </c>
      <c r="AE15" s="135">
        <v>0.0</v>
      </c>
      <c r="AF15" s="134">
        <v>1384.0</v>
      </c>
      <c r="AG15" s="134">
        <v>2500.0</v>
      </c>
      <c r="AH15" s="134">
        <v>2238.0</v>
      </c>
      <c r="AI15" s="134">
        <v>3720.0</v>
      </c>
      <c r="AJ15" s="134">
        <v>2560.0</v>
      </c>
      <c r="AK15" s="134">
        <v>4506.0</v>
      </c>
      <c r="AL15" s="134">
        <v>4874.0</v>
      </c>
      <c r="AM15" s="134">
        <v>9408.0</v>
      </c>
      <c r="AN15" s="134">
        <v>31018.0</v>
      </c>
    </row>
    <row r="16">
      <c r="A16" s="132" t="s">
        <v>205</v>
      </c>
      <c r="B16" s="136" t="s">
        <v>198</v>
      </c>
      <c r="C16" s="134">
        <v>5738.0</v>
      </c>
      <c r="D16" s="134">
        <v>1990.0</v>
      </c>
      <c r="E16" s="134">
        <v>3748.0</v>
      </c>
      <c r="F16" s="137">
        <v>58.0</v>
      </c>
      <c r="G16" s="137">
        <v>54.0</v>
      </c>
      <c r="H16" s="137">
        <v>34.0</v>
      </c>
      <c r="I16" s="137">
        <v>38.0</v>
      </c>
      <c r="J16" s="137">
        <v>28.0</v>
      </c>
      <c r="K16" s="137">
        <v>20.0</v>
      </c>
      <c r="L16" s="137">
        <v>96.0</v>
      </c>
      <c r="M16" s="137">
        <v>164.0</v>
      </c>
      <c r="N16" s="137">
        <v>166.0</v>
      </c>
      <c r="O16" s="137">
        <v>304.0</v>
      </c>
      <c r="P16" s="137">
        <v>162.0</v>
      </c>
      <c r="Q16" s="137">
        <v>234.0</v>
      </c>
      <c r="R16" s="137">
        <v>130.0</v>
      </c>
      <c r="S16" s="137">
        <v>246.0</v>
      </c>
      <c r="T16" s="137">
        <v>112.0</v>
      </c>
      <c r="U16" s="137">
        <v>194.0</v>
      </c>
      <c r="V16" s="137">
        <v>74.0</v>
      </c>
      <c r="W16" s="137">
        <v>180.0</v>
      </c>
      <c r="X16" s="137">
        <v>100.0</v>
      </c>
      <c r="Y16" s="137">
        <v>212.0</v>
      </c>
      <c r="Z16" s="137">
        <v>94.0</v>
      </c>
      <c r="AA16" s="137">
        <v>240.0</v>
      </c>
      <c r="AB16" s="137">
        <v>194.0</v>
      </c>
      <c r="AC16" s="137">
        <v>378.0</v>
      </c>
      <c r="AD16" s="137">
        <v>176.0</v>
      </c>
      <c r="AE16" s="137">
        <v>354.0</v>
      </c>
      <c r="AF16" s="137">
        <v>128.0</v>
      </c>
      <c r="AG16" s="137">
        <v>340.0</v>
      </c>
      <c r="AH16" s="137">
        <v>186.0</v>
      </c>
      <c r="AI16" s="137">
        <v>328.0</v>
      </c>
      <c r="AJ16" s="137">
        <v>142.0</v>
      </c>
      <c r="AK16" s="137">
        <v>228.0</v>
      </c>
      <c r="AL16" s="137">
        <v>110.0</v>
      </c>
      <c r="AM16" s="137">
        <v>234.0</v>
      </c>
      <c r="AN16" s="134">
        <v>5682.0</v>
      </c>
    </row>
    <row r="17">
      <c r="A17" s="98"/>
      <c r="B17" s="136" t="s">
        <v>199</v>
      </c>
      <c r="C17" s="134">
        <v>1142.0</v>
      </c>
      <c r="D17" s="137">
        <v>418.0</v>
      </c>
      <c r="E17" s="137">
        <v>724.0</v>
      </c>
      <c r="F17" s="137">
        <v>34.0</v>
      </c>
      <c r="G17" s="137">
        <v>14.0</v>
      </c>
      <c r="H17" s="137">
        <v>4.0</v>
      </c>
      <c r="I17" s="137">
        <v>4.0</v>
      </c>
      <c r="J17" s="137">
        <v>8.0</v>
      </c>
      <c r="K17" s="137">
        <v>14.0</v>
      </c>
      <c r="L17" s="137">
        <v>14.0</v>
      </c>
      <c r="M17" s="137">
        <v>20.0</v>
      </c>
      <c r="N17" s="137">
        <v>2.0</v>
      </c>
      <c r="O17" s="137">
        <v>20.0</v>
      </c>
      <c r="P17" s="137">
        <v>10.0</v>
      </c>
      <c r="Q17" s="137">
        <v>18.0</v>
      </c>
      <c r="R17" s="137">
        <v>20.0</v>
      </c>
      <c r="S17" s="137">
        <v>20.0</v>
      </c>
      <c r="T17" s="137">
        <v>6.0</v>
      </c>
      <c r="U17" s="137">
        <v>30.0</v>
      </c>
      <c r="V17" s="137">
        <v>24.0</v>
      </c>
      <c r="W17" s="137">
        <v>26.0</v>
      </c>
      <c r="X17" s="137">
        <v>20.0</v>
      </c>
      <c r="Y17" s="137">
        <v>52.0</v>
      </c>
      <c r="Z17" s="137">
        <v>28.0</v>
      </c>
      <c r="AA17" s="137">
        <v>86.0</v>
      </c>
      <c r="AB17" s="137">
        <v>44.0</v>
      </c>
      <c r="AC17" s="137">
        <v>74.0</v>
      </c>
      <c r="AD17" s="137">
        <v>28.0</v>
      </c>
      <c r="AE17" s="137">
        <v>78.0</v>
      </c>
      <c r="AF17" s="137">
        <v>54.0</v>
      </c>
      <c r="AG17" s="137">
        <v>70.0</v>
      </c>
      <c r="AH17" s="137">
        <v>58.0</v>
      </c>
      <c r="AI17" s="137">
        <v>72.0</v>
      </c>
      <c r="AJ17" s="137">
        <v>30.0</v>
      </c>
      <c r="AK17" s="137">
        <v>60.0</v>
      </c>
      <c r="AL17" s="137">
        <v>34.0</v>
      </c>
      <c r="AM17" s="137">
        <v>66.0</v>
      </c>
      <c r="AN17" s="134">
        <v>1132.0</v>
      </c>
    </row>
    <row r="18">
      <c r="A18" s="104"/>
      <c r="B18" s="136" t="s">
        <v>206</v>
      </c>
      <c r="C18" s="134">
        <v>12438.0</v>
      </c>
      <c r="D18" s="134">
        <v>3024.0</v>
      </c>
      <c r="E18" s="134">
        <v>9414.0</v>
      </c>
      <c r="F18" s="137">
        <v>24.0</v>
      </c>
      <c r="G18" s="137">
        <v>82.0</v>
      </c>
      <c r="H18" s="137">
        <v>18.0</v>
      </c>
      <c r="I18" s="137">
        <v>30.0</v>
      </c>
      <c r="J18" s="137">
        <v>18.0</v>
      </c>
      <c r="K18" s="137">
        <v>60.0</v>
      </c>
      <c r="L18" s="137">
        <v>410.0</v>
      </c>
      <c r="M18" s="134">
        <v>1016.0</v>
      </c>
      <c r="N18" s="137">
        <v>674.0</v>
      </c>
      <c r="O18" s="134">
        <v>1660.0</v>
      </c>
      <c r="P18" s="137">
        <v>522.0</v>
      </c>
      <c r="Q18" s="134">
        <v>1506.0</v>
      </c>
      <c r="R18" s="137">
        <v>278.0</v>
      </c>
      <c r="S18" s="134">
        <v>1104.0</v>
      </c>
      <c r="T18" s="137">
        <v>172.0</v>
      </c>
      <c r="U18" s="137">
        <v>978.0</v>
      </c>
      <c r="V18" s="137">
        <v>160.0</v>
      </c>
      <c r="W18" s="137">
        <v>676.0</v>
      </c>
      <c r="X18" s="137">
        <v>102.0</v>
      </c>
      <c r="Y18" s="137">
        <v>614.0</v>
      </c>
      <c r="Z18" s="137">
        <v>184.0</v>
      </c>
      <c r="AA18" s="137">
        <v>518.0</v>
      </c>
      <c r="AB18" s="137">
        <v>102.0</v>
      </c>
      <c r="AC18" s="137">
        <v>414.0</v>
      </c>
      <c r="AD18" s="137">
        <v>104.0</v>
      </c>
      <c r="AE18" s="137">
        <v>228.0</v>
      </c>
      <c r="AF18" s="137">
        <v>80.0</v>
      </c>
      <c r="AG18" s="137">
        <v>164.0</v>
      </c>
      <c r="AH18" s="137">
        <v>68.0</v>
      </c>
      <c r="AI18" s="137">
        <v>134.0</v>
      </c>
      <c r="AJ18" s="137">
        <v>50.0</v>
      </c>
      <c r="AK18" s="137">
        <v>130.0</v>
      </c>
      <c r="AL18" s="137">
        <v>58.0</v>
      </c>
      <c r="AM18" s="137">
        <v>100.0</v>
      </c>
      <c r="AN18" s="134">
        <v>12236.0</v>
      </c>
    </row>
    <row r="19">
      <c r="A19" s="132" t="s">
        <v>207</v>
      </c>
      <c r="B19" s="136" t="s">
        <v>198</v>
      </c>
      <c r="C19" s="134">
        <v>1418278.0</v>
      </c>
      <c r="D19" s="134">
        <v>382710.0</v>
      </c>
      <c r="E19" s="134">
        <v>1035568.0</v>
      </c>
      <c r="F19" s="134">
        <v>15416.0</v>
      </c>
      <c r="G19" s="134">
        <v>12468.0</v>
      </c>
      <c r="H19" s="134">
        <v>10600.0</v>
      </c>
      <c r="I19" s="134">
        <v>8826.0</v>
      </c>
      <c r="J19" s="134">
        <v>10206.0</v>
      </c>
      <c r="K19" s="134">
        <v>9400.0</v>
      </c>
      <c r="L19" s="134">
        <v>9128.0</v>
      </c>
      <c r="M19" s="134">
        <v>15408.0</v>
      </c>
      <c r="N19" s="134">
        <v>6876.0</v>
      </c>
      <c r="O19" s="134">
        <v>19188.0</v>
      </c>
      <c r="P19" s="134">
        <v>7712.0</v>
      </c>
      <c r="Q19" s="134">
        <v>27516.0</v>
      </c>
      <c r="R19" s="134">
        <v>8532.0</v>
      </c>
      <c r="S19" s="134">
        <v>32870.0</v>
      </c>
      <c r="T19" s="134">
        <v>9546.0</v>
      </c>
      <c r="U19" s="134">
        <v>39546.0</v>
      </c>
      <c r="V19" s="134">
        <v>11556.0</v>
      </c>
      <c r="W19" s="134">
        <v>49384.0</v>
      </c>
      <c r="X19" s="134">
        <v>16534.0</v>
      </c>
      <c r="Y19" s="134">
        <v>67974.0</v>
      </c>
      <c r="Z19" s="134">
        <v>25994.0</v>
      </c>
      <c r="AA19" s="134">
        <v>95622.0</v>
      </c>
      <c r="AB19" s="134">
        <v>34360.0</v>
      </c>
      <c r="AC19" s="134">
        <v>120644.0</v>
      </c>
      <c r="AD19" s="134">
        <v>40350.0</v>
      </c>
      <c r="AE19" s="134">
        <v>124262.0</v>
      </c>
      <c r="AF19" s="134">
        <v>43736.0</v>
      </c>
      <c r="AG19" s="134">
        <v>120472.0</v>
      </c>
      <c r="AH19" s="134">
        <v>46510.0</v>
      </c>
      <c r="AI19" s="134">
        <v>109316.0</v>
      </c>
      <c r="AJ19" s="134">
        <v>39754.0</v>
      </c>
      <c r="AK19" s="134">
        <v>84386.0</v>
      </c>
      <c r="AL19" s="134">
        <v>45914.0</v>
      </c>
      <c r="AM19" s="134">
        <v>98272.0</v>
      </c>
      <c r="AN19" s="134">
        <v>1402082.0</v>
      </c>
    </row>
    <row r="20">
      <c r="A20" s="98"/>
      <c r="B20" s="136" t="s">
        <v>199</v>
      </c>
      <c r="C20" s="134">
        <v>170578.0</v>
      </c>
      <c r="D20" s="134">
        <v>59512.0</v>
      </c>
      <c r="E20" s="134">
        <v>111066.0</v>
      </c>
      <c r="F20" s="134">
        <v>2488.0</v>
      </c>
      <c r="G20" s="134">
        <v>2138.0</v>
      </c>
      <c r="H20" s="137">
        <v>990.0</v>
      </c>
      <c r="I20" s="137">
        <v>876.0</v>
      </c>
      <c r="J20" s="137">
        <v>560.0</v>
      </c>
      <c r="K20" s="137">
        <v>542.0</v>
      </c>
      <c r="L20" s="137">
        <v>502.0</v>
      </c>
      <c r="M20" s="137">
        <v>850.0</v>
      </c>
      <c r="N20" s="137">
        <v>798.0</v>
      </c>
      <c r="O20" s="134">
        <v>1316.0</v>
      </c>
      <c r="P20" s="137">
        <v>732.0</v>
      </c>
      <c r="Q20" s="134">
        <v>1834.0</v>
      </c>
      <c r="R20" s="134">
        <v>1000.0</v>
      </c>
      <c r="S20" s="134">
        <v>2198.0</v>
      </c>
      <c r="T20" s="134">
        <v>1178.0</v>
      </c>
      <c r="U20" s="134">
        <v>3026.0</v>
      </c>
      <c r="V20" s="134">
        <v>1440.0</v>
      </c>
      <c r="W20" s="134">
        <v>4042.0</v>
      </c>
      <c r="X20" s="134">
        <v>2760.0</v>
      </c>
      <c r="Y20" s="134">
        <v>6810.0</v>
      </c>
      <c r="Z20" s="134">
        <v>4374.0</v>
      </c>
      <c r="AA20" s="134">
        <v>10324.0</v>
      </c>
      <c r="AB20" s="134">
        <v>4984.0</v>
      </c>
      <c r="AC20" s="134">
        <v>11178.0</v>
      </c>
      <c r="AD20" s="134">
        <v>6144.0</v>
      </c>
      <c r="AE20" s="134">
        <v>12538.0</v>
      </c>
      <c r="AF20" s="134">
        <v>7192.0</v>
      </c>
      <c r="AG20" s="134">
        <v>14778.0</v>
      </c>
      <c r="AH20" s="134">
        <v>9082.0</v>
      </c>
      <c r="AI20" s="134">
        <v>14214.0</v>
      </c>
      <c r="AJ20" s="134">
        <v>7058.0</v>
      </c>
      <c r="AK20" s="134">
        <v>10546.0</v>
      </c>
      <c r="AL20" s="134">
        <v>8230.0</v>
      </c>
      <c r="AM20" s="134">
        <v>13856.0</v>
      </c>
      <c r="AN20" s="134">
        <v>168012.0</v>
      </c>
    </row>
    <row r="21">
      <c r="A21" s="98"/>
      <c r="B21" s="136" t="s">
        <v>206</v>
      </c>
      <c r="C21" s="134">
        <v>25018.0</v>
      </c>
      <c r="D21" s="134">
        <v>1962.0</v>
      </c>
      <c r="E21" s="134">
        <v>23056.0</v>
      </c>
      <c r="F21" s="137">
        <v>900.0</v>
      </c>
      <c r="G21" s="137">
        <v>900.0</v>
      </c>
      <c r="H21" s="137">
        <v>64.0</v>
      </c>
      <c r="I21" s="137">
        <v>100.0</v>
      </c>
      <c r="J21" s="137">
        <v>114.0</v>
      </c>
      <c r="K21" s="137">
        <v>376.0</v>
      </c>
      <c r="L21" s="137">
        <v>164.0</v>
      </c>
      <c r="M21" s="134">
        <v>1086.0</v>
      </c>
      <c r="N21" s="137">
        <v>52.0</v>
      </c>
      <c r="O21" s="134">
        <v>1406.0</v>
      </c>
      <c r="P21" s="137">
        <v>44.0</v>
      </c>
      <c r="Q21" s="134">
        <v>2010.0</v>
      </c>
      <c r="R21" s="137">
        <v>68.0</v>
      </c>
      <c r="S21" s="134">
        <v>1546.0</v>
      </c>
      <c r="T21" s="137">
        <v>96.0</v>
      </c>
      <c r="U21" s="134">
        <v>1328.0</v>
      </c>
      <c r="V21" s="137">
        <v>34.0</v>
      </c>
      <c r="W21" s="134">
        <v>1644.0</v>
      </c>
      <c r="X21" s="137">
        <v>40.0</v>
      </c>
      <c r="Y21" s="134">
        <v>1886.0</v>
      </c>
      <c r="Z21" s="137">
        <v>56.0</v>
      </c>
      <c r="AA21" s="134">
        <v>2036.0</v>
      </c>
      <c r="AB21" s="137">
        <v>52.0</v>
      </c>
      <c r="AC21" s="134">
        <v>2298.0</v>
      </c>
      <c r="AD21" s="137">
        <v>58.0</v>
      </c>
      <c r="AE21" s="134">
        <v>2282.0</v>
      </c>
      <c r="AF21" s="137">
        <v>86.0</v>
      </c>
      <c r="AG21" s="134">
        <v>1698.0</v>
      </c>
      <c r="AH21" s="137">
        <v>60.0</v>
      </c>
      <c r="AI21" s="134">
        <v>1308.0</v>
      </c>
      <c r="AJ21" s="137">
        <v>36.0</v>
      </c>
      <c r="AK21" s="137">
        <v>742.0</v>
      </c>
      <c r="AL21" s="137">
        <v>38.0</v>
      </c>
      <c r="AM21" s="137">
        <v>410.0</v>
      </c>
      <c r="AN21" s="134">
        <v>24844.0</v>
      </c>
    </row>
    <row r="22">
      <c r="A22" s="98"/>
      <c r="B22" s="136" t="s">
        <v>200</v>
      </c>
      <c r="C22" s="134">
        <v>229174.0</v>
      </c>
      <c r="D22" s="134">
        <v>75734.0</v>
      </c>
      <c r="E22" s="134">
        <v>153440.0</v>
      </c>
      <c r="F22" s="134">
        <v>30506.0</v>
      </c>
      <c r="G22" s="134">
        <v>29254.0</v>
      </c>
      <c r="H22" s="134">
        <v>8550.0</v>
      </c>
      <c r="I22" s="134">
        <v>9428.0</v>
      </c>
      <c r="J22" s="134">
        <v>4066.0</v>
      </c>
      <c r="K22" s="134">
        <v>4602.0</v>
      </c>
      <c r="L22" s="134">
        <v>1842.0</v>
      </c>
      <c r="M22" s="134">
        <v>6428.0</v>
      </c>
      <c r="N22" s="134">
        <v>1020.0</v>
      </c>
      <c r="O22" s="134">
        <v>7414.0</v>
      </c>
      <c r="P22" s="134">
        <v>1164.0</v>
      </c>
      <c r="Q22" s="134">
        <v>9352.0</v>
      </c>
      <c r="R22" s="134">
        <v>1248.0</v>
      </c>
      <c r="S22" s="134">
        <v>8600.0</v>
      </c>
      <c r="T22" s="134">
        <v>1248.0</v>
      </c>
      <c r="U22" s="134">
        <v>7530.0</v>
      </c>
      <c r="V22" s="134">
        <v>1496.0</v>
      </c>
      <c r="W22" s="134">
        <v>7366.0</v>
      </c>
      <c r="X22" s="134">
        <v>1908.0</v>
      </c>
      <c r="Y22" s="134">
        <v>7918.0</v>
      </c>
      <c r="Z22" s="134">
        <v>2490.0</v>
      </c>
      <c r="AA22" s="134">
        <v>9702.0</v>
      </c>
      <c r="AB22" s="134">
        <v>3018.0</v>
      </c>
      <c r="AC22" s="134">
        <v>10244.0</v>
      </c>
      <c r="AD22" s="134">
        <v>3334.0</v>
      </c>
      <c r="AE22" s="134">
        <v>9032.0</v>
      </c>
      <c r="AF22" s="134">
        <v>3954.0</v>
      </c>
      <c r="AG22" s="134">
        <v>8844.0</v>
      </c>
      <c r="AH22" s="134">
        <v>3938.0</v>
      </c>
      <c r="AI22" s="134">
        <v>7086.0</v>
      </c>
      <c r="AJ22" s="134">
        <v>2786.0</v>
      </c>
      <c r="AK22" s="134">
        <v>5108.0</v>
      </c>
      <c r="AL22" s="134">
        <v>3166.0</v>
      </c>
      <c r="AM22" s="134">
        <v>5532.0</v>
      </c>
      <c r="AN22" s="134">
        <v>224632.0</v>
      </c>
    </row>
    <row r="23">
      <c r="A23" s="104"/>
      <c r="B23" s="136" t="s">
        <v>201</v>
      </c>
      <c r="C23" s="134">
        <v>130332.0</v>
      </c>
      <c r="D23" s="134">
        <v>52804.0</v>
      </c>
      <c r="E23" s="134">
        <v>77528.0</v>
      </c>
      <c r="F23" s="134">
        <v>2342.0</v>
      </c>
      <c r="G23" s="134">
        <v>2512.0</v>
      </c>
      <c r="H23" s="134">
        <v>1956.0</v>
      </c>
      <c r="I23" s="134">
        <v>1950.0</v>
      </c>
      <c r="J23" s="134">
        <v>2036.0</v>
      </c>
      <c r="K23" s="134">
        <v>2264.0</v>
      </c>
      <c r="L23" s="134">
        <v>1506.0</v>
      </c>
      <c r="M23" s="134">
        <v>3562.0</v>
      </c>
      <c r="N23" s="134">
        <v>1698.0</v>
      </c>
      <c r="O23" s="134">
        <v>3822.0</v>
      </c>
      <c r="P23" s="134">
        <v>1982.0</v>
      </c>
      <c r="Q23" s="134">
        <v>4644.0</v>
      </c>
      <c r="R23" s="134">
        <v>1832.0</v>
      </c>
      <c r="S23" s="134">
        <v>4594.0</v>
      </c>
      <c r="T23" s="134">
        <v>1836.0</v>
      </c>
      <c r="U23" s="134">
        <v>4792.0</v>
      </c>
      <c r="V23" s="134">
        <v>2330.0</v>
      </c>
      <c r="W23" s="134">
        <v>4810.0</v>
      </c>
      <c r="X23" s="134">
        <v>3122.0</v>
      </c>
      <c r="Y23" s="134">
        <v>5356.0</v>
      </c>
      <c r="Z23" s="134">
        <v>4106.0</v>
      </c>
      <c r="AA23" s="134">
        <v>6406.0</v>
      </c>
      <c r="AB23" s="134">
        <v>4350.0</v>
      </c>
      <c r="AC23" s="134">
        <v>6152.0</v>
      </c>
      <c r="AD23" s="134">
        <v>4588.0</v>
      </c>
      <c r="AE23" s="134">
        <v>5704.0</v>
      </c>
      <c r="AF23" s="134">
        <v>4164.0</v>
      </c>
      <c r="AG23" s="134">
        <v>5624.0</v>
      </c>
      <c r="AH23" s="134">
        <v>5750.0</v>
      </c>
      <c r="AI23" s="134">
        <v>4510.0</v>
      </c>
      <c r="AJ23" s="134">
        <v>4024.0</v>
      </c>
      <c r="AK23" s="134">
        <v>4818.0</v>
      </c>
      <c r="AL23" s="134">
        <v>5156.0</v>
      </c>
      <c r="AM23" s="134">
        <v>6034.0</v>
      </c>
      <c r="AN23" s="134">
        <v>128150.0</v>
      </c>
    </row>
    <row r="24">
      <c r="A24" s="132" t="s">
        <v>208</v>
      </c>
      <c r="B24" s="136" t="s">
        <v>198</v>
      </c>
      <c r="C24" s="134">
        <v>5360.0</v>
      </c>
      <c r="D24" s="134">
        <v>3178.0</v>
      </c>
      <c r="E24" s="134">
        <v>2182.0</v>
      </c>
      <c r="F24" s="134">
        <v>1974.0</v>
      </c>
      <c r="G24" s="134">
        <v>1370.0</v>
      </c>
      <c r="H24" s="137">
        <v>706.0</v>
      </c>
      <c r="I24" s="137">
        <v>386.0</v>
      </c>
      <c r="J24" s="137">
        <v>406.0</v>
      </c>
      <c r="K24" s="137">
        <v>304.0</v>
      </c>
      <c r="L24" s="137">
        <v>74.0</v>
      </c>
      <c r="M24" s="137">
        <v>100.0</v>
      </c>
      <c r="N24" s="137">
        <v>18.0</v>
      </c>
      <c r="O24" s="137">
        <v>22.0</v>
      </c>
      <c r="P24" s="135">
        <v>0.0</v>
      </c>
      <c r="Q24" s="135">
        <v>0.0</v>
      </c>
      <c r="R24" s="135">
        <v>0.0</v>
      </c>
      <c r="S24" s="135">
        <v>0.0</v>
      </c>
      <c r="T24" s="135">
        <v>0.0</v>
      </c>
      <c r="U24" s="135">
        <v>8.0</v>
      </c>
      <c r="V24" s="135">
        <v>0.0</v>
      </c>
      <c r="W24" s="135">
        <v>0.0</v>
      </c>
      <c r="X24" s="135">
        <v>0.0</v>
      </c>
      <c r="Y24" s="135">
        <v>0.0</v>
      </c>
      <c r="Z24" s="135">
        <v>0.0</v>
      </c>
      <c r="AA24" s="135">
        <v>0.0</v>
      </c>
      <c r="AB24" s="135">
        <v>0.0</v>
      </c>
      <c r="AC24" s="135">
        <v>0.0</v>
      </c>
      <c r="AD24" s="135">
        <v>0.0</v>
      </c>
      <c r="AE24" s="135">
        <v>0.0</v>
      </c>
      <c r="AF24" s="135">
        <v>0.0</v>
      </c>
      <c r="AG24" s="135">
        <v>0.0</v>
      </c>
      <c r="AH24" s="135">
        <v>0.0</v>
      </c>
      <c r="AI24" s="135">
        <v>0.0</v>
      </c>
      <c r="AJ24" s="135">
        <v>0.0</v>
      </c>
      <c r="AK24" s="135">
        <v>0.0</v>
      </c>
      <c r="AL24" s="135">
        <v>0.0</v>
      </c>
      <c r="AM24" s="135">
        <v>0.0</v>
      </c>
      <c r="AN24" s="134">
        <v>4994.0</v>
      </c>
    </row>
    <row r="25">
      <c r="A25" s="98"/>
      <c r="B25" s="136" t="s">
        <v>199</v>
      </c>
      <c r="C25" s="134">
        <v>9058.0</v>
      </c>
      <c r="D25" s="134">
        <v>5168.0</v>
      </c>
      <c r="E25" s="134">
        <v>3890.0</v>
      </c>
      <c r="F25" s="134">
        <v>4170.0</v>
      </c>
      <c r="G25" s="134">
        <v>3254.0</v>
      </c>
      <c r="H25" s="137">
        <v>820.0</v>
      </c>
      <c r="I25" s="137">
        <v>486.0</v>
      </c>
      <c r="J25" s="137">
        <v>130.0</v>
      </c>
      <c r="K25" s="137">
        <v>90.0</v>
      </c>
      <c r="L25" s="137">
        <v>28.0</v>
      </c>
      <c r="M25" s="137">
        <v>44.0</v>
      </c>
      <c r="N25" s="137">
        <v>20.0</v>
      </c>
      <c r="O25" s="137">
        <v>16.0</v>
      </c>
      <c r="P25" s="135">
        <v>0.0</v>
      </c>
      <c r="Q25" s="135">
        <v>0.0</v>
      </c>
      <c r="R25" s="135">
        <v>0.0</v>
      </c>
      <c r="S25" s="135">
        <v>0.0</v>
      </c>
      <c r="T25" s="135">
        <v>0.0</v>
      </c>
      <c r="U25" s="135">
        <v>8.0</v>
      </c>
      <c r="V25" s="135">
        <v>0.0</v>
      </c>
      <c r="W25" s="135">
        <v>0.0</v>
      </c>
      <c r="X25" s="135">
        <v>0.0</v>
      </c>
      <c r="Y25" s="135">
        <v>0.0</v>
      </c>
      <c r="Z25" s="135">
        <v>0.0</v>
      </c>
      <c r="AA25" s="135">
        <v>0.0</v>
      </c>
      <c r="AB25" s="135">
        <v>0.0</v>
      </c>
      <c r="AC25" s="135">
        <v>0.0</v>
      </c>
      <c r="AD25" s="135">
        <v>0.0</v>
      </c>
      <c r="AE25" s="135">
        <v>0.0</v>
      </c>
      <c r="AF25" s="135">
        <v>0.0</v>
      </c>
      <c r="AG25" s="135">
        <v>0.0</v>
      </c>
      <c r="AH25" s="135">
        <v>0.0</v>
      </c>
      <c r="AI25" s="135">
        <v>0.0</v>
      </c>
      <c r="AJ25" s="135">
        <v>0.0</v>
      </c>
      <c r="AK25" s="135">
        <v>0.0</v>
      </c>
      <c r="AL25" s="135">
        <v>0.0</v>
      </c>
      <c r="AM25" s="135">
        <v>0.0</v>
      </c>
      <c r="AN25" s="134">
        <v>8696.0</v>
      </c>
    </row>
    <row r="26">
      <c r="A26" s="98"/>
      <c r="B26" s="136" t="s">
        <v>206</v>
      </c>
      <c r="C26" s="137">
        <v>526.0</v>
      </c>
      <c r="D26" s="137">
        <v>164.0</v>
      </c>
      <c r="E26" s="137">
        <v>362.0</v>
      </c>
      <c r="F26" s="137">
        <v>62.0</v>
      </c>
      <c r="G26" s="137">
        <v>86.0</v>
      </c>
      <c r="H26" s="137">
        <v>10.0</v>
      </c>
      <c r="I26" s="137">
        <v>2.0</v>
      </c>
      <c r="J26" s="137">
        <v>48.0</v>
      </c>
      <c r="K26" s="137">
        <v>86.0</v>
      </c>
      <c r="L26" s="137">
        <v>34.0</v>
      </c>
      <c r="M26" s="137">
        <v>114.0</v>
      </c>
      <c r="N26" s="137">
        <v>10.0</v>
      </c>
      <c r="O26" s="137">
        <v>74.0</v>
      </c>
      <c r="P26" s="135">
        <v>0.0</v>
      </c>
      <c r="Q26" s="135">
        <v>0.0</v>
      </c>
      <c r="R26" s="135">
        <v>0.0</v>
      </c>
      <c r="S26" s="135">
        <v>0.0</v>
      </c>
      <c r="T26" s="135">
        <v>0.0</v>
      </c>
      <c r="U26" s="135">
        <v>8.0</v>
      </c>
      <c r="V26" s="135">
        <v>0.0</v>
      </c>
      <c r="W26" s="135">
        <v>0.0</v>
      </c>
      <c r="X26" s="135">
        <v>0.0</v>
      </c>
      <c r="Y26" s="135">
        <v>0.0</v>
      </c>
      <c r="Z26" s="135">
        <v>0.0</v>
      </c>
      <c r="AA26" s="135">
        <v>0.0</v>
      </c>
      <c r="AB26" s="135">
        <v>0.0</v>
      </c>
      <c r="AC26" s="135">
        <v>0.0</v>
      </c>
      <c r="AD26" s="135">
        <v>0.0</v>
      </c>
      <c r="AE26" s="135">
        <v>0.0</v>
      </c>
      <c r="AF26" s="135">
        <v>0.0</v>
      </c>
      <c r="AG26" s="135">
        <v>0.0</v>
      </c>
      <c r="AH26" s="135">
        <v>0.0</v>
      </c>
      <c r="AI26" s="135">
        <v>0.0</v>
      </c>
      <c r="AJ26" s="135">
        <v>0.0</v>
      </c>
      <c r="AK26" s="135">
        <v>0.0</v>
      </c>
      <c r="AL26" s="135">
        <v>0.0</v>
      </c>
      <c r="AM26" s="135">
        <v>0.0</v>
      </c>
      <c r="AN26" s="137">
        <v>512.0</v>
      </c>
    </row>
    <row r="27">
      <c r="A27" s="98"/>
      <c r="B27" s="136" t="s">
        <v>200</v>
      </c>
      <c r="C27" s="134">
        <v>5272.0</v>
      </c>
      <c r="D27" s="134">
        <v>2832.0</v>
      </c>
      <c r="E27" s="134">
        <v>2440.0</v>
      </c>
      <c r="F27" s="134">
        <v>2186.0</v>
      </c>
      <c r="G27" s="134">
        <v>1870.0</v>
      </c>
      <c r="H27" s="137">
        <v>424.0</v>
      </c>
      <c r="I27" s="137">
        <v>312.0</v>
      </c>
      <c r="J27" s="137">
        <v>150.0</v>
      </c>
      <c r="K27" s="137">
        <v>128.0</v>
      </c>
      <c r="L27" s="137">
        <v>46.0</v>
      </c>
      <c r="M27" s="137">
        <v>88.0</v>
      </c>
      <c r="N27" s="137">
        <v>26.0</v>
      </c>
      <c r="O27" s="137">
        <v>42.0</v>
      </c>
      <c r="P27" s="135">
        <v>0.0</v>
      </c>
      <c r="Q27" s="135">
        <v>0.0</v>
      </c>
      <c r="R27" s="135">
        <v>0.0</v>
      </c>
      <c r="S27" s="135">
        <v>0.0</v>
      </c>
      <c r="T27" s="135">
        <v>0.0</v>
      </c>
      <c r="U27" s="135">
        <v>8.0</v>
      </c>
      <c r="V27" s="135">
        <v>0.0</v>
      </c>
      <c r="W27" s="135">
        <v>0.0</v>
      </c>
      <c r="X27" s="135">
        <v>0.0</v>
      </c>
      <c r="Y27" s="135">
        <v>0.0</v>
      </c>
      <c r="Z27" s="135">
        <v>0.0</v>
      </c>
      <c r="AA27" s="135">
        <v>0.0</v>
      </c>
      <c r="AB27" s="135">
        <v>0.0</v>
      </c>
      <c r="AC27" s="135">
        <v>0.0</v>
      </c>
      <c r="AD27" s="135">
        <v>0.0</v>
      </c>
      <c r="AE27" s="135">
        <v>0.0</v>
      </c>
      <c r="AF27" s="135">
        <v>0.0</v>
      </c>
      <c r="AG27" s="135">
        <v>0.0</v>
      </c>
      <c r="AH27" s="135">
        <v>0.0</v>
      </c>
      <c r="AI27" s="135">
        <v>0.0</v>
      </c>
      <c r="AJ27" s="135">
        <v>0.0</v>
      </c>
      <c r="AK27" s="135">
        <v>0.0</v>
      </c>
      <c r="AL27" s="135">
        <v>0.0</v>
      </c>
      <c r="AM27" s="135">
        <v>0.0</v>
      </c>
      <c r="AN27" s="134">
        <v>5142.0</v>
      </c>
    </row>
    <row r="28">
      <c r="A28" s="104"/>
      <c r="B28" s="136" t="s">
        <v>201</v>
      </c>
      <c r="C28" s="137">
        <v>230.0</v>
      </c>
      <c r="D28" s="137">
        <v>112.0</v>
      </c>
      <c r="E28" s="137">
        <v>118.0</v>
      </c>
      <c r="F28" s="137">
        <v>50.0</v>
      </c>
      <c r="G28" s="137">
        <v>26.0</v>
      </c>
      <c r="H28" s="137">
        <v>24.0</v>
      </c>
      <c r="I28" s="137">
        <v>32.0</v>
      </c>
      <c r="J28" s="137">
        <v>10.0</v>
      </c>
      <c r="K28" s="137">
        <v>32.0</v>
      </c>
      <c r="L28" s="137">
        <v>22.0</v>
      </c>
      <c r="M28" s="137">
        <v>28.0</v>
      </c>
      <c r="N28" s="137">
        <v>6.0</v>
      </c>
      <c r="O28" s="137">
        <v>0.0</v>
      </c>
      <c r="P28" s="135">
        <v>0.0</v>
      </c>
      <c r="Q28" s="135">
        <v>0.0</v>
      </c>
      <c r="R28" s="135">
        <v>0.0</v>
      </c>
      <c r="S28" s="135">
        <v>0.0</v>
      </c>
      <c r="T28" s="135">
        <v>0.0</v>
      </c>
      <c r="U28" s="135">
        <v>8.0</v>
      </c>
      <c r="V28" s="135">
        <v>0.0</v>
      </c>
      <c r="W28" s="135">
        <v>0.0</v>
      </c>
      <c r="X28" s="135">
        <v>0.0</v>
      </c>
      <c r="Y28" s="135">
        <v>0.0</v>
      </c>
      <c r="Z28" s="135">
        <v>0.0</v>
      </c>
      <c r="AA28" s="135">
        <v>0.0</v>
      </c>
      <c r="AB28" s="135">
        <v>0.0</v>
      </c>
      <c r="AC28" s="135">
        <v>0.0</v>
      </c>
      <c r="AD28" s="135">
        <v>0.0</v>
      </c>
      <c r="AE28" s="135">
        <v>0.0</v>
      </c>
      <c r="AF28" s="135">
        <v>0.0</v>
      </c>
      <c r="AG28" s="135">
        <v>0.0</v>
      </c>
      <c r="AH28" s="135">
        <v>0.0</v>
      </c>
      <c r="AI28" s="135">
        <v>0.0</v>
      </c>
      <c r="AJ28" s="135">
        <v>0.0</v>
      </c>
      <c r="AK28" s="135">
        <v>0.0</v>
      </c>
      <c r="AL28" s="135">
        <v>0.0</v>
      </c>
      <c r="AM28" s="135">
        <v>0.0</v>
      </c>
      <c r="AN28" s="137">
        <v>230.0</v>
      </c>
    </row>
    <row r="29">
      <c r="A29" s="138" t="s">
        <v>240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</row>
    <row r="30">
      <c r="A30" s="132" t="s">
        <v>197</v>
      </c>
      <c r="B30" s="133" t="s">
        <v>198</v>
      </c>
      <c r="C30" s="134">
        <v>35780.0</v>
      </c>
      <c r="D30" s="134">
        <v>13232.0</v>
      </c>
      <c r="E30" s="134">
        <v>22548.0</v>
      </c>
      <c r="F30" s="135">
        <v>0.0</v>
      </c>
      <c r="G30" s="135">
        <v>0.0</v>
      </c>
      <c r="H30" s="135">
        <v>0.0</v>
      </c>
      <c r="I30" s="135">
        <v>0.0</v>
      </c>
      <c r="J30" s="135">
        <v>0.0</v>
      </c>
      <c r="K30" s="135">
        <v>0.0</v>
      </c>
      <c r="L30" s="137">
        <v>8.0</v>
      </c>
      <c r="M30" s="137">
        <v>30.0</v>
      </c>
      <c r="N30" s="137">
        <v>28.0</v>
      </c>
      <c r="O30" s="137">
        <v>36.0</v>
      </c>
      <c r="P30" s="137">
        <v>46.0</v>
      </c>
      <c r="Q30" s="137">
        <v>90.0</v>
      </c>
      <c r="R30" s="137">
        <v>112.0</v>
      </c>
      <c r="S30" s="137">
        <v>172.0</v>
      </c>
      <c r="T30" s="137">
        <v>164.0</v>
      </c>
      <c r="U30" s="137">
        <v>366.0</v>
      </c>
      <c r="V30" s="137">
        <v>272.0</v>
      </c>
      <c r="W30" s="137">
        <v>636.0</v>
      </c>
      <c r="X30" s="137">
        <v>558.0</v>
      </c>
      <c r="Y30" s="134">
        <v>1034.0</v>
      </c>
      <c r="Z30" s="137">
        <v>898.0</v>
      </c>
      <c r="AA30" s="134">
        <v>1866.0</v>
      </c>
      <c r="AB30" s="134">
        <v>1356.0</v>
      </c>
      <c r="AC30" s="134">
        <v>2678.0</v>
      </c>
      <c r="AD30" s="134">
        <v>1814.0</v>
      </c>
      <c r="AE30" s="134">
        <v>3096.0</v>
      </c>
      <c r="AF30" s="134">
        <v>2028.0</v>
      </c>
      <c r="AG30" s="134">
        <v>3420.0</v>
      </c>
      <c r="AH30" s="134">
        <v>2298.0</v>
      </c>
      <c r="AI30" s="134">
        <v>3518.0</v>
      </c>
      <c r="AJ30" s="134">
        <v>1864.0</v>
      </c>
      <c r="AK30" s="134">
        <v>2632.0</v>
      </c>
      <c r="AL30" s="134">
        <v>1786.0</v>
      </c>
      <c r="AM30" s="134">
        <v>2974.0</v>
      </c>
      <c r="AN30" s="134">
        <v>35742.0</v>
      </c>
    </row>
    <row r="31">
      <c r="A31" s="98"/>
      <c r="B31" s="136" t="s">
        <v>199</v>
      </c>
      <c r="C31" s="134">
        <v>32000.0</v>
      </c>
      <c r="D31" s="134">
        <v>12810.0</v>
      </c>
      <c r="E31" s="134">
        <v>19190.0</v>
      </c>
      <c r="F31" s="135">
        <v>0.0</v>
      </c>
      <c r="G31" s="135">
        <v>0.0</v>
      </c>
      <c r="H31" s="135">
        <v>0.0</v>
      </c>
      <c r="I31" s="135">
        <v>0.0</v>
      </c>
      <c r="J31" s="135">
        <v>0.0</v>
      </c>
      <c r="K31" s="135">
        <v>0.0</v>
      </c>
      <c r="L31" s="137">
        <v>10.0</v>
      </c>
      <c r="M31" s="137">
        <v>10.0</v>
      </c>
      <c r="N31" s="137">
        <v>34.0</v>
      </c>
      <c r="O31" s="137">
        <v>40.0</v>
      </c>
      <c r="P31" s="137">
        <v>76.0</v>
      </c>
      <c r="Q31" s="137">
        <v>44.0</v>
      </c>
      <c r="R31" s="137">
        <v>106.0</v>
      </c>
      <c r="S31" s="137">
        <v>178.0</v>
      </c>
      <c r="T31" s="137">
        <v>216.0</v>
      </c>
      <c r="U31" s="137">
        <v>372.0</v>
      </c>
      <c r="V31" s="137">
        <v>308.0</v>
      </c>
      <c r="W31" s="137">
        <v>498.0</v>
      </c>
      <c r="X31" s="137">
        <v>590.0</v>
      </c>
      <c r="Y31" s="134">
        <v>1040.0</v>
      </c>
      <c r="Z31" s="137">
        <v>888.0</v>
      </c>
      <c r="AA31" s="134">
        <v>1522.0</v>
      </c>
      <c r="AB31" s="134">
        <v>1400.0</v>
      </c>
      <c r="AC31" s="134">
        <v>2218.0</v>
      </c>
      <c r="AD31" s="134">
        <v>1754.0</v>
      </c>
      <c r="AE31" s="134">
        <v>2516.0</v>
      </c>
      <c r="AF31" s="134">
        <v>1828.0</v>
      </c>
      <c r="AG31" s="134">
        <v>2866.0</v>
      </c>
      <c r="AH31" s="134">
        <v>2182.0</v>
      </c>
      <c r="AI31" s="134">
        <v>2796.0</v>
      </c>
      <c r="AJ31" s="134">
        <v>1748.0</v>
      </c>
      <c r="AK31" s="134">
        <v>2200.0</v>
      </c>
      <c r="AL31" s="134">
        <v>1670.0</v>
      </c>
      <c r="AM31" s="134">
        <v>2890.0</v>
      </c>
      <c r="AN31" s="134">
        <v>31980.0</v>
      </c>
    </row>
    <row r="32">
      <c r="A32" s="98"/>
      <c r="B32" s="136" t="s">
        <v>200</v>
      </c>
      <c r="C32" s="134">
        <v>18706.0</v>
      </c>
      <c r="D32" s="134">
        <v>6822.0</v>
      </c>
      <c r="E32" s="134">
        <v>11884.0</v>
      </c>
      <c r="F32" s="135">
        <v>0.0</v>
      </c>
      <c r="G32" s="135">
        <v>0.0</v>
      </c>
      <c r="H32" s="135">
        <v>0.0</v>
      </c>
      <c r="I32" s="135">
        <v>0.0</v>
      </c>
      <c r="J32" s="135">
        <v>0.0</v>
      </c>
      <c r="K32" s="135">
        <v>0.0</v>
      </c>
      <c r="L32" s="137">
        <v>8.0</v>
      </c>
      <c r="M32" s="137">
        <v>2.0</v>
      </c>
      <c r="N32" s="137">
        <v>24.0</v>
      </c>
      <c r="O32" s="137">
        <v>22.0</v>
      </c>
      <c r="P32" s="137">
        <v>48.0</v>
      </c>
      <c r="Q32" s="137">
        <v>42.0</v>
      </c>
      <c r="R32" s="137">
        <v>44.0</v>
      </c>
      <c r="S32" s="137">
        <v>78.0</v>
      </c>
      <c r="T32" s="137">
        <v>88.0</v>
      </c>
      <c r="U32" s="137">
        <v>174.0</v>
      </c>
      <c r="V32" s="137">
        <v>136.0</v>
      </c>
      <c r="W32" s="137">
        <v>330.0</v>
      </c>
      <c r="X32" s="137">
        <v>248.0</v>
      </c>
      <c r="Y32" s="137">
        <v>576.0</v>
      </c>
      <c r="Z32" s="137">
        <v>520.0</v>
      </c>
      <c r="AA32" s="137">
        <v>946.0</v>
      </c>
      <c r="AB32" s="137">
        <v>648.0</v>
      </c>
      <c r="AC32" s="134">
        <v>1412.0</v>
      </c>
      <c r="AD32" s="137">
        <v>854.0</v>
      </c>
      <c r="AE32" s="134">
        <v>1590.0</v>
      </c>
      <c r="AF32" s="134">
        <v>1024.0</v>
      </c>
      <c r="AG32" s="134">
        <v>1740.0</v>
      </c>
      <c r="AH32" s="134">
        <v>1258.0</v>
      </c>
      <c r="AI32" s="134">
        <v>1844.0</v>
      </c>
      <c r="AJ32" s="137">
        <v>998.0</v>
      </c>
      <c r="AK32" s="134">
        <v>1484.0</v>
      </c>
      <c r="AL32" s="137">
        <v>924.0</v>
      </c>
      <c r="AM32" s="134">
        <v>1644.0</v>
      </c>
      <c r="AN32" s="134">
        <v>18702.0</v>
      </c>
    </row>
    <row r="33">
      <c r="A33" s="104"/>
      <c r="B33" s="136" t="s">
        <v>201</v>
      </c>
      <c r="C33" s="137">
        <v>634.0</v>
      </c>
      <c r="D33" s="137">
        <v>266.0</v>
      </c>
      <c r="E33" s="137">
        <v>368.0</v>
      </c>
      <c r="F33" s="135">
        <v>0.0</v>
      </c>
      <c r="G33" s="135">
        <v>0.0</v>
      </c>
      <c r="H33" s="135">
        <v>0.0</v>
      </c>
      <c r="I33" s="135">
        <v>0.0</v>
      </c>
      <c r="J33" s="135">
        <v>0.0</v>
      </c>
      <c r="K33" s="135">
        <v>0.0</v>
      </c>
      <c r="L33" s="137">
        <v>0.0</v>
      </c>
      <c r="M33" s="137">
        <v>0.0</v>
      </c>
      <c r="N33" s="137">
        <v>2.0</v>
      </c>
      <c r="O33" s="137">
        <v>0.0</v>
      </c>
      <c r="P33" s="137">
        <v>0.0</v>
      </c>
      <c r="Q33" s="137">
        <v>2.0</v>
      </c>
      <c r="R33" s="137">
        <v>12.0</v>
      </c>
      <c r="S33" s="137">
        <v>4.0</v>
      </c>
      <c r="T33" s="137">
        <v>2.0</v>
      </c>
      <c r="U33" s="137">
        <v>6.0</v>
      </c>
      <c r="V33" s="137">
        <v>8.0</v>
      </c>
      <c r="W33" s="137">
        <v>22.0</v>
      </c>
      <c r="X33" s="137">
        <v>24.0</v>
      </c>
      <c r="Y33" s="137">
        <v>26.0</v>
      </c>
      <c r="Z33" s="137">
        <v>22.0</v>
      </c>
      <c r="AA33" s="137">
        <v>36.0</v>
      </c>
      <c r="AB33" s="137">
        <v>48.0</v>
      </c>
      <c r="AC33" s="137">
        <v>28.0</v>
      </c>
      <c r="AD33" s="137">
        <v>38.0</v>
      </c>
      <c r="AE33" s="137">
        <v>36.0</v>
      </c>
      <c r="AF33" s="137">
        <v>16.0</v>
      </c>
      <c r="AG33" s="137">
        <v>34.0</v>
      </c>
      <c r="AH33" s="137">
        <v>18.0</v>
      </c>
      <c r="AI33" s="137">
        <v>90.0</v>
      </c>
      <c r="AJ33" s="137">
        <v>72.0</v>
      </c>
      <c r="AK33" s="137">
        <v>40.0</v>
      </c>
      <c r="AL33" s="137">
        <v>4.0</v>
      </c>
      <c r="AM33" s="137">
        <v>44.0</v>
      </c>
      <c r="AN33" s="137">
        <v>620.0</v>
      </c>
    </row>
    <row r="34">
      <c r="A34" s="132" t="s">
        <v>202</v>
      </c>
      <c r="B34" s="136" t="s">
        <v>198</v>
      </c>
      <c r="C34" s="137">
        <v>944.0</v>
      </c>
      <c r="D34" s="137">
        <v>572.0</v>
      </c>
      <c r="E34" s="137">
        <v>372.0</v>
      </c>
      <c r="F34" s="137">
        <v>4.0</v>
      </c>
      <c r="G34" s="137">
        <v>4.0</v>
      </c>
      <c r="H34" s="137">
        <v>2.0</v>
      </c>
      <c r="I34" s="137">
        <v>0.0</v>
      </c>
      <c r="J34" s="137">
        <v>4.0</v>
      </c>
      <c r="K34" s="137">
        <v>6.0</v>
      </c>
      <c r="L34" s="137">
        <v>32.0</v>
      </c>
      <c r="M34" s="137">
        <v>14.0</v>
      </c>
      <c r="N34" s="137">
        <v>46.0</v>
      </c>
      <c r="O34" s="137">
        <v>40.0</v>
      </c>
      <c r="P34" s="137">
        <v>88.0</v>
      </c>
      <c r="Q34" s="137">
        <v>30.0</v>
      </c>
      <c r="R34" s="137">
        <v>52.0</v>
      </c>
      <c r="S34" s="137">
        <v>36.0</v>
      </c>
      <c r="T34" s="137">
        <v>60.0</v>
      </c>
      <c r="U34" s="137">
        <v>40.0</v>
      </c>
      <c r="V34" s="137">
        <v>48.0</v>
      </c>
      <c r="W34" s="137">
        <v>20.0</v>
      </c>
      <c r="X34" s="137">
        <v>42.0</v>
      </c>
      <c r="Y34" s="137">
        <v>24.0</v>
      </c>
      <c r="Z34" s="137">
        <v>58.0</v>
      </c>
      <c r="AA34" s="137">
        <v>62.0</v>
      </c>
      <c r="AB34" s="137">
        <v>48.0</v>
      </c>
      <c r="AC34" s="137">
        <v>18.0</v>
      </c>
      <c r="AD34" s="137">
        <v>10.0</v>
      </c>
      <c r="AE34" s="137">
        <v>10.0</v>
      </c>
      <c r="AF34" s="137">
        <v>56.0</v>
      </c>
      <c r="AG34" s="137">
        <v>30.0</v>
      </c>
      <c r="AH34" s="137">
        <v>10.0</v>
      </c>
      <c r="AI34" s="137">
        <v>4.0</v>
      </c>
      <c r="AJ34" s="137">
        <v>8.0</v>
      </c>
      <c r="AK34" s="137">
        <v>8.0</v>
      </c>
      <c r="AL34" s="137">
        <v>4.0</v>
      </c>
      <c r="AM34" s="137">
        <v>26.0</v>
      </c>
      <c r="AN34" s="137">
        <v>944.0</v>
      </c>
    </row>
    <row r="35">
      <c r="A35" s="104"/>
      <c r="B35" s="136" t="s">
        <v>199</v>
      </c>
      <c r="C35" s="137">
        <v>540.0</v>
      </c>
      <c r="D35" s="137">
        <v>306.0</v>
      </c>
      <c r="E35" s="137">
        <v>234.0</v>
      </c>
      <c r="F35" s="137">
        <v>4.0</v>
      </c>
      <c r="G35" s="137">
        <v>2.0</v>
      </c>
      <c r="H35" s="137">
        <v>4.0</v>
      </c>
      <c r="I35" s="137">
        <v>4.0</v>
      </c>
      <c r="J35" s="137">
        <v>2.0</v>
      </c>
      <c r="K35" s="137">
        <v>8.0</v>
      </c>
      <c r="L35" s="137">
        <v>6.0</v>
      </c>
      <c r="M35" s="137">
        <v>4.0</v>
      </c>
      <c r="N35" s="137">
        <v>20.0</v>
      </c>
      <c r="O35" s="137">
        <v>10.0</v>
      </c>
      <c r="P35" s="137">
        <v>46.0</v>
      </c>
      <c r="Q35" s="137">
        <v>20.0</v>
      </c>
      <c r="R35" s="137">
        <v>20.0</v>
      </c>
      <c r="S35" s="137">
        <v>34.0</v>
      </c>
      <c r="T35" s="137">
        <v>26.0</v>
      </c>
      <c r="U35" s="137">
        <v>24.0</v>
      </c>
      <c r="V35" s="137">
        <v>38.0</v>
      </c>
      <c r="W35" s="137">
        <v>10.0</v>
      </c>
      <c r="X35" s="137">
        <v>18.0</v>
      </c>
      <c r="Y35" s="137">
        <v>22.0</v>
      </c>
      <c r="Z35" s="137">
        <v>20.0</v>
      </c>
      <c r="AA35" s="137">
        <v>22.0</v>
      </c>
      <c r="AB35" s="137">
        <v>24.0</v>
      </c>
      <c r="AC35" s="137">
        <v>6.0</v>
      </c>
      <c r="AD35" s="137">
        <v>28.0</v>
      </c>
      <c r="AE35" s="137">
        <v>22.0</v>
      </c>
      <c r="AF35" s="137">
        <v>36.0</v>
      </c>
      <c r="AG35" s="137">
        <v>10.0</v>
      </c>
      <c r="AH35" s="137">
        <v>6.0</v>
      </c>
      <c r="AI35" s="137">
        <v>8.0</v>
      </c>
      <c r="AJ35" s="137">
        <v>4.0</v>
      </c>
      <c r="AK35" s="137">
        <v>4.0</v>
      </c>
      <c r="AL35" s="137">
        <v>4.0</v>
      </c>
      <c r="AM35" s="137">
        <v>24.0</v>
      </c>
      <c r="AN35" s="137">
        <v>540.0</v>
      </c>
    </row>
    <row r="36">
      <c r="A36" s="132" t="s">
        <v>203</v>
      </c>
      <c r="B36" s="136" t="s">
        <v>198</v>
      </c>
      <c r="C36" s="137">
        <v>682.0</v>
      </c>
      <c r="D36" s="137">
        <v>282.0</v>
      </c>
      <c r="E36" s="137">
        <v>400.0</v>
      </c>
      <c r="F36" s="135">
        <v>0.0</v>
      </c>
      <c r="G36" s="135">
        <v>0.0</v>
      </c>
      <c r="H36" s="135">
        <v>0.0</v>
      </c>
      <c r="I36" s="135">
        <v>0.0</v>
      </c>
      <c r="J36" s="135">
        <v>0.0</v>
      </c>
      <c r="K36" s="135">
        <v>0.0</v>
      </c>
      <c r="L36" s="135">
        <v>0.0</v>
      </c>
      <c r="M36" s="135">
        <v>0.0</v>
      </c>
      <c r="N36" s="135">
        <v>0.0</v>
      </c>
      <c r="O36" s="135">
        <v>0.0</v>
      </c>
      <c r="P36" s="135">
        <v>0.0</v>
      </c>
      <c r="Q36" s="135">
        <v>0.0</v>
      </c>
      <c r="R36" s="135">
        <v>0.0</v>
      </c>
      <c r="S36" s="135">
        <v>0.0</v>
      </c>
      <c r="T36" s="135">
        <v>0.0</v>
      </c>
      <c r="U36" s="135">
        <v>0.0</v>
      </c>
      <c r="V36" s="135">
        <v>0.0</v>
      </c>
      <c r="W36" s="135">
        <v>0.0</v>
      </c>
      <c r="X36" s="135">
        <v>0.0</v>
      </c>
      <c r="Y36" s="135">
        <v>0.0</v>
      </c>
      <c r="Z36" s="135">
        <v>0.0</v>
      </c>
      <c r="AA36" s="135">
        <v>0.0</v>
      </c>
      <c r="AB36" s="135">
        <v>0.0</v>
      </c>
      <c r="AC36" s="135">
        <v>0.0</v>
      </c>
      <c r="AD36" s="135">
        <v>0.0</v>
      </c>
      <c r="AE36" s="135">
        <v>0.0</v>
      </c>
      <c r="AF36" s="137">
        <v>44.0</v>
      </c>
      <c r="AG36" s="137">
        <v>96.0</v>
      </c>
      <c r="AH36" s="137">
        <v>86.0</v>
      </c>
      <c r="AI36" s="137">
        <v>114.0</v>
      </c>
      <c r="AJ36" s="137">
        <v>88.0</v>
      </c>
      <c r="AK36" s="137">
        <v>88.0</v>
      </c>
      <c r="AL36" s="137">
        <v>64.0</v>
      </c>
      <c r="AM36" s="137">
        <v>102.0</v>
      </c>
      <c r="AN36" s="137">
        <v>680.0</v>
      </c>
    </row>
    <row r="37">
      <c r="A37" s="104"/>
      <c r="B37" s="136" t="s">
        <v>199</v>
      </c>
      <c r="C37" s="137">
        <v>352.0</v>
      </c>
      <c r="D37" s="137">
        <v>116.0</v>
      </c>
      <c r="E37" s="137">
        <v>236.0</v>
      </c>
      <c r="F37" s="135">
        <v>0.0</v>
      </c>
      <c r="G37" s="135">
        <v>0.0</v>
      </c>
      <c r="H37" s="135">
        <v>0.0</v>
      </c>
      <c r="I37" s="135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0.0</v>
      </c>
      <c r="O37" s="135">
        <v>0.0</v>
      </c>
      <c r="P37" s="135">
        <v>0.0</v>
      </c>
      <c r="Q37" s="135">
        <v>0.0</v>
      </c>
      <c r="R37" s="135">
        <v>0.0</v>
      </c>
      <c r="S37" s="135">
        <v>0.0</v>
      </c>
      <c r="T37" s="135">
        <v>0.0</v>
      </c>
      <c r="U37" s="135">
        <v>0.0</v>
      </c>
      <c r="V37" s="135">
        <v>0.0</v>
      </c>
      <c r="W37" s="135">
        <v>0.0</v>
      </c>
      <c r="X37" s="135">
        <v>0.0</v>
      </c>
      <c r="Y37" s="135">
        <v>0.0</v>
      </c>
      <c r="Z37" s="135">
        <v>0.0</v>
      </c>
      <c r="AA37" s="135">
        <v>0.0</v>
      </c>
      <c r="AB37" s="135">
        <v>0.0</v>
      </c>
      <c r="AC37" s="135">
        <v>0.0</v>
      </c>
      <c r="AD37" s="135">
        <v>0.0</v>
      </c>
      <c r="AE37" s="135">
        <v>0.0</v>
      </c>
      <c r="AF37" s="137">
        <v>18.0</v>
      </c>
      <c r="AG37" s="137">
        <v>72.0</v>
      </c>
      <c r="AH37" s="137">
        <v>56.0</v>
      </c>
      <c r="AI37" s="137">
        <v>64.0</v>
      </c>
      <c r="AJ37" s="137">
        <v>24.0</v>
      </c>
      <c r="AK37" s="137">
        <v>56.0</v>
      </c>
      <c r="AL37" s="137">
        <v>18.0</v>
      </c>
      <c r="AM37" s="137">
        <v>44.0</v>
      </c>
      <c r="AN37" s="137">
        <v>352.0</v>
      </c>
    </row>
    <row r="38">
      <c r="A38" s="132" t="s">
        <v>204</v>
      </c>
      <c r="B38" s="136" t="s">
        <v>198</v>
      </c>
      <c r="C38" s="137">
        <v>254.0</v>
      </c>
      <c r="D38" s="137">
        <v>90.0</v>
      </c>
      <c r="E38" s="137">
        <v>164.0</v>
      </c>
      <c r="F38" s="135">
        <v>0.0</v>
      </c>
      <c r="G38" s="135">
        <v>0.0</v>
      </c>
      <c r="H38" s="135">
        <v>0.0</v>
      </c>
      <c r="I38" s="135">
        <v>0.0</v>
      </c>
      <c r="J38" s="135">
        <v>0.0</v>
      </c>
      <c r="K38" s="135">
        <v>0.0</v>
      </c>
      <c r="L38" s="135">
        <v>0.0</v>
      </c>
      <c r="M38" s="135">
        <v>0.0</v>
      </c>
      <c r="N38" s="135">
        <v>0.0</v>
      </c>
      <c r="O38" s="135">
        <v>0.0</v>
      </c>
      <c r="P38" s="135">
        <v>0.0</v>
      </c>
      <c r="Q38" s="135">
        <v>0.0</v>
      </c>
      <c r="R38" s="135">
        <v>0.0</v>
      </c>
      <c r="S38" s="135">
        <v>0.0</v>
      </c>
      <c r="T38" s="135">
        <v>0.0</v>
      </c>
      <c r="U38" s="135">
        <v>0.0</v>
      </c>
      <c r="V38" s="135">
        <v>0.0</v>
      </c>
      <c r="W38" s="135">
        <v>0.0</v>
      </c>
      <c r="X38" s="135">
        <v>0.0</v>
      </c>
      <c r="Y38" s="135">
        <v>0.0</v>
      </c>
      <c r="Z38" s="135">
        <v>0.0</v>
      </c>
      <c r="AA38" s="135">
        <v>0.0</v>
      </c>
      <c r="AB38" s="135">
        <v>0.0</v>
      </c>
      <c r="AC38" s="135">
        <v>0.0</v>
      </c>
      <c r="AD38" s="135">
        <v>0.0</v>
      </c>
      <c r="AE38" s="135">
        <v>0.0</v>
      </c>
      <c r="AF38" s="137">
        <v>12.0</v>
      </c>
      <c r="AG38" s="137">
        <v>16.0</v>
      </c>
      <c r="AH38" s="137">
        <v>8.0</v>
      </c>
      <c r="AI38" s="137">
        <v>22.0</v>
      </c>
      <c r="AJ38" s="137">
        <v>16.0</v>
      </c>
      <c r="AK38" s="137">
        <v>46.0</v>
      </c>
      <c r="AL38" s="137">
        <v>54.0</v>
      </c>
      <c r="AM38" s="137">
        <v>80.0</v>
      </c>
      <c r="AN38" s="137">
        <v>254.0</v>
      </c>
    </row>
    <row r="39">
      <c r="A39" s="104"/>
      <c r="B39" s="136" t="s">
        <v>199</v>
      </c>
      <c r="C39" s="137">
        <v>308.0</v>
      </c>
      <c r="D39" s="137">
        <v>98.0</v>
      </c>
      <c r="E39" s="137">
        <v>210.0</v>
      </c>
      <c r="F39" s="135">
        <v>0.0</v>
      </c>
      <c r="G39" s="135">
        <v>0.0</v>
      </c>
      <c r="H39" s="135">
        <v>0.0</v>
      </c>
      <c r="I39" s="135">
        <v>0.0</v>
      </c>
      <c r="J39" s="135">
        <v>0.0</v>
      </c>
      <c r="K39" s="135">
        <v>0.0</v>
      </c>
      <c r="L39" s="135">
        <v>0.0</v>
      </c>
      <c r="M39" s="135">
        <v>0.0</v>
      </c>
      <c r="N39" s="135">
        <v>0.0</v>
      </c>
      <c r="O39" s="135">
        <v>0.0</v>
      </c>
      <c r="P39" s="135">
        <v>0.0</v>
      </c>
      <c r="Q39" s="135">
        <v>0.0</v>
      </c>
      <c r="R39" s="135">
        <v>0.0</v>
      </c>
      <c r="S39" s="135">
        <v>0.0</v>
      </c>
      <c r="T39" s="135">
        <v>0.0</v>
      </c>
      <c r="U39" s="135">
        <v>0.0</v>
      </c>
      <c r="V39" s="135">
        <v>0.0</v>
      </c>
      <c r="W39" s="135">
        <v>0.0</v>
      </c>
      <c r="X39" s="135">
        <v>0.0</v>
      </c>
      <c r="Y39" s="135">
        <v>0.0</v>
      </c>
      <c r="Z39" s="135">
        <v>0.0</v>
      </c>
      <c r="AA39" s="135">
        <v>0.0</v>
      </c>
      <c r="AB39" s="135">
        <v>0.0</v>
      </c>
      <c r="AC39" s="135">
        <v>0.0</v>
      </c>
      <c r="AD39" s="135">
        <v>0.0</v>
      </c>
      <c r="AE39" s="135">
        <v>0.0</v>
      </c>
      <c r="AF39" s="137">
        <v>8.0</v>
      </c>
      <c r="AG39" s="137">
        <v>34.0</v>
      </c>
      <c r="AH39" s="137">
        <v>20.0</v>
      </c>
      <c r="AI39" s="137">
        <v>46.0</v>
      </c>
      <c r="AJ39" s="137">
        <v>34.0</v>
      </c>
      <c r="AK39" s="137">
        <v>38.0</v>
      </c>
      <c r="AL39" s="137">
        <v>36.0</v>
      </c>
      <c r="AM39" s="137">
        <v>92.0</v>
      </c>
      <c r="AN39" s="137">
        <v>308.0</v>
      </c>
    </row>
    <row r="40">
      <c r="A40" s="132" t="s">
        <v>205</v>
      </c>
      <c r="B40" s="136" t="s">
        <v>198</v>
      </c>
      <c r="C40" s="137">
        <v>2.0</v>
      </c>
      <c r="D40" s="137">
        <v>2.0</v>
      </c>
      <c r="E40" s="137">
        <v>0.0</v>
      </c>
      <c r="F40" s="137">
        <v>0.0</v>
      </c>
      <c r="G40" s="137">
        <v>0.0</v>
      </c>
      <c r="H40" s="137">
        <v>0.0</v>
      </c>
      <c r="I40" s="137">
        <v>0.0</v>
      </c>
      <c r="J40" s="137">
        <v>0.0</v>
      </c>
      <c r="K40" s="137">
        <v>0.0</v>
      </c>
      <c r="L40" s="137">
        <v>0.0</v>
      </c>
      <c r="M40" s="137">
        <v>0.0</v>
      </c>
      <c r="N40" s="137">
        <v>0.0</v>
      </c>
      <c r="O40" s="137">
        <v>0.0</v>
      </c>
      <c r="P40" s="137">
        <v>0.0</v>
      </c>
      <c r="Q40" s="137">
        <v>0.0</v>
      </c>
      <c r="R40" s="137">
        <v>2.0</v>
      </c>
      <c r="S40" s="137">
        <v>0.0</v>
      </c>
      <c r="T40" s="137">
        <v>0.0</v>
      </c>
      <c r="U40" s="137">
        <v>0.0</v>
      </c>
      <c r="V40" s="137">
        <v>0.0</v>
      </c>
      <c r="W40" s="137">
        <v>0.0</v>
      </c>
      <c r="X40" s="137">
        <v>0.0</v>
      </c>
      <c r="Y40" s="137">
        <v>0.0</v>
      </c>
      <c r="Z40" s="137">
        <v>0.0</v>
      </c>
      <c r="AA40" s="137">
        <v>0.0</v>
      </c>
      <c r="AB40" s="137">
        <v>0.0</v>
      </c>
      <c r="AC40" s="137">
        <v>0.0</v>
      </c>
      <c r="AD40" s="137">
        <v>0.0</v>
      </c>
      <c r="AE40" s="137">
        <v>0.0</v>
      </c>
      <c r="AF40" s="137">
        <v>0.0</v>
      </c>
      <c r="AG40" s="137">
        <v>0.0</v>
      </c>
      <c r="AH40" s="137">
        <v>0.0</v>
      </c>
      <c r="AI40" s="137">
        <v>0.0</v>
      </c>
      <c r="AJ40" s="137">
        <v>0.0</v>
      </c>
      <c r="AK40" s="137">
        <v>0.0</v>
      </c>
      <c r="AL40" s="137">
        <v>0.0</v>
      </c>
      <c r="AM40" s="137">
        <v>0.0</v>
      </c>
      <c r="AN40" s="137">
        <v>2.0</v>
      </c>
    </row>
    <row r="41">
      <c r="A41" s="98"/>
      <c r="B41" s="136" t="s">
        <v>199</v>
      </c>
      <c r="C41" s="137">
        <v>0.0</v>
      </c>
      <c r="D41" s="137">
        <v>0.0</v>
      </c>
      <c r="E41" s="137">
        <v>0.0</v>
      </c>
      <c r="F41" s="137">
        <v>0.0</v>
      </c>
      <c r="G41" s="137">
        <v>0.0</v>
      </c>
      <c r="H41" s="137">
        <v>0.0</v>
      </c>
      <c r="I41" s="137">
        <v>0.0</v>
      </c>
      <c r="J41" s="137">
        <v>0.0</v>
      </c>
      <c r="K41" s="137">
        <v>0.0</v>
      </c>
      <c r="L41" s="137">
        <v>0.0</v>
      </c>
      <c r="M41" s="137">
        <v>0.0</v>
      </c>
      <c r="N41" s="137">
        <v>0.0</v>
      </c>
      <c r="O41" s="137">
        <v>0.0</v>
      </c>
      <c r="P41" s="137">
        <v>0.0</v>
      </c>
      <c r="Q41" s="137">
        <v>0.0</v>
      </c>
      <c r="R41" s="137">
        <v>0.0</v>
      </c>
      <c r="S41" s="137">
        <v>0.0</v>
      </c>
      <c r="T41" s="137">
        <v>0.0</v>
      </c>
      <c r="U41" s="137">
        <v>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37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</row>
    <row r="42">
      <c r="A42" s="104"/>
      <c r="B42" s="136" t="s">
        <v>206</v>
      </c>
      <c r="C42" s="137">
        <v>0.0</v>
      </c>
      <c r="D42" s="137">
        <v>0.0</v>
      </c>
      <c r="E42" s="137">
        <v>0.0</v>
      </c>
      <c r="F42" s="137">
        <v>0.0</v>
      </c>
      <c r="G42" s="137">
        <v>0.0</v>
      </c>
      <c r="H42" s="137">
        <v>0.0</v>
      </c>
      <c r="I42" s="137">
        <v>0.0</v>
      </c>
      <c r="J42" s="137">
        <v>0.0</v>
      </c>
      <c r="K42" s="137">
        <v>0.0</v>
      </c>
      <c r="L42" s="137">
        <v>0.0</v>
      </c>
      <c r="M42" s="137">
        <v>0.0</v>
      </c>
      <c r="N42" s="137">
        <v>0.0</v>
      </c>
      <c r="O42" s="137">
        <v>0.0</v>
      </c>
      <c r="P42" s="137">
        <v>0.0</v>
      </c>
      <c r="Q42" s="137">
        <v>0.0</v>
      </c>
      <c r="R42" s="137">
        <v>0.0</v>
      </c>
      <c r="S42" s="137">
        <v>0.0</v>
      </c>
      <c r="T42" s="137">
        <v>0.0</v>
      </c>
      <c r="U42" s="137">
        <v>0.0</v>
      </c>
      <c r="V42" s="137">
        <v>0.0</v>
      </c>
      <c r="W42" s="137">
        <v>0.0</v>
      </c>
      <c r="X42" s="137">
        <v>0.0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37">
        <v>0.0</v>
      </c>
      <c r="AI42" s="137">
        <v>0.0</v>
      </c>
      <c r="AJ42" s="137">
        <v>0.0</v>
      </c>
      <c r="AK42" s="137">
        <v>0.0</v>
      </c>
      <c r="AL42" s="137">
        <v>0.0</v>
      </c>
      <c r="AM42" s="137">
        <v>0.0</v>
      </c>
      <c r="AN42" s="137">
        <v>0.0</v>
      </c>
    </row>
    <row r="43">
      <c r="A43" s="132" t="s">
        <v>207</v>
      </c>
      <c r="B43" s="136" t="s">
        <v>198</v>
      </c>
      <c r="C43" s="134">
        <v>36414.0</v>
      </c>
      <c r="D43" s="134">
        <v>11086.0</v>
      </c>
      <c r="E43" s="134">
        <v>25328.0</v>
      </c>
      <c r="F43" s="137">
        <v>32.0</v>
      </c>
      <c r="G43" s="137">
        <v>12.0</v>
      </c>
      <c r="H43" s="137">
        <v>256.0</v>
      </c>
      <c r="I43" s="137">
        <v>246.0</v>
      </c>
      <c r="J43" s="137">
        <v>668.0</v>
      </c>
      <c r="K43" s="137">
        <v>762.0</v>
      </c>
      <c r="L43" s="137">
        <v>690.0</v>
      </c>
      <c r="M43" s="137">
        <v>940.0</v>
      </c>
      <c r="N43" s="137">
        <v>506.0</v>
      </c>
      <c r="O43" s="137">
        <v>846.0</v>
      </c>
      <c r="P43" s="137">
        <v>382.0</v>
      </c>
      <c r="Q43" s="137">
        <v>752.0</v>
      </c>
      <c r="R43" s="137">
        <v>436.0</v>
      </c>
      <c r="S43" s="137">
        <v>934.0</v>
      </c>
      <c r="T43" s="137">
        <v>370.0</v>
      </c>
      <c r="U43" s="134">
        <v>1018.0</v>
      </c>
      <c r="V43" s="137">
        <v>272.0</v>
      </c>
      <c r="W43" s="137">
        <v>950.0</v>
      </c>
      <c r="X43" s="137">
        <v>394.0</v>
      </c>
      <c r="Y43" s="134">
        <v>1418.0</v>
      </c>
      <c r="Z43" s="137">
        <v>616.0</v>
      </c>
      <c r="AA43" s="134">
        <v>2062.0</v>
      </c>
      <c r="AB43" s="137">
        <v>980.0</v>
      </c>
      <c r="AC43" s="134">
        <v>2966.0</v>
      </c>
      <c r="AD43" s="134">
        <v>1270.0</v>
      </c>
      <c r="AE43" s="134">
        <v>2754.0</v>
      </c>
      <c r="AF43" s="134">
        <v>1172.0</v>
      </c>
      <c r="AG43" s="134">
        <v>2904.0</v>
      </c>
      <c r="AH43" s="134">
        <v>1192.0</v>
      </c>
      <c r="AI43" s="134">
        <v>2752.0</v>
      </c>
      <c r="AJ43" s="137">
        <v>992.0</v>
      </c>
      <c r="AK43" s="134">
        <v>2098.0</v>
      </c>
      <c r="AL43" s="137">
        <v>858.0</v>
      </c>
      <c r="AM43" s="134">
        <v>1914.0</v>
      </c>
      <c r="AN43" s="134">
        <v>36380.0</v>
      </c>
    </row>
    <row r="44">
      <c r="A44" s="98"/>
      <c r="B44" s="136" t="s">
        <v>199</v>
      </c>
      <c r="C44" s="137">
        <v>372.0</v>
      </c>
      <c r="D44" s="137">
        <v>82.0</v>
      </c>
      <c r="E44" s="137">
        <v>290.0</v>
      </c>
      <c r="F44" s="137">
        <v>0.0</v>
      </c>
      <c r="G44" s="137">
        <v>4.0</v>
      </c>
      <c r="H44" s="137">
        <v>2.0</v>
      </c>
      <c r="I44" s="137">
        <v>2.0</v>
      </c>
      <c r="J44" s="137">
        <v>2.0</v>
      </c>
      <c r="K44" s="137">
        <v>0.0</v>
      </c>
      <c r="L44" s="137">
        <v>0.0</v>
      </c>
      <c r="M44" s="137">
        <v>0.0</v>
      </c>
      <c r="N44" s="137">
        <v>0.0</v>
      </c>
      <c r="O44" s="137">
        <v>0.0</v>
      </c>
      <c r="P44" s="137">
        <v>0.0</v>
      </c>
      <c r="Q44" s="137">
        <v>0.0</v>
      </c>
      <c r="R44" s="137">
        <v>0.0</v>
      </c>
      <c r="S44" s="137">
        <v>0.0</v>
      </c>
      <c r="T44" s="137">
        <v>2.0</v>
      </c>
      <c r="U44" s="137">
        <v>12.0</v>
      </c>
      <c r="V44" s="137">
        <v>0.0</v>
      </c>
      <c r="W44" s="137">
        <v>2.0</v>
      </c>
      <c r="X44" s="137">
        <v>0.0</v>
      </c>
      <c r="Y44" s="137">
        <v>8.0</v>
      </c>
      <c r="Z44" s="137">
        <v>6.0</v>
      </c>
      <c r="AA44" s="137">
        <v>20.0</v>
      </c>
      <c r="AB44" s="137">
        <v>2.0</v>
      </c>
      <c r="AC44" s="137">
        <v>16.0</v>
      </c>
      <c r="AD44" s="137">
        <v>10.0</v>
      </c>
      <c r="AE44" s="137">
        <v>26.0</v>
      </c>
      <c r="AF44" s="137">
        <v>4.0</v>
      </c>
      <c r="AG44" s="137">
        <v>36.0</v>
      </c>
      <c r="AH44" s="137">
        <v>16.0</v>
      </c>
      <c r="AI44" s="137">
        <v>58.0</v>
      </c>
      <c r="AJ44" s="137">
        <v>14.0</v>
      </c>
      <c r="AK44" s="137">
        <v>46.0</v>
      </c>
      <c r="AL44" s="137">
        <v>24.0</v>
      </c>
      <c r="AM44" s="137">
        <v>60.0</v>
      </c>
      <c r="AN44" s="137">
        <v>368.0</v>
      </c>
    </row>
    <row r="45">
      <c r="A45" s="98"/>
      <c r="B45" s="136" t="s">
        <v>206</v>
      </c>
      <c r="C45" s="137">
        <v>0.0</v>
      </c>
      <c r="D45" s="137">
        <v>0.0</v>
      </c>
      <c r="E45" s="137">
        <v>0.0</v>
      </c>
      <c r="F45" s="137">
        <v>0.0</v>
      </c>
      <c r="G45" s="137">
        <v>0.0</v>
      </c>
      <c r="H45" s="137">
        <v>0.0</v>
      </c>
      <c r="I45" s="137">
        <v>0.0</v>
      </c>
      <c r="J45" s="137">
        <v>0.0</v>
      </c>
      <c r="K45" s="137">
        <v>0.0</v>
      </c>
      <c r="L45" s="137">
        <v>0.0</v>
      </c>
      <c r="M45" s="137">
        <v>0.0</v>
      </c>
      <c r="N45" s="137">
        <v>0.0</v>
      </c>
      <c r="O45" s="137">
        <v>0.0</v>
      </c>
      <c r="P45" s="137">
        <v>0.0</v>
      </c>
      <c r="Q45" s="137">
        <v>0.0</v>
      </c>
      <c r="R45" s="137">
        <v>0.0</v>
      </c>
      <c r="S45" s="137">
        <v>0.0</v>
      </c>
      <c r="T45" s="137">
        <v>0.0</v>
      </c>
      <c r="U45" s="137">
        <v>0.0</v>
      </c>
      <c r="V45" s="137">
        <v>0.0</v>
      </c>
      <c r="W45" s="137">
        <v>0.0</v>
      </c>
      <c r="X45" s="137">
        <v>0.0</v>
      </c>
      <c r="Y45" s="137">
        <v>0.0</v>
      </c>
      <c r="Z45" s="137">
        <v>0.0</v>
      </c>
      <c r="AA45" s="137">
        <v>0.0</v>
      </c>
      <c r="AB45" s="137">
        <v>0.0</v>
      </c>
      <c r="AC45" s="137">
        <v>0.0</v>
      </c>
      <c r="AD45" s="137">
        <v>0.0</v>
      </c>
      <c r="AE45" s="137">
        <v>0.0</v>
      </c>
      <c r="AF45" s="137">
        <v>0.0</v>
      </c>
      <c r="AG45" s="137">
        <v>0.0</v>
      </c>
      <c r="AH45" s="137">
        <v>0.0</v>
      </c>
      <c r="AI45" s="137">
        <v>0.0</v>
      </c>
      <c r="AJ45" s="137">
        <v>0.0</v>
      </c>
      <c r="AK45" s="137">
        <v>0.0</v>
      </c>
      <c r="AL45" s="137">
        <v>0.0</v>
      </c>
      <c r="AM45" s="137">
        <v>0.0</v>
      </c>
      <c r="AN45" s="137">
        <v>0.0</v>
      </c>
    </row>
    <row r="46">
      <c r="A46" s="98"/>
      <c r="B46" s="136" t="s">
        <v>200</v>
      </c>
      <c r="C46" s="134">
        <v>6956.0</v>
      </c>
      <c r="D46" s="134">
        <v>2960.0</v>
      </c>
      <c r="E46" s="134">
        <v>3996.0</v>
      </c>
      <c r="F46" s="134">
        <v>1560.0</v>
      </c>
      <c r="G46" s="134">
        <v>1264.0</v>
      </c>
      <c r="H46" s="137">
        <v>526.0</v>
      </c>
      <c r="I46" s="137">
        <v>510.0</v>
      </c>
      <c r="J46" s="137">
        <v>210.0</v>
      </c>
      <c r="K46" s="137">
        <v>186.0</v>
      </c>
      <c r="L46" s="137">
        <v>122.0</v>
      </c>
      <c r="M46" s="137">
        <v>340.0</v>
      </c>
      <c r="N46" s="137">
        <v>50.0</v>
      </c>
      <c r="O46" s="137">
        <v>208.0</v>
      </c>
      <c r="P46" s="137">
        <v>40.0</v>
      </c>
      <c r="Q46" s="137">
        <v>194.0</v>
      </c>
      <c r="R46" s="137">
        <v>44.0</v>
      </c>
      <c r="S46" s="137">
        <v>144.0</v>
      </c>
      <c r="T46" s="137">
        <v>36.0</v>
      </c>
      <c r="U46" s="137">
        <v>126.0</v>
      </c>
      <c r="V46" s="137">
        <v>28.0</v>
      </c>
      <c r="W46" s="137">
        <v>124.0</v>
      </c>
      <c r="X46" s="137">
        <v>26.0</v>
      </c>
      <c r="Y46" s="137">
        <v>154.0</v>
      </c>
      <c r="Z46" s="137">
        <v>24.0</v>
      </c>
      <c r="AA46" s="137">
        <v>170.0</v>
      </c>
      <c r="AB46" s="137">
        <v>54.0</v>
      </c>
      <c r="AC46" s="137">
        <v>186.0</v>
      </c>
      <c r="AD46" s="137">
        <v>90.0</v>
      </c>
      <c r="AE46" s="137">
        <v>162.0</v>
      </c>
      <c r="AF46" s="137">
        <v>46.0</v>
      </c>
      <c r="AG46" s="137">
        <v>106.0</v>
      </c>
      <c r="AH46" s="137">
        <v>64.0</v>
      </c>
      <c r="AI46" s="137">
        <v>68.0</v>
      </c>
      <c r="AJ46" s="137">
        <v>18.0</v>
      </c>
      <c r="AK46" s="137">
        <v>26.0</v>
      </c>
      <c r="AL46" s="137">
        <v>22.0</v>
      </c>
      <c r="AM46" s="137">
        <v>28.0</v>
      </c>
      <c r="AN46" s="134">
        <v>6956.0</v>
      </c>
    </row>
    <row r="47">
      <c r="A47" s="104"/>
      <c r="B47" s="136" t="s">
        <v>201</v>
      </c>
      <c r="C47" s="137">
        <v>0.0</v>
      </c>
      <c r="D47" s="137">
        <v>0.0</v>
      </c>
      <c r="E47" s="137">
        <v>0.0</v>
      </c>
      <c r="F47" s="137">
        <v>0.0</v>
      </c>
      <c r="G47" s="137">
        <v>0.0</v>
      </c>
      <c r="H47" s="137">
        <v>0.0</v>
      </c>
      <c r="I47" s="137">
        <v>0.0</v>
      </c>
      <c r="J47" s="137">
        <v>0.0</v>
      </c>
      <c r="K47" s="137">
        <v>0.0</v>
      </c>
      <c r="L47" s="137">
        <v>0.0</v>
      </c>
      <c r="M47" s="137">
        <v>0.0</v>
      </c>
      <c r="N47" s="137">
        <v>0.0</v>
      </c>
      <c r="O47" s="137">
        <v>0.0</v>
      </c>
      <c r="P47" s="137">
        <v>0.0</v>
      </c>
      <c r="Q47" s="137">
        <v>0.0</v>
      </c>
      <c r="R47" s="137">
        <v>0.0</v>
      </c>
      <c r="S47" s="137">
        <v>0.0</v>
      </c>
      <c r="T47" s="137">
        <v>0.0</v>
      </c>
      <c r="U47" s="137">
        <v>0.0</v>
      </c>
      <c r="V47" s="137">
        <v>0.0</v>
      </c>
      <c r="W47" s="137">
        <v>0.0</v>
      </c>
      <c r="X47" s="137">
        <v>0.0</v>
      </c>
      <c r="Y47" s="137">
        <v>0.0</v>
      </c>
      <c r="Z47" s="137">
        <v>0.0</v>
      </c>
      <c r="AA47" s="137">
        <v>0.0</v>
      </c>
      <c r="AB47" s="137">
        <v>0.0</v>
      </c>
      <c r="AC47" s="137">
        <v>0.0</v>
      </c>
      <c r="AD47" s="137">
        <v>0.0</v>
      </c>
      <c r="AE47" s="137">
        <v>0.0</v>
      </c>
      <c r="AF47" s="137">
        <v>0.0</v>
      </c>
      <c r="AG47" s="137">
        <v>0.0</v>
      </c>
      <c r="AH47" s="137">
        <v>0.0</v>
      </c>
      <c r="AI47" s="137">
        <v>0.0</v>
      </c>
      <c r="AJ47" s="137">
        <v>0.0</v>
      </c>
      <c r="AK47" s="137">
        <v>0.0</v>
      </c>
      <c r="AL47" s="137">
        <v>0.0</v>
      </c>
      <c r="AM47" s="137">
        <v>0.0</v>
      </c>
      <c r="AN47" s="137">
        <v>0.0</v>
      </c>
    </row>
    <row r="48">
      <c r="A48" s="132" t="s">
        <v>208</v>
      </c>
      <c r="B48" s="136" t="s">
        <v>198</v>
      </c>
      <c r="C48" s="137">
        <v>0.0</v>
      </c>
      <c r="D48" s="137">
        <v>0.0</v>
      </c>
      <c r="E48" s="137">
        <v>0.0</v>
      </c>
      <c r="F48" s="137">
        <v>0.0</v>
      </c>
      <c r="G48" s="137">
        <v>0.0</v>
      </c>
      <c r="H48" s="137">
        <v>0.0</v>
      </c>
      <c r="I48" s="137">
        <v>0.0</v>
      </c>
      <c r="J48" s="137">
        <v>0.0</v>
      </c>
      <c r="K48" s="137">
        <v>0.0</v>
      </c>
      <c r="L48" s="137">
        <v>0.0</v>
      </c>
      <c r="M48" s="137">
        <v>0.0</v>
      </c>
      <c r="N48" s="137">
        <v>0.0</v>
      </c>
      <c r="O48" s="137">
        <v>0.0</v>
      </c>
      <c r="P48" s="135">
        <v>0.0</v>
      </c>
      <c r="Q48" s="135">
        <v>0.0</v>
      </c>
      <c r="R48" s="135">
        <v>0.0</v>
      </c>
      <c r="S48" s="135">
        <v>0.0</v>
      </c>
      <c r="T48" s="135">
        <v>0.0</v>
      </c>
      <c r="U48" s="135">
        <v>0.0</v>
      </c>
      <c r="V48" s="135">
        <v>0.0</v>
      </c>
      <c r="W48" s="135">
        <v>0.0</v>
      </c>
      <c r="X48" s="135">
        <v>0.0</v>
      </c>
      <c r="Y48" s="135">
        <v>0.0</v>
      </c>
      <c r="Z48" s="135">
        <v>0.0</v>
      </c>
      <c r="AA48" s="135">
        <v>0.0</v>
      </c>
      <c r="AB48" s="135">
        <v>0.0</v>
      </c>
      <c r="AC48" s="135">
        <v>0.0</v>
      </c>
      <c r="AD48" s="135">
        <v>0.0</v>
      </c>
      <c r="AE48" s="135">
        <v>0.0</v>
      </c>
      <c r="AF48" s="135">
        <v>0.0</v>
      </c>
      <c r="AG48" s="135">
        <v>0.0</v>
      </c>
      <c r="AH48" s="135">
        <v>0.0</v>
      </c>
      <c r="AI48" s="135">
        <v>0.0</v>
      </c>
      <c r="AJ48" s="135">
        <v>0.0</v>
      </c>
      <c r="AK48" s="135">
        <v>0.0</v>
      </c>
      <c r="AL48" s="135">
        <v>0.0</v>
      </c>
      <c r="AM48" s="135">
        <v>0.0</v>
      </c>
      <c r="AN48" s="137">
        <v>0.0</v>
      </c>
    </row>
    <row r="49">
      <c r="A49" s="98"/>
      <c r="B49" s="136" t="s">
        <v>199</v>
      </c>
      <c r="C49" s="137">
        <v>750.0</v>
      </c>
      <c r="D49" s="137">
        <v>430.0</v>
      </c>
      <c r="E49" s="137">
        <v>320.0</v>
      </c>
      <c r="F49" s="137">
        <v>410.0</v>
      </c>
      <c r="G49" s="137">
        <v>308.0</v>
      </c>
      <c r="H49" s="137">
        <v>20.0</v>
      </c>
      <c r="I49" s="137">
        <v>12.0</v>
      </c>
      <c r="J49" s="137">
        <v>0.0</v>
      </c>
      <c r="K49" s="137">
        <v>0.0</v>
      </c>
      <c r="L49" s="137">
        <v>0.0</v>
      </c>
      <c r="M49" s="137">
        <v>0.0</v>
      </c>
      <c r="N49" s="137">
        <v>0.0</v>
      </c>
      <c r="O49" s="137">
        <v>0.0</v>
      </c>
      <c r="P49" s="135">
        <v>0.0</v>
      </c>
      <c r="Q49" s="135">
        <v>0.0</v>
      </c>
      <c r="R49" s="135">
        <v>0.0</v>
      </c>
      <c r="S49" s="135">
        <v>0.0</v>
      </c>
      <c r="T49" s="135">
        <v>0.0</v>
      </c>
      <c r="U49" s="135">
        <v>0.0</v>
      </c>
      <c r="V49" s="135">
        <v>0.0</v>
      </c>
      <c r="W49" s="135">
        <v>0.0</v>
      </c>
      <c r="X49" s="135">
        <v>0.0</v>
      </c>
      <c r="Y49" s="135">
        <v>0.0</v>
      </c>
      <c r="Z49" s="135">
        <v>0.0</v>
      </c>
      <c r="AA49" s="135">
        <v>0.0</v>
      </c>
      <c r="AB49" s="135">
        <v>0.0</v>
      </c>
      <c r="AC49" s="135">
        <v>0.0</v>
      </c>
      <c r="AD49" s="135">
        <v>0.0</v>
      </c>
      <c r="AE49" s="135">
        <v>0.0</v>
      </c>
      <c r="AF49" s="135">
        <v>0.0</v>
      </c>
      <c r="AG49" s="135">
        <v>0.0</v>
      </c>
      <c r="AH49" s="135">
        <v>0.0</v>
      </c>
      <c r="AI49" s="135">
        <v>0.0</v>
      </c>
      <c r="AJ49" s="135">
        <v>0.0</v>
      </c>
      <c r="AK49" s="135">
        <v>0.0</v>
      </c>
      <c r="AL49" s="135">
        <v>0.0</v>
      </c>
      <c r="AM49" s="135">
        <v>0.0</v>
      </c>
      <c r="AN49" s="137">
        <v>750.0</v>
      </c>
    </row>
    <row r="50">
      <c r="A50" s="98"/>
      <c r="B50" s="136" t="s">
        <v>206</v>
      </c>
      <c r="C50" s="137">
        <v>0.0</v>
      </c>
      <c r="D50" s="137">
        <v>0.0</v>
      </c>
      <c r="E50" s="137">
        <v>0.0</v>
      </c>
      <c r="F50" s="137">
        <v>0.0</v>
      </c>
      <c r="G50" s="137">
        <v>0.0</v>
      </c>
      <c r="H50" s="137">
        <v>0.0</v>
      </c>
      <c r="I50" s="137">
        <v>0.0</v>
      </c>
      <c r="J50" s="137">
        <v>0.0</v>
      </c>
      <c r="K50" s="137">
        <v>0.0</v>
      </c>
      <c r="L50" s="137">
        <v>0.0</v>
      </c>
      <c r="M50" s="137">
        <v>0.0</v>
      </c>
      <c r="N50" s="137">
        <v>0.0</v>
      </c>
      <c r="O50" s="137">
        <v>0.0</v>
      </c>
      <c r="P50" s="135">
        <v>0.0</v>
      </c>
      <c r="Q50" s="135">
        <v>0.0</v>
      </c>
      <c r="R50" s="135">
        <v>0.0</v>
      </c>
      <c r="S50" s="135">
        <v>0.0</v>
      </c>
      <c r="T50" s="135">
        <v>0.0</v>
      </c>
      <c r="U50" s="135">
        <v>0.0</v>
      </c>
      <c r="V50" s="135">
        <v>0.0</v>
      </c>
      <c r="W50" s="135">
        <v>0.0</v>
      </c>
      <c r="X50" s="135">
        <v>0.0</v>
      </c>
      <c r="Y50" s="135">
        <v>0.0</v>
      </c>
      <c r="Z50" s="135">
        <v>0.0</v>
      </c>
      <c r="AA50" s="135">
        <v>0.0</v>
      </c>
      <c r="AB50" s="135">
        <v>0.0</v>
      </c>
      <c r="AC50" s="135">
        <v>0.0</v>
      </c>
      <c r="AD50" s="135">
        <v>0.0</v>
      </c>
      <c r="AE50" s="135">
        <v>0.0</v>
      </c>
      <c r="AF50" s="135">
        <v>0.0</v>
      </c>
      <c r="AG50" s="135">
        <v>0.0</v>
      </c>
      <c r="AH50" s="135">
        <v>0.0</v>
      </c>
      <c r="AI50" s="135">
        <v>0.0</v>
      </c>
      <c r="AJ50" s="135">
        <v>0.0</v>
      </c>
      <c r="AK50" s="135">
        <v>0.0</v>
      </c>
      <c r="AL50" s="135">
        <v>0.0</v>
      </c>
      <c r="AM50" s="135">
        <v>0.0</v>
      </c>
      <c r="AN50" s="137">
        <v>0.0</v>
      </c>
    </row>
    <row r="51">
      <c r="A51" s="98"/>
      <c r="B51" s="136" t="s">
        <v>200</v>
      </c>
      <c r="C51" s="137">
        <v>64.0</v>
      </c>
      <c r="D51" s="137">
        <v>46.0</v>
      </c>
      <c r="E51" s="137">
        <v>18.0</v>
      </c>
      <c r="F51" s="137">
        <v>46.0</v>
      </c>
      <c r="G51" s="137">
        <v>18.0</v>
      </c>
      <c r="H51" s="137">
        <v>0.0</v>
      </c>
      <c r="I51" s="137">
        <v>0.0</v>
      </c>
      <c r="J51" s="137">
        <v>0.0</v>
      </c>
      <c r="K51" s="137">
        <v>0.0</v>
      </c>
      <c r="L51" s="137">
        <v>0.0</v>
      </c>
      <c r="M51" s="137">
        <v>0.0</v>
      </c>
      <c r="N51" s="137">
        <v>0.0</v>
      </c>
      <c r="O51" s="137">
        <v>0.0</v>
      </c>
      <c r="P51" s="135">
        <v>0.0</v>
      </c>
      <c r="Q51" s="135">
        <v>0.0</v>
      </c>
      <c r="R51" s="135">
        <v>0.0</v>
      </c>
      <c r="S51" s="135">
        <v>0.0</v>
      </c>
      <c r="T51" s="135">
        <v>0.0</v>
      </c>
      <c r="U51" s="135">
        <v>0.0</v>
      </c>
      <c r="V51" s="135">
        <v>0.0</v>
      </c>
      <c r="W51" s="135">
        <v>0.0</v>
      </c>
      <c r="X51" s="135">
        <v>0.0</v>
      </c>
      <c r="Y51" s="135">
        <v>0.0</v>
      </c>
      <c r="Z51" s="135">
        <v>0.0</v>
      </c>
      <c r="AA51" s="135">
        <v>0.0</v>
      </c>
      <c r="AB51" s="135">
        <v>0.0</v>
      </c>
      <c r="AC51" s="135">
        <v>0.0</v>
      </c>
      <c r="AD51" s="135">
        <v>0.0</v>
      </c>
      <c r="AE51" s="135">
        <v>0.0</v>
      </c>
      <c r="AF51" s="135">
        <v>0.0</v>
      </c>
      <c r="AG51" s="135">
        <v>0.0</v>
      </c>
      <c r="AH51" s="135">
        <v>0.0</v>
      </c>
      <c r="AI51" s="135">
        <v>0.0</v>
      </c>
      <c r="AJ51" s="135">
        <v>0.0</v>
      </c>
      <c r="AK51" s="135">
        <v>0.0</v>
      </c>
      <c r="AL51" s="135">
        <v>0.0</v>
      </c>
      <c r="AM51" s="135">
        <v>0.0</v>
      </c>
      <c r="AN51" s="137">
        <v>64.0</v>
      </c>
    </row>
    <row r="52">
      <c r="A52" s="104"/>
      <c r="B52" s="136" t="s">
        <v>201</v>
      </c>
      <c r="C52" s="137">
        <v>0.0</v>
      </c>
      <c r="D52" s="137">
        <v>0.0</v>
      </c>
      <c r="E52" s="137">
        <v>0.0</v>
      </c>
      <c r="F52" s="137">
        <v>0.0</v>
      </c>
      <c r="G52" s="137">
        <v>0.0</v>
      </c>
      <c r="H52" s="137">
        <v>0.0</v>
      </c>
      <c r="I52" s="137">
        <v>0.0</v>
      </c>
      <c r="J52" s="137">
        <v>0.0</v>
      </c>
      <c r="K52" s="137">
        <v>0.0</v>
      </c>
      <c r="L52" s="137">
        <v>0.0</v>
      </c>
      <c r="M52" s="137">
        <v>0.0</v>
      </c>
      <c r="N52" s="137">
        <v>0.0</v>
      </c>
      <c r="O52" s="137">
        <v>0.0</v>
      </c>
      <c r="P52" s="135">
        <v>0.0</v>
      </c>
      <c r="Q52" s="135">
        <v>0.0</v>
      </c>
      <c r="R52" s="135">
        <v>0.0</v>
      </c>
      <c r="S52" s="135">
        <v>0.0</v>
      </c>
      <c r="T52" s="135">
        <v>0.0</v>
      </c>
      <c r="U52" s="135">
        <v>0.0</v>
      </c>
      <c r="V52" s="135">
        <v>0.0</v>
      </c>
      <c r="W52" s="135">
        <v>0.0</v>
      </c>
      <c r="X52" s="135">
        <v>0.0</v>
      </c>
      <c r="Y52" s="135">
        <v>0.0</v>
      </c>
      <c r="Z52" s="135">
        <v>0.0</v>
      </c>
      <c r="AA52" s="135">
        <v>0.0</v>
      </c>
      <c r="AB52" s="135">
        <v>0.0</v>
      </c>
      <c r="AC52" s="135">
        <v>0.0</v>
      </c>
      <c r="AD52" s="135">
        <v>0.0</v>
      </c>
      <c r="AE52" s="135">
        <v>0.0</v>
      </c>
      <c r="AF52" s="135">
        <v>0.0</v>
      </c>
      <c r="AG52" s="135">
        <v>0.0</v>
      </c>
      <c r="AH52" s="135">
        <v>0.0</v>
      </c>
      <c r="AI52" s="135">
        <v>0.0</v>
      </c>
      <c r="AJ52" s="135">
        <v>0.0</v>
      </c>
      <c r="AK52" s="135">
        <v>0.0</v>
      </c>
      <c r="AL52" s="135">
        <v>0.0</v>
      </c>
      <c r="AM52" s="135">
        <v>0.0</v>
      </c>
      <c r="AN52" s="137">
        <v>0.0</v>
      </c>
    </row>
    <row r="53">
      <c r="A53" s="138" t="s">
        <v>241</v>
      </c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</row>
    <row r="54">
      <c r="A54" s="132" t="s">
        <v>197</v>
      </c>
      <c r="B54" s="133" t="s">
        <v>198</v>
      </c>
      <c r="C54" s="134">
        <v>104696.0</v>
      </c>
      <c r="D54" s="134">
        <v>38020.0</v>
      </c>
      <c r="E54" s="134">
        <v>66676.0</v>
      </c>
      <c r="F54" s="135">
        <v>0.0</v>
      </c>
      <c r="G54" s="135">
        <v>0.0</v>
      </c>
      <c r="H54" s="135">
        <v>0.0</v>
      </c>
      <c r="I54" s="135">
        <v>0.0</v>
      </c>
      <c r="J54" s="135">
        <v>0.0</v>
      </c>
      <c r="K54" s="135">
        <v>0.0</v>
      </c>
      <c r="L54" s="137">
        <v>44.0</v>
      </c>
      <c r="M54" s="137">
        <v>76.0</v>
      </c>
      <c r="N54" s="137">
        <v>62.0</v>
      </c>
      <c r="O54" s="137">
        <v>254.0</v>
      </c>
      <c r="P54" s="137">
        <v>188.0</v>
      </c>
      <c r="Q54" s="137">
        <v>446.0</v>
      </c>
      <c r="R54" s="137">
        <v>330.0</v>
      </c>
      <c r="S54" s="137">
        <v>630.0</v>
      </c>
      <c r="T54" s="137">
        <v>510.0</v>
      </c>
      <c r="U54" s="134">
        <v>1286.0</v>
      </c>
      <c r="V54" s="134">
        <v>1050.0</v>
      </c>
      <c r="W54" s="134">
        <v>1968.0</v>
      </c>
      <c r="X54" s="134">
        <v>1804.0</v>
      </c>
      <c r="Y54" s="134">
        <v>3618.0</v>
      </c>
      <c r="Z54" s="134">
        <v>2728.0</v>
      </c>
      <c r="AA54" s="134">
        <v>6278.0</v>
      </c>
      <c r="AB54" s="134">
        <v>4840.0</v>
      </c>
      <c r="AC54" s="134">
        <v>9164.0</v>
      </c>
      <c r="AD54" s="134">
        <v>5952.0</v>
      </c>
      <c r="AE54" s="134">
        <v>10378.0</v>
      </c>
      <c r="AF54" s="134">
        <v>6818.0</v>
      </c>
      <c r="AG54" s="134">
        <v>10640.0</v>
      </c>
      <c r="AH54" s="134">
        <v>5932.0</v>
      </c>
      <c r="AI54" s="134">
        <v>8844.0</v>
      </c>
      <c r="AJ54" s="134">
        <v>4124.0</v>
      </c>
      <c r="AK54" s="134">
        <v>6324.0</v>
      </c>
      <c r="AL54" s="134">
        <v>3638.0</v>
      </c>
      <c r="AM54" s="134">
        <v>6770.0</v>
      </c>
      <c r="AN54" s="134">
        <v>100912.0</v>
      </c>
    </row>
    <row r="55">
      <c r="A55" s="98"/>
      <c r="B55" s="136" t="s">
        <v>199</v>
      </c>
      <c r="C55" s="134">
        <v>22652.0</v>
      </c>
      <c r="D55" s="134">
        <v>8152.0</v>
      </c>
      <c r="E55" s="134">
        <v>14500.0</v>
      </c>
      <c r="F55" s="135">
        <v>0.0</v>
      </c>
      <c r="G55" s="135">
        <v>0.0</v>
      </c>
      <c r="H55" s="135">
        <v>0.0</v>
      </c>
      <c r="I55" s="135">
        <v>0.0</v>
      </c>
      <c r="J55" s="135">
        <v>0.0</v>
      </c>
      <c r="K55" s="135">
        <v>0.0</v>
      </c>
      <c r="L55" s="137">
        <v>4.0</v>
      </c>
      <c r="M55" s="137">
        <v>20.0</v>
      </c>
      <c r="N55" s="137">
        <v>8.0</v>
      </c>
      <c r="O55" s="137">
        <v>48.0</v>
      </c>
      <c r="P55" s="137">
        <v>20.0</v>
      </c>
      <c r="Q55" s="137">
        <v>86.0</v>
      </c>
      <c r="R55" s="137">
        <v>66.0</v>
      </c>
      <c r="S55" s="137">
        <v>108.0</v>
      </c>
      <c r="T55" s="137">
        <v>130.0</v>
      </c>
      <c r="U55" s="137">
        <v>336.0</v>
      </c>
      <c r="V55" s="137">
        <v>256.0</v>
      </c>
      <c r="W55" s="137">
        <v>456.0</v>
      </c>
      <c r="X55" s="137">
        <v>352.0</v>
      </c>
      <c r="Y55" s="137">
        <v>774.0</v>
      </c>
      <c r="Z55" s="137">
        <v>588.0</v>
      </c>
      <c r="AA55" s="134">
        <v>1476.0</v>
      </c>
      <c r="AB55" s="137">
        <v>892.0</v>
      </c>
      <c r="AC55" s="134">
        <v>1926.0</v>
      </c>
      <c r="AD55" s="134">
        <v>1158.0</v>
      </c>
      <c r="AE55" s="134">
        <v>2122.0</v>
      </c>
      <c r="AF55" s="134">
        <v>1316.0</v>
      </c>
      <c r="AG55" s="134">
        <v>2198.0</v>
      </c>
      <c r="AH55" s="134">
        <v>1426.0</v>
      </c>
      <c r="AI55" s="134">
        <v>1876.0</v>
      </c>
      <c r="AJ55" s="137">
        <v>954.0</v>
      </c>
      <c r="AK55" s="134">
        <v>1522.0</v>
      </c>
      <c r="AL55" s="137">
        <v>982.0</v>
      </c>
      <c r="AM55" s="134">
        <v>1552.0</v>
      </c>
      <c r="AN55" s="134">
        <v>22458.0</v>
      </c>
    </row>
    <row r="56">
      <c r="A56" s="98"/>
      <c r="B56" s="136" t="s">
        <v>200</v>
      </c>
      <c r="C56" s="134">
        <v>21616.0</v>
      </c>
      <c r="D56" s="134">
        <v>7406.0</v>
      </c>
      <c r="E56" s="134">
        <v>14210.0</v>
      </c>
      <c r="F56" s="135">
        <v>0.0</v>
      </c>
      <c r="G56" s="135">
        <v>0.0</v>
      </c>
      <c r="H56" s="135">
        <v>0.0</v>
      </c>
      <c r="I56" s="135">
        <v>0.0</v>
      </c>
      <c r="J56" s="135">
        <v>0.0</v>
      </c>
      <c r="K56" s="135">
        <v>0.0</v>
      </c>
      <c r="L56" s="137">
        <v>10.0</v>
      </c>
      <c r="M56" s="137">
        <v>16.0</v>
      </c>
      <c r="N56" s="137">
        <v>34.0</v>
      </c>
      <c r="O56" s="137">
        <v>80.0</v>
      </c>
      <c r="P56" s="137">
        <v>66.0</v>
      </c>
      <c r="Q56" s="137">
        <v>168.0</v>
      </c>
      <c r="R56" s="137">
        <v>100.0</v>
      </c>
      <c r="S56" s="137">
        <v>236.0</v>
      </c>
      <c r="T56" s="137">
        <v>142.0</v>
      </c>
      <c r="U56" s="137">
        <v>396.0</v>
      </c>
      <c r="V56" s="137">
        <v>314.0</v>
      </c>
      <c r="W56" s="137">
        <v>532.0</v>
      </c>
      <c r="X56" s="137">
        <v>448.0</v>
      </c>
      <c r="Y56" s="137">
        <v>912.0</v>
      </c>
      <c r="Z56" s="137">
        <v>610.0</v>
      </c>
      <c r="AA56" s="134">
        <v>1466.0</v>
      </c>
      <c r="AB56" s="137">
        <v>940.0</v>
      </c>
      <c r="AC56" s="134">
        <v>2054.0</v>
      </c>
      <c r="AD56" s="134">
        <v>1240.0</v>
      </c>
      <c r="AE56" s="134">
        <v>2254.0</v>
      </c>
      <c r="AF56" s="134">
        <v>1078.0</v>
      </c>
      <c r="AG56" s="134">
        <v>2184.0</v>
      </c>
      <c r="AH56" s="134">
        <v>1062.0</v>
      </c>
      <c r="AI56" s="134">
        <v>1688.0</v>
      </c>
      <c r="AJ56" s="137">
        <v>696.0</v>
      </c>
      <c r="AK56" s="134">
        <v>1150.0</v>
      </c>
      <c r="AL56" s="137">
        <v>666.0</v>
      </c>
      <c r="AM56" s="134">
        <v>1074.0</v>
      </c>
      <c r="AN56" s="134">
        <v>20682.0</v>
      </c>
    </row>
    <row r="57">
      <c r="A57" s="104"/>
      <c r="B57" s="136" t="s">
        <v>201</v>
      </c>
      <c r="C57" s="137">
        <v>524.0</v>
      </c>
      <c r="D57" s="137">
        <v>214.0</v>
      </c>
      <c r="E57" s="137">
        <v>310.0</v>
      </c>
      <c r="F57" s="135">
        <v>0.0</v>
      </c>
      <c r="G57" s="135">
        <v>0.0</v>
      </c>
      <c r="H57" s="135">
        <v>0.0</v>
      </c>
      <c r="I57" s="135">
        <v>0.0</v>
      </c>
      <c r="J57" s="135">
        <v>0.0</v>
      </c>
      <c r="K57" s="135">
        <v>0.0</v>
      </c>
      <c r="L57" s="137">
        <v>0.0</v>
      </c>
      <c r="M57" s="137">
        <v>0.0</v>
      </c>
      <c r="N57" s="137">
        <v>8.0</v>
      </c>
      <c r="O57" s="137">
        <v>0.0</v>
      </c>
      <c r="P57" s="137">
        <v>0.0</v>
      </c>
      <c r="Q57" s="137">
        <v>0.0</v>
      </c>
      <c r="R57" s="137">
        <v>8.0</v>
      </c>
      <c r="S57" s="137">
        <v>0.0</v>
      </c>
      <c r="T57" s="137">
        <v>0.0</v>
      </c>
      <c r="U57" s="137">
        <v>0.0</v>
      </c>
      <c r="V57" s="137">
        <v>4.0</v>
      </c>
      <c r="W57" s="137">
        <v>4.0</v>
      </c>
      <c r="X57" s="137">
        <v>6.0</v>
      </c>
      <c r="Y57" s="137">
        <v>14.0</v>
      </c>
      <c r="Z57" s="137">
        <v>18.0</v>
      </c>
      <c r="AA57" s="137">
        <v>12.0</v>
      </c>
      <c r="AB57" s="137">
        <v>30.0</v>
      </c>
      <c r="AC57" s="137">
        <v>14.0</v>
      </c>
      <c r="AD57" s="137">
        <v>10.0</v>
      </c>
      <c r="AE57" s="137">
        <v>30.0</v>
      </c>
      <c r="AF57" s="137">
        <v>10.0</v>
      </c>
      <c r="AG57" s="137">
        <v>168.0</v>
      </c>
      <c r="AH57" s="137">
        <v>26.0</v>
      </c>
      <c r="AI57" s="137">
        <v>18.0</v>
      </c>
      <c r="AJ57" s="137">
        <v>50.0</v>
      </c>
      <c r="AK57" s="137">
        <v>4.0</v>
      </c>
      <c r="AL57" s="137">
        <v>44.0</v>
      </c>
      <c r="AM57" s="137">
        <v>46.0</v>
      </c>
      <c r="AN57" s="137">
        <v>488.0</v>
      </c>
    </row>
    <row r="58">
      <c r="A58" s="132" t="s">
        <v>202</v>
      </c>
      <c r="B58" s="136" t="s">
        <v>198</v>
      </c>
      <c r="C58" s="137">
        <v>762.0</v>
      </c>
      <c r="D58" s="137">
        <v>444.0</v>
      </c>
      <c r="E58" s="137">
        <v>318.0</v>
      </c>
      <c r="F58" s="137">
        <v>8.0</v>
      </c>
      <c r="G58" s="137">
        <v>2.0</v>
      </c>
      <c r="H58" s="137">
        <v>6.0</v>
      </c>
      <c r="I58" s="137">
        <v>6.0</v>
      </c>
      <c r="J58" s="137">
        <v>6.0</v>
      </c>
      <c r="K58" s="137">
        <v>14.0</v>
      </c>
      <c r="L58" s="137">
        <v>22.0</v>
      </c>
      <c r="M58" s="137">
        <v>18.0</v>
      </c>
      <c r="N58" s="137">
        <v>24.0</v>
      </c>
      <c r="O58" s="137">
        <v>26.0</v>
      </c>
      <c r="P58" s="137">
        <v>34.0</v>
      </c>
      <c r="Q58" s="137">
        <v>52.0</v>
      </c>
      <c r="R58" s="137">
        <v>30.0</v>
      </c>
      <c r="S58" s="137">
        <v>42.0</v>
      </c>
      <c r="T58" s="137">
        <v>40.0</v>
      </c>
      <c r="U58" s="137">
        <v>28.0</v>
      </c>
      <c r="V58" s="137">
        <v>50.0</v>
      </c>
      <c r="W58" s="137">
        <v>20.0</v>
      </c>
      <c r="X58" s="137">
        <v>18.0</v>
      </c>
      <c r="Y58" s="137">
        <v>44.0</v>
      </c>
      <c r="Z58" s="137">
        <v>28.0</v>
      </c>
      <c r="AA58" s="137">
        <v>12.0</v>
      </c>
      <c r="AB58" s="137">
        <v>66.0</v>
      </c>
      <c r="AC58" s="137">
        <v>20.0</v>
      </c>
      <c r="AD58" s="137">
        <v>34.0</v>
      </c>
      <c r="AE58" s="137">
        <v>6.0</v>
      </c>
      <c r="AF58" s="137">
        <v>22.0</v>
      </c>
      <c r="AG58" s="137">
        <v>14.0</v>
      </c>
      <c r="AH58" s="137">
        <v>16.0</v>
      </c>
      <c r="AI58" s="137">
        <v>14.0</v>
      </c>
      <c r="AJ58" s="137">
        <v>16.0</v>
      </c>
      <c r="AK58" s="137">
        <v>0.0</v>
      </c>
      <c r="AL58" s="137">
        <v>24.0</v>
      </c>
      <c r="AM58" s="137">
        <v>0.0</v>
      </c>
      <c r="AN58" s="137">
        <v>760.0</v>
      </c>
    </row>
    <row r="59">
      <c r="A59" s="104"/>
      <c r="B59" s="136" t="s">
        <v>199</v>
      </c>
      <c r="C59" s="134">
        <v>4958.0</v>
      </c>
      <c r="D59" s="134">
        <v>2518.0</v>
      </c>
      <c r="E59" s="134">
        <v>2440.0</v>
      </c>
      <c r="F59" s="137">
        <v>22.0</v>
      </c>
      <c r="G59" s="137">
        <v>10.0</v>
      </c>
      <c r="H59" s="137">
        <v>4.0</v>
      </c>
      <c r="I59" s="137">
        <v>10.0</v>
      </c>
      <c r="J59" s="137">
        <v>6.0</v>
      </c>
      <c r="K59" s="137">
        <v>42.0</v>
      </c>
      <c r="L59" s="137">
        <v>12.0</v>
      </c>
      <c r="M59" s="137">
        <v>24.0</v>
      </c>
      <c r="N59" s="137">
        <v>242.0</v>
      </c>
      <c r="O59" s="137">
        <v>132.0</v>
      </c>
      <c r="P59" s="137">
        <v>58.0</v>
      </c>
      <c r="Q59" s="137">
        <v>412.0</v>
      </c>
      <c r="R59" s="137">
        <v>240.0</v>
      </c>
      <c r="S59" s="137">
        <v>500.0</v>
      </c>
      <c r="T59" s="137">
        <v>214.0</v>
      </c>
      <c r="U59" s="137">
        <v>270.0</v>
      </c>
      <c r="V59" s="137">
        <v>82.0</v>
      </c>
      <c r="W59" s="137">
        <v>210.0</v>
      </c>
      <c r="X59" s="137">
        <v>164.0</v>
      </c>
      <c r="Y59" s="137">
        <v>148.0</v>
      </c>
      <c r="Z59" s="137">
        <v>418.0</v>
      </c>
      <c r="AA59" s="137">
        <v>290.0</v>
      </c>
      <c r="AB59" s="137">
        <v>336.0</v>
      </c>
      <c r="AC59" s="137">
        <v>96.0</v>
      </c>
      <c r="AD59" s="137">
        <v>334.0</v>
      </c>
      <c r="AE59" s="137">
        <v>30.0</v>
      </c>
      <c r="AF59" s="137">
        <v>230.0</v>
      </c>
      <c r="AG59" s="137">
        <v>86.0</v>
      </c>
      <c r="AH59" s="137">
        <v>22.0</v>
      </c>
      <c r="AI59" s="137">
        <v>168.0</v>
      </c>
      <c r="AJ59" s="137">
        <v>120.0</v>
      </c>
      <c r="AK59" s="137">
        <v>8.0</v>
      </c>
      <c r="AL59" s="137">
        <v>14.0</v>
      </c>
      <c r="AM59" s="137">
        <v>4.0</v>
      </c>
      <c r="AN59" s="134">
        <v>4972.0</v>
      </c>
    </row>
    <row r="60">
      <c r="A60" s="132" t="s">
        <v>203</v>
      </c>
      <c r="B60" s="136" t="s">
        <v>198</v>
      </c>
      <c r="C60" s="137">
        <v>14.0</v>
      </c>
      <c r="D60" s="137">
        <v>8.0</v>
      </c>
      <c r="E60" s="137">
        <v>6.0</v>
      </c>
      <c r="F60" s="135">
        <v>0.0</v>
      </c>
      <c r="G60" s="135">
        <v>0.0</v>
      </c>
      <c r="H60" s="135">
        <v>0.0</v>
      </c>
      <c r="I60" s="135">
        <v>0.0</v>
      </c>
      <c r="J60" s="135">
        <v>0.0</v>
      </c>
      <c r="K60" s="135">
        <v>0.0</v>
      </c>
      <c r="L60" s="135">
        <v>0.0</v>
      </c>
      <c r="M60" s="135">
        <v>0.0</v>
      </c>
      <c r="N60" s="135">
        <v>0.0</v>
      </c>
      <c r="O60" s="135">
        <v>0.0</v>
      </c>
      <c r="P60" s="135">
        <v>0.0</v>
      </c>
      <c r="Q60" s="135">
        <v>0.0</v>
      </c>
      <c r="R60" s="135">
        <v>0.0</v>
      </c>
      <c r="S60" s="135">
        <v>0.0</v>
      </c>
      <c r="T60" s="135">
        <v>0.0</v>
      </c>
      <c r="U60" s="135">
        <v>0.0</v>
      </c>
      <c r="V60" s="135">
        <v>0.0</v>
      </c>
      <c r="W60" s="135">
        <v>0.0</v>
      </c>
      <c r="X60" s="135">
        <v>0.0</v>
      </c>
      <c r="Y60" s="135">
        <v>0.0</v>
      </c>
      <c r="Z60" s="135">
        <v>0.0</v>
      </c>
      <c r="AA60" s="135">
        <v>0.0</v>
      </c>
      <c r="AB60" s="135">
        <v>0.0</v>
      </c>
      <c r="AC60" s="135">
        <v>0.0</v>
      </c>
      <c r="AD60" s="135">
        <v>0.0</v>
      </c>
      <c r="AE60" s="135">
        <v>0.0</v>
      </c>
      <c r="AF60" s="137">
        <v>6.0</v>
      </c>
      <c r="AG60" s="137">
        <v>4.0</v>
      </c>
      <c r="AH60" s="137">
        <v>0.0</v>
      </c>
      <c r="AI60" s="137">
        <v>0.0</v>
      </c>
      <c r="AJ60" s="137">
        <v>0.0</v>
      </c>
      <c r="AK60" s="137">
        <v>2.0</v>
      </c>
      <c r="AL60" s="137">
        <v>2.0</v>
      </c>
      <c r="AM60" s="137">
        <v>0.0</v>
      </c>
      <c r="AN60" s="137">
        <v>14.0</v>
      </c>
    </row>
    <row r="61">
      <c r="A61" s="104"/>
      <c r="B61" s="136" t="s">
        <v>199</v>
      </c>
      <c r="C61" s="134">
        <v>1346.0</v>
      </c>
      <c r="D61" s="137">
        <v>524.0</v>
      </c>
      <c r="E61" s="137">
        <v>822.0</v>
      </c>
      <c r="F61" s="135">
        <v>0.0</v>
      </c>
      <c r="G61" s="135">
        <v>0.0</v>
      </c>
      <c r="H61" s="135">
        <v>0.0</v>
      </c>
      <c r="I61" s="135">
        <v>0.0</v>
      </c>
      <c r="J61" s="135">
        <v>0.0</v>
      </c>
      <c r="K61" s="135">
        <v>0.0</v>
      </c>
      <c r="L61" s="135">
        <v>0.0</v>
      </c>
      <c r="M61" s="135">
        <v>0.0</v>
      </c>
      <c r="N61" s="135">
        <v>0.0</v>
      </c>
      <c r="O61" s="135">
        <v>0.0</v>
      </c>
      <c r="P61" s="135">
        <v>0.0</v>
      </c>
      <c r="Q61" s="135">
        <v>0.0</v>
      </c>
      <c r="R61" s="135">
        <v>0.0</v>
      </c>
      <c r="S61" s="135">
        <v>0.0</v>
      </c>
      <c r="T61" s="135">
        <v>0.0</v>
      </c>
      <c r="U61" s="135">
        <v>0.0</v>
      </c>
      <c r="V61" s="135">
        <v>0.0</v>
      </c>
      <c r="W61" s="135">
        <v>0.0</v>
      </c>
      <c r="X61" s="135">
        <v>0.0</v>
      </c>
      <c r="Y61" s="135">
        <v>0.0</v>
      </c>
      <c r="Z61" s="135">
        <v>0.0</v>
      </c>
      <c r="AA61" s="135">
        <v>0.0</v>
      </c>
      <c r="AB61" s="135">
        <v>0.0</v>
      </c>
      <c r="AC61" s="135">
        <v>0.0</v>
      </c>
      <c r="AD61" s="135">
        <v>0.0</v>
      </c>
      <c r="AE61" s="135">
        <v>0.0</v>
      </c>
      <c r="AF61" s="137">
        <v>100.0</v>
      </c>
      <c r="AG61" s="137">
        <v>226.0</v>
      </c>
      <c r="AH61" s="137">
        <v>178.0</v>
      </c>
      <c r="AI61" s="137">
        <v>246.0</v>
      </c>
      <c r="AJ61" s="137">
        <v>132.0</v>
      </c>
      <c r="AK61" s="137">
        <v>194.0</v>
      </c>
      <c r="AL61" s="137">
        <v>114.0</v>
      </c>
      <c r="AM61" s="137">
        <v>156.0</v>
      </c>
      <c r="AN61" s="134">
        <v>1216.0</v>
      </c>
    </row>
    <row r="62">
      <c r="A62" s="132" t="s">
        <v>204</v>
      </c>
      <c r="B62" s="136" t="s">
        <v>198</v>
      </c>
      <c r="C62" s="137">
        <v>12.0</v>
      </c>
      <c r="D62" s="137">
        <v>0.0</v>
      </c>
      <c r="E62" s="137">
        <v>12.0</v>
      </c>
      <c r="F62" s="135">
        <v>0.0</v>
      </c>
      <c r="G62" s="135">
        <v>0.0</v>
      </c>
      <c r="H62" s="135">
        <v>0.0</v>
      </c>
      <c r="I62" s="135">
        <v>0.0</v>
      </c>
      <c r="J62" s="135">
        <v>0.0</v>
      </c>
      <c r="K62" s="135">
        <v>0.0</v>
      </c>
      <c r="L62" s="135">
        <v>0.0</v>
      </c>
      <c r="M62" s="135">
        <v>0.0</v>
      </c>
      <c r="N62" s="135">
        <v>0.0</v>
      </c>
      <c r="O62" s="135">
        <v>0.0</v>
      </c>
      <c r="P62" s="135">
        <v>0.0</v>
      </c>
      <c r="Q62" s="135">
        <v>0.0</v>
      </c>
      <c r="R62" s="135">
        <v>0.0</v>
      </c>
      <c r="S62" s="135">
        <v>0.0</v>
      </c>
      <c r="T62" s="135">
        <v>0.0</v>
      </c>
      <c r="U62" s="135">
        <v>0.0</v>
      </c>
      <c r="V62" s="135">
        <v>0.0</v>
      </c>
      <c r="W62" s="135">
        <v>0.0</v>
      </c>
      <c r="X62" s="135">
        <v>0.0</v>
      </c>
      <c r="Y62" s="135">
        <v>0.0</v>
      </c>
      <c r="Z62" s="135">
        <v>0.0</v>
      </c>
      <c r="AA62" s="135">
        <v>0.0</v>
      </c>
      <c r="AB62" s="135">
        <v>0.0</v>
      </c>
      <c r="AC62" s="135">
        <v>0.0</v>
      </c>
      <c r="AD62" s="135">
        <v>0.0</v>
      </c>
      <c r="AE62" s="135">
        <v>0.0</v>
      </c>
      <c r="AF62" s="137">
        <v>0.0</v>
      </c>
      <c r="AG62" s="137">
        <v>0.0</v>
      </c>
      <c r="AH62" s="137">
        <v>0.0</v>
      </c>
      <c r="AI62" s="137">
        <v>8.0</v>
      </c>
      <c r="AJ62" s="137">
        <v>0.0</v>
      </c>
      <c r="AK62" s="137">
        <v>2.0</v>
      </c>
      <c r="AL62" s="137">
        <v>0.0</v>
      </c>
      <c r="AM62" s="137">
        <v>2.0</v>
      </c>
      <c r="AN62" s="137">
        <v>12.0</v>
      </c>
    </row>
    <row r="63">
      <c r="A63" s="104"/>
      <c r="B63" s="136" t="s">
        <v>199</v>
      </c>
      <c r="C63" s="134">
        <v>1112.0</v>
      </c>
      <c r="D63" s="137">
        <v>360.0</v>
      </c>
      <c r="E63" s="137">
        <v>752.0</v>
      </c>
      <c r="F63" s="135">
        <v>0.0</v>
      </c>
      <c r="G63" s="135">
        <v>0.0</v>
      </c>
      <c r="H63" s="135">
        <v>0.0</v>
      </c>
      <c r="I63" s="135">
        <v>0.0</v>
      </c>
      <c r="J63" s="135">
        <v>0.0</v>
      </c>
      <c r="K63" s="135">
        <v>0.0</v>
      </c>
      <c r="L63" s="135">
        <v>0.0</v>
      </c>
      <c r="M63" s="135">
        <v>0.0</v>
      </c>
      <c r="N63" s="135">
        <v>0.0</v>
      </c>
      <c r="O63" s="135">
        <v>0.0</v>
      </c>
      <c r="P63" s="135">
        <v>0.0</v>
      </c>
      <c r="Q63" s="135">
        <v>0.0</v>
      </c>
      <c r="R63" s="135">
        <v>0.0</v>
      </c>
      <c r="S63" s="135">
        <v>0.0</v>
      </c>
      <c r="T63" s="135">
        <v>0.0</v>
      </c>
      <c r="U63" s="135">
        <v>0.0</v>
      </c>
      <c r="V63" s="135">
        <v>0.0</v>
      </c>
      <c r="W63" s="135">
        <v>0.0</v>
      </c>
      <c r="X63" s="135">
        <v>0.0</v>
      </c>
      <c r="Y63" s="135">
        <v>0.0</v>
      </c>
      <c r="Z63" s="135">
        <v>0.0</v>
      </c>
      <c r="AA63" s="135">
        <v>0.0</v>
      </c>
      <c r="AB63" s="135">
        <v>0.0</v>
      </c>
      <c r="AC63" s="135">
        <v>0.0</v>
      </c>
      <c r="AD63" s="135">
        <v>0.0</v>
      </c>
      <c r="AE63" s="135">
        <v>0.0</v>
      </c>
      <c r="AF63" s="137">
        <v>40.0</v>
      </c>
      <c r="AG63" s="137">
        <v>76.0</v>
      </c>
      <c r="AH63" s="137">
        <v>60.0</v>
      </c>
      <c r="AI63" s="137">
        <v>130.0</v>
      </c>
      <c r="AJ63" s="137">
        <v>48.0</v>
      </c>
      <c r="AK63" s="137">
        <v>118.0</v>
      </c>
      <c r="AL63" s="137">
        <v>212.0</v>
      </c>
      <c r="AM63" s="137">
        <v>428.0</v>
      </c>
      <c r="AN63" s="134">
        <v>1096.0</v>
      </c>
    </row>
    <row r="64">
      <c r="A64" s="132" t="s">
        <v>205</v>
      </c>
      <c r="B64" s="136" t="s">
        <v>198</v>
      </c>
      <c r="C64" s="137">
        <v>6.0</v>
      </c>
      <c r="D64" s="137">
        <v>0.0</v>
      </c>
      <c r="E64" s="137">
        <v>6.0</v>
      </c>
      <c r="F64" s="137">
        <v>0.0</v>
      </c>
      <c r="G64" s="137">
        <v>0.0</v>
      </c>
      <c r="H64" s="137">
        <v>0.0</v>
      </c>
      <c r="I64" s="137">
        <v>0.0</v>
      </c>
      <c r="J64" s="137">
        <v>0.0</v>
      </c>
      <c r="K64" s="137">
        <v>0.0</v>
      </c>
      <c r="L64" s="137">
        <v>0.0</v>
      </c>
      <c r="M64" s="137">
        <v>0.0</v>
      </c>
      <c r="N64" s="137">
        <v>0.0</v>
      </c>
      <c r="O64" s="137">
        <v>0.0</v>
      </c>
      <c r="P64" s="137">
        <v>0.0</v>
      </c>
      <c r="Q64" s="137">
        <v>0.0</v>
      </c>
      <c r="R64" s="137">
        <v>0.0</v>
      </c>
      <c r="S64" s="137">
        <v>0.0</v>
      </c>
      <c r="T64" s="137">
        <v>0.0</v>
      </c>
      <c r="U64" s="137">
        <v>0.0</v>
      </c>
      <c r="V64" s="137">
        <v>0.0</v>
      </c>
      <c r="W64" s="137">
        <v>0.0</v>
      </c>
      <c r="X64" s="137">
        <v>0.0</v>
      </c>
      <c r="Y64" s="137">
        <v>0.0</v>
      </c>
      <c r="Z64" s="137">
        <v>0.0</v>
      </c>
      <c r="AA64" s="137">
        <v>2.0</v>
      </c>
      <c r="AB64" s="137">
        <v>0.0</v>
      </c>
      <c r="AC64" s="137">
        <v>0.0</v>
      </c>
      <c r="AD64" s="137">
        <v>0.0</v>
      </c>
      <c r="AE64" s="137">
        <v>0.0</v>
      </c>
      <c r="AF64" s="137">
        <v>0.0</v>
      </c>
      <c r="AG64" s="137">
        <v>0.0</v>
      </c>
      <c r="AH64" s="137">
        <v>0.0</v>
      </c>
      <c r="AI64" s="137">
        <v>2.0</v>
      </c>
      <c r="AJ64" s="137">
        <v>0.0</v>
      </c>
      <c r="AK64" s="137">
        <v>0.0</v>
      </c>
      <c r="AL64" s="137">
        <v>0.0</v>
      </c>
      <c r="AM64" s="137">
        <v>2.0</v>
      </c>
      <c r="AN64" s="137">
        <v>6.0</v>
      </c>
    </row>
    <row r="65">
      <c r="A65" s="98"/>
      <c r="B65" s="136" t="s">
        <v>199</v>
      </c>
      <c r="C65" s="137">
        <v>44.0</v>
      </c>
      <c r="D65" s="137">
        <v>16.0</v>
      </c>
      <c r="E65" s="137">
        <v>28.0</v>
      </c>
      <c r="F65" s="137">
        <v>0.0</v>
      </c>
      <c r="G65" s="137">
        <v>2.0</v>
      </c>
      <c r="H65" s="137">
        <v>0.0</v>
      </c>
      <c r="I65" s="137">
        <v>0.0</v>
      </c>
      <c r="J65" s="137">
        <v>0.0</v>
      </c>
      <c r="K65" s="137">
        <v>0.0</v>
      </c>
      <c r="L65" s="137">
        <v>0.0</v>
      </c>
      <c r="M65" s="137">
        <v>0.0</v>
      </c>
      <c r="N65" s="137">
        <v>0.0</v>
      </c>
      <c r="O65" s="137">
        <v>0.0</v>
      </c>
      <c r="P65" s="137">
        <v>0.0</v>
      </c>
      <c r="Q65" s="137">
        <v>0.0</v>
      </c>
      <c r="R65" s="137">
        <v>0.0</v>
      </c>
      <c r="S65" s="137">
        <v>0.0</v>
      </c>
      <c r="T65" s="137">
        <v>0.0</v>
      </c>
      <c r="U65" s="137">
        <v>0.0</v>
      </c>
      <c r="V65" s="137">
        <v>4.0</v>
      </c>
      <c r="W65" s="137">
        <v>0.0</v>
      </c>
      <c r="X65" s="137">
        <v>2.0</v>
      </c>
      <c r="Y65" s="137">
        <v>0.0</v>
      </c>
      <c r="Z65" s="137">
        <v>4.0</v>
      </c>
      <c r="AA65" s="137">
        <v>16.0</v>
      </c>
      <c r="AB65" s="137">
        <v>4.0</v>
      </c>
      <c r="AC65" s="137">
        <v>8.0</v>
      </c>
      <c r="AD65" s="137">
        <v>2.0</v>
      </c>
      <c r="AE65" s="137">
        <v>0.0</v>
      </c>
      <c r="AF65" s="137">
        <v>0.0</v>
      </c>
      <c r="AG65" s="137">
        <v>0.0</v>
      </c>
      <c r="AH65" s="137">
        <v>0.0</v>
      </c>
      <c r="AI65" s="137">
        <v>2.0</v>
      </c>
      <c r="AJ65" s="137">
        <v>0.0</v>
      </c>
      <c r="AK65" s="137">
        <v>0.0</v>
      </c>
      <c r="AL65" s="137">
        <v>0.0</v>
      </c>
      <c r="AM65" s="137">
        <v>0.0</v>
      </c>
      <c r="AN65" s="137">
        <v>42.0</v>
      </c>
    </row>
    <row r="66">
      <c r="A66" s="104"/>
      <c r="B66" s="136" t="s">
        <v>206</v>
      </c>
      <c r="C66" s="137">
        <v>76.0</v>
      </c>
      <c r="D66" s="137">
        <v>4.0</v>
      </c>
      <c r="E66" s="137">
        <v>72.0</v>
      </c>
      <c r="F66" s="137">
        <v>0.0</v>
      </c>
      <c r="G66" s="137">
        <v>28.0</v>
      </c>
      <c r="H66" s="137">
        <v>0.0</v>
      </c>
      <c r="I66" s="137">
        <v>0.0</v>
      </c>
      <c r="J66" s="137">
        <v>0.0</v>
      </c>
      <c r="K66" s="137">
        <v>0.0</v>
      </c>
      <c r="L66" s="137">
        <v>0.0</v>
      </c>
      <c r="M66" s="137">
        <v>6.0</v>
      </c>
      <c r="N66" s="137">
        <v>0.0</v>
      </c>
      <c r="O66" s="137">
        <v>10.0</v>
      </c>
      <c r="P66" s="137">
        <v>4.0</v>
      </c>
      <c r="Q66" s="137">
        <v>14.0</v>
      </c>
      <c r="R66" s="137">
        <v>0.0</v>
      </c>
      <c r="S66" s="137">
        <v>4.0</v>
      </c>
      <c r="T66" s="137">
        <v>0.0</v>
      </c>
      <c r="U66" s="137">
        <v>6.0</v>
      </c>
      <c r="V66" s="137">
        <v>0.0</v>
      </c>
      <c r="W66" s="137">
        <v>0.0</v>
      </c>
      <c r="X66" s="137">
        <v>0.0</v>
      </c>
      <c r="Y66" s="137">
        <v>2.0</v>
      </c>
      <c r="Z66" s="137">
        <v>0.0</v>
      </c>
      <c r="AA66" s="137">
        <v>0.0</v>
      </c>
      <c r="AB66" s="137">
        <v>0.0</v>
      </c>
      <c r="AC66" s="137">
        <v>0.0</v>
      </c>
      <c r="AD66" s="137">
        <v>0.0</v>
      </c>
      <c r="AE66" s="137">
        <v>0.0</v>
      </c>
      <c r="AF66" s="137">
        <v>0.0</v>
      </c>
      <c r="AG66" s="137">
        <v>0.0</v>
      </c>
      <c r="AH66" s="137">
        <v>0.0</v>
      </c>
      <c r="AI66" s="137">
        <v>2.0</v>
      </c>
      <c r="AJ66" s="137">
        <v>0.0</v>
      </c>
      <c r="AK66" s="137">
        <v>0.0</v>
      </c>
      <c r="AL66" s="137">
        <v>0.0</v>
      </c>
      <c r="AM66" s="137">
        <v>0.0</v>
      </c>
      <c r="AN66" s="137">
        <v>48.0</v>
      </c>
    </row>
    <row r="67">
      <c r="A67" s="132" t="s">
        <v>207</v>
      </c>
      <c r="B67" s="136" t="s">
        <v>198</v>
      </c>
      <c r="C67" s="134">
        <v>44468.0</v>
      </c>
      <c r="D67" s="134">
        <v>10252.0</v>
      </c>
      <c r="E67" s="134">
        <v>34216.0</v>
      </c>
      <c r="F67" s="137">
        <v>304.0</v>
      </c>
      <c r="G67" s="137">
        <v>368.0</v>
      </c>
      <c r="H67" s="137">
        <v>138.0</v>
      </c>
      <c r="I67" s="137">
        <v>136.0</v>
      </c>
      <c r="J67" s="137">
        <v>94.0</v>
      </c>
      <c r="K67" s="137">
        <v>134.0</v>
      </c>
      <c r="L67" s="137">
        <v>162.0</v>
      </c>
      <c r="M67" s="137">
        <v>310.0</v>
      </c>
      <c r="N67" s="137">
        <v>138.0</v>
      </c>
      <c r="O67" s="137">
        <v>542.0</v>
      </c>
      <c r="P67" s="137">
        <v>180.0</v>
      </c>
      <c r="Q67" s="137">
        <v>910.0</v>
      </c>
      <c r="R67" s="137">
        <v>248.0</v>
      </c>
      <c r="S67" s="137">
        <v>918.0</v>
      </c>
      <c r="T67" s="137">
        <v>276.0</v>
      </c>
      <c r="U67" s="134">
        <v>1088.0</v>
      </c>
      <c r="V67" s="137">
        <v>284.0</v>
      </c>
      <c r="W67" s="134">
        <v>1194.0</v>
      </c>
      <c r="X67" s="137">
        <v>356.0</v>
      </c>
      <c r="Y67" s="134">
        <v>1626.0</v>
      </c>
      <c r="Z67" s="137">
        <v>498.0</v>
      </c>
      <c r="AA67" s="134">
        <v>2364.0</v>
      </c>
      <c r="AB67" s="137">
        <v>800.0</v>
      </c>
      <c r="AC67" s="134">
        <v>3858.0</v>
      </c>
      <c r="AD67" s="134">
        <v>1252.0</v>
      </c>
      <c r="AE67" s="134">
        <v>4466.0</v>
      </c>
      <c r="AF67" s="134">
        <v>1350.0</v>
      </c>
      <c r="AG67" s="134">
        <v>5134.0</v>
      </c>
      <c r="AH67" s="134">
        <v>1512.0</v>
      </c>
      <c r="AI67" s="134">
        <v>4272.0</v>
      </c>
      <c r="AJ67" s="134">
        <v>1236.0</v>
      </c>
      <c r="AK67" s="134">
        <v>3316.0</v>
      </c>
      <c r="AL67" s="134">
        <v>1424.0</v>
      </c>
      <c r="AM67" s="134">
        <v>3580.0</v>
      </c>
      <c r="AN67" s="134">
        <v>43836.0</v>
      </c>
    </row>
    <row r="68">
      <c r="A68" s="98"/>
      <c r="B68" s="136" t="s">
        <v>199</v>
      </c>
      <c r="C68" s="134">
        <v>4874.0</v>
      </c>
      <c r="D68" s="134">
        <v>1400.0</v>
      </c>
      <c r="E68" s="134">
        <v>3474.0</v>
      </c>
      <c r="F68" s="137">
        <v>264.0</v>
      </c>
      <c r="G68" s="137">
        <v>280.0</v>
      </c>
      <c r="H68" s="137">
        <v>60.0</v>
      </c>
      <c r="I68" s="137">
        <v>80.0</v>
      </c>
      <c r="J68" s="137">
        <v>60.0</v>
      </c>
      <c r="K68" s="137">
        <v>28.0</v>
      </c>
      <c r="L68" s="137">
        <v>20.0</v>
      </c>
      <c r="M68" s="137">
        <v>52.0</v>
      </c>
      <c r="N68" s="137">
        <v>30.0</v>
      </c>
      <c r="O68" s="137">
        <v>88.0</v>
      </c>
      <c r="P68" s="137">
        <v>20.0</v>
      </c>
      <c r="Q68" s="137">
        <v>148.0</v>
      </c>
      <c r="R68" s="137">
        <v>34.0</v>
      </c>
      <c r="S68" s="137">
        <v>146.0</v>
      </c>
      <c r="T68" s="137">
        <v>6.0</v>
      </c>
      <c r="U68" s="137">
        <v>122.0</v>
      </c>
      <c r="V68" s="137">
        <v>36.0</v>
      </c>
      <c r="W68" s="137">
        <v>186.0</v>
      </c>
      <c r="X68" s="137">
        <v>98.0</v>
      </c>
      <c r="Y68" s="137">
        <v>222.0</v>
      </c>
      <c r="Z68" s="137">
        <v>88.0</v>
      </c>
      <c r="AA68" s="137">
        <v>282.0</v>
      </c>
      <c r="AB68" s="137">
        <v>88.0</v>
      </c>
      <c r="AC68" s="137">
        <v>404.0</v>
      </c>
      <c r="AD68" s="137">
        <v>108.0</v>
      </c>
      <c r="AE68" s="137">
        <v>370.0</v>
      </c>
      <c r="AF68" s="137">
        <v>126.0</v>
      </c>
      <c r="AG68" s="137">
        <v>314.0</v>
      </c>
      <c r="AH68" s="137">
        <v>110.0</v>
      </c>
      <c r="AI68" s="137">
        <v>288.0</v>
      </c>
      <c r="AJ68" s="137">
        <v>94.0</v>
      </c>
      <c r="AK68" s="137">
        <v>184.0</v>
      </c>
      <c r="AL68" s="137">
        <v>158.0</v>
      </c>
      <c r="AM68" s="137">
        <v>280.0</v>
      </c>
      <c r="AN68" s="134">
        <v>4716.0</v>
      </c>
    </row>
    <row r="69">
      <c r="A69" s="98"/>
      <c r="B69" s="136" t="s">
        <v>206</v>
      </c>
      <c r="C69" s="134">
        <v>1488.0</v>
      </c>
      <c r="D69" s="137">
        <v>516.0</v>
      </c>
      <c r="E69" s="137">
        <v>972.0</v>
      </c>
      <c r="F69" s="137">
        <v>492.0</v>
      </c>
      <c r="G69" s="137">
        <v>486.0</v>
      </c>
      <c r="H69" s="137">
        <v>0.0</v>
      </c>
      <c r="I69" s="137">
        <v>2.0</v>
      </c>
      <c r="J69" s="137">
        <v>0.0</v>
      </c>
      <c r="K69" s="137">
        <v>2.0</v>
      </c>
      <c r="L69" s="137">
        <v>0.0</v>
      </c>
      <c r="M69" s="137">
        <v>12.0</v>
      </c>
      <c r="N69" s="137">
        <v>0.0</v>
      </c>
      <c r="O69" s="137">
        <v>54.0</v>
      </c>
      <c r="P69" s="137">
        <v>0.0</v>
      </c>
      <c r="Q69" s="137">
        <v>58.0</v>
      </c>
      <c r="R69" s="137">
        <v>0.0</v>
      </c>
      <c r="S69" s="137">
        <v>40.0</v>
      </c>
      <c r="T69" s="137">
        <v>0.0</v>
      </c>
      <c r="U69" s="137">
        <v>22.0</v>
      </c>
      <c r="V69" s="137">
        <v>0.0</v>
      </c>
      <c r="W69" s="137">
        <v>52.0</v>
      </c>
      <c r="X69" s="137">
        <v>2.0</v>
      </c>
      <c r="Y69" s="137">
        <v>44.0</v>
      </c>
      <c r="Z69" s="137">
        <v>0.0</v>
      </c>
      <c r="AA69" s="137">
        <v>46.0</v>
      </c>
      <c r="AB69" s="137">
        <v>4.0</v>
      </c>
      <c r="AC69" s="137">
        <v>36.0</v>
      </c>
      <c r="AD69" s="137">
        <v>2.0</v>
      </c>
      <c r="AE69" s="137">
        <v>36.0</v>
      </c>
      <c r="AF69" s="137">
        <v>8.0</v>
      </c>
      <c r="AG69" s="137">
        <v>44.0</v>
      </c>
      <c r="AH69" s="137">
        <v>6.0</v>
      </c>
      <c r="AI69" s="137">
        <v>28.0</v>
      </c>
      <c r="AJ69" s="137">
        <v>2.0</v>
      </c>
      <c r="AK69" s="137">
        <v>8.0</v>
      </c>
      <c r="AL69" s="137">
        <v>0.0</v>
      </c>
      <c r="AM69" s="137">
        <v>2.0</v>
      </c>
      <c r="AN69" s="134">
        <v>1488.0</v>
      </c>
    </row>
    <row r="70">
      <c r="A70" s="98"/>
      <c r="B70" s="136" t="s">
        <v>200</v>
      </c>
      <c r="C70" s="134">
        <v>7090.0</v>
      </c>
      <c r="D70" s="134">
        <v>1982.0</v>
      </c>
      <c r="E70" s="134">
        <v>5108.0</v>
      </c>
      <c r="F70" s="137">
        <v>246.0</v>
      </c>
      <c r="G70" s="137">
        <v>294.0</v>
      </c>
      <c r="H70" s="137">
        <v>90.0</v>
      </c>
      <c r="I70" s="137">
        <v>100.0</v>
      </c>
      <c r="J70" s="137">
        <v>62.0</v>
      </c>
      <c r="K70" s="137">
        <v>66.0</v>
      </c>
      <c r="L70" s="137">
        <v>42.0</v>
      </c>
      <c r="M70" s="137">
        <v>140.0</v>
      </c>
      <c r="N70" s="137">
        <v>44.0</v>
      </c>
      <c r="O70" s="137">
        <v>218.0</v>
      </c>
      <c r="P70" s="137">
        <v>54.0</v>
      </c>
      <c r="Q70" s="137">
        <v>266.0</v>
      </c>
      <c r="R70" s="137">
        <v>38.0</v>
      </c>
      <c r="S70" s="137">
        <v>204.0</v>
      </c>
      <c r="T70" s="137">
        <v>40.0</v>
      </c>
      <c r="U70" s="137">
        <v>242.0</v>
      </c>
      <c r="V70" s="137">
        <v>80.0</v>
      </c>
      <c r="W70" s="137">
        <v>214.0</v>
      </c>
      <c r="X70" s="137">
        <v>96.0</v>
      </c>
      <c r="Y70" s="137">
        <v>280.0</v>
      </c>
      <c r="Z70" s="137">
        <v>92.0</v>
      </c>
      <c r="AA70" s="137">
        <v>366.0</v>
      </c>
      <c r="AB70" s="137">
        <v>132.0</v>
      </c>
      <c r="AC70" s="137">
        <v>488.0</v>
      </c>
      <c r="AD70" s="137">
        <v>216.0</v>
      </c>
      <c r="AE70" s="137">
        <v>538.0</v>
      </c>
      <c r="AF70" s="137">
        <v>232.0</v>
      </c>
      <c r="AG70" s="137">
        <v>616.0</v>
      </c>
      <c r="AH70" s="137">
        <v>222.0</v>
      </c>
      <c r="AI70" s="137">
        <v>466.0</v>
      </c>
      <c r="AJ70" s="137">
        <v>144.0</v>
      </c>
      <c r="AK70" s="137">
        <v>290.0</v>
      </c>
      <c r="AL70" s="137">
        <v>152.0</v>
      </c>
      <c r="AM70" s="137">
        <v>320.0</v>
      </c>
      <c r="AN70" s="134">
        <v>6692.0</v>
      </c>
    </row>
    <row r="71">
      <c r="A71" s="104"/>
      <c r="B71" s="136" t="s">
        <v>201</v>
      </c>
      <c r="C71" s="134">
        <v>2310.0</v>
      </c>
      <c r="D71" s="137">
        <v>994.0</v>
      </c>
      <c r="E71" s="134">
        <v>1316.0</v>
      </c>
      <c r="F71" s="137">
        <v>40.0</v>
      </c>
      <c r="G71" s="137">
        <v>48.0</v>
      </c>
      <c r="H71" s="137">
        <v>22.0</v>
      </c>
      <c r="I71" s="137">
        <v>34.0</v>
      </c>
      <c r="J71" s="137">
        <v>20.0</v>
      </c>
      <c r="K71" s="137">
        <v>66.0</v>
      </c>
      <c r="L71" s="137">
        <v>34.0</v>
      </c>
      <c r="M71" s="137">
        <v>24.0</v>
      </c>
      <c r="N71" s="137">
        <v>24.0</v>
      </c>
      <c r="O71" s="137">
        <v>14.0</v>
      </c>
      <c r="P71" s="137">
        <v>56.0</v>
      </c>
      <c r="Q71" s="137">
        <v>46.0</v>
      </c>
      <c r="R71" s="137">
        <v>54.0</v>
      </c>
      <c r="S71" s="137">
        <v>60.0</v>
      </c>
      <c r="T71" s="137">
        <v>44.0</v>
      </c>
      <c r="U71" s="137">
        <v>104.0</v>
      </c>
      <c r="V71" s="137">
        <v>44.0</v>
      </c>
      <c r="W71" s="137">
        <v>28.0</v>
      </c>
      <c r="X71" s="137">
        <v>94.0</v>
      </c>
      <c r="Y71" s="137">
        <v>56.0</v>
      </c>
      <c r="Z71" s="137">
        <v>62.0</v>
      </c>
      <c r="AA71" s="137">
        <v>74.0</v>
      </c>
      <c r="AB71" s="137">
        <v>24.0</v>
      </c>
      <c r="AC71" s="137">
        <v>84.0</v>
      </c>
      <c r="AD71" s="137">
        <v>82.0</v>
      </c>
      <c r="AE71" s="137">
        <v>74.0</v>
      </c>
      <c r="AF71" s="137">
        <v>66.0</v>
      </c>
      <c r="AG71" s="137">
        <v>166.0</v>
      </c>
      <c r="AH71" s="137">
        <v>94.0</v>
      </c>
      <c r="AI71" s="137">
        <v>162.0</v>
      </c>
      <c r="AJ71" s="137">
        <v>68.0</v>
      </c>
      <c r="AK71" s="137">
        <v>82.0</v>
      </c>
      <c r="AL71" s="137">
        <v>166.0</v>
      </c>
      <c r="AM71" s="137">
        <v>194.0</v>
      </c>
      <c r="AN71" s="134">
        <v>2214.0</v>
      </c>
    </row>
    <row r="72">
      <c r="A72" s="132" t="s">
        <v>208</v>
      </c>
      <c r="B72" s="136" t="s">
        <v>198</v>
      </c>
      <c r="C72" s="137">
        <v>32.0</v>
      </c>
      <c r="D72" s="137">
        <v>16.0</v>
      </c>
      <c r="E72" s="137">
        <v>16.0</v>
      </c>
      <c r="F72" s="137">
        <v>16.0</v>
      </c>
      <c r="G72" s="137">
        <v>16.0</v>
      </c>
      <c r="H72" s="137">
        <v>0.0</v>
      </c>
      <c r="I72" s="137">
        <v>0.0</v>
      </c>
      <c r="J72" s="137">
        <v>0.0</v>
      </c>
      <c r="K72" s="137">
        <v>0.0</v>
      </c>
      <c r="L72" s="137">
        <v>0.0</v>
      </c>
      <c r="M72" s="137">
        <v>0.0</v>
      </c>
      <c r="N72" s="137">
        <v>0.0</v>
      </c>
      <c r="O72" s="137">
        <v>0.0</v>
      </c>
      <c r="P72" s="135">
        <v>0.0</v>
      </c>
      <c r="Q72" s="135">
        <v>0.0</v>
      </c>
      <c r="R72" s="135">
        <v>0.0</v>
      </c>
      <c r="S72" s="135">
        <v>0.0</v>
      </c>
      <c r="T72" s="135">
        <v>0.0</v>
      </c>
      <c r="U72" s="135">
        <v>0.0</v>
      </c>
      <c r="V72" s="135">
        <v>0.0</v>
      </c>
      <c r="W72" s="135">
        <v>0.0</v>
      </c>
      <c r="X72" s="135">
        <v>0.0</v>
      </c>
      <c r="Y72" s="135">
        <v>0.0</v>
      </c>
      <c r="Z72" s="135">
        <v>0.0</v>
      </c>
      <c r="AA72" s="135">
        <v>0.0</v>
      </c>
      <c r="AB72" s="135">
        <v>0.0</v>
      </c>
      <c r="AC72" s="135">
        <v>0.0</v>
      </c>
      <c r="AD72" s="135">
        <v>0.0</v>
      </c>
      <c r="AE72" s="135">
        <v>0.0</v>
      </c>
      <c r="AF72" s="135">
        <v>0.0</v>
      </c>
      <c r="AG72" s="135">
        <v>0.0</v>
      </c>
      <c r="AH72" s="135">
        <v>0.0</v>
      </c>
      <c r="AI72" s="135">
        <v>0.0</v>
      </c>
      <c r="AJ72" s="135">
        <v>0.0</v>
      </c>
      <c r="AK72" s="135">
        <v>0.0</v>
      </c>
      <c r="AL72" s="135">
        <v>0.0</v>
      </c>
      <c r="AM72" s="135">
        <v>0.0</v>
      </c>
      <c r="AN72" s="137">
        <v>32.0</v>
      </c>
    </row>
    <row r="73">
      <c r="A73" s="98"/>
      <c r="B73" s="136" t="s">
        <v>199</v>
      </c>
      <c r="C73" s="137">
        <v>238.0</v>
      </c>
      <c r="D73" s="137">
        <v>126.0</v>
      </c>
      <c r="E73" s="137">
        <v>112.0</v>
      </c>
      <c r="F73" s="137">
        <v>110.0</v>
      </c>
      <c r="G73" s="137">
        <v>96.0</v>
      </c>
      <c r="H73" s="137">
        <v>14.0</v>
      </c>
      <c r="I73" s="137">
        <v>16.0</v>
      </c>
      <c r="J73" s="137">
        <v>2.0</v>
      </c>
      <c r="K73" s="137">
        <v>0.0</v>
      </c>
      <c r="L73" s="137">
        <v>0.0</v>
      </c>
      <c r="M73" s="137">
        <v>0.0</v>
      </c>
      <c r="N73" s="137">
        <v>0.0</v>
      </c>
      <c r="O73" s="137">
        <v>0.0</v>
      </c>
      <c r="P73" s="135">
        <v>0.0</v>
      </c>
      <c r="Q73" s="135">
        <v>0.0</v>
      </c>
      <c r="R73" s="135">
        <v>0.0</v>
      </c>
      <c r="S73" s="135">
        <v>0.0</v>
      </c>
      <c r="T73" s="135">
        <v>0.0</v>
      </c>
      <c r="U73" s="135">
        <v>0.0</v>
      </c>
      <c r="V73" s="135">
        <v>0.0</v>
      </c>
      <c r="W73" s="135">
        <v>0.0</v>
      </c>
      <c r="X73" s="135">
        <v>0.0</v>
      </c>
      <c r="Y73" s="135">
        <v>0.0</v>
      </c>
      <c r="Z73" s="135">
        <v>0.0</v>
      </c>
      <c r="AA73" s="135">
        <v>0.0</v>
      </c>
      <c r="AB73" s="135">
        <v>0.0</v>
      </c>
      <c r="AC73" s="135">
        <v>0.0</v>
      </c>
      <c r="AD73" s="135">
        <v>0.0</v>
      </c>
      <c r="AE73" s="135">
        <v>0.0</v>
      </c>
      <c r="AF73" s="135">
        <v>0.0</v>
      </c>
      <c r="AG73" s="135">
        <v>0.0</v>
      </c>
      <c r="AH73" s="135">
        <v>0.0</v>
      </c>
      <c r="AI73" s="135">
        <v>0.0</v>
      </c>
      <c r="AJ73" s="135">
        <v>0.0</v>
      </c>
      <c r="AK73" s="135">
        <v>0.0</v>
      </c>
      <c r="AL73" s="135">
        <v>0.0</v>
      </c>
      <c r="AM73" s="135">
        <v>0.0</v>
      </c>
      <c r="AN73" s="137">
        <v>224.0</v>
      </c>
    </row>
    <row r="74">
      <c r="A74" s="98"/>
      <c r="B74" s="136" t="s">
        <v>206</v>
      </c>
      <c r="C74" s="137">
        <v>2.0</v>
      </c>
      <c r="D74" s="137">
        <v>0.0</v>
      </c>
      <c r="E74" s="137">
        <v>2.0</v>
      </c>
      <c r="F74" s="137">
        <v>0.0</v>
      </c>
      <c r="G74" s="137">
        <v>2.0</v>
      </c>
      <c r="H74" s="137">
        <v>0.0</v>
      </c>
      <c r="I74" s="137">
        <v>0.0</v>
      </c>
      <c r="J74" s="137">
        <v>0.0</v>
      </c>
      <c r="K74" s="137">
        <v>0.0</v>
      </c>
      <c r="L74" s="137">
        <v>0.0</v>
      </c>
      <c r="M74" s="137">
        <v>0.0</v>
      </c>
      <c r="N74" s="137">
        <v>0.0</v>
      </c>
      <c r="O74" s="137">
        <v>0.0</v>
      </c>
      <c r="P74" s="135">
        <v>0.0</v>
      </c>
      <c r="Q74" s="135">
        <v>0.0</v>
      </c>
      <c r="R74" s="135">
        <v>0.0</v>
      </c>
      <c r="S74" s="135">
        <v>0.0</v>
      </c>
      <c r="T74" s="135">
        <v>0.0</v>
      </c>
      <c r="U74" s="135">
        <v>0.0</v>
      </c>
      <c r="V74" s="135">
        <v>0.0</v>
      </c>
      <c r="W74" s="135">
        <v>0.0</v>
      </c>
      <c r="X74" s="135">
        <v>0.0</v>
      </c>
      <c r="Y74" s="135">
        <v>0.0</v>
      </c>
      <c r="Z74" s="135">
        <v>0.0</v>
      </c>
      <c r="AA74" s="135">
        <v>0.0</v>
      </c>
      <c r="AB74" s="135">
        <v>0.0</v>
      </c>
      <c r="AC74" s="135">
        <v>0.0</v>
      </c>
      <c r="AD74" s="135">
        <v>0.0</v>
      </c>
      <c r="AE74" s="135">
        <v>0.0</v>
      </c>
      <c r="AF74" s="135">
        <v>0.0</v>
      </c>
      <c r="AG74" s="135">
        <v>0.0</v>
      </c>
      <c r="AH74" s="135">
        <v>0.0</v>
      </c>
      <c r="AI74" s="135">
        <v>0.0</v>
      </c>
      <c r="AJ74" s="135">
        <v>0.0</v>
      </c>
      <c r="AK74" s="135">
        <v>0.0</v>
      </c>
      <c r="AL74" s="135">
        <v>0.0</v>
      </c>
      <c r="AM74" s="135">
        <v>0.0</v>
      </c>
      <c r="AN74" s="137">
        <v>2.0</v>
      </c>
    </row>
    <row r="75">
      <c r="A75" s="98"/>
      <c r="B75" s="136" t="s">
        <v>200</v>
      </c>
      <c r="C75" s="137">
        <v>260.0</v>
      </c>
      <c r="D75" s="137">
        <v>156.0</v>
      </c>
      <c r="E75" s="137">
        <v>104.0</v>
      </c>
      <c r="F75" s="137">
        <v>112.0</v>
      </c>
      <c r="G75" s="137">
        <v>90.0</v>
      </c>
      <c r="H75" s="137">
        <v>42.0</v>
      </c>
      <c r="I75" s="137">
        <v>12.0</v>
      </c>
      <c r="J75" s="137">
        <v>0.0</v>
      </c>
      <c r="K75" s="137">
        <v>0.0</v>
      </c>
      <c r="L75" s="137">
        <v>0.0</v>
      </c>
      <c r="M75" s="137">
        <v>2.0</v>
      </c>
      <c r="N75" s="137">
        <v>2.0</v>
      </c>
      <c r="O75" s="137">
        <v>0.0</v>
      </c>
      <c r="P75" s="135">
        <v>0.0</v>
      </c>
      <c r="Q75" s="135">
        <v>0.0</v>
      </c>
      <c r="R75" s="135">
        <v>0.0</v>
      </c>
      <c r="S75" s="135">
        <v>0.0</v>
      </c>
      <c r="T75" s="135">
        <v>0.0</v>
      </c>
      <c r="U75" s="135">
        <v>0.0</v>
      </c>
      <c r="V75" s="135">
        <v>0.0</v>
      </c>
      <c r="W75" s="135">
        <v>0.0</v>
      </c>
      <c r="X75" s="135">
        <v>0.0</v>
      </c>
      <c r="Y75" s="135">
        <v>0.0</v>
      </c>
      <c r="Z75" s="135">
        <v>0.0</v>
      </c>
      <c r="AA75" s="135">
        <v>0.0</v>
      </c>
      <c r="AB75" s="135">
        <v>0.0</v>
      </c>
      <c r="AC75" s="135">
        <v>0.0</v>
      </c>
      <c r="AD75" s="135">
        <v>0.0</v>
      </c>
      <c r="AE75" s="135">
        <v>0.0</v>
      </c>
      <c r="AF75" s="135">
        <v>0.0</v>
      </c>
      <c r="AG75" s="135">
        <v>0.0</v>
      </c>
      <c r="AH75" s="135">
        <v>0.0</v>
      </c>
      <c r="AI75" s="135">
        <v>0.0</v>
      </c>
      <c r="AJ75" s="135">
        <v>0.0</v>
      </c>
      <c r="AK75" s="135">
        <v>0.0</v>
      </c>
      <c r="AL75" s="135">
        <v>0.0</v>
      </c>
      <c r="AM75" s="135">
        <v>0.0</v>
      </c>
      <c r="AN75" s="137">
        <v>232.0</v>
      </c>
    </row>
    <row r="76">
      <c r="A76" s="104"/>
      <c r="B76" s="136" t="s">
        <v>201</v>
      </c>
      <c r="C76" s="137">
        <v>0.0</v>
      </c>
      <c r="D76" s="137">
        <v>0.0</v>
      </c>
      <c r="E76" s="137">
        <v>0.0</v>
      </c>
      <c r="F76" s="137">
        <v>0.0</v>
      </c>
      <c r="G76" s="137">
        <v>0.0</v>
      </c>
      <c r="H76" s="137">
        <v>0.0</v>
      </c>
      <c r="I76" s="137">
        <v>0.0</v>
      </c>
      <c r="J76" s="137">
        <v>0.0</v>
      </c>
      <c r="K76" s="137">
        <v>0.0</v>
      </c>
      <c r="L76" s="137">
        <v>0.0</v>
      </c>
      <c r="M76" s="137">
        <v>0.0</v>
      </c>
      <c r="N76" s="137">
        <v>0.0</v>
      </c>
      <c r="O76" s="137">
        <v>0.0</v>
      </c>
      <c r="P76" s="135">
        <v>0.0</v>
      </c>
      <c r="Q76" s="135">
        <v>0.0</v>
      </c>
      <c r="R76" s="135">
        <v>0.0</v>
      </c>
      <c r="S76" s="135">
        <v>0.0</v>
      </c>
      <c r="T76" s="135">
        <v>0.0</v>
      </c>
      <c r="U76" s="135">
        <v>0.0</v>
      </c>
      <c r="V76" s="135">
        <v>0.0</v>
      </c>
      <c r="W76" s="135">
        <v>0.0</v>
      </c>
      <c r="X76" s="135">
        <v>0.0</v>
      </c>
      <c r="Y76" s="135">
        <v>0.0</v>
      </c>
      <c r="Z76" s="135">
        <v>0.0</v>
      </c>
      <c r="AA76" s="135">
        <v>0.0</v>
      </c>
      <c r="AB76" s="135">
        <v>0.0</v>
      </c>
      <c r="AC76" s="135">
        <v>0.0</v>
      </c>
      <c r="AD76" s="135">
        <v>0.0</v>
      </c>
      <c r="AE76" s="135">
        <v>0.0</v>
      </c>
      <c r="AF76" s="135">
        <v>0.0</v>
      </c>
      <c r="AG76" s="135">
        <v>0.0</v>
      </c>
      <c r="AH76" s="135">
        <v>0.0</v>
      </c>
      <c r="AI76" s="135">
        <v>0.0</v>
      </c>
      <c r="AJ76" s="135">
        <v>0.0</v>
      </c>
      <c r="AK76" s="135">
        <v>0.0</v>
      </c>
      <c r="AL76" s="135">
        <v>0.0</v>
      </c>
      <c r="AM76" s="135">
        <v>0.0</v>
      </c>
      <c r="AN76" s="137">
        <v>0.0</v>
      </c>
    </row>
    <row r="77">
      <c r="A77" s="138" t="s">
        <v>242</v>
      </c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</row>
    <row r="78">
      <c r="A78" s="132" t="s">
        <v>197</v>
      </c>
      <c r="B78" s="133" t="s">
        <v>198</v>
      </c>
      <c r="C78" s="134">
        <v>152040.0</v>
      </c>
      <c r="D78" s="134">
        <v>50740.0</v>
      </c>
      <c r="E78" s="134">
        <v>101300.0</v>
      </c>
      <c r="F78" s="135">
        <v>0.0</v>
      </c>
      <c r="G78" s="135">
        <v>0.0</v>
      </c>
      <c r="H78" s="135">
        <v>0.0</v>
      </c>
      <c r="I78" s="135">
        <v>0.0</v>
      </c>
      <c r="J78" s="135">
        <v>0.0</v>
      </c>
      <c r="K78" s="135">
        <v>0.0</v>
      </c>
      <c r="L78" s="137">
        <v>78.0</v>
      </c>
      <c r="M78" s="137">
        <v>112.0</v>
      </c>
      <c r="N78" s="137">
        <v>132.0</v>
      </c>
      <c r="O78" s="137">
        <v>270.0</v>
      </c>
      <c r="P78" s="137">
        <v>194.0</v>
      </c>
      <c r="Q78" s="137">
        <v>516.0</v>
      </c>
      <c r="R78" s="137">
        <v>378.0</v>
      </c>
      <c r="S78" s="137">
        <v>932.0</v>
      </c>
      <c r="T78" s="137">
        <v>666.0</v>
      </c>
      <c r="U78" s="134">
        <v>1818.0</v>
      </c>
      <c r="V78" s="134">
        <v>1178.0</v>
      </c>
      <c r="W78" s="134">
        <v>3114.0</v>
      </c>
      <c r="X78" s="134">
        <v>2296.0</v>
      </c>
      <c r="Y78" s="134">
        <v>5682.0</v>
      </c>
      <c r="Z78" s="134">
        <v>4102.0</v>
      </c>
      <c r="AA78" s="134">
        <v>9752.0</v>
      </c>
      <c r="AB78" s="134">
        <v>6334.0</v>
      </c>
      <c r="AC78" s="134">
        <v>13422.0</v>
      </c>
      <c r="AD78" s="134">
        <v>7710.0</v>
      </c>
      <c r="AE78" s="134">
        <v>14706.0</v>
      </c>
      <c r="AF78" s="134">
        <v>8050.0</v>
      </c>
      <c r="AG78" s="134">
        <v>14682.0</v>
      </c>
      <c r="AH78" s="134">
        <v>7590.0</v>
      </c>
      <c r="AI78" s="134">
        <v>13472.0</v>
      </c>
      <c r="AJ78" s="134">
        <v>5758.0</v>
      </c>
      <c r="AK78" s="134">
        <v>10480.0</v>
      </c>
      <c r="AL78" s="134">
        <v>6274.0</v>
      </c>
      <c r="AM78" s="134">
        <v>12342.0</v>
      </c>
      <c r="AN78" s="134">
        <v>150036.0</v>
      </c>
    </row>
    <row r="79">
      <c r="A79" s="98"/>
      <c r="B79" s="136" t="s">
        <v>199</v>
      </c>
      <c r="C79" s="134">
        <v>45628.0</v>
      </c>
      <c r="D79" s="134">
        <v>15978.0</v>
      </c>
      <c r="E79" s="134">
        <v>29650.0</v>
      </c>
      <c r="F79" s="135">
        <v>0.0</v>
      </c>
      <c r="G79" s="135">
        <v>0.0</v>
      </c>
      <c r="H79" s="135">
        <v>0.0</v>
      </c>
      <c r="I79" s="135">
        <v>0.0</v>
      </c>
      <c r="J79" s="135">
        <v>0.0</v>
      </c>
      <c r="K79" s="135">
        <v>0.0</v>
      </c>
      <c r="L79" s="137">
        <v>14.0</v>
      </c>
      <c r="M79" s="137">
        <v>22.0</v>
      </c>
      <c r="N79" s="137">
        <v>46.0</v>
      </c>
      <c r="O79" s="137">
        <v>20.0</v>
      </c>
      <c r="P79" s="137">
        <v>72.0</v>
      </c>
      <c r="Q79" s="137">
        <v>122.0</v>
      </c>
      <c r="R79" s="137">
        <v>110.0</v>
      </c>
      <c r="S79" s="137">
        <v>278.0</v>
      </c>
      <c r="T79" s="137">
        <v>152.0</v>
      </c>
      <c r="U79" s="137">
        <v>436.0</v>
      </c>
      <c r="V79" s="137">
        <v>308.0</v>
      </c>
      <c r="W79" s="137">
        <v>736.0</v>
      </c>
      <c r="X79" s="137">
        <v>534.0</v>
      </c>
      <c r="Y79" s="134">
        <v>1402.0</v>
      </c>
      <c r="Z79" s="134">
        <v>1142.0</v>
      </c>
      <c r="AA79" s="134">
        <v>2578.0</v>
      </c>
      <c r="AB79" s="134">
        <v>1518.0</v>
      </c>
      <c r="AC79" s="134">
        <v>3026.0</v>
      </c>
      <c r="AD79" s="134">
        <v>1932.0</v>
      </c>
      <c r="AE79" s="134">
        <v>3630.0</v>
      </c>
      <c r="AF79" s="134">
        <v>2744.0</v>
      </c>
      <c r="AG79" s="134">
        <v>4866.0</v>
      </c>
      <c r="AH79" s="134">
        <v>2888.0</v>
      </c>
      <c r="AI79" s="134">
        <v>4652.0</v>
      </c>
      <c r="AJ79" s="134">
        <v>2242.0</v>
      </c>
      <c r="AK79" s="134">
        <v>3730.0</v>
      </c>
      <c r="AL79" s="134">
        <v>2276.0</v>
      </c>
      <c r="AM79" s="134">
        <v>4152.0</v>
      </c>
      <c r="AN79" s="134">
        <v>45034.0</v>
      </c>
    </row>
    <row r="80">
      <c r="A80" s="98"/>
      <c r="B80" s="136" t="s">
        <v>200</v>
      </c>
      <c r="C80" s="134">
        <v>32826.0</v>
      </c>
      <c r="D80" s="134">
        <v>10072.0</v>
      </c>
      <c r="E80" s="134">
        <v>22754.0</v>
      </c>
      <c r="F80" s="135">
        <v>0.0</v>
      </c>
      <c r="G80" s="135">
        <v>0.0</v>
      </c>
      <c r="H80" s="135">
        <v>0.0</v>
      </c>
      <c r="I80" s="135">
        <v>0.0</v>
      </c>
      <c r="J80" s="135">
        <v>0.0</v>
      </c>
      <c r="K80" s="135">
        <v>0.0</v>
      </c>
      <c r="L80" s="137">
        <v>14.0</v>
      </c>
      <c r="M80" s="137">
        <v>30.0</v>
      </c>
      <c r="N80" s="137">
        <v>50.0</v>
      </c>
      <c r="O80" s="137">
        <v>124.0</v>
      </c>
      <c r="P80" s="137">
        <v>68.0</v>
      </c>
      <c r="Q80" s="137">
        <v>214.0</v>
      </c>
      <c r="R80" s="137">
        <v>102.0</v>
      </c>
      <c r="S80" s="137">
        <v>364.0</v>
      </c>
      <c r="T80" s="137">
        <v>152.0</v>
      </c>
      <c r="U80" s="137">
        <v>638.0</v>
      </c>
      <c r="V80" s="137">
        <v>320.0</v>
      </c>
      <c r="W80" s="137">
        <v>910.0</v>
      </c>
      <c r="X80" s="137">
        <v>474.0</v>
      </c>
      <c r="Y80" s="134">
        <v>1594.0</v>
      </c>
      <c r="Z80" s="137">
        <v>924.0</v>
      </c>
      <c r="AA80" s="134">
        <v>2512.0</v>
      </c>
      <c r="AB80" s="134">
        <v>1282.0</v>
      </c>
      <c r="AC80" s="134">
        <v>3202.0</v>
      </c>
      <c r="AD80" s="134">
        <v>1396.0</v>
      </c>
      <c r="AE80" s="134">
        <v>3034.0</v>
      </c>
      <c r="AF80" s="134">
        <v>1550.0</v>
      </c>
      <c r="AG80" s="134">
        <v>3192.0</v>
      </c>
      <c r="AH80" s="134">
        <v>1494.0</v>
      </c>
      <c r="AI80" s="134">
        <v>2616.0</v>
      </c>
      <c r="AJ80" s="134">
        <v>1092.0</v>
      </c>
      <c r="AK80" s="134">
        <v>1996.0</v>
      </c>
      <c r="AL80" s="134">
        <v>1154.0</v>
      </c>
      <c r="AM80" s="134">
        <v>2328.0</v>
      </c>
      <c r="AN80" s="134">
        <v>32372.0</v>
      </c>
    </row>
    <row r="81">
      <c r="A81" s="104"/>
      <c r="B81" s="136" t="s">
        <v>201</v>
      </c>
      <c r="C81" s="137">
        <v>106.0</v>
      </c>
      <c r="D81" s="137">
        <v>50.0</v>
      </c>
      <c r="E81" s="137">
        <v>56.0</v>
      </c>
      <c r="F81" s="135">
        <v>0.0</v>
      </c>
      <c r="G81" s="135">
        <v>0.0</v>
      </c>
      <c r="H81" s="135">
        <v>0.0</v>
      </c>
      <c r="I81" s="135">
        <v>0.0</v>
      </c>
      <c r="J81" s="135">
        <v>0.0</v>
      </c>
      <c r="K81" s="135">
        <v>0.0</v>
      </c>
      <c r="L81" s="137">
        <v>0.0</v>
      </c>
      <c r="M81" s="137">
        <v>0.0</v>
      </c>
      <c r="N81" s="137">
        <v>0.0</v>
      </c>
      <c r="O81" s="137">
        <v>0.0</v>
      </c>
      <c r="P81" s="137">
        <v>0.0</v>
      </c>
      <c r="Q81" s="137">
        <v>0.0</v>
      </c>
      <c r="R81" s="137">
        <v>0.0</v>
      </c>
      <c r="S81" s="137">
        <v>0.0</v>
      </c>
      <c r="T81" s="137">
        <v>2.0</v>
      </c>
      <c r="U81" s="137">
        <v>0.0</v>
      </c>
      <c r="V81" s="137">
        <v>2.0</v>
      </c>
      <c r="W81" s="137">
        <v>6.0</v>
      </c>
      <c r="X81" s="137">
        <v>6.0</v>
      </c>
      <c r="Y81" s="137">
        <v>2.0</v>
      </c>
      <c r="Z81" s="137">
        <v>2.0</v>
      </c>
      <c r="AA81" s="137">
        <v>2.0</v>
      </c>
      <c r="AB81" s="137">
        <v>0.0</v>
      </c>
      <c r="AC81" s="137">
        <v>0.0</v>
      </c>
      <c r="AD81" s="137">
        <v>4.0</v>
      </c>
      <c r="AE81" s="137">
        <v>12.0</v>
      </c>
      <c r="AF81" s="137">
        <v>6.0</v>
      </c>
      <c r="AG81" s="137">
        <v>4.0</v>
      </c>
      <c r="AH81" s="137">
        <v>10.0</v>
      </c>
      <c r="AI81" s="137">
        <v>12.0</v>
      </c>
      <c r="AJ81" s="137">
        <v>4.0</v>
      </c>
      <c r="AK81" s="137">
        <v>0.0</v>
      </c>
      <c r="AL81" s="137">
        <v>14.0</v>
      </c>
      <c r="AM81" s="137">
        <v>18.0</v>
      </c>
      <c r="AN81" s="137">
        <v>82.0</v>
      </c>
    </row>
    <row r="82">
      <c r="A82" s="132" t="s">
        <v>202</v>
      </c>
      <c r="B82" s="136" t="s">
        <v>198</v>
      </c>
      <c r="C82" s="134">
        <v>1250.0</v>
      </c>
      <c r="D82" s="137">
        <v>686.0</v>
      </c>
      <c r="E82" s="137">
        <v>564.0</v>
      </c>
      <c r="F82" s="137">
        <v>12.0</v>
      </c>
      <c r="G82" s="137">
        <v>18.0</v>
      </c>
      <c r="H82" s="137">
        <v>28.0</v>
      </c>
      <c r="I82" s="137">
        <v>26.0</v>
      </c>
      <c r="J82" s="137">
        <v>14.0</v>
      </c>
      <c r="K82" s="137">
        <v>14.0</v>
      </c>
      <c r="L82" s="137">
        <v>30.0</v>
      </c>
      <c r="M82" s="137">
        <v>48.0</v>
      </c>
      <c r="N82" s="137">
        <v>72.0</v>
      </c>
      <c r="O82" s="137">
        <v>48.0</v>
      </c>
      <c r="P82" s="137">
        <v>90.0</v>
      </c>
      <c r="Q82" s="137">
        <v>56.0</v>
      </c>
      <c r="R82" s="137">
        <v>60.0</v>
      </c>
      <c r="S82" s="137">
        <v>36.0</v>
      </c>
      <c r="T82" s="137">
        <v>58.0</v>
      </c>
      <c r="U82" s="137">
        <v>50.0</v>
      </c>
      <c r="V82" s="137">
        <v>72.0</v>
      </c>
      <c r="W82" s="137">
        <v>48.0</v>
      </c>
      <c r="X82" s="137">
        <v>28.0</v>
      </c>
      <c r="Y82" s="137">
        <v>28.0</v>
      </c>
      <c r="Z82" s="137">
        <v>58.0</v>
      </c>
      <c r="AA82" s="137">
        <v>54.0</v>
      </c>
      <c r="AB82" s="137">
        <v>48.0</v>
      </c>
      <c r="AC82" s="137">
        <v>60.0</v>
      </c>
      <c r="AD82" s="137">
        <v>74.0</v>
      </c>
      <c r="AE82" s="137">
        <v>24.0</v>
      </c>
      <c r="AF82" s="137">
        <v>12.0</v>
      </c>
      <c r="AG82" s="137">
        <v>10.0</v>
      </c>
      <c r="AH82" s="137">
        <v>12.0</v>
      </c>
      <c r="AI82" s="137">
        <v>22.0</v>
      </c>
      <c r="AJ82" s="137">
        <v>14.0</v>
      </c>
      <c r="AK82" s="137">
        <v>16.0</v>
      </c>
      <c r="AL82" s="137">
        <v>4.0</v>
      </c>
      <c r="AM82" s="137">
        <v>6.0</v>
      </c>
      <c r="AN82" s="134">
        <v>1224.0</v>
      </c>
    </row>
    <row r="83">
      <c r="A83" s="104"/>
      <c r="B83" s="136" t="s">
        <v>199</v>
      </c>
      <c r="C83" s="137">
        <v>578.0</v>
      </c>
      <c r="D83" s="137">
        <v>334.0</v>
      </c>
      <c r="E83" s="137">
        <v>244.0</v>
      </c>
      <c r="F83" s="137">
        <v>0.0</v>
      </c>
      <c r="G83" s="137">
        <v>4.0</v>
      </c>
      <c r="H83" s="137">
        <v>2.0</v>
      </c>
      <c r="I83" s="137">
        <v>10.0</v>
      </c>
      <c r="J83" s="137">
        <v>6.0</v>
      </c>
      <c r="K83" s="137">
        <v>12.0</v>
      </c>
      <c r="L83" s="137">
        <v>28.0</v>
      </c>
      <c r="M83" s="137">
        <v>6.0</v>
      </c>
      <c r="N83" s="137">
        <v>20.0</v>
      </c>
      <c r="O83" s="137">
        <v>16.0</v>
      </c>
      <c r="P83" s="137">
        <v>60.0</v>
      </c>
      <c r="Q83" s="137">
        <v>20.0</v>
      </c>
      <c r="R83" s="137">
        <v>44.0</v>
      </c>
      <c r="S83" s="137">
        <v>24.0</v>
      </c>
      <c r="T83" s="137">
        <v>34.0</v>
      </c>
      <c r="U83" s="137">
        <v>20.0</v>
      </c>
      <c r="V83" s="137">
        <v>32.0</v>
      </c>
      <c r="W83" s="137">
        <v>8.0</v>
      </c>
      <c r="X83" s="137">
        <v>28.0</v>
      </c>
      <c r="Y83" s="137">
        <v>20.0</v>
      </c>
      <c r="Z83" s="137">
        <v>22.0</v>
      </c>
      <c r="AA83" s="137">
        <v>32.0</v>
      </c>
      <c r="AB83" s="137">
        <v>12.0</v>
      </c>
      <c r="AC83" s="137">
        <v>14.0</v>
      </c>
      <c r="AD83" s="137">
        <v>22.0</v>
      </c>
      <c r="AE83" s="137">
        <v>6.0</v>
      </c>
      <c r="AF83" s="137">
        <v>2.0</v>
      </c>
      <c r="AG83" s="137">
        <v>8.0</v>
      </c>
      <c r="AH83" s="137">
        <v>12.0</v>
      </c>
      <c r="AI83" s="137">
        <v>34.0</v>
      </c>
      <c r="AJ83" s="137">
        <v>8.0</v>
      </c>
      <c r="AK83" s="137">
        <v>8.0</v>
      </c>
      <c r="AL83" s="137">
        <v>2.0</v>
      </c>
      <c r="AM83" s="137">
        <v>2.0</v>
      </c>
      <c r="AN83" s="137">
        <v>560.0</v>
      </c>
    </row>
    <row r="84">
      <c r="A84" s="132" t="s">
        <v>203</v>
      </c>
      <c r="B84" s="136" t="s">
        <v>198</v>
      </c>
      <c r="C84" s="137">
        <v>262.0</v>
      </c>
      <c r="D84" s="137">
        <v>118.0</v>
      </c>
      <c r="E84" s="137">
        <v>144.0</v>
      </c>
      <c r="F84" s="135">
        <v>0.0</v>
      </c>
      <c r="G84" s="135">
        <v>0.0</v>
      </c>
      <c r="H84" s="135">
        <v>0.0</v>
      </c>
      <c r="I84" s="135">
        <v>0.0</v>
      </c>
      <c r="J84" s="135">
        <v>0.0</v>
      </c>
      <c r="K84" s="135">
        <v>0.0</v>
      </c>
      <c r="L84" s="135">
        <v>0.0</v>
      </c>
      <c r="M84" s="135">
        <v>0.0</v>
      </c>
      <c r="N84" s="135">
        <v>0.0</v>
      </c>
      <c r="O84" s="135">
        <v>0.0</v>
      </c>
      <c r="P84" s="135">
        <v>0.0</v>
      </c>
      <c r="Q84" s="135">
        <v>0.0</v>
      </c>
      <c r="R84" s="135">
        <v>0.0</v>
      </c>
      <c r="S84" s="135">
        <v>0.0</v>
      </c>
      <c r="T84" s="135">
        <v>0.0</v>
      </c>
      <c r="U84" s="135">
        <v>0.0</v>
      </c>
      <c r="V84" s="135">
        <v>0.0</v>
      </c>
      <c r="W84" s="135">
        <v>0.0</v>
      </c>
      <c r="X84" s="135">
        <v>0.0</v>
      </c>
      <c r="Y84" s="135">
        <v>0.0</v>
      </c>
      <c r="Z84" s="135">
        <v>0.0</v>
      </c>
      <c r="AA84" s="135">
        <v>0.0</v>
      </c>
      <c r="AB84" s="135">
        <v>0.0</v>
      </c>
      <c r="AC84" s="135">
        <v>0.0</v>
      </c>
      <c r="AD84" s="135">
        <v>0.0</v>
      </c>
      <c r="AE84" s="135">
        <v>0.0</v>
      </c>
      <c r="AF84" s="137">
        <v>30.0</v>
      </c>
      <c r="AG84" s="137">
        <v>44.0</v>
      </c>
      <c r="AH84" s="137">
        <v>28.0</v>
      </c>
      <c r="AI84" s="137">
        <v>38.0</v>
      </c>
      <c r="AJ84" s="137">
        <v>26.0</v>
      </c>
      <c r="AK84" s="137">
        <v>40.0</v>
      </c>
      <c r="AL84" s="137">
        <v>34.0</v>
      </c>
      <c r="AM84" s="137">
        <v>22.0</v>
      </c>
      <c r="AN84" s="137">
        <v>260.0</v>
      </c>
    </row>
    <row r="85">
      <c r="A85" s="104"/>
      <c r="B85" s="136" t="s">
        <v>199</v>
      </c>
      <c r="C85" s="134">
        <v>4236.0</v>
      </c>
      <c r="D85" s="134">
        <v>1412.0</v>
      </c>
      <c r="E85" s="134">
        <v>2824.0</v>
      </c>
      <c r="F85" s="135">
        <v>0.0</v>
      </c>
      <c r="G85" s="135">
        <v>0.0</v>
      </c>
      <c r="H85" s="135">
        <v>0.0</v>
      </c>
      <c r="I85" s="135">
        <v>0.0</v>
      </c>
      <c r="J85" s="135">
        <v>0.0</v>
      </c>
      <c r="K85" s="135">
        <v>0.0</v>
      </c>
      <c r="L85" s="135">
        <v>0.0</v>
      </c>
      <c r="M85" s="135">
        <v>0.0</v>
      </c>
      <c r="N85" s="135">
        <v>0.0</v>
      </c>
      <c r="O85" s="135">
        <v>0.0</v>
      </c>
      <c r="P85" s="135">
        <v>0.0</v>
      </c>
      <c r="Q85" s="135">
        <v>0.0</v>
      </c>
      <c r="R85" s="135">
        <v>0.0</v>
      </c>
      <c r="S85" s="135">
        <v>0.0</v>
      </c>
      <c r="T85" s="135">
        <v>0.0</v>
      </c>
      <c r="U85" s="135">
        <v>0.0</v>
      </c>
      <c r="V85" s="135">
        <v>0.0</v>
      </c>
      <c r="W85" s="135">
        <v>0.0</v>
      </c>
      <c r="X85" s="135">
        <v>0.0</v>
      </c>
      <c r="Y85" s="135">
        <v>0.0</v>
      </c>
      <c r="Z85" s="135">
        <v>0.0</v>
      </c>
      <c r="AA85" s="135">
        <v>0.0</v>
      </c>
      <c r="AB85" s="135">
        <v>0.0</v>
      </c>
      <c r="AC85" s="135">
        <v>0.0</v>
      </c>
      <c r="AD85" s="135">
        <v>0.0</v>
      </c>
      <c r="AE85" s="135">
        <v>0.0</v>
      </c>
      <c r="AF85" s="137">
        <v>334.0</v>
      </c>
      <c r="AG85" s="137">
        <v>734.0</v>
      </c>
      <c r="AH85" s="137">
        <v>406.0</v>
      </c>
      <c r="AI85" s="137">
        <v>836.0</v>
      </c>
      <c r="AJ85" s="137">
        <v>366.0</v>
      </c>
      <c r="AK85" s="137">
        <v>630.0</v>
      </c>
      <c r="AL85" s="137">
        <v>306.0</v>
      </c>
      <c r="AM85" s="137">
        <v>624.0</v>
      </c>
      <c r="AN85" s="134">
        <v>4190.0</v>
      </c>
    </row>
    <row r="86">
      <c r="A86" s="132" t="s">
        <v>204</v>
      </c>
      <c r="B86" s="136" t="s">
        <v>198</v>
      </c>
      <c r="C86" s="137">
        <v>104.0</v>
      </c>
      <c r="D86" s="137">
        <v>48.0</v>
      </c>
      <c r="E86" s="137">
        <v>56.0</v>
      </c>
      <c r="F86" s="135">
        <v>0.0</v>
      </c>
      <c r="G86" s="135">
        <v>0.0</v>
      </c>
      <c r="H86" s="135">
        <v>0.0</v>
      </c>
      <c r="I86" s="135">
        <v>0.0</v>
      </c>
      <c r="J86" s="135">
        <v>0.0</v>
      </c>
      <c r="K86" s="135">
        <v>0.0</v>
      </c>
      <c r="L86" s="135">
        <v>0.0</v>
      </c>
      <c r="M86" s="135">
        <v>0.0</v>
      </c>
      <c r="N86" s="135">
        <v>0.0</v>
      </c>
      <c r="O86" s="135">
        <v>0.0</v>
      </c>
      <c r="P86" s="135">
        <v>0.0</v>
      </c>
      <c r="Q86" s="135">
        <v>0.0</v>
      </c>
      <c r="R86" s="135">
        <v>0.0</v>
      </c>
      <c r="S86" s="135">
        <v>0.0</v>
      </c>
      <c r="T86" s="135">
        <v>0.0</v>
      </c>
      <c r="U86" s="135">
        <v>0.0</v>
      </c>
      <c r="V86" s="135">
        <v>0.0</v>
      </c>
      <c r="W86" s="135">
        <v>0.0</v>
      </c>
      <c r="X86" s="135">
        <v>0.0</v>
      </c>
      <c r="Y86" s="135">
        <v>0.0</v>
      </c>
      <c r="Z86" s="135">
        <v>0.0</v>
      </c>
      <c r="AA86" s="135">
        <v>0.0</v>
      </c>
      <c r="AB86" s="135">
        <v>0.0</v>
      </c>
      <c r="AC86" s="135">
        <v>0.0</v>
      </c>
      <c r="AD86" s="135">
        <v>0.0</v>
      </c>
      <c r="AE86" s="135">
        <v>0.0</v>
      </c>
      <c r="AF86" s="137">
        <v>8.0</v>
      </c>
      <c r="AG86" s="137">
        <v>6.0</v>
      </c>
      <c r="AH86" s="137">
        <v>12.0</v>
      </c>
      <c r="AI86" s="137">
        <v>18.0</v>
      </c>
      <c r="AJ86" s="137">
        <v>8.0</v>
      </c>
      <c r="AK86" s="137">
        <v>12.0</v>
      </c>
      <c r="AL86" s="137">
        <v>20.0</v>
      </c>
      <c r="AM86" s="137">
        <v>20.0</v>
      </c>
      <c r="AN86" s="137">
        <v>104.0</v>
      </c>
    </row>
    <row r="87">
      <c r="A87" s="104"/>
      <c r="B87" s="136" t="s">
        <v>199</v>
      </c>
      <c r="C87" s="134">
        <v>2148.0</v>
      </c>
      <c r="D87" s="137">
        <v>662.0</v>
      </c>
      <c r="E87" s="134">
        <v>1486.0</v>
      </c>
      <c r="F87" s="135">
        <v>0.0</v>
      </c>
      <c r="G87" s="135">
        <v>0.0</v>
      </c>
      <c r="H87" s="135">
        <v>0.0</v>
      </c>
      <c r="I87" s="135">
        <v>0.0</v>
      </c>
      <c r="J87" s="135">
        <v>0.0</v>
      </c>
      <c r="K87" s="135">
        <v>0.0</v>
      </c>
      <c r="L87" s="135">
        <v>0.0</v>
      </c>
      <c r="M87" s="135">
        <v>0.0</v>
      </c>
      <c r="N87" s="135">
        <v>0.0</v>
      </c>
      <c r="O87" s="135">
        <v>0.0</v>
      </c>
      <c r="P87" s="135">
        <v>0.0</v>
      </c>
      <c r="Q87" s="135">
        <v>0.0</v>
      </c>
      <c r="R87" s="135">
        <v>0.0</v>
      </c>
      <c r="S87" s="135">
        <v>0.0</v>
      </c>
      <c r="T87" s="135">
        <v>0.0</v>
      </c>
      <c r="U87" s="135">
        <v>0.0</v>
      </c>
      <c r="V87" s="135">
        <v>0.0</v>
      </c>
      <c r="W87" s="135">
        <v>0.0</v>
      </c>
      <c r="X87" s="135">
        <v>0.0</v>
      </c>
      <c r="Y87" s="135">
        <v>0.0</v>
      </c>
      <c r="Z87" s="135">
        <v>0.0</v>
      </c>
      <c r="AA87" s="135">
        <v>0.0</v>
      </c>
      <c r="AB87" s="135">
        <v>0.0</v>
      </c>
      <c r="AC87" s="135">
        <v>0.0</v>
      </c>
      <c r="AD87" s="135">
        <v>0.0</v>
      </c>
      <c r="AE87" s="135">
        <v>0.0</v>
      </c>
      <c r="AF87" s="137">
        <v>64.0</v>
      </c>
      <c r="AG87" s="137">
        <v>164.0</v>
      </c>
      <c r="AH87" s="137">
        <v>134.0</v>
      </c>
      <c r="AI87" s="137">
        <v>230.0</v>
      </c>
      <c r="AJ87" s="137">
        <v>118.0</v>
      </c>
      <c r="AK87" s="137">
        <v>274.0</v>
      </c>
      <c r="AL87" s="137">
        <v>346.0</v>
      </c>
      <c r="AM87" s="137">
        <v>818.0</v>
      </c>
      <c r="AN87" s="134">
        <v>2100.0</v>
      </c>
    </row>
    <row r="88">
      <c r="A88" s="132" t="s">
        <v>205</v>
      </c>
      <c r="B88" s="136" t="s">
        <v>198</v>
      </c>
      <c r="C88" s="137">
        <v>36.0</v>
      </c>
      <c r="D88" s="137">
        <v>18.0</v>
      </c>
      <c r="E88" s="137">
        <v>18.0</v>
      </c>
      <c r="F88" s="137">
        <v>0.0</v>
      </c>
      <c r="G88" s="137">
        <v>0.0</v>
      </c>
      <c r="H88" s="137">
        <v>0.0</v>
      </c>
      <c r="I88" s="137">
        <v>0.0</v>
      </c>
      <c r="J88" s="137">
        <v>0.0</v>
      </c>
      <c r="K88" s="137">
        <v>0.0</v>
      </c>
      <c r="L88" s="137">
        <v>4.0</v>
      </c>
      <c r="M88" s="137">
        <v>0.0</v>
      </c>
      <c r="N88" s="137">
        <v>4.0</v>
      </c>
      <c r="O88" s="137">
        <v>8.0</v>
      </c>
      <c r="P88" s="137">
        <v>4.0</v>
      </c>
      <c r="Q88" s="137">
        <v>4.0</v>
      </c>
      <c r="R88" s="137">
        <v>2.0</v>
      </c>
      <c r="S88" s="137">
        <v>2.0</v>
      </c>
      <c r="T88" s="137">
        <v>0.0</v>
      </c>
      <c r="U88" s="137">
        <v>0.0</v>
      </c>
      <c r="V88" s="137">
        <v>0.0</v>
      </c>
      <c r="W88" s="137">
        <v>0.0</v>
      </c>
      <c r="X88" s="137">
        <v>0.0</v>
      </c>
      <c r="Y88" s="137">
        <v>0.0</v>
      </c>
      <c r="Z88" s="137">
        <v>2.0</v>
      </c>
      <c r="AA88" s="137">
        <v>2.0</v>
      </c>
      <c r="AB88" s="137">
        <v>0.0</v>
      </c>
      <c r="AC88" s="137">
        <v>2.0</v>
      </c>
      <c r="AD88" s="137">
        <v>2.0</v>
      </c>
      <c r="AE88" s="137">
        <v>0.0</v>
      </c>
      <c r="AF88" s="137">
        <v>0.0</v>
      </c>
      <c r="AG88" s="137">
        <v>0.0</v>
      </c>
      <c r="AH88" s="137">
        <v>0.0</v>
      </c>
      <c r="AI88" s="137">
        <v>0.0</v>
      </c>
      <c r="AJ88" s="137">
        <v>0.0</v>
      </c>
      <c r="AK88" s="137">
        <v>0.0</v>
      </c>
      <c r="AL88" s="137">
        <v>0.0</v>
      </c>
      <c r="AM88" s="137">
        <v>0.0</v>
      </c>
      <c r="AN88" s="137">
        <v>36.0</v>
      </c>
    </row>
    <row r="89">
      <c r="A89" s="98"/>
      <c r="B89" s="136" t="s">
        <v>199</v>
      </c>
      <c r="C89" s="137">
        <v>0.0</v>
      </c>
      <c r="D89" s="137">
        <v>0.0</v>
      </c>
      <c r="E89" s="137">
        <v>0.0</v>
      </c>
      <c r="F89" s="137">
        <v>0.0</v>
      </c>
      <c r="G89" s="137">
        <v>0.0</v>
      </c>
      <c r="H89" s="137">
        <v>0.0</v>
      </c>
      <c r="I89" s="137">
        <v>0.0</v>
      </c>
      <c r="J89" s="137">
        <v>0.0</v>
      </c>
      <c r="K89" s="137">
        <v>0.0</v>
      </c>
      <c r="L89" s="137">
        <v>0.0</v>
      </c>
      <c r="M89" s="137">
        <v>0.0</v>
      </c>
      <c r="N89" s="137">
        <v>0.0</v>
      </c>
      <c r="O89" s="137">
        <v>0.0</v>
      </c>
      <c r="P89" s="137">
        <v>0.0</v>
      </c>
      <c r="Q89" s="137">
        <v>0.0</v>
      </c>
      <c r="R89" s="137">
        <v>0.0</v>
      </c>
      <c r="S89" s="137">
        <v>0.0</v>
      </c>
      <c r="T89" s="137">
        <v>0.0</v>
      </c>
      <c r="U89" s="137">
        <v>0.0</v>
      </c>
      <c r="V89" s="137">
        <v>0.0</v>
      </c>
      <c r="W89" s="137">
        <v>0.0</v>
      </c>
      <c r="X89" s="137">
        <v>0.0</v>
      </c>
      <c r="Y89" s="137">
        <v>0.0</v>
      </c>
      <c r="Z89" s="137">
        <v>0.0</v>
      </c>
      <c r="AA89" s="137">
        <v>0.0</v>
      </c>
      <c r="AB89" s="137">
        <v>0.0</v>
      </c>
      <c r="AC89" s="137">
        <v>0.0</v>
      </c>
      <c r="AD89" s="137">
        <v>0.0</v>
      </c>
      <c r="AE89" s="137">
        <v>0.0</v>
      </c>
      <c r="AF89" s="137">
        <v>0.0</v>
      </c>
      <c r="AG89" s="137">
        <v>0.0</v>
      </c>
      <c r="AH89" s="137">
        <v>0.0</v>
      </c>
      <c r="AI89" s="137">
        <v>0.0</v>
      </c>
      <c r="AJ89" s="137">
        <v>0.0</v>
      </c>
      <c r="AK89" s="137">
        <v>0.0</v>
      </c>
      <c r="AL89" s="137">
        <v>0.0</v>
      </c>
      <c r="AM89" s="137">
        <v>0.0</v>
      </c>
      <c r="AN89" s="137">
        <v>0.0</v>
      </c>
    </row>
    <row r="90">
      <c r="A90" s="104"/>
      <c r="B90" s="136" t="s">
        <v>206</v>
      </c>
      <c r="C90" s="137">
        <v>520.0</v>
      </c>
      <c r="D90" s="137">
        <v>150.0</v>
      </c>
      <c r="E90" s="137">
        <v>370.0</v>
      </c>
      <c r="F90" s="137">
        <v>0.0</v>
      </c>
      <c r="G90" s="137">
        <v>0.0</v>
      </c>
      <c r="H90" s="137">
        <v>0.0</v>
      </c>
      <c r="I90" s="137">
        <v>0.0</v>
      </c>
      <c r="J90" s="137">
        <v>0.0</v>
      </c>
      <c r="K90" s="137">
        <v>2.0</v>
      </c>
      <c r="L90" s="137">
        <v>44.0</v>
      </c>
      <c r="M90" s="137">
        <v>106.0</v>
      </c>
      <c r="N90" s="137">
        <v>30.0</v>
      </c>
      <c r="O90" s="137">
        <v>88.0</v>
      </c>
      <c r="P90" s="137">
        <v>12.0</v>
      </c>
      <c r="Q90" s="137">
        <v>48.0</v>
      </c>
      <c r="R90" s="137">
        <v>12.0</v>
      </c>
      <c r="S90" s="137">
        <v>48.0</v>
      </c>
      <c r="T90" s="137">
        <v>10.0</v>
      </c>
      <c r="U90" s="137">
        <v>28.0</v>
      </c>
      <c r="V90" s="137">
        <v>6.0</v>
      </c>
      <c r="W90" s="137">
        <v>12.0</v>
      </c>
      <c r="X90" s="137">
        <v>6.0</v>
      </c>
      <c r="Y90" s="137">
        <v>14.0</v>
      </c>
      <c r="Z90" s="137">
        <v>4.0</v>
      </c>
      <c r="AA90" s="137">
        <v>4.0</v>
      </c>
      <c r="AB90" s="137">
        <v>2.0</v>
      </c>
      <c r="AC90" s="137">
        <v>12.0</v>
      </c>
      <c r="AD90" s="137">
        <v>16.0</v>
      </c>
      <c r="AE90" s="137">
        <v>2.0</v>
      </c>
      <c r="AF90" s="137">
        <v>8.0</v>
      </c>
      <c r="AG90" s="137">
        <v>0.0</v>
      </c>
      <c r="AH90" s="137">
        <v>0.0</v>
      </c>
      <c r="AI90" s="137">
        <v>0.0</v>
      </c>
      <c r="AJ90" s="137">
        <v>0.0</v>
      </c>
      <c r="AK90" s="137">
        <v>0.0</v>
      </c>
      <c r="AL90" s="137">
        <v>0.0</v>
      </c>
      <c r="AM90" s="137">
        <v>6.0</v>
      </c>
      <c r="AN90" s="137">
        <v>482.0</v>
      </c>
    </row>
    <row r="91">
      <c r="A91" s="132" t="s">
        <v>207</v>
      </c>
      <c r="B91" s="136" t="s">
        <v>198</v>
      </c>
      <c r="C91" s="134">
        <v>80754.0</v>
      </c>
      <c r="D91" s="134">
        <v>22708.0</v>
      </c>
      <c r="E91" s="134">
        <v>58046.0</v>
      </c>
      <c r="F91" s="137">
        <v>382.0</v>
      </c>
      <c r="G91" s="137">
        <v>378.0</v>
      </c>
      <c r="H91" s="137">
        <v>272.0</v>
      </c>
      <c r="I91" s="137">
        <v>224.0</v>
      </c>
      <c r="J91" s="137">
        <v>172.0</v>
      </c>
      <c r="K91" s="137">
        <v>264.0</v>
      </c>
      <c r="L91" s="137">
        <v>258.0</v>
      </c>
      <c r="M91" s="137">
        <v>460.0</v>
      </c>
      <c r="N91" s="137">
        <v>254.0</v>
      </c>
      <c r="O91" s="137">
        <v>720.0</v>
      </c>
      <c r="P91" s="137">
        <v>282.0</v>
      </c>
      <c r="Q91" s="137">
        <v>894.0</v>
      </c>
      <c r="R91" s="137">
        <v>304.0</v>
      </c>
      <c r="S91" s="134">
        <v>1292.0</v>
      </c>
      <c r="T91" s="137">
        <v>264.0</v>
      </c>
      <c r="U91" s="134">
        <v>1596.0</v>
      </c>
      <c r="V91" s="137">
        <v>412.0</v>
      </c>
      <c r="W91" s="134">
        <v>1978.0</v>
      </c>
      <c r="X91" s="137">
        <v>958.0</v>
      </c>
      <c r="Y91" s="134">
        <v>3274.0</v>
      </c>
      <c r="Z91" s="134">
        <v>1572.0</v>
      </c>
      <c r="AA91" s="134">
        <v>5252.0</v>
      </c>
      <c r="AB91" s="134">
        <v>2034.0</v>
      </c>
      <c r="AC91" s="134">
        <v>6602.0</v>
      </c>
      <c r="AD91" s="134">
        <v>2872.0</v>
      </c>
      <c r="AE91" s="134">
        <v>7112.0</v>
      </c>
      <c r="AF91" s="134">
        <v>2382.0</v>
      </c>
      <c r="AG91" s="134">
        <v>7442.0</v>
      </c>
      <c r="AH91" s="134">
        <v>3966.0</v>
      </c>
      <c r="AI91" s="134">
        <v>7068.0</v>
      </c>
      <c r="AJ91" s="134">
        <v>2676.0</v>
      </c>
      <c r="AK91" s="134">
        <v>6100.0</v>
      </c>
      <c r="AL91" s="134">
        <v>3648.0</v>
      </c>
      <c r="AM91" s="134">
        <v>7390.0</v>
      </c>
      <c r="AN91" s="134">
        <v>79386.0</v>
      </c>
    </row>
    <row r="92">
      <c r="A92" s="98"/>
      <c r="B92" s="136" t="s">
        <v>199</v>
      </c>
      <c r="C92" s="134">
        <v>13518.0</v>
      </c>
      <c r="D92" s="134">
        <v>5834.0</v>
      </c>
      <c r="E92" s="134">
        <v>7684.0</v>
      </c>
      <c r="F92" s="137">
        <v>12.0</v>
      </c>
      <c r="G92" s="137">
        <v>10.0</v>
      </c>
      <c r="H92" s="137">
        <v>12.0</v>
      </c>
      <c r="I92" s="137">
        <v>0.0</v>
      </c>
      <c r="J92" s="137">
        <v>36.0</v>
      </c>
      <c r="K92" s="137">
        <v>22.0</v>
      </c>
      <c r="L92" s="137">
        <v>40.0</v>
      </c>
      <c r="M92" s="137">
        <v>28.0</v>
      </c>
      <c r="N92" s="137">
        <v>8.0</v>
      </c>
      <c r="O92" s="137">
        <v>22.0</v>
      </c>
      <c r="P92" s="137">
        <v>10.0</v>
      </c>
      <c r="Q92" s="137">
        <v>38.0</v>
      </c>
      <c r="R92" s="137">
        <v>18.0</v>
      </c>
      <c r="S92" s="137">
        <v>136.0</v>
      </c>
      <c r="T92" s="137">
        <v>8.0</v>
      </c>
      <c r="U92" s="137">
        <v>172.0</v>
      </c>
      <c r="V92" s="137">
        <v>40.0</v>
      </c>
      <c r="W92" s="137">
        <v>114.0</v>
      </c>
      <c r="X92" s="137">
        <v>412.0</v>
      </c>
      <c r="Y92" s="137">
        <v>468.0</v>
      </c>
      <c r="Z92" s="137">
        <v>682.0</v>
      </c>
      <c r="AA92" s="134">
        <v>1396.0</v>
      </c>
      <c r="AB92" s="137">
        <v>568.0</v>
      </c>
      <c r="AC92" s="137">
        <v>934.0</v>
      </c>
      <c r="AD92" s="134">
        <v>1022.0</v>
      </c>
      <c r="AE92" s="137">
        <v>670.0</v>
      </c>
      <c r="AF92" s="137">
        <v>302.0</v>
      </c>
      <c r="AG92" s="134">
        <v>1114.0</v>
      </c>
      <c r="AH92" s="134">
        <v>1410.0</v>
      </c>
      <c r="AI92" s="137">
        <v>826.0</v>
      </c>
      <c r="AJ92" s="137">
        <v>470.0</v>
      </c>
      <c r="AK92" s="137">
        <v>990.0</v>
      </c>
      <c r="AL92" s="137">
        <v>784.0</v>
      </c>
      <c r="AM92" s="137">
        <v>744.0</v>
      </c>
      <c r="AN92" s="134">
        <v>13236.0</v>
      </c>
    </row>
    <row r="93">
      <c r="A93" s="98"/>
      <c r="B93" s="136" t="s">
        <v>206</v>
      </c>
      <c r="C93" s="137">
        <v>308.0</v>
      </c>
      <c r="D93" s="137">
        <v>28.0</v>
      </c>
      <c r="E93" s="137">
        <v>280.0</v>
      </c>
      <c r="F93" s="137">
        <v>6.0</v>
      </c>
      <c r="G93" s="137">
        <v>6.0</v>
      </c>
      <c r="H93" s="137">
        <v>0.0</v>
      </c>
      <c r="I93" s="137">
        <v>2.0</v>
      </c>
      <c r="J93" s="137">
        <v>2.0</v>
      </c>
      <c r="K93" s="137">
        <v>6.0</v>
      </c>
      <c r="L93" s="137">
        <v>0.0</v>
      </c>
      <c r="M93" s="137">
        <v>12.0</v>
      </c>
      <c r="N93" s="137">
        <v>0.0</v>
      </c>
      <c r="O93" s="137">
        <v>24.0</v>
      </c>
      <c r="P93" s="137">
        <v>4.0</v>
      </c>
      <c r="Q93" s="137">
        <v>54.0</v>
      </c>
      <c r="R93" s="137">
        <v>0.0</v>
      </c>
      <c r="S93" s="137">
        <v>14.0</v>
      </c>
      <c r="T93" s="137">
        <v>0.0</v>
      </c>
      <c r="U93" s="137">
        <v>10.0</v>
      </c>
      <c r="V93" s="137">
        <v>0.0</v>
      </c>
      <c r="W93" s="137">
        <v>24.0</v>
      </c>
      <c r="X93" s="137">
        <v>0.0</v>
      </c>
      <c r="Y93" s="137">
        <v>24.0</v>
      </c>
      <c r="Z93" s="137">
        <v>4.0</v>
      </c>
      <c r="AA93" s="137">
        <v>16.0</v>
      </c>
      <c r="AB93" s="137">
        <v>0.0</v>
      </c>
      <c r="AC93" s="137">
        <v>20.0</v>
      </c>
      <c r="AD93" s="137">
        <v>0.0</v>
      </c>
      <c r="AE93" s="137">
        <v>4.0</v>
      </c>
      <c r="AF93" s="137">
        <v>4.0</v>
      </c>
      <c r="AG93" s="137">
        <v>26.0</v>
      </c>
      <c r="AH93" s="137">
        <v>0.0</v>
      </c>
      <c r="AI93" s="137">
        <v>20.0</v>
      </c>
      <c r="AJ93" s="137">
        <v>6.0</v>
      </c>
      <c r="AK93" s="137">
        <v>6.0</v>
      </c>
      <c r="AL93" s="137">
        <v>2.0</v>
      </c>
      <c r="AM93" s="137">
        <v>12.0</v>
      </c>
      <c r="AN93" s="137">
        <v>306.0</v>
      </c>
    </row>
    <row r="94">
      <c r="A94" s="98"/>
      <c r="B94" s="136" t="s">
        <v>200</v>
      </c>
      <c r="C94" s="134">
        <v>12130.0</v>
      </c>
      <c r="D94" s="134">
        <v>3758.0</v>
      </c>
      <c r="E94" s="134">
        <v>8372.0</v>
      </c>
      <c r="F94" s="134">
        <v>1688.0</v>
      </c>
      <c r="G94" s="134">
        <v>1680.0</v>
      </c>
      <c r="H94" s="137">
        <v>470.0</v>
      </c>
      <c r="I94" s="137">
        <v>470.0</v>
      </c>
      <c r="J94" s="137">
        <v>194.0</v>
      </c>
      <c r="K94" s="137">
        <v>188.0</v>
      </c>
      <c r="L94" s="137">
        <v>48.0</v>
      </c>
      <c r="M94" s="137">
        <v>200.0</v>
      </c>
      <c r="N94" s="137">
        <v>28.0</v>
      </c>
      <c r="O94" s="137">
        <v>394.0</v>
      </c>
      <c r="P94" s="137">
        <v>40.0</v>
      </c>
      <c r="Q94" s="137">
        <v>568.0</v>
      </c>
      <c r="R94" s="137">
        <v>42.0</v>
      </c>
      <c r="S94" s="137">
        <v>482.0</v>
      </c>
      <c r="T94" s="137">
        <v>52.0</v>
      </c>
      <c r="U94" s="137">
        <v>388.0</v>
      </c>
      <c r="V94" s="137">
        <v>70.0</v>
      </c>
      <c r="W94" s="137">
        <v>360.0</v>
      </c>
      <c r="X94" s="137">
        <v>68.0</v>
      </c>
      <c r="Y94" s="137">
        <v>472.0</v>
      </c>
      <c r="Z94" s="137">
        <v>108.0</v>
      </c>
      <c r="AA94" s="137">
        <v>634.0</v>
      </c>
      <c r="AB94" s="137">
        <v>100.0</v>
      </c>
      <c r="AC94" s="137">
        <v>674.0</v>
      </c>
      <c r="AD94" s="137">
        <v>148.0</v>
      </c>
      <c r="AE94" s="137">
        <v>480.0</v>
      </c>
      <c r="AF94" s="137">
        <v>134.0</v>
      </c>
      <c r="AG94" s="137">
        <v>538.0</v>
      </c>
      <c r="AH94" s="137">
        <v>244.0</v>
      </c>
      <c r="AI94" s="137">
        <v>374.0</v>
      </c>
      <c r="AJ94" s="137">
        <v>148.0</v>
      </c>
      <c r="AK94" s="137">
        <v>236.0</v>
      </c>
      <c r="AL94" s="137">
        <v>176.0</v>
      </c>
      <c r="AM94" s="137">
        <v>234.0</v>
      </c>
      <c r="AN94" s="134">
        <v>11956.0</v>
      </c>
    </row>
    <row r="95">
      <c r="A95" s="104"/>
      <c r="B95" s="136" t="s">
        <v>201</v>
      </c>
      <c r="C95" s="134">
        <v>7710.0</v>
      </c>
      <c r="D95" s="134">
        <v>4334.0</v>
      </c>
      <c r="E95" s="134">
        <v>3376.0</v>
      </c>
      <c r="F95" s="137">
        <v>40.0</v>
      </c>
      <c r="G95" s="137">
        <v>40.0</v>
      </c>
      <c r="H95" s="137">
        <v>26.0</v>
      </c>
      <c r="I95" s="137">
        <v>80.0</v>
      </c>
      <c r="J95" s="137">
        <v>22.0</v>
      </c>
      <c r="K95" s="137">
        <v>10.0</v>
      </c>
      <c r="L95" s="137">
        <v>12.0</v>
      </c>
      <c r="M95" s="137">
        <v>22.0</v>
      </c>
      <c r="N95" s="137">
        <v>8.0</v>
      </c>
      <c r="O95" s="137">
        <v>26.0</v>
      </c>
      <c r="P95" s="137">
        <v>22.0</v>
      </c>
      <c r="Q95" s="137">
        <v>36.0</v>
      </c>
      <c r="R95" s="137">
        <v>12.0</v>
      </c>
      <c r="S95" s="137">
        <v>94.0</v>
      </c>
      <c r="T95" s="137">
        <v>18.0</v>
      </c>
      <c r="U95" s="137">
        <v>206.0</v>
      </c>
      <c r="V95" s="137">
        <v>42.0</v>
      </c>
      <c r="W95" s="137">
        <v>44.0</v>
      </c>
      <c r="X95" s="137">
        <v>402.0</v>
      </c>
      <c r="Y95" s="137">
        <v>304.0</v>
      </c>
      <c r="Z95" s="137">
        <v>602.0</v>
      </c>
      <c r="AA95" s="134">
        <v>1118.0</v>
      </c>
      <c r="AB95" s="137">
        <v>466.0</v>
      </c>
      <c r="AC95" s="137">
        <v>560.0</v>
      </c>
      <c r="AD95" s="137">
        <v>882.0</v>
      </c>
      <c r="AE95" s="137">
        <v>206.0</v>
      </c>
      <c r="AF95" s="137">
        <v>10.0</v>
      </c>
      <c r="AG95" s="137">
        <v>302.0</v>
      </c>
      <c r="AH95" s="134">
        <v>1050.0</v>
      </c>
      <c r="AI95" s="137">
        <v>8.0</v>
      </c>
      <c r="AJ95" s="137">
        <v>220.0</v>
      </c>
      <c r="AK95" s="137">
        <v>248.0</v>
      </c>
      <c r="AL95" s="137">
        <v>500.0</v>
      </c>
      <c r="AM95" s="137">
        <v>72.0</v>
      </c>
      <c r="AN95" s="134">
        <v>7582.0</v>
      </c>
    </row>
    <row r="96">
      <c r="A96" s="132" t="s">
        <v>208</v>
      </c>
      <c r="B96" s="136" t="s">
        <v>198</v>
      </c>
      <c r="C96" s="134">
        <v>1476.0</v>
      </c>
      <c r="D96" s="137">
        <v>888.0</v>
      </c>
      <c r="E96" s="137">
        <v>588.0</v>
      </c>
      <c r="F96" s="137">
        <v>614.0</v>
      </c>
      <c r="G96" s="137">
        <v>362.0</v>
      </c>
      <c r="H96" s="137">
        <v>182.0</v>
      </c>
      <c r="I96" s="137">
        <v>134.0</v>
      </c>
      <c r="J96" s="137">
        <v>78.0</v>
      </c>
      <c r="K96" s="137">
        <v>70.0</v>
      </c>
      <c r="L96" s="137">
        <v>14.0</v>
      </c>
      <c r="M96" s="137">
        <v>16.0</v>
      </c>
      <c r="N96" s="137">
        <v>0.0</v>
      </c>
      <c r="O96" s="137">
        <v>6.0</v>
      </c>
      <c r="P96" s="135">
        <v>0.0</v>
      </c>
      <c r="Q96" s="135">
        <v>0.0</v>
      </c>
      <c r="R96" s="135">
        <v>0.0</v>
      </c>
      <c r="S96" s="135">
        <v>0.0</v>
      </c>
      <c r="T96" s="135">
        <v>0.0</v>
      </c>
      <c r="U96" s="135">
        <v>0.0</v>
      </c>
      <c r="V96" s="135">
        <v>0.0</v>
      </c>
      <c r="W96" s="135">
        <v>0.0</v>
      </c>
      <c r="X96" s="135">
        <v>0.0</v>
      </c>
      <c r="Y96" s="135">
        <v>0.0</v>
      </c>
      <c r="Z96" s="135">
        <v>0.0</v>
      </c>
      <c r="AA96" s="135">
        <v>0.0</v>
      </c>
      <c r="AB96" s="135">
        <v>0.0</v>
      </c>
      <c r="AC96" s="135">
        <v>0.0</v>
      </c>
      <c r="AD96" s="135">
        <v>0.0</v>
      </c>
      <c r="AE96" s="135">
        <v>0.0</v>
      </c>
      <c r="AF96" s="135">
        <v>0.0</v>
      </c>
      <c r="AG96" s="135">
        <v>0.0</v>
      </c>
      <c r="AH96" s="135">
        <v>0.0</v>
      </c>
      <c r="AI96" s="135">
        <v>0.0</v>
      </c>
      <c r="AJ96" s="135">
        <v>0.0</v>
      </c>
      <c r="AK96" s="135">
        <v>0.0</v>
      </c>
      <c r="AL96" s="135">
        <v>0.0</v>
      </c>
      <c r="AM96" s="135">
        <v>0.0</v>
      </c>
      <c r="AN96" s="134">
        <v>1328.0</v>
      </c>
    </row>
    <row r="97">
      <c r="A97" s="98"/>
      <c r="B97" s="136" t="s">
        <v>199</v>
      </c>
      <c r="C97" s="137">
        <v>490.0</v>
      </c>
      <c r="D97" s="137">
        <v>302.0</v>
      </c>
      <c r="E97" s="137">
        <v>188.0</v>
      </c>
      <c r="F97" s="137">
        <v>228.0</v>
      </c>
      <c r="G97" s="137">
        <v>156.0</v>
      </c>
      <c r="H97" s="137">
        <v>62.0</v>
      </c>
      <c r="I97" s="137">
        <v>30.0</v>
      </c>
      <c r="J97" s="137">
        <v>6.0</v>
      </c>
      <c r="K97" s="137">
        <v>0.0</v>
      </c>
      <c r="L97" s="137">
        <v>4.0</v>
      </c>
      <c r="M97" s="137">
        <v>0.0</v>
      </c>
      <c r="N97" s="137">
        <v>2.0</v>
      </c>
      <c r="O97" s="137">
        <v>2.0</v>
      </c>
      <c r="P97" s="135">
        <v>0.0</v>
      </c>
      <c r="Q97" s="135">
        <v>0.0</v>
      </c>
      <c r="R97" s="135">
        <v>0.0</v>
      </c>
      <c r="S97" s="135">
        <v>0.0</v>
      </c>
      <c r="T97" s="135">
        <v>0.0</v>
      </c>
      <c r="U97" s="135">
        <v>0.0</v>
      </c>
      <c r="V97" s="135">
        <v>0.0</v>
      </c>
      <c r="W97" s="135">
        <v>0.0</v>
      </c>
      <c r="X97" s="135">
        <v>0.0</v>
      </c>
      <c r="Y97" s="135">
        <v>0.0</v>
      </c>
      <c r="Z97" s="135">
        <v>0.0</v>
      </c>
      <c r="AA97" s="135">
        <v>0.0</v>
      </c>
      <c r="AB97" s="135">
        <v>0.0</v>
      </c>
      <c r="AC97" s="135">
        <v>0.0</v>
      </c>
      <c r="AD97" s="135">
        <v>0.0</v>
      </c>
      <c r="AE97" s="135">
        <v>0.0</v>
      </c>
      <c r="AF97" s="135">
        <v>0.0</v>
      </c>
      <c r="AG97" s="135">
        <v>0.0</v>
      </c>
      <c r="AH97" s="135">
        <v>0.0</v>
      </c>
      <c r="AI97" s="135">
        <v>0.0</v>
      </c>
      <c r="AJ97" s="135">
        <v>0.0</v>
      </c>
      <c r="AK97" s="135">
        <v>0.0</v>
      </c>
      <c r="AL97" s="135">
        <v>0.0</v>
      </c>
      <c r="AM97" s="135">
        <v>0.0</v>
      </c>
      <c r="AN97" s="137">
        <v>472.0</v>
      </c>
    </row>
    <row r="98">
      <c r="A98" s="98"/>
      <c r="B98" s="136" t="s">
        <v>206</v>
      </c>
      <c r="C98" s="137">
        <v>6.0</v>
      </c>
      <c r="D98" s="137">
        <v>6.0</v>
      </c>
      <c r="E98" s="137">
        <v>0.0</v>
      </c>
      <c r="F98" s="137">
        <v>6.0</v>
      </c>
      <c r="G98" s="137">
        <v>0.0</v>
      </c>
      <c r="H98" s="137">
        <v>0.0</v>
      </c>
      <c r="I98" s="137">
        <v>0.0</v>
      </c>
      <c r="J98" s="137">
        <v>0.0</v>
      </c>
      <c r="K98" s="137">
        <v>0.0</v>
      </c>
      <c r="L98" s="137">
        <v>0.0</v>
      </c>
      <c r="M98" s="137">
        <v>0.0</v>
      </c>
      <c r="N98" s="137">
        <v>0.0</v>
      </c>
      <c r="O98" s="137">
        <v>0.0</v>
      </c>
      <c r="P98" s="135">
        <v>0.0</v>
      </c>
      <c r="Q98" s="135">
        <v>0.0</v>
      </c>
      <c r="R98" s="135">
        <v>0.0</v>
      </c>
      <c r="S98" s="135">
        <v>0.0</v>
      </c>
      <c r="T98" s="135">
        <v>0.0</v>
      </c>
      <c r="U98" s="135">
        <v>0.0</v>
      </c>
      <c r="V98" s="135">
        <v>0.0</v>
      </c>
      <c r="W98" s="135">
        <v>0.0</v>
      </c>
      <c r="X98" s="135">
        <v>0.0</v>
      </c>
      <c r="Y98" s="135">
        <v>0.0</v>
      </c>
      <c r="Z98" s="135">
        <v>0.0</v>
      </c>
      <c r="AA98" s="135">
        <v>0.0</v>
      </c>
      <c r="AB98" s="135">
        <v>0.0</v>
      </c>
      <c r="AC98" s="135">
        <v>0.0</v>
      </c>
      <c r="AD98" s="135">
        <v>0.0</v>
      </c>
      <c r="AE98" s="135">
        <v>0.0</v>
      </c>
      <c r="AF98" s="135">
        <v>0.0</v>
      </c>
      <c r="AG98" s="135">
        <v>0.0</v>
      </c>
      <c r="AH98" s="135">
        <v>0.0</v>
      </c>
      <c r="AI98" s="135">
        <v>0.0</v>
      </c>
      <c r="AJ98" s="135">
        <v>0.0</v>
      </c>
      <c r="AK98" s="135">
        <v>0.0</v>
      </c>
      <c r="AL98" s="135">
        <v>0.0</v>
      </c>
      <c r="AM98" s="135">
        <v>0.0</v>
      </c>
      <c r="AN98" s="137">
        <v>2.0</v>
      </c>
    </row>
    <row r="99">
      <c r="A99" s="98"/>
      <c r="B99" s="136" t="s">
        <v>200</v>
      </c>
      <c r="C99" s="137">
        <v>184.0</v>
      </c>
      <c r="D99" s="137">
        <v>114.0</v>
      </c>
      <c r="E99" s="137">
        <v>70.0</v>
      </c>
      <c r="F99" s="137">
        <v>98.0</v>
      </c>
      <c r="G99" s="137">
        <v>60.0</v>
      </c>
      <c r="H99" s="137">
        <v>14.0</v>
      </c>
      <c r="I99" s="137">
        <v>4.0</v>
      </c>
      <c r="J99" s="137">
        <v>2.0</v>
      </c>
      <c r="K99" s="137">
        <v>0.0</v>
      </c>
      <c r="L99" s="137">
        <v>0.0</v>
      </c>
      <c r="M99" s="137">
        <v>4.0</v>
      </c>
      <c r="N99" s="137">
        <v>0.0</v>
      </c>
      <c r="O99" s="137">
        <v>2.0</v>
      </c>
      <c r="P99" s="135">
        <v>0.0</v>
      </c>
      <c r="Q99" s="135">
        <v>0.0</v>
      </c>
      <c r="R99" s="135">
        <v>0.0</v>
      </c>
      <c r="S99" s="135">
        <v>0.0</v>
      </c>
      <c r="T99" s="135">
        <v>0.0</v>
      </c>
      <c r="U99" s="135">
        <v>0.0</v>
      </c>
      <c r="V99" s="135">
        <v>0.0</v>
      </c>
      <c r="W99" s="135">
        <v>0.0</v>
      </c>
      <c r="X99" s="135">
        <v>0.0</v>
      </c>
      <c r="Y99" s="135">
        <v>0.0</v>
      </c>
      <c r="Z99" s="135">
        <v>0.0</v>
      </c>
      <c r="AA99" s="135">
        <v>0.0</v>
      </c>
      <c r="AB99" s="135">
        <v>0.0</v>
      </c>
      <c r="AC99" s="135">
        <v>0.0</v>
      </c>
      <c r="AD99" s="135">
        <v>0.0</v>
      </c>
      <c r="AE99" s="135">
        <v>0.0</v>
      </c>
      <c r="AF99" s="135">
        <v>0.0</v>
      </c>
      <c r="AG99" s="135">
        <v>0.0</v>
      </c>
      <c r="AH99" s="135">
        <v>0.0</v>
      </c>
      <c r="AI99" s="135">
        <v>0.0</v>
      </c>
      <c r="AJ99" s="135">
        <v>0.0</v>
      </c>
      <c r="AK99" s="135">
        <v>0.0</v>
      </c>
      <c r="AL99" s="135">
        <v>0.0</v>
      </c>
      <c r="AM99" s="135">
        <v>0.0</v>
      </c>
      <c r="AN99" s="137">
        <v>174.0</v>
      </c>
    </row>
    <row r="100">
      <c r="A100" s="104"/>
      <c r="B100" s="136" t="s">
        <v>201</v>
      </c>
      <c r="C100" s="137">
        <v>0.0</v>
      </c>
      <c r="D100" s="137">
        <v>0.0</v>
      </c>
      <c r="E100" s="137">
        <v>0.0</v>
      </c>
      <c r="F100" s="137">
        <v>0.0</v>
      </c>
      <c r="G100" s="137">
        <v>0.0</v>
      </c>
      <c r="H100" s="137">
        <v>0.0</v>
      </c>
      <c r="I100" s="137">
        <v>0.0</v>
      </c>
      <c r="J100" s="137">
        <v>0.0</v>
      </c>
      <c r="K100" s="137">
        <v>0.0</v>
      </c>
      <c r="L100" s="137">
        <v>0.0</v>
      </c>
      <c r="M100" s="137">
        <v>0.0</v>
      </c>
      <c r="N100" s="137">
        <v>0.0</v>
      </c>
      <c r="O100" s="137">
        <v>0.0</v>
      </c>
      <c r="P100" s="135">
        <v>0.0</v>
      </c>
      <c r="Q100" s="135">
        <v>0.0</v>
      </c>
      <c r="R100" s="135">
        <v>0.0</v>
      </c>
      <c r="S100" s="135">
        <v>0.0</v>
      </c>
      <c r="T100" s="135">
        <v>0.0</v>
      </c>
      <c r="U100" s="135">
        <v>0.0</v>
      </c>
      <c r="V100" s="135">
        <v>0.0</v>
      </c>
      <c r="W100" s="135">
        <v>0.0</v>
      </c>
      <c r="X100" s="135">
        <v>0.0</v>
      </c>
      <c r="Y100" s="135">
        <v>0.0</v>
      </c>
      <c r="Z100" s="135">
        <v>0.0</v>
      </c>
      <c r="AA100" s="135">
        <v>0.0</v>
      </c>
      <c r="AB100" s="135">
        <v>0.0</v>
      </c>
      <c r="AC100" s="135">
        <v>0.0</v>
      </c>
      <c r="AD100" s="135">
        <v>0.0</v>
      </c>
      <c r="AE100" s="135">
        <v>0.0</v>
      </c>
      <c r="AF100" s="135">
        <v>0.0</v>
      </c>
      <c r="AG100" s="135">
        <v>0.0</v>
      </c>
      <c r="AH100" s="135">
        <v>0.0</v>
      </c>
      <c r="AI100" s="135">
        <v>0.0</v>
      </c>
      <c r="AJ100" s="135">
        <v>0.0</v>
      </c>
      <c r="AK100" s="135">
        <v>0.0</v>
      </c>
      <c r="AL100" s="135">
        <v>0.0</v>
      </c>
      <c r="AM100" s="135">
        <v>0.0</v>
      </c>
      <c r="AN100" s="137">
        <v>0.0</v>
      </c>
    </row>
    <row r="101">
      <c r="A101" s="138" t="s">
        <v>243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</row>
    <row r="102">
      <c r="A102" s="132" t="s">
        <v>197</v>
      </c>
      <c r="B102" s="133" t="s">
        <v>198</v>
      </c>
      <c r="C102" s="134">
        <v>89588.0</v>
      </c>
      <c r="D102" s="134">
        <v>31390.0</v>
      </c>
      <c r="E102" s="134">
        <v>58198.0</v>
      </c>
      <c r="F102" s="135">
        <v>0.0</v>
      </c>
      <c r="G102" s="135">
        <v>0.0</v>
      </c>
      <c r="H102" s="135">
        <v>0.0</v>
      </c>
      <c r="I102" s="135">
        <v>0.0</v>
      </c>
      <c r="J102" s="135">
        <v>0.0</v>
      </c>
      <c r="K102" s="135">
        <v>0.0</v>
      </c>
      <c r="L102" s="137">
        <v>68.0</v>
      </c>
      <c r="M102" s="137">
        <v>118.0</v>
      </c>
      <c r="N102" s="137">
        <v>50.0</v>
      </c>
      <c r="O102" s="137">
        <v>202.0</v>
      </c>
      <c r="P102" s="137">
        <v>140.0</v>
      </c>
      <c r="Q102" s="137">
        <v>394.0</v>
      </c>
      <c r="R102" s="137">
        <v>226.0</v>
      </c>
      <c r="S102" s="137">
        <v>714.0</v>
      </c>
      <c r="T102" s="137">
        <v>414.0</v>
      </c>
      <c r="U102" s="134">
        <v>1298.0</v>
      </c>
      <c r="V102" s="137">
        <v>852.0</v>
      </c>
      <c r="W102" s="134">
        <v>2072.0</v>
      </c>
      <c r="X102" s="134">
        <v>1314.0</v>
      </c>
      <c r="Y102" s="134">
        <v>3856.0</v>
      </c>
      <c r="Z102" s="134">
        <v>2586.0</v>
      </c>
      <c r="AA102" s="134">
        <v>6102.0</v>
      </c>
      <c r="AB102" s="134">
        <v>3932.0</v>
      </c>
      <c r="AC102" s="134">
        <v>7956.0</v>
      </c>
      <c r="AD102" s="134">
        <v>4468.0</v>
      </c>
      <c r="AE102" s="134">
        <v>8012.0</v>
      </c>
      <c r="AF102" s="134">
        <v>4674.0</v>
      </c>
      <c r="AG102" s="134">
        <v>8056.0</v>
      </c>
      <c r="AH102" s="134">
        <v>4546.0</v>
      </c>
      <c r="AI102" s="134">
        <v>7062.0</v>
      </c>
      <c r="AJ102" s="134">
        <v>3964.0</v>
      </c>
      <c r="AK102" s="134">
        <v>5762.0</v>
      </c>
      <c r="AL102" s="134">
        <v>4156.0</v>
      </c>
      <c r="AM102" s="134">
        <v>6594.0</v>
      </c>
      <c r="AN102" s="134">
        <v>88778.0</v>
      </c>
    </row>
    <row r="103">
      <c r="A103" s="98"/>
      <c r="B103" s="136" t="s">
        <v>199</v>
      </c>
      <c r="C103" s="134">
        <v>28454.0</v>
      </c>
      <c r="D103" s="134">
        <v>9974.0</v>
      </c>
      <c r="E103" s="134">
        <v>18480.0</v>
      </c>
      <c r="F103" s="135">
        <v>0.0</v>
      </c>
      <c r="G103" s="135">
        <v>0.0</v>
      </c>
      <c r="H103" s="135">
        <v>0.0</v>
      </c>
      <c r="I103" s="135">
        <v>0.0</v>
      </c>
      <c r="J103" s="135">
        <v>0.0</v>
      </c>
      <c r="K103" s="135">
        <v>0.0</v>
      </c>
      <c r="L103" s="137">
        <v>4.0</v>
      </c>
      <c r="M103" s="137">
        <v>6.0</v>
      </c>
      <c r="N103" s="137">
        <v>12.0</v>
      </c>
      <c r="O103" s="137">
        <v>34.0</v>
      </c>
      <c r="P103" s="137">
        <v>34.0</v>
      </c>
      <c r="Q103" s="137">
        <v>94.0</v>
      </c>
      <c r="R103" s="137">
        <v>44.0</v>
      </c>
      <c r="S103" s="137">
        <v>156.0</v>
      </c>
      <c r="T103" s="137">
        <v>98.0</v>
      </c>
      <c r="U103" s="137">
        <v>316.0</v>
      </c>
      <c r="V103" s="137">
        <v>246.0</v>
      </c>
      <c r="W103" s="137">
        <v>530.0</v>
      </c>
      <c r="X103" s="137">
        <v>386.0</v>
      </c>
      <c r="Y103" s="134">
        <v>1130.0</v>
      </c>
      <c r="Z103" s="137">
        <v>936.0</v>
      </c>
      <c r="AA103" s="134">
        <v>1980.0</v>
      </c>
      <c r="AB103" s="134">
        <v>1168.0</v>
      </c>
      <c r="AC103" s="134">
        <v>2542.0</v>
      </c>
      <c r="AD103" s="134">
        <v>1464.0</v>
      </c>
      <c r="AE103" s="134">
        <v>2620.0</v>
      </c>
      <c r="AF103" s="134">
        <v>1450.0</v>
      </c>
      <c r="AG103" s="134">
        <v>2644.0</v>
      </c>
      <c r="AH103" s="134">
        <v>1524.0</v>
      </c>
      <c r="AI103" s="134">
        <v>2274.0</v>
      </c>
      <c r="AJ103" s="134">
        <v>1316.0</v>
      </c>
      <c r="AK103" s="134">
        <v>2012.0</v>
      </c>
      <c r="AL103" s="134">
        <v>1292.0</v>
      </c>
      <c r="AM103" s="134">
        <v>2142.0</v>
      </c>
      <c r="AN103" s="134">
        <v>28328.0</v>
      </c>
    </row>
    <row r="104">
      <c r="A104" s="98"/>
      <c r="B104" s="136" t="s">
        <v>200</v>
      </c>
      <c r="C104" s="134">
        <v>24404.0</v>
      </c>
      <c r="D104" s="134">
        <v>8008.0</v>
      </c>
      <c r="E104" s="134">
        <v>16396.0</v>
      </c>
      <c r="F104" s="135">
        <v>0.0</v>
      </c>
      <c r="G104" s="135">
        <v>0.0</v>
      </c>
      <c r="H104" s="135">
        <v>0.0</v>
      </c>
      <c r="I104" s="135">
        <v>0.0</v>
      </c>
      <c r="J104" s="135">
        <v>0.0</v>
      </c>
      <c r="K104" s="135">
        <v>0.0</v>
      </c>
      <c r="L104" s="137">
        <v>8.0</v>
      </c>
      <c r="M104" s="137">
        <v>34.0</v>
      </c>
      <c r="N104" s="137">
        <v>4.0</v>
      </c>
      <c r="O104" s="137">
        <v>82.0</v>
      </c>
      <c r="P104" s="137">
        <v>40.0</v>
      </c>
      <c r="Q104" s="137">
        <v>118.0</v>
      </c>
      <c r="R104" s="137">
        <v>68.0</v>
      </c>
      <c r="S104" s="137">
        <v>222.0</v>
      </c>
      <c r="T104" s="137">
        <v>114.0</v>
      </c>
      <c r="U104" s="137">
        <v>406.0</v>
      </c>
      <c r="V104" s="137">
        <v>228.0</v>
      </c>
      <c r="W104" s="137">
        <v>582.0</v>
      </c>
      <c r="X104" s="137">
        <v>308.0</v>
      </c>
      <c r="Y104" s="134">
        <v>1086.0</v>
      </c>
      <c r="Z104" s="137">
        <v>686.0</v>
      </c>
      <c r="AA104" s="134">
        <v>1830.0</v>
      </c>
      <c r="AB104" s="134">
        <v>1070.0</v>
      </c>
      <c r="AC104" s="134">
        <v>2306.0</v>
      </c>
      <c r="AD104" s="134">
        <v>1152.0</v>
      </c>
      <c r="AE104" s="134">
        <v>2392.0</v>
      </c>
      <c r="AF104" s="134">
        <v>1172.0</v>
      </c>
      <c r="AG104" s="134">
        <v>2226.0</v>
      </c>
      <c r="AH104" s="134">
        <v>1152.0</v>
      </c>
      <c r="AI104" s="134">
        <v>1932.0</v>
      </c>
      <c r="AJ104" s="134">
        <v>1042.0</v>
      </c>
      <c r="AK104" s="134">
        <v>1632.0</v>
      </c>
      <c r="AL104" s="137">
        <v>964.0</v>
      </c>
      <c r="AM104" s="134">
        <v>1548.0</v>
      </c>
      <c r="AN104" s="134">
        <v>24326.0</v>
      </c>
    </row>
    <row r="105">
      <c r="A105" s="104"/>
      <c r="B105" s="136" t="s">
        <v>201</v>
      </c>
      <c r="C105" s="134">
        <v>1640.0</v>
      </c>
      <c r="D105" s="137">
        <v>576.0</v>
      </c>
      <c r="E105" s="134">
        <v>1064.0</v>
      </c>
      <c r="F105" s="135">
        <v>0.0</v>
      </c>
      <c r="G105" s="135">
        <v>0.0</v>
      </c>
      <c r="H105" s="135">
        <v>0.0</v>
      </c>
      <c r="I105" s="135">
        <v>0.0</v>
      </c>
      <c r="J105" s="135">
        <v>0.0</v>
      </c>
      <c r="K105" s="135">
        <v>0.0</v>
      </c>
      <c r="L105" s="137">
        <v>0.0</v>
      </c>
      <c r="M105" s="137">
        <v>12.0</v>
      </c>
      <c r="N105" s="137">
        <v>0.0</v>
      </c>
      <c r="O105" s="137">
        <v>4.0</v>
      </c>
      <c r="P105" s="137">
        <v>10.0</v>
      </c>
      <c r="Q105" s="137">
        <v>20.0</v>
      </c>
      <c r="R105" s="137">
        <v>4.0</v>
      </c>
      <c r="S105" s="137">
        <v>22.0</v>
      </c>
      <c r="T105" s="137">
        <v>6.0</v>
      </c>
      <c r="U105" s="137">
        <v>34.0</v>
      </c>
      <c r="V105" s="137">
        <v>2.0</v>
      </c>
      <c r="W105" s="137">
        <v>24.0</v>
      </c>
      <c r="X105" s="137">
        <v>28.0</v>
      </c>
      <c r="Y105" s="137">
        <v>102.0</v>
      </c>
      <c r="Z105" s="137">
        <v>44.0</v>
      </c>
      <c r="AA105" s="137">
        <v>80.0</v>
      </c>
      <c r="AB105" s="137">
        <v>62.0</v>
      </c>
      <c r="AC105" s="137">
        <v>152.0</v>
      </c>
      <c r="AD105" s="137">
        <v>74.0</v>
      </c>
      <c r="AE105" s="137">
        <v>150.0</v>
      </c>
      <c r="AF105" s="137">
        <v>76.0</v>
      </c>
      <c r="AG105" s="137">
        <v>132.0</v>
      </c>
      <c r="AH105" s="137">
        <v>70.0</v>
      </c>
      <c r="AI105" s="137">
        <v>116.0</v>
      </c>
      <c r="AJ105" s="137">
        <v>82.0</v>
      </c>
      <c r="AK105" s="137">
        <v>92.0</v>
      </c>
      <c r="AL105" s="137">
        <v>118.0</v>
      </c>
      <c r="AM105" s="137">
        <v>124.0</v>
      </c>
      <c r="AN105" s="134">
        <v>1634.0</v>
      </c>
    </row>
    <row r="106">
      <c r="A106" s="132" t="s">
        <v>202</v>
      </c>
      <c r="B106" s="136" t="s">
        <v>198</v>
      </c>
      <c r="C106" s="137">
        <v>286.0</v>
      </c>
      <c r="D106" s="137">
        <v>108.0</v>
      </c>
      <c r="E106" s="137">
        <v>178.0</v>
      </c>
      <c r="F106" s="137">
        <v>0.0</v>
      </c>
      <c r="G106" s="137">
        <v>2.0</v>
      </c>
      <c r="H106" s="137">
        <v>4.0</v>
      </c>
      <c r="I106" s="137">
        <v>0.0</v>
      </c>
      <c r="J106" s="137">
        <v>0.0</v>
      </c>
      <c r="K106" s="137">
        <v>2.0</v>
      </c>
      <c r="L106" s="137">
        <v>4.0</v>
      </c>
      <c r="M106" s="137">
        <v>8.0</v>
      </c>
      <c r="N106" s="137">
        <v>6.0</v>
      </c>
      <c r="O106" s="137">
        <v>6.0</v>
      </c>
      <c r="P106" s="137">
        <v>4.0</v>
      </c>
      <c r="Q106" s="137">
        <v>18.0</v>
      </c>
      <c r="R106" s="137">
        <v>4.0</v>
      </c>
      <c r="S106" s="137">
        <v>20.0</v>
      </c>
      <c r="T106" s="137">
        <v>12.0</v>
      </c>
      <c r="U106" s="137">
        <v>8.0</v>
      </c>
      <c r="V106" s="137">
        <v>6.0</v>
      </c>
      <c r="W106" s="137">
        <v>10.0</v>
      </c>
      <c r="X106" s="137">
        <v>6.0</v>
      </c>
      <c r="Y106" s="137">
        <v>32.0</v>
      </c>
      <c r="Z106" s="137">
        <v>18.0</v>
      </c>
      <c r="AA106" s="137">
        <v>22.0</v>
      </c>
      <c r="AB106" s="137">
        <v>6.0</v>
      </c>
      <c r="AC106" s="137">
        <v>8.0</v>
      </c>
      <c r="AD106" s="137">
        <v>16.0</v>
      </c>
      <c r="AE106" s="137">
        <v>10.0</v>
      </c>
      <c r="AF106" s="137">
        <v>12.0</v>
      </c>
      <c r="AG106" s="137">
        <v>6.0</v>
      </c>
      <c r="AH106" s="137">
        <v>4.0</v>
      </c>
      <c r="AI106" s="137">
        <v>4.0</v>
      </c>
      <c r="AJ106" s="137">
        <v>4.0</v>
      </c>
      <c r="AK106" s="137">
        <v>10.0</v>
      </c>
      <c r="AL106" s="137">
        <v>2.0</v>
      </c>
      <c r="AM106" s="137">
        <v>12.0</v>
      </c>
      <c r="AN106" s="137">
        <v>274.0</v>
      </c>
    </row>
    <row r="107">
      <c r="A107" s="104"/>
      <c r="B107" s="136" t="s">
        <v>199</v>
      </c>
      <c r="C107" s="137">
        <v>34.0</v>
      </c>
      <c r="D107" s="137">
        <v>20.0</v>
      </c>
      <c r="E107" s="137">
        <v>14.0</v>
      </c>
      <c r="F107" s="137">
        <v>0.0</v>
      </c>
      <c r="G107" s="137">
        <v>0.0</v>
      </c>
      <c r="H107" s="137">
        <v>0.0</v>
      </c>
      <c r="I107" s="137">
        <v>0.0</v>
      </c>
      <c r="J107" s="137">
        <v>0.0</v>
      </c>
      <c r="K107" s="137">
        <v>0.0</v>
      </c>
      <c r="L107" s="137">
        <v>0.0</v>
      </c>
      <c r="M107" s="137">
        <v>0.0</v>
      </c>
      <c r="N107" s="137">
        <v>2.0</v>
      </c>
      <c r="O107" s="137">
        <v>0.0</v>
      </c>
      <c r="P107" s="137">
        <v>2.0</v>
      </c>
      <c r="Q107" s="137">
        <v>0.0</v>
      </c>
      <c r="R107" s="137">
        <v>0.0</v>
      </c>
      <c r="S107" s="137">
        <v>0.0</v>
      </c>
      <c r="T107" s="137">
        <v>0.0</v>
      </c>
      <c r="U107" s="137">
        <v>2.0</v>
      </c>
      <c r="V107" s="137">
        <v>2.0</v>
      </c>
      <c r="W107" s="137">
        <v>0.0</v>
      </c>
      <c r="X107" s="137">
        <v>2.0</v>
      </c>
      <c r="Y107" s="137">
        <v>2.0</v>
      </c>
      <c r="Z107" s="137">
        <v>2.0</v>
      </c>
      <c r="AA107" s="137">
        <v>0.0</v>
      </c>
      <c r="AB107" s="137">
        <v>2.0</v>
      </c>
      <c r="AC107" s="137">
        <v>0.0</v>
      </c>
      <c r="AD107" s="137">
        <v>4.0</v>
      </c>
      <c r="AE107" s="137">
        <v>6.0</v>
      </c>
      <c r="AF107" s="137">
        <v>0.0</v>
      </c>
      <c r="AG107" s="137">
        <v>0.0</v>
      </c>
      <c r="AH107" s="137">
        <v>0.0</v>
      </c>
      <c r="AI107" s="137">
        <v>0.0</v>
      </c>
      <c r="AJ107" s="137">
        <v>0.0</v>
      </c>
      <c r="AK107" s="137">
        <v>0.0</v>
      </c>
      <c r="AL107" s="137">
        <v>4.0</v>
      </c>
      <c r="AM107" s="137">
        <v>4.0</v>
      </c>
      <c r="AN107" s="137">
        <v>34.0</v>
      </c>
    </row>
    <row r="108">
      <c r="A108" s="132" t="s">
        <v>203</v>
      </c>
      <c r="B108" s="136" t="s">
        <v>198</v>
      </c>
      <c r="C108" s="137">
        <v>4.0</v>
      </c>
      <c r="D108" s="137">
        <v>0.0</v>
      </c>
      <c r="E108" s="137">
        <v>4.0</v>
      </c>
      <c r="F108" s="135">
        <v>0.0</v>
      </c>
      <c r="G108" s="135">
        <v>0.0</v>
      </c>
      <c r="H108" s="135">
        <v>0.0</v>
      </c>
      <c r="I108" s="135">
        <v>0.0</v>
      </c>
      <c r="J108" s="135">
        <v>0.0</v>
      </c>
      <c r="K108" s="135">
        <v>0.0</v>
      </c>
      <c r="L108" s="135">
        <v>0.0</v>
      </c>
      <c r="M108" s="135">
        <v>0.0</v>
      </c>
      <c r="N108" s="135">
        <v>0.0</v>
      </c>
      <c r="O108" s="135">
        <v>0.0</v>
      </c>
      <c r="P108" s="135">
        <v>0.0</v>
      </c>
      <c r="Q108" s="135">
        <v>0.0</v>
      </c>
      <c r="R108" s="135">
        <v>0.0</v>
      </c>
      <c r="S108" s="135">
        <v>0.0</v>
      </c>
      <c r="T108" s="135">
        <v>0.0</v>
      </c>
      <c r="U108" s="135">
        <v>0.0</v>
      </c>
      <c r="V108" s="135">
        <v>0.0</v>
      </c>
      <c r="W108" s="135">
        <v>0.0</v>
      </c>
      <c r="X108" s="135">
        <v>0.0</v>
      </c>
      <c r="Y108" s="135">
        <v>0.0</v>
      </c>
      <c r="Z108" s="135">
        <v>0.0</v>
      </c>
      <c r="AA108" s="135">
        <v>0.0</v>
      </c>
      <c r="AB108" s="135">
        <v>0.0</v>
      </c>
      <c r="AC108" s="135">
        <v>0.0</v>
      </c>
      <c r="AD108" s="135">
        <v>0.0</v>
      </c>
      <c r="AE108" s="135">
        <v>0.0</v>
      </c>
      <c r="AF108" s="137">
        <v>0.0</v>
      </c>
      <c r="AG108" s="137">
        <v>0.0</v>
      </c>
      <c r="AH108" s="137">
        <v>0.0</v>
      </c>
      <c r="AI108" s="137">
        <v>2.0</v>
      </c>
      <c r="AJ108" s="137">
        <v>0.0</v>
      </c>
      <c r="AK108" s="137">
        <v>2.0</v>
      </c>
      <c r="AL108" s="137">
        <v>0.0</v>
      </c>
      <c r="AM108" s="137">
        <v>0.0</v>
      </c>
      <c r="AN108" s="137">
        <v>4.0</v>
      </c>
    </row>
    <row r="109">
      <c r="A109" s="104"/>
      <c r="B109" s="136" t="s">
        <v>199</v>
      </c>
      <c r="C109" s="137">
        <v>6.0</v>
      </c>
      <c r="D109" s="137">
        <v>0.0</v>
      </c>
      <c r="E109" s="137">
        <v>6.0</v>
      </c>
      <c r="F109" s="135">
        <v>0.0</v>
      </c>
      <c r="G109" s="135">
        <v>0.0</v>
      </c>
      <c r="H109" s="135">
        <v>0.0</v>
      </c>
      <c r="I109" s="135">
        <v>0.0</v>
      </c>
      <c r="J109" s="135">
        <v>0.0</v>
      </c>
      <c r="K109" s="135">
        <v>0.0</v>
      </c>
      <c r="L109" s="135">
        <v>0.0</v>
      </c>
      <c r="M109" s="135">
        <v>0.0</v>
      </c>
      <c r="N109" s="135">
        <v>0.0</v>
      </c>
      <c r="O109" s="135">
        <v>0.0</v>
      </c>
      <c r="P109" s="135">
        <v>0.0</v>
      </c>
      <c r="Q109" s="135">
        <v>0.0</v>
      </c>
      <c r="R109" s="135">
        <v>0.0</v>
      </c>
      <c r="S109" s="135">
        <v>0.0</v>
      </c>
      <c r="T109" s="135">
        <v>0.0</v>
      </c>
      <c r="U109" s="135">
        <v>0.0</v>
      </c>
      <c r="V109" s="135">
        <v>0.0</v>
      </c>
      <c r="W109" s="135">
        <v>0.0</v>
      </c>
      <c r="X109" s="135">
        <v>0.0</v>
      </c>
      <c r="Y109" s="135">
        <v>0.0</v>
      </c>
      <c r="Z109" s="135">
        <v>0.0</v>
      </c>
      <c r="AA109" s="135">
        <v>0.0</v>
      </c>
      <c r="AB109" s="135">
        <v>0.0</v>
      </c>
      <c r="AC109" s="135">
        <v>0.0</v>
      </c>
      <c r="AD109" s="135">
        <v>0.0</v>
      </c>
      <c r="AE109" s="135">
        <v>0.0</v>
      </c>
      <c r="AF109" s="137">
        <v>0.0</v>
      </c>
      <c r="AG109" s="137">
        <v>0.0</v>
      </c>
      <c r="AH109" s="137">
        <v>0.0</v>
      </c>
      <c r="AI109" s="137">
        <v>2.0</v>
      </c>
      <c r="AJ109" s="137">
        <v>0.0</v>
      </c>
      <c r="AK109" s="137">
        <v>0.0</v>
      </c>
      <c r="AL109" s="137">
        <v>0.0</v>
      </c>
      <c r="AM109" s="137">
        <v>4.0</v>
      </c>
      <c r="AN109" s="137">
        <v>6.0</v>
      </c>
    </row>
    <row r="110">
      <c r="A110" s="132" t="s">
        <v>204</v>
      </c>
      <c r="B110" s="136" t="s">
        <v>198</v>
      </c>
      <c r="C110" s="137">
        <v>2.0</v>
      </c>
      <c r="D110" s="137">
        <v>0.0</v>
      </c>
      <c r="E110" s="137">
        <v>2.0</v>
      </c>
      <c r="F110" s="135">
        <v>0.0</v>
      </c>
      <c r="G110" s="135">
        <v>0.0</v>
      </c>
      <c r="H110" s="135">
        <v>0.0</v>
      </c>
      <c r="I110" s="135">
        <v>0.0</v>
      </c>
      <c r="J110" s="135">
        <v>0.0</v>
      </c>
      <c r="K110" s="135">
        <v>0.0</v>
      </c>
      <c r="L110" s="135">
        <v>0.0</v>
      </c>
      <c r="M110" s="135">
        <v>0.0</v>
      </c>
      <c r="N110" s="135">
        <v>0.0</v>
      </c>
      <c r="O110" s="135">
        <v>0.0</v>
      </c>
      <c r="P110" s="135">
        <v>0.0</v>
      </c>
      <c r="Q110" s="135">
        <v>0.0</v>
      </c>
      <c r="R110" s="135">
        <v>0.0</v>
      </c>
      <c r="S110" s="135">
        <v>0.0</v>
      </c>
      <c r="T110" s="135">
        <v>0.0</v>
      </c>
      <c r="U110" s="135">
        <v>0.0</v>
      </c>
      <c r="V110" s="135">
        <v>0.0</v>
      </c>
      <c r="W110" s="135">
        <v>0.0</v>
      </c>
      <c r="X110" s="135">
        <v>0.0</v>
      </c>
      <c r="Y110" s="135">
        <v>0.0</v>
      </c>
      <c r="Z110" s="135">
        <v>0.0</v>
      </c>
      <c r="AA110" s="135">
        <v>0.0</v>
      </c>
      <c r="AB110" s="135">
        <v>0.0</v>
      </c>
      <c r="AC110" s="135">
        <v>0.0</v>
      </c>
      <c r="AD110" s="135">
        <v>0.0</v>
      </c>
      <c r="AE110" s="135">
        <v>0.0</v>
      </c>
      <c r="AF110" s="137">
        <v>0.0</v>
      </c>
      <c r="AG110" s="137">
        <v>0.0</v>
      </c>
      <c r="AH110" s="137">
        <v>0.0</v>
      </c>
      <c r="AI110" s="137">
        <v>0.0</v>
      </c>
      <c r="AJ110" s="137">
        <v>0.0</v>
      </c>
      <c r="AK110" s="137">
        <v>2.0</v>
      </c>
      <c r="AL110" s="137">
        <v>0.0</v>
      </c>
      <c r="AM110" s="137">
        <v>0.0</v>
      </c>
      <c r="AN110" s="137">
        <v>2.0</v>
      </c>
    </row>
    <row r="111">
      <c r="A111" s="104"/>
      <c r="B111" s="136" t="s">
        <v>199</v>
      </c>
      <c r="C111" s="137">
        <v>0.0</v>
      </c>
      <c r="D111" s="137">
        <v>0.0</v>
      </c>
      <c r="E111" s="137">
        <v>0.0</v>
      </c>
      <c r="F111" s="135">
        <v>0.0</v>
      </c>
      <c r="G111" s="135">
        <v>0.0</v>
      </c>
      <c r="H111" s="135">
        <v>0.0</v>
      </c>
      <c r="I111" s="135">
        <v>0.0</v>
      </c>
      <c r="J111" s="135">
        <v>0.0</v>
      </c>
      <c r="K111" s="135">
        <v>0.0</v>
      </c>
      <c r="L111" s="135">
        <v>0.0</v>
      </c>
      <c r="M111" s="135">
        <v>0.0</v>
      </c>
      <c r="N111" s="135">
        <v>0.0</v>
      </c>
      <c r="O111" s="135">
        <v>0.0</v>
      </c>
      <c r="P111" s="135">
        <v>0.0</v>
      </c>
      <c r="Q111" s="135">
        <v>0.0</v>
      </c>
      <c r="R111" s="135">
        <v>0.0</v>
      </c>
      <c r="S111" s="135">
        <v>0.0</v>
      </c>
      <c r="T111" s="135">
        <v>0.0</v>
      </c>
      <c r="U111" s="135">
        <v>0.0</v>
      </c>
      <c r="V111" s="135">
        <v>0.0</v>
      </c>
      <c r="W111" s="135">
        <v>0.0</v>
      </c>
      <c r="X111" s="135">
        <v>0.0</v>
      </c>
      <c r="Y111" s="135">
        <v>0.0</v>
      </c>
      <c r="Z111" s="135">
        <v>0.0</v>
      </c>
      <c r="AA111" s="135">
        <v>0.0</v>
      </c>
      <c r="AB111" s="135">
        <v>0.0</v>
      </c>
      <c r="AC111" s="135">
        <v>0.0</v>
      </c>
      <c r="AD111" s="135">
        <v>0.0</v>
      </c>
      <c r="AE111" s="135">
        <v>0.0</v>
      </c>
      <c r="AF111" s="137">
        <v>0.0</v>
      </c>
      <c r="AG111" s="137">
        <v>0.0</v>
      </c>
      <c r="AH111" s="137">
        <v>0.0</v>
      </c>
      <c r="AI111" s="137">
        <v>0.0</v>
      </c>
      <c r="AJ111" s="137">
        <v>0.0</v>
      </c>
      <c r="AK111" s="137">
        <v>0.0</v>
      </c>
      <c r="AL111" s="137">
        <v>0.0</v>
      </c>
      <c r="AM111" s="137">
        <v>0.0</v>
      </c>
      <c r="AN111" s="137">
        <v>0.0</v>
      </c>
    </row>
    <row r="112">
      <c r="A112" s="132" t="s">
        <v>205</v>
      </c>
      <c r="B112" s="136" t="s">
        <v>198</v>
      </c>
      <c r="C112" s="137">
        <v>62.0</v>
      </c>
      <c r="D112" s="137">
        <v>14.0</v>
      </c>
      <c r="E112" s="137">
        <v>48.0</v>
      </c>
      <c r="F112" s="137">
        <v>0.0</v>
      </c>
      <c r="G112" s="137">
        <v>0.0</v>
      </c>
      <c r="H112" s="137">
        <v>0.0</v>
      </c>
      <c r="I112" s="137">
        <v>0.0</v>
      </c>
      <c r="J112" s="137">
        <v>0.0</v>
      </c>
      <c r="K112" s="137">
        <v>0.0</v>
      </c>
      <c r="L112" s="137">
        <v>0.0</v>
      </c>
      <c r="M112" s="137">
        <v>0.0</v>
      </c>
      <c r="N112" s="137">
        <v>0.0</v>
      </c>
      <c r="O112" s="137">
        <v>2.0</v>
      </c>
      <c r="P112" s="137">
        <v>0.0</v>
      </c>
      <c r="Q112" s="137">
        <v>2.0</v>
      </c>
      <c r="R112" s="137">
        <v>0.0</v>
      </c>
      <c r="S112" s="137">
        <v>6.0</v>
      </c>
      <c r="T112" s="137">
        <v>0.0</v>
      </c>
      <c r="U112" s="137">
        <v>8.0</v>
      </c>
      <c r="V112" s="137">
        <v>2.0</v>
      </c>
      <c r="W112" s="137">
        <v>2.0</v>
      </c>
      <c r="X112" s="137">
        <v>0.0</v>
      </c>
      <c r="Y112" s="137">
        <v>2.0</v>
      </c>
      <c r="Z112" s="137">
        <v>0.0</v>
      </c>
      <c r="AA112" s="137">
        <v>6.0</v>
      </c>
      <c r="AB112" s="137">
        <v>4.0</v>
      </c>
      <c r="AC112" s="137">
        <v>4.0</v>
      </c>
      <c r="AD112" s="137">
        <v>4.0</v>
      </c>
      <c r="AE112" s="137">
        <v>6.0</v>
      </c>
      <c r="AF112" s="137">
        <v>2.0</v>
      </c>
      <c r="AG112" s="137">
        <v>6.0</v>
      </c>
      <c r="AH112" s="137">
        <v>2.0</v>
      </c>
      <c r="AI112" s="137">
        <v>0.0</v>
      </c>
      <c r="AJ112" s="137">
        <v>0.0</v>
      </c>
      <c r="AK112" s="137">
        <v>2.0</v>
      </c>
      <c r="AL112" s="137">
        <v>0.0</v>
      </c>
      <c r="AM112" s="137">
        <v>2.0</v>
      </c>
      <c r="AN112" s="137">
        <v>62.0</v>
      </c>
    </row>
    <row r="113">
      <c r="A113" s="98"/>
      <c r="B113" s="136" t="s">
        <v>199</v>
      </c>
      <c r="C113" s="137">
        <v>8.0</v>
      </c>
      <c r="D113" s="137">
        <v>4.0</v>
      </c>
      <c r="E113" s="137">
        <v>4.0</v>
      </c>
      <c r="F113" s="137">
        <v>2.0</v>
      </c>
      <c r="G113" s="137">
        <v>2.0</v>
      </c>
      <c r="H113" s="137">
        <v>0.0</v>
      </c>
      <c r="I113" s="137">
        <v>0.0</v>
      </c>
      <c r="J113" s="137">
        <v>0.0</v>
      </c>
      <c r="K113" s="137">
        <v>0.0</v>
      </c>
      <c r="L113" s="137">
        <v>0.0</v>
      </c>
      <c r="M113" s="137">
        <v>2.0</v>
      </c>
      <c r="N113" s="137">
        <v>0.0</v>
      </c>
      <c r="O113" s="137">
        <v>0.0</v>
      </c>
      <c r="P113" s="137">
        <v>0.0</v>
      </c>
      <c r="Q113" s="137">
        <v>0.0</v>
      </c>
      <c r="R113" s="137">
        <v>0.0</v>
      </c>
      <c r="S113" s="137">
        <v>0.0</v>
      </c>
      <c r="T113" s="137">
        <v>0.0</v>
      </c>
      <c r="U113" s="137">
        <v>0.0</v>
      </c>
      <c r="V113" s="137">
        <v>0.0</v>
      </c>
      <c r="W113" s="137">
        <v>0.0</v>
      </c>
      <c r="X113" s="137">
        <v>0.0</v>
      </c>
      <c r="Y113" s="137">
        <v>0.0</v>
      </c>
      <c r="Z113" s="137">
        <v>0.0</v>
      </c>
      <c r="AA113" s="137">
        <v>0.0</v>
      </c>
      <c r="AB113" s="137">
        <v>0.0</v>
      </c>
      <c r="AC113" s="137">
        <v>0.0</v>
      </c>
      <c r="AD113" s="137">
        <v>0.0</v>
      </c>
      <c r="AE113" s="137">
        <v>0.0</v>
      </c>
      <c r="AF113" s="137">
        <v>0.0</v>
      </c>
      <c r="AG113" s="137">
        <v>0.0</v>
      </c>
      <c r="AH113" s="137">
        <v>0.0</v>
      </c>
      <c r="AI113" s="137">
        <v>0.0</v>
      </c>
      <c r="AJ113" s="137">
        <v>0.0</v>
      </c>
      <c r="AK113" s="137">
        <v>0.0</v>
      </c>
      <c r="AL113" s="137">
        <v>2.0</v>
      </c>
      <c r="AM113" s="137">
        <v>0.0</v>
      </c>
      <c r="AN113" s="137">
        <v>8.0</v>
      </c>
    </row>
    <row r="114">
      <c r="A114" s="104"/>
      <c r="B114" s="136" t="s">
        <v>206</v>
      </c>
      <c r="C114" s="137">
        <v>26.0</v>
      </c>
      <c r="D114" s="137">
        <v>4.0</v>
      </c>
      <c r="E114" s="137">
        <v>22.0</v>
      </c>
      <c r="F114" s="137">
        <v>0.0</v>
      </c>
      <c r="G114" s="137">
        <v>0.0</v>
      </c>
      <c r="H114" s="137">
        <v>0.0</v>
      </c>
      <c r="I114" s="137">
        <v>0.0</v>
      </c>
      <c r="J114" s="137">
        <v>0.0</v>
      </c>
      <c r="K114" s="137">
        <v>0.0</v>
      </c>
      <c r="L114" s="137">
        <v>0.0</v>
      </c>
      <c r="M114" s="137">
        <v>2.0</v>
      </c>
      <c r="N114" s="137">
        <v>2.0</v>
      </c>
      <c r="O114" s="137">
        <v>4.0</v>
      </c>
      <c r="P114" s="137">
        <v>0.0</v>
      </c>
      <c r="Q114" s="137">
        <v>10.0</v>
      </c>
      <c r="R114" s="137">
        <v>2.0</v>
      </c>
      <c r="S114" s="137">
        <v>0.0</v>
      </c>
      <c r="T114" s="137">
        <v>0.0</v>
      </c>
      <c r="U114" s="137">
        <v>2.0</v>
      </c>
      <c r="V114" s="137">
        <v>0.0</v>
      </c>
      <c r="W114" s="137">
        <v>0.0</v>
      </c>
      <c r="X114" s="137">
        <v>0.0</v>
      </c>
      <c r="Y114" s="137">
        <v>2.0</v>
      </c>
      <c r="Z114" s="137">
        <v>0.0</v>
      </c>
      <c r="AA114" s="137">
        <v>2.0</v>
      </c>
      <c r="AB114" s="137">
        <v>0.0</v>
      </c>
      <c r="AC114" s="137">
        <v>0.0</v>
      </c>
      <c r="AD114" s="137">
        <v>0.0</v>
      </c>
      <c r="AE114" s="137">
        <v>0.0</v>
      </c>
      <c r="AF114" s="137">
        <v>0.0</v>
      </c>
      <c r="AG114" s="137">
        <v>0.0</v>
      </c>
      <c r="AH114" s="137">
        <v>0.0</v>
      </c>
      <c r="AI114" s="137">
        <v>0.0</v>
      </c>
      <c r="AJ114" s="137">
        <v>0.0</v>
      </c>
      <c r="AK114" s="137">
        <v>0.0</v>
      </c>
      <c r="AL114" s="137">
        <v>0.0</v>
      </c>
      <c r="AM114" s="137">
        <v>0.0</v>
      </c>
      <c r="AN114" s="137">
        <v>24.0</v>
      </c>
    </row>
    <row r="115">
      <c r="A115" s="132" t="s">
        <v>207</v>
      </c>
      <c r="B115" s="136" t="s">
        <v>198</v>
      </c>
      <c r="C115" s="134">
        <v>17802.0</v>
      </c>
      <c r="D115" s="134">
        <v>4382.0</v>
      </c>
      <c r="E115" s="134">
        <v>13420.0</v>
      </c>
      <c r="F115" s="137">
        <v>158.0</v>
      </c>
      <c r="G115" s="137">
        <v>58.0</v>
      </c>
      <c r="H115" s="137">
        <v>74.0</v>
      </c>
      <c r="I115" s="137">
        <v>36.0</v>
      </c>
      <c r="J115" s="137">
        <v>80.0</v>
      </c>
      <c r="K115" s="137">
        <v>86.0</v>
      </c>
      <c r="L115" s="137">
        <v>106.0</v>
      </c>
      <c r="M115" s="137">
        <v>200.0</v>
      </c>
      <c r="N115" s="137">
        <v>66.0</v>
      </c>
      <c r="O115" s="137">
        <v>306.0</v>
      </c>
      <c r="P115" s="137">
        <v>58.0</v>
      </c>
      <c r="Q115" s="137">
        <v>394.0</v>
      </c>
      <c r="R115" s="137">
        <v>64.0</v>
      </c>
      <c r="S115" s="137">
        <v>488.0</v>
      </c>
      <c r="T115" s="137">
        <v>96.0</v>
      </c>
      <c r="U115" s="137">
        <v>592.0</v>
      </c>
      <c r="V115" s="137">
        <v>164.0</v>
      </c>
      <c r="W115" s="137">
        <v>850.0</v>
      </c>
      <c r="X115" s="137">
        <v>224.0</v>
      </c>
      <c r="Y115" s="134">
        <v>1134.0</v>
      </c>
      <c r="Z115" s="137">
        <v>342.0</v>
      </c>
      <c r="AA115" s="134">
        <v>1424.0</v>
      </c>
      <c r="AB115" s="137">
        <v>374.0</v>
      </c>
      <c r="AC115" s="134">
        <v>1680.0</v>
      </c>
      <c r="AD115" s="137">
        <v>446.0</v>
      </c>
      <c r="AE115" s="134">
        <v>1438.0</v>
      </c>
      <c r="AF115" s="137">
        <v>602.0</v>
      </c>
      <c r="AG115" s="134">
        <v>1466.0</v>
      </c>
      <c r="AH115" s="137">
        <v>484.0</v>
      </c>
      <c r="AI115" s="134">
        <v>1150.0</v>
      </c>
      <c r="AJ115" s="137">
        <v>474.0</v>
      </c>
      <c r="AK115" s="137">
        <v>934.0</v>
      </c>
      <c r="AL115" s="137">
        <v>570.0</v>
      </c>
      <c r="AM115" s="134">
        <v>1184.0</v>
      </c>
      <c r="AN115" s="134">
        <v>17484.0</v>
      </c>
    </row>
    <row r="116">
      <c r="A116" s="98"/>
      <c r="B116" s="136" t="s">
        <v>199</v>
      </c>
      <c r="C116" s="137">
        <v>792.0</v>
      </c>
      <c r="D116" s="137">
        <v>180.0</v>
      </c>
      <c r="E116" s="137">
        <v>612.0</v>
      </c>
      <c r="F116" s="137">
        <v>6.0</v>
      </c>
      <c r="G116" s="137">
        <v>2.0</v>
      </c>
      <c r="H116" s="137">
        <v>4.0</v>
      </c>
      <c r="I116" s="137">
        <v>0.0</v>
      </c>
      <c r="J116" s="137">
        <v>0.0</v>
      </c>
      <c r="K116" s="137">
        <v>4.0</v>
      </c>
      <c r="L116" s="137">
        <v>2.0</v>
      </c>
      <c r="M116" s="137">
        <v>6.0</v>
      </c>
      <c r="N116" s="137">
        <v>0.0</v>
      </c>
      <c r="O116" s="137">
        <v>4.0</v>
      </c>
      <c r="P116" s="137">
        <v>0.0</v>
      </c>
      <c r="Q116" s="137">
        <v>10.0</v>
      </c>
      <c r="R116" s="137">
        <v>0.0</v>
      </c>
      <c r="S116" s="137">
        <v>6.0</v>
      </c>
      <c r="T116" s="137">
        <v>0.0</v>
      </c>
      <c r="U116" s="137">
        <v>12.0</v>
      </c>
      <c r="V116" s="137">
        <v>0.0</v>
      </c>
      <c r="W116" s="137">
        <v>24.0</v>
      </c>
      <c r="X116" s="137">
        <v>6.0</v>
      </c>
      <c r="Y116" s="137">
        <v>34.0</v>
      </c>
      <c r="Z116" s="137">
        <v>22.0</v>
      </c>
      <c r="AA116" s="137">
        <v>62.0</v>
      </c>
      <c r="AB116" s="137">
        <v>12.0</v>
      </c>
      <c r="AC116" s="137">
        <v>46.0</v>
      </c>
      <c r="AD116" s="137">
        <v>20.0</v>
      </c>
      <c r="AE116" s="137">
        <v>78.0</v>
      </c>
      <c r="AF116" s="137">
        <v>22.0</v>
      </c>
      <c r="AG116" s="137">
        <v>116.0</v>
      </c>
      <c r="AH116" s="137">
        <v>14.0</v>
      </c>
      <c r="AI116" s="137">
        <v>104.0</v>
      </c>
      <c r="AJ116" s="137">
        <v>36.0</v>
      </c>
      <c r="AK116" s="137">
        <v>58.0</v>
      </c>
      <c r="AL116" s="137">
        <v>36.0</v>
      </c>
      <c r="AM116" s="137">
        <v>46.0</v>
      </c>
      <c r="AN116" s="137">
        <v>784.0</v>
      </c>
    </row>
    <row r="117">
      <c r="A117" s="98"/>
      <c r="B117" s="136" t="s">
        <v>206</v>
      </c>
      <c r="C117" s="137">
        <v>6.0</v>
      </c>
      <c r="D117" s="137">
        <v>0.0</v>
      </c>
      <c r="E117" s="137">
        <v>6.0</v>
      </c>
      <c r="F117" s="137">
        <v>0.0</v>
      </c>
      <c r="G117" s="137">
        <v>0.0</v>
      </c>
      <c r="H117" s="137">
        <v>0.0</v>
      </c>
      <c r="I117" s="137">
        <v>0.0</v>
      </c>
      <c r="J117" s="137">
        <v>0.0</v>
      </c>
      <c r="K117" s="137">
        <v>0.0</v>
      </c>
      <c r="L117" s="137">
        <v>0.0</v>
      </c>
      <c r="M117" s="137">
        <v>0.0</v>
      </c>
      <c r="N117" s="137">
        <v>0.0</v>
      </c>
      <c r="O117" s="137">
        <v>0.0</v>
      </c>
      <c r="P117" s="137">
        <v>0.0</v>
      </c>
      <c r="Q117" s="137">
        <v>0.0</v>
      </c>
      <c r="R117" s="137">
        <v>0.0</v>
      </c>
      <c r="S117" s="137">
        <v>0.0</v>
      </c>
      <c r="T117" s="137">
        <v>0.0</v>
      </c>
      <c r="U117" s="137">
        <v>6.0</v>
      </c>
      <c r="V117" s="137">
        <v>0.0</v>
      </c>
      <c r="W117" s="137">
        <v>0.0</v>
      </c>
      <c r="X117" s="137">
        <v>0.0</v>
      </c>
      <c r="Y117" s="137">
        <v>0.0</v>
      </c>
      <c r="Z117" s="137">
        <v>0.0</v>
      </c>
      <c r="AA117" s="137">
        <v>0.0</v>
      </c>
      <c r="AB117" s="137">
        <v>0.0</v>
      </c>
      <c r="AC117" s="137">
        <v>0.0</v>
      </c>
      <c r="AD117" s="137">
        <v>0.0</v>
      </c>
      <c r="AE117" s="137">
        <v>0.0</v>
      </c>
      <c r="AF117" s="137">
        <v>0.0</v>
      </c>
      <c r="AG117" s="137">
        <v>0.0</v>
      </c>
      <c r="AH117" s="137">
        <v>0.0</v>
      </c>
      <c r="AI117" s="137">
        <v>0.0</v>
      </c>
      <c r="AJ117" s="137">
        <v>0.0</v>
      </c>
      <c r="AK117" s="137">
        <v>0.0</v>
      </c>
      <c r="AL117" s="137">
        <v>0.0</v>
      </c>
      <c r="AM117" s="137">
        <v>0.0</v>
      </c>
      <c r="AN117" s="137">
        <v>6.0</v>
      </c>
    </row>
    <row r="118">
      <c r="A118" s="98"/>
      <c r="B118" s="136" t="s">
        <v>200</v>
      </c>
      <c r="C118" s="137">
        <v>784.0</v>
      </c>
      <c r="D118" s="137">
        <v>196.0</v>
      </c>
      <c r="E118" s="137">
        <v>588.0</v>
      </c>
      <c r="F118" s="137">
        <v>88.0</v>
      </c>
      <c r="G118" s="137">
        <v>80.0</v>
      </c>
      <c r="H118" s="137">
        <v>28.0</v>
      </c>
      <c r="I118" s="137">
        <v>24.0</v>
      </c>
      <c r="J118" s="137">
        <v>0.0</v>
      </c>
      <c r="K118" s="137">
        <v>2.0</v>
      </c>
      <c r="L118" s="137">
        <v>0.0</v>
      </c>
      <c r="M118" s="137">
        <v>14.0</v>
      </c>
      <c r="N118" s="137">
        <v>0.0</v>
      </c>
      <c r="O118" s="137">
        <v>14.0</v>
      </c>
      <c r="P118" s="137">
        <v>4.0</v>
      </c>
      <c r="Q118" s="137">
        <v>20.0</v>
      </c>
      <c r="R118" s="137">
        <v>0.0</v>
      </c>
      <c r="S118" s="137">
        <v>34.0</v>
      </c>
      <c r="T118" s="137">
        <v>2.0</v>
      </c>
      <c r="U118" s="137">
        <v>48.0</v>
      </c>
      <c r="V118" s="137">
        <v>4.0</v>
      </c>
      <c r="W118" s="137">
        <v>40.0</v>
      </c>
      <c r="X118" s="137">
        <v>6.0</v>
      </c>
      <c r="Y118" s="137">
        <v>40.0</v>
      </c>
      <c r="Z118" s="137">
        <v>6.0</v>
      </c>
      <c r="AA118" s="137">
        <v>50.0</v>
      </c>
      <c r="AB118" s="137">
        <v>4.0</v>
      </c>
      <c r="AC118" s="137">
        <v>46.0</v>
      </c>
      <c r="AD118" s="137">
        <v>16.0</v>
      </c>
      <c r="AE118" s="137">
        <v>48.0</v>
      </c>
      <c r="AF118" s="137">
        <v>6.0</v>
      </c>
      <c r="AG118" s="137">
        <v>54.0</v>
      </c>
      <c r="AH118" s="137">
        <v>6.0</v>
      </c>
      <c r="AI118" s="137">
        <v>38.0</v>
      </c>
      <c r="AJ118" s="137">
        <v>22.0</v>
      </c>
      <c r="AK118" s="137">
        <v>24.0</v>
      </c>
      <c r="AL118" s="137">
        <v>4.0</v>
      </c>
      <c r="AM118" s="137">
        <v>12.0</v>
      </c>
      <c r="AN118" s="137">
        <v>776.0</v>
      </c>
    </row>
    <row r="119">
      <c r="A119" s="104"/>
      <c r="B119" s="136" t="s">
        <v>201</v>
      </c>
      <c r="C119" s="137">
        <v>842.0</v>
      </c>
      <c r="D119" s="137">
        <v>238.0</v>
      </c>
      <c r="E119" s="137">
        <v>604.0</v>
      </c>
      <c r="F119" s="137">
        <v>0.0</v>
      </c>
      <c r="G119" s="137">
        <v>0.0</v>
      </c>
      <c r="H119" s="137">
        <v>16.0</v>
      </c>
      <c r="I119" s="137">
        <v>2.0</v>
      </c>
      <c r="J119" s="137">
        <v>6.0</v>
      </c>
      <c r="K119" s="137">
        <v>32.0</v>
      </c>
      <c r="L119" s="137">
        <v>8.0</v>
      </c>
      <c r="M119" s="137">
        <v>26.0</v>
      </c>
      <c r="N119" s="137">
        <v>34.0</v>
      </c>
      <c r="O119" s="137">
        <v>6.0</v>
      </c>
      <c r="P119" s="137">
        <v>16.0</v>
      </c>
      <c r="Q119" s="137">
        <v>16.0</v>
      </c>
      <c r="R119" s="137">
        <v>6.0</v>
      </c>
      <c r="S119" s="137">
        <v>26.0</v>
      </c>
      <c r="T119" s="137">
        <v>8.0</v>
      </c>
      <c r="U119" s="137">
        <v>22.0</v>
      </c>
      <c r="V119" s="137">
        <v>10.0</v>
      </c>
      <c r="W119" s="137">
        <v>32.0</v>
      </c>
      <c r="X119" s="137">
        <v>18.0</v>
      </c>
      <c r="Y119" s="137">
        <v>24.0</v>
      </c>
      <c r="Z119" s="137">
        <v>12.0</v>
      </c>
      <c r="AA119" s="137">
        <v>58.0</v>
      </c>
      <c r="AB119" s="137">
        <v>14.0</v>
      </c>
      <c r="AC119" s="137">
        <v>76.0</v>
      </c>
      <c r="AD119" s="137">
        <v>20.0</v>
      </c>
      <c r="AE119" s="137">
        <v>78.0</v>
      </c>
      <c r="AF119" s="137">
        <v>18.0</v>
      </c>
      <c r="AG119" s="137">
        <v>60.0</v>
      </c>
      <c r="AH119" s="137">
        <v>16.0</v>
      </c>
      <c r="AI119" s="137">
        <v>38.0</v>
      </c>
      <c r="AJ119" s="137">
        <v>14.0</v>
      </c>
      <c r="AK119" s="137">
        <v>64.0</v>
      </c>
      <c r="AL119" s="137">
        <v>22.0</v>
      </c>
      <c r="AM119" s="137">
        <v>44.0</v>
      </c>
      <c r="AN119" s="137">
        <v>836.0</v>
      </c>
    </row>
    <row r="120">
      <c r="A120" s="132" t="s">
        <v>208</v>
      </c>
      <c r="B120" s="136" t="s">
        <v>198</v>
      </c>
      <c r="C120" s="137">
        <v>0.0</v>
      </c>
      <c r="D120" s="137">
        <v>0.0</v>
      </c>
      <c r="E120" s="137">
        <v>0.0</v>
      </c>
      <c r="F120" s="137">
        <v>0.0</v>
      </c>
      <c r="G120" s="137">
        <v>0.0</v>
      </c>
      <c r="H120" s="137">
        <v>0.0</v>
      </c>
      <c r="I120" s="137">
        <v>0.0</v>
      </c>
      <c r="J120" s="137">
        <v>0.0</v>
      </c>
      <c r="K120" s="137">
        <v>0.0</v>
      </c>
      <c r="L120" s="137">
        <v>0.0</v>
      </c>
      <c r="M120" s="137">
        <v>0.0</v>
      </c>
      <c r="N120" s="137">
        <v>0.0</v>
      </c>
      <c r="O120" s="137">
        <v>0.0</v>
      </c>
      <c r="P120" s="135">
        <v>0.0</v>
      </c>
      <c r="Q120" s="135">
        <v>0.0</v>
      </c>
      <c r="R120" s="135">
        <v>0.0</v>
      </c>
      <c r="S120" s="135">
        <v>0.0</v>
      </c>
      <c r="T120" s="135">
        <v>0.0</v>
      </c>
      <c r="U120" s="135">
        <v>8.0</v>
      </c>
      <c r="V120" s="135">
        <v>0.0</v>
      </c>
      <c r="W120" s="135">
        <v>0.0</v>
      </c>
      <c r="X120" s="135">
        <v>0.0</v>
      </c>
      <c r="Y120" s="135">
        <v>0.0</v>
      </c>
      <c r="Z120" s="135">
        <v>0.0</v>
      </c>
      <c r="AA120" s="135">
        <v>0.0</v>
      </c>
      <c r="AB120" s="135">
        <v>0.0</v>
      </c>
      <c r="AC120" s="135">
        <v>0.0</v>
      </c>
      <c r="AD120" s="135">
        <v>0.0</v>
      </c>
      <c r="AE120" s="135">
        <v>0.0</v>
      </c>
      <c r="AF120" s="135">
        <v>0.0</v>
      </c>
      <c r="AG120" s="135">
        <v>0.0</v>
      </c>
      <c r="AH120" s="135">
        <v>0.0</v>
      </c>
      <c r="AI120" s="135">
        <v>0.0</v>
      </c>
      <c r="AJ120" s="135">
        <v>0.0</v>
      </c>
      <c r="AK120" s="135">
        <v>0.0</v>
      </c>
      <c r="AL120" s="135">
        <v>0.0</v>
      </c>
      <c r="AM120" s="135">
        <v>0.0</v>
      </c>
      <c r="AN120" s="137">
        <v>0.0</v>
      </c>
    </row>
    <row r="121">
      <c r="A121" s="98"/>
      <c r="B121" s="136" t="s">
        <v>199</v>
      </c>
      <c r="C121" s="137">
        <v>4.0</v>
      </c>
      <c r="D121" s="137">
        <v>2.0</v>
      </c>
      <c r="E121" s="137">
        <v>2.0</v>
      </c>
      <c r="F121" s="137">
        <v>2.0</v>
      </c>
      <c r="G121" s="137">
        <v>2.0</v>
      </c>
      <c r="H121" s="137">
        <v>0.0</v>
      </c>
      <c r="I121" s="137">
        <v>0.0</v>
      </c>
      <c r="J121" s="137">
        <v>0.0</v>
      </c>
      <c r="K121" s="137">
        <v>0.0</v>
      </c>
      <c r="L121" s="137">
        <v>0.0</v>
      </c>
      <c r="M121" s="137">
        <v>0.0</v>
      </c>
      <c r="N121" s="137">
        <v>0.0</v>
      </c>
      <c r="O121" s="137">
        <v>0.0</v>
      </c>
      <c r="P121" s="135">
        <v>0.0</v>
      </c>
      <c r="Q121" s="135">
        <v>0.0</v>
      </c>
      <c r="R121" s="135">
        <v>0.0</v>
      </c>
      <c r="S121" s="135">
        <v>0.0</v>
      </c>
      <c r="T121" s="135">
        <v>0.0</v>
      </c>
      <c r="U121" s="135">
        <v>8.0</v>
      </c>
      <c r="V121" s="135">
        <v>0.0</v>
      </c>
      <c r="W121" s="135">
        <v>0.0</v>
      </c>
      <c r="X121" s="135">
        <v>0.0</v>
      </c>
      <c r="Y121" s="135">
        <v>0.0</v>
      </c>
      <c r="Z121" s="135">
        <v>0.0</v>
      </c>
      <c r="AA121" s="135">
        <v>0.0</v>
      </c>
      <c r="AB121" s="135">
        <v>0.0</v>
      </c>
      <c r="AC121" s="135">
        <v>0.0</v>
      </c>
      <c r="AD121" s="135">
        <v>0.0</v>
      </c>
      <c r="AE121" s="135">
        <v>0.0</v>
      </c>
      <c r="AF121" s="135">
        <v>0.0</v>
      </c>
      <c r="AG121" s="135">
        <v>0.0</v>
      </c>
      <c r="AH121" s="135">
        <v>0.0</v>
      </c>
      <c r="AI121" s="135">
        <v>0.0</v>
      </c>
      <c r="AJ121" s="135">
        <v>0.0</v>
      </c>
      <c r="AK121" s="135">
        <v>0.0</v>
      </c>
      <c r="AL121" s="135">
        <v>0.0</v>
      </c>
      <c r="AM121" s="135">
        <v>0.0</v>
      </c>
      <c r="AN121" s="137">
        <v>2.0</v>
      </c>
    </row>
    <row r="122">
      <c r="A122" s="98"/>
      <c r="B122" s="136" t="s">
        <v>206</v>
      </c>
      <c r="C122" s="137">
        <v>6.0</v>
      </c>
      <c r="D122" s="137">
        <v>2.0</v>
      </c>
      <c r="E122" s="137">
        <v>4.0</v>
      </c>
      <c r="F122" s="137">
        <v>0.0</v>
      </c>
      <c r="G122" s="137">
        <v>0.0</v>
      </c>
      <c r="H122" s="137">
        <v>0.0</v>
      </c>
      <c r="I122" s="137">
        <v>0.0</v>
      </c>
      <c r="J122" s="137">
        <v>0.0</v>
      </c>
      <c r="K122" s="137">
        <v>0.0</v>
      </c>
      <c r="L122" s="137">
        <v>2.0</v>
      </c>
      <c r="M122" s="137">
        <v>2.0</v>
      </c>
      <c r="N122" s="137">
        <v>0.0</v>
      </c>
      <c r="O122" s="137">
        <v>2.0</v>
      </c>
      <c r="P122" s="135">
        <v>0.0</v>
      </c>
      <c r="Q122" s="135">
        <v>0.0</v>
      </c>
      <c r="R122" s="135">
        <v>0.0</v>
      </c>
      <c r="S122" s="135">
        <v>0.0</v>
      </c>
      <c r="T122" s="135">
        <v>0.0</v>
      </c>
      <c r="U122" s="135">
        <v>8.0</v>
      </c>
      <c r="V122" s="135">
        <v>0.0</v>
      </c>
      <c r="W122" s="135">
        <v>0.0</v>
      </c>
      <c r="X122" s="135">
        <v>0.0</v>
      </c>
      <c r="Y122" s="135">
        <v>0.0</v>
      </c>
      <c r="Z122" s="135">
        <v>0.0</v>
      </c>
      <c r="AA122" s="135">
        <v>0.0</v>
      </c>
      <c r="AB122" s="135">
        <v>0.0</v>
      </c>
      <c r="AC122" s="135">
        <v>0.0</v>
      </c>
      <c r="AD122" s="135">
        <v>0.0</v>
      </c>
      <c r="AE122" s="135">
        <v>0.0</v>
      </c>
      <c r="AF122" s="135">
        <v>0.0</v>
      </c>
      <c r="AG122" s="135">
        <v>0.0</v>
      </c>
      <c r="AH122" s="135">
        <v>0.0</v>
      </c>
      <c r="AI122" s="135">
        <v>0.0</v>
      </c>
      <c r="AJ122" s="135">
        <v>0.0</v>
      </c>
      <c r="AK122" s="135">
        <v>0.0</v>
      </c>
      <c r="AL122" s="135">
        <v>0.0</v>
      </c>
      <c r="AM122" s="135">
        <v>0.0</v>
      </c>
      <c r="AN122" s="137">
        <v>6.0</v>
      </c>
    </row>
    <row r="123">
      <c r="A123" s="98"/>
      <c r="B123" s="136" t="s">
        <v>200</v>
      </c>
      <c r="C123" s="137">
        <v>0.0</v>
      </c>
      <c r="D123" s="137">
        <v>0.0</v>
      </c>
      <c r="E123" s="137">
        <v>0.0</v>
      </c>
      <c r="F123" s="137">
        <v>0.0</v>
      </c>
      <c r="G123" s="137">
        <v>0.0</v>
      </c>
      <c r="H123" s="137">
        <v>0.0</v>
      </c>
      <c r="I123" s="137">
        <v>0.0</v>
      </c>
      <c r="J123" s="137">
        <v>0.0</v>
      </c>
      <c r="K123" s="137">
        <v>0.0</v>
      </c>
      <c r="L123" s="137">
        <v>0.0</v>
      </c>
      <c r="M123" s="137">
        <v>0.0</v>
      </c>
      <c r="N123" s="137">
        <v>0.0</v>
      </c>
      <c r="O123" s="137">
        <v>0.0</v>
      </c>
      <c r="P123" s="135">
        <v>0.0</v>
      </c>
      <c r="Q123" s="135">
        <v>0.0</v>
      </c>
      <c r="R123" s="135">
        <v>0.0</v>
      </c>
      <c r="S123" s="135">
        <v>0.0</v>
      </c>
      <c r="T123" s="135">
        <v>0.0</v>
      </c>
      <c r="U123" s="135">
        <v>8.0</v>
      </c>
      <c r="V123" s="135">
        <v>0.0</v>
      </c>
      <c r="W123" s="135">
        <v>0.0</v>
      </c>
      <c r="X123" s="135">
        <v>0.0</v>
      </c>
      <c r="Y123" s="135">
        <v>0.0</v>
      </c>
      <c r="Z123" s="135">
        <v>0.0</v>
      </c>
      <c r="AA123" s="135">
        <v>0.0</v>
      </c>
      <c r="AB123" s="135">
        <v>0.0</v>
      </c>
      <c r="AC123" s="135">
        <v>0.0</v>
      </c>
      <c r="AD123" s="135">
        <v>0.0</v>
      </c>
      <c r="AE123" s="135">
        <v>0.0</v>
      </c>
      <c r="AF123" s="135">
        <v>0.0</v>
      </c>
      <c r="AG123" s="135">
        <v>0.0</v>
      </c>
      <c r="AH123" s="135">
        <v>0.0</v>
      </c>
      <c r="AI123" s="135">
        <v>0.0</v>
      </c>
      <c r="AJ123" s="135">
        <v>0.0</v>
      </c>
      <c r="AK123" s="135">
        <v>0.0</v>
      </c>
      <c r="AL123" s="135">
        <v>0.0</v>
      </c>
      <c r="AM123" s="135">
        <v>0.0</v>
      </c>
      <c r="AN123" s="137">
        <v>0.0</v>
      </c>
    </row>
    <row r="124">
      <c r="A124" s="104"/>
      <c r="B124" s="136" t="s">
        <v>201</v>
      </c>
      <c r="C124" s="137">
        <v>0.0</v>
      </c>
      <c r="D124" s="137">
        <v>0.0</v>
      </c>
      <c r="E124" s="137">
        <v>0.0</v>
      </c>
      <c r="F124" s="137">
        <v>0.0</v>
      </c>
      <c r="G124" s="137">
        <v>0.0</v>
      </c>
      <c r="H124" s="137">
        <v>0.0</v>
      </c>
      <c r="I124" s="137">
        <v>0.0</v>
      </c>
      <c r="J124" s="137">
        <v>0.0</v>
      </c>
      <c r="K124" s="137">
        <v>0.0</v>
      </c>
      <c r="L124" s="137">
        <v>0.0</v>
      </c>
      <c r="M124" s="137">
        <v>0.0</v>
      </c>
      <c r="N124" s="137">
        <v>0.0</v>
      </c>
      <c r="O124" s="137">
        <v>0.0</v>
      </c>
      <c r="P124" s="135">
        <v>0.0</v>
      </c>
      <c r="Q124" s="135">
        <v>0.0</v>
      </c>
      <c r="R124" s="135">
        <v>0.0</v>
      </c>
      <c r="S124" s="135">
        <v>0.0</v>
      </c>
      <c r="T124" s="135">
        <v>0.0</v>
      </c>
      <c r="U124" s="135">
        <v>8.0</v>
      </c>
      <c r="V124" s="135">
        <v>0.0</v>
      </c>
      <c r="W124" s="135">
        <v>0.0</v>
      </c>
      <c r="X124" s="135">
        <v>0.0</v>
      </c>
      <c r="Y124" s="135">
        <v>0.0</v>
      </c>
      <c r="Z124" s="135">
        <v>0.0</v>
      </c>
      <c r="AA124" s="135">
        <v>0.0</v>
      </c>
      <c r="AB124" s="135">
        <v>0.0</v>
      </c>
      <c r="AC124" s="135">
        <v>0.0</v>
      </c>
      <c r="AD124" s="135">
        <v>0.0</v>
      </c>
      <c r="AE124" s="135">
        <v>0.0</v>
      </c>
      <c r="AF124" s="135">
        <v>0.0</v>
      </c>
      <c r="AG124" s="135">
        <v>0.0</v>
      </c>
      <c r="AH124" s="135">
        <v>0.0</v>
      </c>
      <c r="AI124" s="135">
        <v>0.0</v>
      </c>
      <c r="AJ124" s="135">
        <v>0.0</v>
      </c>
      <c r="AK124" s="135">
        <v>0.0</v>
      </c>
      <c r="AL124" s="135">
        <v>0.0</v>
      </c>
      <c r="AM124" s="135">
        <v>0.0</v>
      </c>
      <c r="AN124" s="137">
        <v>0.0</v>
      </c>
    </row>
    <row r="125">
      <c r="A125" s="138" t="s">
        <v>244</v>
      </c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</row>
    <row r="126">
      <c r="A126" s="132" t="s">
        <v>197</v>
      </c>
      <c r="B126" s="133" t="s">
        <v>198</v>
      </c>
      <c r="C126" s="134">
        <v>279596.0</v>
      </c>
      <c r="D126" s="134">
        <v>95772.0</v>
      </c>
      <c r="E126" s="134">
        <v>183824.0</v>
      </c>
      <c r="F126" s="135">
        <v>0.0</v>
      </c>
      <c r="G126" s="135">
        <v>0.0</v>
      </c>
      <c r="H126" s="135">
        <v>0.0</v>
      </c>
      <c r="I126" s="135">
        <v>0.0</v>
      </c>
      <c r="J126" s="135">
        <v>0.0</v>
      </c>
      <c r="K126" s="135">
        <v>0.0</v>
      </c>
      <c r="L126" s="137">
        <v>214.0</v>
      </c>
      <c r="M126" s="137">
        <v>396.0</v>
      </c>
      <c r="N126" s="137">
        <v>254.0</v>
      </c>
      <c r="O126" s="137">
        <v>770.0</v>
      </c>
      <c r="P126" s="137">
        <v>394.0</v>
      </c>
      <c r="Q126" s="134">
        <v>1282.0</v>
      </c>
      <c r="R126" s="137">
        <v>780.0</v>
      </c>
      <c r="S126" s="134">
        <v>2150.0</v>
      </c>
      <c r="T126" s="134">
        <v>1250.0</v>
      </c>
      <c r="U126" s="134">
        <v>3618.0</v>
      </c>
      <c r="V126" s="134">
        <v>2260.0</v>
      </c>
      <c r="W126" s="134">
        <v>6428.0</v>
      </c>
      <c r="X126" s="134">
        <v>3970.0</v>
      </c>
      <c r="Y126" s="134">
        <v>10756.0</v>
      </c>
      <c r="Z126" s="134">
        <v>6992.0</v>
      </c>
      <c r="AA126" s="134">
        <v>18202.0</v>
      </c>
      <c r="AB126" s="134">
        <v>10238.0</v>
      </c>
      <c r="AC126" s="134">
        <v>22740.0</v>
      </c>
      <c r="AD126" s="134">
        <v>12796.0</v>
      </c>
      <c r="AE126" s="134">
        <v>25296.0</v>
      </c>
      <c r="AF126" s="134">
        <v>14514.0</v>
      </c>
      <c r="AG126" s="134">
        <v>25296.0</v>
      </c>
      <c r="AH126" s="134">
        <v>14418.0</v>
      </c>
      <c r="AI126" s="134">
        <v>23254.0</v>
      </c>
      <c r="AJ126" s="134">
        <v>13256.0</v>
      </c>
      <c r="AK126" s="134">
        <v>19956.0</v>
      </c>
      <c r="AL126" s="134">
        <v>14450.0</v>
      </c>
      <c r="AM126" s="134">
        <v>23708.0</v>
      </c>
      <c r="AN126" s="134">
        <v>274842.0</v>
      </c>
    </row>
    <row r="127">
      <c r="A127" s="98"/>
      <c r="B127" s="136" t="s">
        <v>199</v>
      </c>
      <c r="C127" s="134">
        <v>118908.0</v>
      </c>
      <c r="D127" s="134">
        <v>42072.0</v>
      </c>
      <c r="E127" s="134">
        <v>76836.0</v>
      </c>
      <c r="F127" s="135">
        <v>0.0</v>
      </c>
      <c r="G127" s="135">
        <v>0.0</v>
      </c>
      <c r="H127" s="135">
        <v>0.0</v>
      </c>
      <c r="I127" s="135">
        <v>0.0</v>
      </c>
      <c r="J127" s="135">
        <v>0.0</v>
      </c>
      <c r="K127" s="135">
        <v>0.0</v>
      </c>
      <c r="L127" s="137">
        <v>42.0</v>
      </c>
      <c r="M127" s="137">
        <v>72.0</v>
      </c>
      <c r="N127" s="137">
        <v>106.0</v>
      </c>
      <c r="O127" s="137">
        <v>248.0</v>
      </c>
      <c r="P127" s="137">
        <v>246.0</v>
      </c>
      <c r="Q127" s="137">
        <v>548.0</v>
      </c>
      <c r="R127" s="137">
        <v>440.0</v>
      </c>
      <c r="S127" s="134">
        <v>1002.0</v>
      </c>
      <c r="T127" s="137">
        <v>626.0</v>
      </c>
      <c r="U127" s="134">
        <v>1482.0</v>
      </c>
      <c r="V127" s="134">
        <v>1002.0</v>
      </c>
      <c r="W127" s="134">
        <v>2650.0</v>
      </c>
      <c r="X127" s="134">
        <v>1604.0</v>
      </c>
      <c r="Y127" s="134">
        <v>4310.0</v>
      </c>
      <c r="Z127" s="134">
        <v>2886.0</v>
      </c>
      <c r="AA127" s="134">
        <v>7406.0</v>
      </c>
      <c r="AB127" s="134">
        <v>4182.0</v>
      </c>
      <c r="AC127" s="134">
        <v>9052.0</v>
      </c>
      <c r="AD127" s="134">
        <v>5332.0</v>
      </c>
      <c r="AE127" s="134">
        <v>10014.0</v>
      </c>
      <c r="AF127" s="134">
        <v>6728.0</v>
      </c>
      <c r="AG127" s="134">
        <v>11436.0</v>
      </c>
      <c r="AH127" s="134">
        <v>6626.0</v>
      </c>
      <c r="AI127" s="134">
        <v>10068.0</v>
      </c>
      <c r="AJ127" s="134">
        <v>6022.0</v>
      </c>
      <c r="AK127" s="134">
        <v>8478.0</v>
      </c>
      <c r="AL127" s="134">
        <v>6230.0</v>
      </c>
      <c r="AM127" s="134">
        <v>10070.0</v>
      </c>
      <c r="AN127" s="134">
        <v>117162.0</v>
      </c>
    </row>
    <row r="128">
      <c r="A128" s="98"/>
      <c r="B128" s="136" t="s">
        <v>200</v>
      </c>
      <c r="C128" s="134">
        <v>99682.0</v>
      </c>
      <c r="D128" s="134">
        <v>32214.0</v>
      </c>
      <c r="E128" s="134">
        <v>67468.0</v>
      </c>
      <c r="F128" s="135">
        <v>0.0</v>
      </c>
      <c r="G128" s="135">
        <v>0.0</v>
      </c>
      <c r="H128" s="135">
        <v>0.0</v>
      </c>
      <c r="I128" s="135">
        <v>0.0</v>
      </c>
      <c r="J128" s="135">
        <v>0.0</v>
      </c>
      <c r="K128" s="135">
        <v>0.0</v>
      </c>
      <c r="L128" s="137">
        <v>96.0</v>
      </c>
      <c r="M128" s="137">
        <v>170.0</v>
      </c>
      <c r="N128" s="137">
        <v>104.0</v>
      </c>
      <c r="O128" s="137">
        <v>296.0</v>
      </c>
      <c r="P128" s="137">
        <v>182.0</v>
      </c>
      <c r="Q128" s="137">
        <v>550.0</v>
      </c>
      <c r="R128" s="137">
        <v>282.0</v>
      </c>
      <c r="S128" s="137">
        <v>866.0</v>
      </c>
      <c r="T128" s="137">
        <v>466.0</v>
      </c>
      <c r="U128" s="134">
        <v>1518.0</v>
      </c>
      <c r="V128" s="137">
        <v>908.0</v>
      </c>
      <c r="W128" s="134">
        <v>2826.0</v>
      </c>
      <c r="X128" s="134">
        <v>1412.0</v>
      </c>
      <c r="Y128" s="134">
        <v>4610.0</v>
      </c>
      <c r="Z128" s="134">
        <v>2448.0</v>
      </c>
      <c r="AA128" s="134">
        <v>7204.0</v>
      </c>
      <c r="AB128" s="134">
        <v>3282.0</v>
      </c>
      <c r="AC128" s="134">
        <v>8570.0</v>
      </c>
      <c r="AD128" s="134">
        <v>4268.0</v>
      </c>
      <c r="AE128" s="134">
        <v>9506.0</v>
      </c>
      <c r="AF128" s="134">
        <v>4890.0</v>
      </c>
      <c r="AG128" s="134">
        <v>9286.0</v>
      </c>
      <c r="AH128" s="134">
        <v>4912.0</v>
      </c>
      <c r="AI128" s="134">
        <v>8318.0</v>
      </c>
      <c r="AJ128" s="134">
        <v>4420.0</v>
      </c>
      <c r="AK128" s="134">
        <v>6422.0</v>
      </c>
      <c r="AL128" s="134">
        <v>4550.0</v>
      </c>
      <c r="AM128" s="134">
        <v>7332.0</v>
      </c>
      <c r="AN128" s="134">
        <v>99132.0</v>
      </c>
    </row>
    <row r="129">
      <c r="A129" s="104"/>
      <c r="B129" s="136" t="s">
        <v>201</v>
      </c>
      <c r="C129" s="134">
        <v>8156.0</v>
      </c>
      <c r="D129" s="134">
        <v>2990.0</v>
      </c>
      <c r="E129" s="134">
        <v>5166.0</v>
      </c>
      <c r="F129" s="135">
        <v>0.0</v>
      </c>
      <c r="G129" s="135">
        <v>0.0</v>
      </c>
      <c r="H129" s="135">
        <v>0.0</v>
      </c>
      <c r="I129" s="135">
        <v>0.0</v>
      </c>
      <c r="J129" s="135">
        <v>0.0</v>
      </c>
      <c r="K129" s="135">
        <v>0.0</v>
      </c>
      <c r="L129" s="137">
        <v>12.0</v>
      </c>
      <c r="M129" s="137">
        <v>2.0</v>
      </c>
      <c r="N129" s="137">
        <v>12.0</v>
      </c>
      <c r="O129" s="137">
        <v>8.0</v>
      </c>
      <c r="P129" s="137">
        <v>58.0</v>
      </c>
      <c r="Q129" s="137">
        <v>32.0</v>
      </c>
      <c r="R129" s="137">
        <v>60.0</v>
      </c>
      <c r="S129" s="137">
        <v>102.0</v>
      </c>
      <c r="T129" s="137">
        <v>26.0</v>
      </c>
      <c r="U129" s="137">
        <v>50.0</v>
      </c>
      <c r="V129" s="137">
        <v>108.0</v>
      </c>
      <c r="W129" s="137">
        <v>196.0</v>
      </c>
      <c r="X129" s="137">
        <v>100.0</v>
      </c>
      <c r="Y129" s="137">
        <v>312.0</v>
      </c>
      <c r="Z129" s="137">
        <v>200.0</v>
      </c>
      <c r="AA129" s="137">
        <v>698.0</v>
      </c>
      <c r="AB129" s="137">
        <v>312.0</v>
      </c>
      <c r="AC129" s="137">
        <v>464.0</v>
      </c>
      <c r="AD129" s="137">
        <v>366.0</v>
      </c>
      <c r="AE129" s="137">
        <v>532.0</v>
      </c>
      <c r="AF129" s="137">
        <v>434.0</v>
      </c>
      <c r="AG129" s="137">
        <v>684.0</v>
      </c>
      <c r="AH129" s="137">
        <v>458.0</v>
      </c>
      <c r="AI129" s="137">
        <v>644.0</v>
      </c>
      <c r="AJ129" s="137">
        <v>326.0</v>
      </c>
      <c r="AK129" s="137">
        <v>592.0</v>
      </c>
      <c r="AL129" s="137">
        <v>518.0</v>
      </c>
      <c r="AM129" s="137">
        <v>850.0</v>
      </c>
      <c r="AN129" s="134">
        <v>8088.0</v>
      </c>
    </row>
    <row r="130">
      <c r="A130" s="132" t="s">
        <v>202</v>
      </c>
      <c r="B130" s="136" t="s">
        <v>198</v>
      </c>
      <c r="C130" s="134">
        <v>1026.0</v>
      </c>
      <c r="D130" s="137">
        <v>570.0</v>
      </c>
      <c r="E130" s="137">
        <v>456.0</v>
      </c>
      <c r="F130" s="137">
        <v>12.0</v>
      </c>
      <c r="G130" s="137">
        <v>20.0</v>
      </c>
      <c r="H130" s="137">
        <v>14.0</v>
      </c>
      <c r="I130" s="137">
        <v>8.0</v>
      </c>
      <c r="J130" s="137">
        <v>18.0</v>
      </c>
      <c r="K130" s="137">
        <v>14.0</v>
      </c>
      <c r="L130" s="137">
        <v>14.0</v>
      </c>
      <c r="M130" s="137">
        <v>16.0</v>
      </c>
      <c r="N130" s="137">
        <v>26.0</v>
      </c>
      <c r="O130" s="137">
        <v>30.0</v>
      </c>
      <c r="P130" s="137">
        <v>24.0</v>
      </c>
      <c r="Q130" s="137">
        <v>46.0</v>
      </c>
      <c r="R130" s="137">
        <v>42.0</v>
      </c>
      <c r="S130" s="137">
        <v>40.0</v>
      </c>
      <c r="T130" s="137">
        <v>38.0</v>
      </c>
      <c r="U130" s="137">
        <v>20.0</v>
      </c>
      <c r="V130" s="137">
        <v>48.0</v>
      </c>
      <c r="W130" s="137">
        <v>42.0</v>
      </c>
      <c r="X130" s="137">
        <v>46.0</v>
      </c>
      <c r="Y130" s="137">
        <v>10.0</v>
      </c>
      <c r="Z130" s="137">
        <v>30.0</v>
      </c>
      <c r="AA130" s="137">
        <v>42.0</v>
      </c>
      <c r="AB130" s="137">
        <v>52.0</v>
      </c>
      <c r="AC130" s="137">
        <v>20.0</v>
      </c>
      <c r="AD130" s="137">
        <v>60.0</v>
      </c>
      <c r="AE130" s="137">
        <v>78.0</v>
      </c>
      <c r="AF130" s="137">
        <v>28.0</v>
      </c>
      <c r="AG130" s="137">
        <v>16.0</v>
      </c>
      <c r="AH130" s="137">
        <v>44.0</v>
      </c>
      <c r="AI130" s="137">
        <v>8.0</v>
      </c>
      <c r="AJ130" s="137">
        <v>28.0</v>
      </c>
      <c r="AK130" s="137">
        <v>24.0</v>
      </c>
      <c r="AL130" s="137">
        <v>46.0</v>
      </c>
      <c r="AM130" s="137">
        <v>22.0</v>
      </c>
      <c r="AN130" s="134">
        <v>1012.0</v>
      </c>
    </row>
    <row r="131">
      <c r="A131" s="104"/>
      <c r="B131" s="136" t="s">
        <v>199</v>
      </c>
      <c r="C131" s="137">
        <v>390.0</v>
      </c>
      <c r="D131" s="137">
        <v>244.0</v>
      </c>
      <c r="E131" s="137">
        <v>146.0</v>
      </c>
      <c r="F131" s="137">
        <v>4.0</v>
      </c>
      <c r="G131" s="137">
        <v>0.0</v>
      </c>
      <c r="H131" s="137">
        <v>6.0</v>
      </c>
      <c r="I131" s="137">
        <v>12.0</v>
      </c>
      <c r="J131" s="137">
        <v>28.0</v>
      </c>
      <c r="K131" s="137">
        <v>40.0</v>
      </c>
      <c r="L131" s="137">
        <v>8.0</v>
      </c>
      <c r="M131" s="137">
        <v>6.0</v>
      </c>
      <c r="N131" s="137">
        <v>10.0</v>
      </c>
      <c r="O131" s="137">
        <v>10.0</v>
      </c>
      <c r="P131" s="137">
        <v>2.0</v>
      </c>
      <c r="Q131" s="137">
        <v>8.0</v>
      </c>
      <c r="R131" s="137">
        <v>20.0</v>
      </c>
      <c r="S131" s="137">
        <v>14.0</v>
      </c>
      <c r="T131" s="137">
        <v>16.0</v>
      </c>
      <c r="U131" s="137">
        <v>10.0</v>
      </c>
      <c r="V131" s="137">
        <v>16.0</v>
      </c>
      <c r="W131" s="137">
        <v>10.0</v>
      </c>
      <c r="X131" s="137">
        <v>26.0</v>
      </c>
      <c r="Y131" s="137">
        <v>2.0</v>
      </c>
      <c r="Z131" s="137">
        <v>12.0</v>
      </c>
      <c r="AA131" s="137">
        <v>4.0</v>
      </c>
      <c r="AB131" s="137">
        <v>32.0</v>
      </c>
      <c r="AC131" s="137">
        <v>2.0</v>
      </c>
      <c r="AD131" s="137">
        <v>34.0</v>
      </c>
      <c r="AE131" s="137">
        <v>6.0</v>
      </c>
      <c r="AF131" s="137">
        <v>4.0</v>
      </c>
      <c r="AG131" s="137">
        <v>8.0</v>
      </c>
      <c r="AH131" s="137">
        <v>6.0</v>
      </c>
      <c r="AI131" s="137">
        <v>2.0</v>
      </c>
      <c r="AJ131" s="137">
        <v>12.0</v>
      </c>
      <c r="AK131" s="137">
        <v>4.0</v>
      </c>
      <c r="AL131" s="137">
        <v>8.0</v>
      </c>
      <c r="AM131" s="137">
        <v>8.0</v>
      </c>
      <c r="AN131" s="137">
        <v>380.0</v>
      </c>
    </row>
    <row r="132">
      <c r="A132" s="132" t="s">
        <v>203</v>
      </c>
      <c r="B132" s="136" t="s">
        <v>198</v>
      </c>
      <c r="C132" s="137">
        <v>164.0</v>
      </c>
      <c r="D132" s="137">
        <v>66.0</v>
      </c>
      <c r="E132" s="137">
        <v>98.0</v>
      </c>
      <c r="F132" s="135">
        <v>0.0</v>
      </c>
      <c r="G132" s="135">
        <v>0.0</v>
      </c>
      <c r="H132" s="135">
        <v>0.0</v>
      </c>
      <c r="I132" s="135">
        <v>0.0</v>
      </c>
      <c r="J132" s="135">
        <v>0.0</v>
      </c>
      <c r="K132" s="135">
        <v>0.0</v>
      </c>
      <c r="L132" s="135">
        <v>0.0</v>
      </c>
      <c r="M132" s="135">
        <v>0.0</v>
      </c>
      <c r="N132" s="135">
        <v>0.0</v>
      </c>
      <c r="O132" s="135">
        <v>0.0</v>
      </c>
      <c r="P132" s="135">
        <v>0.0</v>
      </c>
      <c r="Q132" s="135">
        <v>0.0</v>
      </c>
      <c r="R132" s="135">
        <v>0.0</v>
      </c>
      <c r="S132" s="135">
        <v>0.0</v>
      </c>
      <c r="T132" s="135">
        <v>0.0</v>
      </c>
      <c r="U132" s="135">
        <v>0.0</v>
      </c>
      <c r="V132" s="135">
        <v>0.0</v>
      </c>
      <c r="W132" s="135">
        <v>0.0</v>
      </c>
      <c r="X132" s="135">
        <v>0.0</v>
      </c>
      <c r="Y132" s="135">
        <v>0.0</v>
      </c>
      <c r="Z132" s="135">
        <v>0.0</v>
      </c>
      <c r="AA132" s="135">
        <v>0.0</v>
      </c>
      <c r="AB132" s="135">
        <v>0.0</v>
      </c>
      <c r="AC132" s="135">
        <v>0.0</v>
      </c>
      <c r="AD132" s="135">
        <v>0.0</v>
      </c>
      <c r="AE132" s="135">
        <v>0.0</v>
      </c>
      <c r="AF132" s="137">
        <v>16.0</v>
      </c>
      <c r="AG132" s="137">
        <v>10.0</v>
      </c>
      <c r="AH132" s="137">
        <v>12.0</v>
      </c>
      <c r="AI132" s="137">
        <v>22.0</v>
      </c>
      <c r="AJ132" s="137">
        <v>6.0</v>
      </c>
      <c r="AK132" s="137">
        <v>22.0</v>
      </c>
      <c r="AL132" s="137">
        <v>32.0</v>
      </c>
      <c r="AM132" s="137">
        <v>44.0</v>
      </c>
      <c r="AN132" s="137">
        <v>162.0</v>
      </c>
    </row>
    <row r="133">
      <c r="A133" s="104"/>
      <c r="B133" s="136" t="s">
        <v>199</v>
      </c>
      <c r="C133" s="134">
        <v>3412.0</v>
      </c>
      <c r="D133" s="134">
        <v>1332.0</v>
      </c>
      <c r="E133" s="134">
        <v>2080.0</v>
      </c>
      <c r="F133" s="135">
        <v>0.0</v>
      </c>
      <c r="G133" s="135">
        <v>0.0</v>
      </c>
      <c r="H133" s="135">
        <v>0.0</v>
      </c>
      <c r="I133" s="135">
        <v>0.0</v>
      </c>
      <c r="J133" s="135">
        <v>0.0</v>
      </c>
      <c r="K133" s="135">
        <v>0.0</v>
      </c>
      <c r="L133" s="135">
        <v>0.0</v>
      </c>
      <c r="M133" s="135">
        <v>0.0</v>
      </c>
      <c r="N133" s="135">
        <v>0.0</v>
      </c>
      <c r="O133" s="135">
        <v>0.0</v>
      </c>
      <c r="P133" s="135">
        <v>0.0</v>
      </c>
      <c r="Q133" s="135">
        <v>0.0</v>
      </c>
      <c r="R133" s="135">
        <v>0.0</v>
      </c>
      <c r="S133" s="135">
        <v>0.0</v>
      </c>
      <c r="T133" s="135">
        <v>0.0</v>
      </c>
      <c r="U133" s="135">
        <v>0.0</v>
      </c>
      <c r="V133" s="135">
        <v>0.0</v>
      </c>
      <c r="W133" s="135">
        <v>0.0</v>
      </c>
      <c r="X133" s="135">
        <v>0.0</v>
      </c>
      <c r="Y133" s="135">
        <v>0.0</v>
      </c>
      <c r="Z133" s="135">
        <v>0.0</v>
      </c>
      <c r="AA133" s="135">
        <v>0.0</v>
      </c>
      <c r="AB133" s="135">
        <v>0.0</v>
      </c>
      <c r="AC133" s="135">
        <v>0.0</v>
      </c>
      <c r="AD133" s="135">
        <v>0.0</v>
      </c>
      <c r="AE133" s="135">
        <v>0.0</v>
      </c>
      <c r="AF133" s="137">
        <v>332.0</v>
      </c>
      <c r="AG133" s="137">
        <v>570.0</v>
      </c>
      <c r="AH133" s="137">
        <v>336.0</v>
      </c>
      <c r="AI133" s="137">
        <v>574.0</v>
      </c>
      <c r="AJ133" s="137">
        <v>344.0</v>
      </c>
      <c r="AK133" s="137">
        <v>510.0</v>
      </c>
      <c r="AL133" s="137">
        <v>320.0</v>
      </c>
      <c r="AM133" s="137">
        <v>426.0</v>
      </c>
      <c r="AN133" s="134">
        <v>3368.0</v>
      </c>
    </row>
    <row r="134">
      <c r="A134" s="132" t="s">
        <v>204</v>
      </c>
      <c r="B134" s="136" t="s">
        <v>198</v>
      </c>
      <c r="C134" s="137">
        <v>120.0</v>
      </c>
      <c r="D134" s="137">
        <v>48.0</v>
      </c>
      <c r="E134" s="137">
        <v>72.0</v>
      </c>
      <c r="F134" s="135">
        <v>0.0</v>
      </c>
      <c r="G134" s="135">
        <v>0.0</v>
      </c>
      <c r="H134" s="135">
        <v>0.0</v>
      </c>
      <c r="I134" s="135">
        <v>0.0</v>
      </c>
      <c r="J134" s="135">
        <v>0.0</v>
      </c>
      <c r="K134" s="135">
        <v>0.0</v>
      </c>
      <c r="L134" s="135">
        <v>0.0</v>
      </c>
      <c r="M134" s="135">
        <v>0.0</v>
      </c>
      <c r="N134" s="135">
        <v>0.0</v>
      </c>
      <c r="O134" s="135">
        <v>0.0</v>
      </c>
      <c r="P134" s="135">
        <v>0.0</v>
      </c>
      <c r="Q134" s="135">
        <v>0.0</v>
      </c>
      <c r="R134" s="135">
        <v>0.0</v>
      </c>
      <c r="S134" s="135">
        <v>0.0</v>
      </c>
      <c r="T134" s="135">
        <v>0.0</v>
      </c>
      <c r="U134" s="135">
        <v>0.0</v>
      </c>
      <c r="V134" s="135">
        <v>0.0</v>
      </c>
      <c r="W134" s="135">
        <v>0.0</v>
      </c>
      <c r="X134" s="135">
        <v>0.0</v>
      </c>
      <c r="Y134" s="135">
        <v>0.0</v>
      </c>
      <c r="Z134" s="135">
        <v>0.0</v>
      </c>
      <c r="AA134" s="135">
        <v>0.0</v>
      </c>
      <c r="AB134" s="135">
        <v>0.0</v>
      </c>
      <c r="AC134" s="135">
        <v>0.0</v>
      </c>
      <c r="AD134" s="135">
        <v>0.0</v>
      </c>
      <c r="AE134" s="135">
        <v>0.0</v>
      </c>
      <c r="AF134" s="137">
        <v>12.0</v>
      </c>
      <c r="AG134" s="137">
        <v>6.0</v>
      </c>
      <c r="AH134" s="137">
        <v>10.0</v>
      </c>
      <c r="AI134" s="137">
        <v>24.0</v>
      </c>
      <c r="AJ134" s="137">
        <v>12.0</v>
      </c>
      <c r="AK134" s="137">
        <v>18.0</v>
      </c>
      <c r="AL134" s="137">
        <v>14.0</v>
      </c>
      <c r="AM134" s="137">
        <v>24.0</v>
      </c>
      <c r="AN134" s="137">
        <v>118.0</v>
      </c>
    </row>
    <row r="135">
      <c r="A135" s="104"/>
      <c r="B135" s="136" t="s">
        <v>199</v>
      </c>
      <c r="C135" s="134">
        <v>1166.0</v>
      </c>
      <c r="D135" s="137">
        <v>478.0</v>
      </c>
      <c r="E135" s="137">
        <v>688.0</v>
      </c>
      <c r="F135" s="135">
        <v>0.0</v>
      </c>
      <c r="G135" s="135">
        <v>0.0</v>
      </c>
      <c r="H135" s="135">
        <v>0.0</v>
      </c>
      <c r="I135" s="135">
        <v>0.0</v>
      </c>
      <c r="J135" s="135">
        <v>0.0</v>
      </c>
      <c r="K135" s="135">
        <v>0.0</v>
      </c>
      <c r="L135" s="135">
        <v>0.0</v>
      </c>
      <c r="M135" s="135">
        <v>0.0</v>
      </c>
      <c r="N135" s="135">
        <v>0.0</v>
      </c>
      <c r="O135" s="135">
        <v>0.0</v>
      </c>
      <c r="P135" s="135">
        <v>0.0</v>
      </c>
      <c r="Q135" s="135">
        <v>0.0</v>
      </c>
      <c r="R135" s="135">
        <v>0.0</v>
      </c>
      <c r="S135" s="135">
        <v>0.0</v>
      </c>
      <c r="T135" s="135">
        <v>0.0</v>
      </c>
      <c r="U135" s="135">
        <v>0.0</v>
      </c>
      <c r="V135" s="135">
        <v>0.0</v>
      </c>
      <c r="W135" s="135">
        <v>0.0</v>
      </c>
      <c r="X135" s="135">
        <v>0.0</v>
      </c>
      <c r="Y135" s="135">
        <v>0.0</v>
      </c>
      <c r="Z135" s="135">
        <v>0.0</v>
      </c>
      <c r="AA135" s="135">
        <v>0.0</v>
      </c>
      <c r="AB135" s="135">
        <v>0.0</v>
      </c>
      <c r="AC135" s="135">
        <v>0.0</v>
      </c>
      <c r="AD135" s="135">
        <v>0.0</v>
      </c>
      <c r="AE135" s="135">
        <v>0.0</v>
      </c>
      <c r="AF135" s="137">
        <v>64.0</v>
      </c>
      <c r="AG135" s="137">
        <v>86.0</v>
      </c>
      <c r="AH135" s="137">
        <v>60.0</v>
      </c>
      <c r="AI135" s="137">
        <v>116.0</v>
      </c>
      <c r="AJ135" s="137">
        <v>114.0</v>
      </c>
      <c r="AK135" s="137">
        <v>146.0</v>
      </c>
      <c r="AL135" s="137">
        <v>240.0</v>
      </c>
      <c r="AM135" s="137">
        <v>340.0</v>
      </c>
      <c r="AN135" s="134">
        <v>1150.0</v>
      </c>
    </row>
    <row r="136">
      <c r="A136" s="132" t="s">
        <v>205</v>
      </c>
      <c r="B136" s="136" t="s">
        <v>198</v>
      </c>
      <c r="C136" s="137">
        <v>664.0</v>
      </c>
      <c r="D136" s="137">
        <v>226.0</v>
      </c>
      <c r="E136" s="137">
        <v>438.0</v>
      </c>
      <c r="F136" s="137">
        <v>2.0</v>
      </c>
      <c r="G136" s="137">
        <v>0.0</v>
      </c>
      <c r="H136" s="137">
        <v>2.0</v>
      </c>
      <c r="I136" s="137">
        <v>2.0</v>
      </c>
      <c r="J136" s="137">
        <v>2.0</v>
      </c>
      <c r="K136" s="137">
        <v>2.0</v>
      </c>
      <c r="L136" s="137">
        <v>10.0</v>
      </c>
      <c r="M136" s="137">
        <v>10.0</v>
      </c>
      <c r="N136" s="137">
        <v>30.0</v>
      </c>
      <c r="O136" s="137">
        <v>12.0</v>
      </c>
      <c r="P136" s="137">
        <v>6.0</v>
      </c>
      <c r="Q136" s="137">
        <v>10.0</v>
      </c>
      <c r="R136" s="137">
        <v>10.0</v>
      </c>
      <c r="S136" s="137">
        <v>14.0</v>
      </c>
      <c r="T136" s="137">
        <v>22.0</v>
      </c>
      <c r="U136" s="137">
        <v>14.0</v>
      </c>
      <c r="V136" s="137">
        <v>6.0</v>
      </c>
      <c r="W136" s="137">
        <v>28.0</v>
      </c>
      <c r="X136" s="137">
        <v>6.0</v>
      </c>
      <c r="Y136" s="137">
        <v>18.0</v>
      </c>
      <c r="Z136" s="137">
        <v>10.0</v>
      </c>
      <c r="AA136" s="137">
        <v>12.0</v>
      </c>
      <c r="AB136" s="137">
        <v>20.0</v>
      </c>
      <c r="AC136" s="137">
        <v>56.0</v>
      </c>
      <c r="AD136" s="137">
        <v>22.0</v>
      </c>
      <c r="AE136" s="137">
        <v>58.0</v>
      </c>
      <c r="AF136" s="137">
        <v>10.0</v>
      </c>
      <c r="AG136" s="137">
        <v>52.0</v>
      </c>
      <c r="AH136" s="137">
        <v>22.0</v>
      </c>
      <c r="AI136" s="137">
        <v>76.0</v>
      </c>
      <c r="AJ136" s="137">
        <v>20.0</v>
      </c>
      <c r="AK136" s="137">
        <v>30.0</v>
      </c>
      <c r="AL136" s="137">
        <v>26.0</v>
      </c>
      <c r="AM136" s="137">
        <v>44.0</v>
      </c>
      <c r="AN136" s="137">
        <v>654.0</v>
      </c>
    </row>
    <row r="137">
      <c r="A137" s="98"/>
      <c r="B137" s="136" t="s">
        <v>199</v>
      </c>
      <c r="C137" s="137">
        <v>10.0</v>
      </c>
      <c r="D137" s="137">
        <v>4.0</v>
      </c>
      <c r="E137" s="137">
        <v>6.0</v>
      </c>
      <c r="F137" s="137">
        <v>4.0</v>
      </c>
      <c r="G137" s="137">
        <v>0.0</v>
      </c>
      <c r="H137" s="137">
        <v>0.0</v>
      </c>
      <c r="I137" s="137">
        <v>0.0</v>
      </c>
      <c r="J137" s="137">
        <v>0.0</v>
      </c>
      <c r="K137" s="137">
        <v>2.0</v>
      </c>
      <c r="L137" s="137">
        <v>0.0</v>
      </c>
      <c r="M137" s="137">
        <v>0.0</v>
      </c>
      <c r="N137" s="137">
        <v>0.0</v>
      </c>
      <c r="O137" s="137">
        <v>0.0</v>
      </c>
      <c r="P137" s="137">
        <v>0.0</v>
      </c>
      <c r="Q137" s="137">
        <v>0.0</v>
      </c>
      <c r="R137" s="137">
        <v>0.0</v>
      </c>
      <c r="S137" s="137">
        <v>0.0</v>
      </c>
      <c r="T137" s="137">
        <v>0.0</v>
      </c>
      <c r="U137" s="137">
        <v>0.0</v>
      </c>
      <c r="V137" s="137">
        <v>0.0</v>
      </c>
      <c r="W137" s="137">
        <v>0.0</v>
      </c>
      <c r="X137" s="137">
        <v>0.0</v>
      </c>
      <c r="Y137" s="137">
        <v>0.0</v>
      </c>
      <c r="Z137" s="137">
        <v>0.0</v>
      </c>
      <c r="AA137" s="137">
        <v>0.0</v>
      </c>
      <c r="AB137" s="137">
        <v>0.0</v>
      </c>
      <c r="AC137" s="137">
        <v>2.0</v>
      </c>
      <c r="AD137" s="137">
        <v>0.0</v>
      </c>
      <c r="AE137" s="137">
        <v>0.0</v>
      </c>
      <c r="AF137" s="137">
        <v>0.0</v>
      </c>
      <c r="AG137" s="137">
        <v>0.0</v>
      </c>
      <c r="AH137" s="137">
        <v>0.0</v>
      </c>
      <c r="AI137" s="137">
        <v>2.0</v>
      </c>
      <c r="AJ137" s="137">
        <v>0.0</v>
      </c>
      <c r="AK137" s="137">
        <v>0.0</v>
      </c>
      <c r="AL137" s="137">
        <v>0.0</v>
      </c>
      <c r="AM137" s="137">
        <v>0.0</v>
      </c>
      <c r="AN137" s="137">
        <v>10.0</v>
      </c>
    </row>
    <row r="138">
      <c r="A138" s="104"/>
      <c r="B138" s="136" t="s">
        <v>206</v>
      </c>
      <c r="C138" s="137">
        <v>846.0</v>
      </c>
      <c r="D138" s="137">
        <v>152.0</v>
      </c>
      <c r="E138" s="137">
        <v>694.0</v>
      </c>
      <c r="F138" s="137">
        <v>2.0</v>
      </c>
      <c r="G138" s="137">
        <v>12.0</v>
      </c>
      <c r="H138" s="137">
        <v>2.0</v>
      </c>
      <c r="I138" s="137">
        <v>2.0</v>
      </c>
      <c r="J138" s="137">
        <v>0.0</v>
      </c>
      <c r="K138" s="137">
        <v>12.0</v>
      </c>
      <c r="L138" s="137">
        <v>28.0</v>
      </c>
      <c r="M138" s="137">
        <v>78.0</v>
      </c>
      <c r="N138" s="137">
        <v>12.0</v>
      </c>
      <c r="O138" s="137">
        <v>128.0</v>
      </c>
      <c r="P138" s="137">
        <v>32.0</v>
      </c>
      <c r="Q138" s="137">
        <v>98.0</v>
      </c>
      <c r="R138" s="137">
        <v>22.0</v>
      </c>
      <c r="S138" s="137">
        <v>72.0</v>
      </c>
      <c r="T138" s="137">
        <v>8.0</v>
      </c>
      <c r="U138" s="137">
        <v>70.0</v>
      </c>
      <c r="V138" s="137">
        <v>4.0</v>
      </c>
      <c r="W138" s="137">
        <v>50.0</v>
      </c>
      <c r="X138" s="137">
        <v>8.0</v>
      </c>
      <c r="Y138" s="137">
        <v>42.0</v>
      </c>
      <c r="Z138" s="137">
        <v>8.0</v>
      </c>
      <c r="AA138" s="137">
        <v>32.0</v>
      </c>
      <c r="AB138" s="137">
        <v>6.0</v>
      </c>
      <c r="AC138" s="137">
        <v>28.0</v>
      </c>
      <c r="AD138" s="137">
        <v>4.0</v>
      </c>
      <c r="AE138" s="137">
        <v>20.0</v>
      </c>
      <c r="AF138" s="137">
        <v>4.0</v>
      </c>
      <c r="AG138" s="137">
        <v>22.0</v>
      </c>
      <c r="AH138" s="137">
        <v>4.0</v>
      </c>
      <c r="AI138" s="137">
        <v>12.0</v>
      </c>
      <c r="AJ138" s="137">
        <v>0.0</v>
      </c>
      <c r="AK138" s="137">
        <v>10.0</v>
      </c>
      <c r="AL138" s="137">
        <v>8.0</v>
      </c>
      <c r="AM138" s="137">
        <v>6.0</v>
      </c>
      <c r="AN138" s="137">
        <v>832.0</v>
      </c>
    </row>
    <row r="139">
      <c r="A139" s="132" t="s">
        <v>207</v>
      </c>
      <c r="B139" s="136" t="s">
        <v>198</v>
      </c>
      <c r="C139" s="134">
        <v>64810.0</v>
      </c>
      <c r="D139" s="134">
        <v>18268.0</v>
      </c>
      <c r="E139" s="134">
        <v>46542.0</v>
      </c>
      <c r="F139" s="137">
        <v>408.0</v>
      </c>
      <c r="G139" s="137">
        <v>336.0</v>
      </c>
      <c r="H139" s="137">
        <v>388.0</v>
      </c>
      <c r="I139" s="137">
        <v>316.0</v>
      </c>
      <c r="J139" s="137">
        <v>388.0</v>
      </c>
      <c r="K139" s="137">
        <v>412.0</v>
      </c>
      <c r="L139" s="137">
        <v>402.0</v>
      </c>
      <c r="M139" s="137">
        <v>706.0</v>
      </c>
      <c r="N139" s="137">
        <v>338.0</v>
      </c>
      <c r="O139" s="137">
        <v>972.0</v>
      </c>
      <c r="P139" s="137">
        <v>320.0</v>
      </c>
      <c r="Q139" s="134">
        <v>1314.0</v>
      </c>
      <c r="R139" s="137">
        <v>382.0</v>
      </c>
      <c r="S139" s="134">
        <v>1610.0</v>
      </c>
      <c r="T139" s="137">
        <v>414.0</v>
      </c>
      <c r="U139" s="134">
        <v>1992.0</v>
      </c>
      <c r="V139" s="137">
        <v>524.0</v>
      </c>
      <c r="W139" s="134">
        <v>2648.0</v>
      </c>
      <c r="X139" s="137">
        <v>610.0</v>
      </c>
      <c r="Y139" s="134">
        <v>3168.0</v>
      </c>
      <c r="Z139" s="134">
        <v>1082.0</v>
      </c>
      <c r="AA139" s="134">
        <v>4530.0</v>
      </c>
      <c r="AB139" s="134">
        <v>1624.0</v>
      </c>
      <c r="AC139" s="134">
        <v>5508.0</v>
      </c>
      <c r="AD139" s="134">
        <v>1956.0</v>
      </c>
      <c r="AE139" s="134">
        <v>5484.0</v>
      </c>
      <c r="AF139" s="134">
        <v>2374.0</v>
      </c>
      <c r="AG139" s="134">
        <v>5202.0</v>
      </c>
      <c r="AH139" s="134">
        <v>2228.0</v>
      </c>
      <c r="AI139" s="134">
        <v>4530.0</v>
      </c>
      <c r="AJ139" s="134">
        <v>2162.0</v>
      </c>
      <c r="AK139" s="134">
        <v>3624.0</v>
      </c>
      <c r="AL139" s="134">
        <v>2668.0</v>
      </c>
      <c r="AM139" s="134">
        <v>4190.0</v>
      </c>
      <c r="AN139" s="134">
        <v>62796.0</v>
      </c>
    </row>
    <row r="140">
      <c r="A140" s="98"/>
      <c r="B140" s="136" t="s">
        <v>199</v>
      </c>
      <c r="C140" s="134">
        <v>7006.0</v>
      </c>
      <c r="D140" s="134">
        <v>2642.0</v>
      </c>
      <c r="E140" s="134">
        <v>4364.0</v>
      </c>
      <c r="F140" s="137">
        <v>16.0</v>
      </c>
      <c r="G140" s="137">
        <v>30.0</v>
      </c>
      <c r="H140" s="137">
        <v>10.0</v>
      </c>
      <c r="I140" s="137">
        <v>28.0</v>
      </c>
      <c r="J140" s="137">
        <v>16.0</v>
      </c>
      <c r="K140" s="137">
        <v>14.0</v>
      </c>
      <c r="L140" s="137">
        <v>52.0</v>
      </c>
      <c r="M140" s="137">
        <v>32.0</v>
      </c>
      <c r="N140" s="137">
        <v>12.0</v>
      </c>
      <c r="O140" s="137">
        <v>56.0</v>
      </c>
      <c r="P140" s="137">
        <v>28.0</v>
      </c>
      <c r="Q140" s="137">
        <v>70.0</v>
      </c>
      <c r="R140" s="137">
        <v>18.0</v>
      </c>
      <c r="S140" s="137">
        <v>100.0</v>
      </c>
      <c r="T140" s="137">
        <v>32.0</v>
      </c>
      <c r="U140" s="137">
        <v>110.0</v>
      </c>
      <c r="V140" s="137">
        <v>36.0</v>
      </c>
      <c r="W140" s="137">
        <v>174.0</v>
      </c>
      <c r="X140" s="137">
        <v>100.0</v>
      </c>
      <c r="Y140" s="137">
        <v>230.0</v>
      </c>
      <c r="Z140" s="137">
        <v>114.0</v>
      </c>
      <c r="AA140" s="137">
        <v>278.0</v>
      </c>
      <c r="AB140" s="137">
        <v>156.0</v>
      </c>
      <c r="AC140" s="137">
        <v>394.0</v>
      </c>
      <c r="AD140" s="137">
        <v>178.0</v>
      </c>
      <c r="AE140" s="137">
        <v>504.0</v>
      </c>
      <c r="AF140" s="137">
        <v>492.0</v>
      </c>
      <c r="AG140" s="137">
        <v>788.0</v>
      </c>
      <c r="AH140" s="137">
        <v>360.0</v>
      </c>
      <c r="AI140" s="137">
        <v>564.0</v>
      </c>
      <c r="AJ140" s="137">
        <v>618.0</v>
      </c>
      <c r="AK140" s="137">
        <v>402.0</v>
      </c>
      <c r="AL140" s="137">
        <v>404.0</v>
      </c>
      <c r="AM140" s="137">
        <v>590.0</v>
      </c>
      <c r="AN140" s="134">
        <v>6844.0</v>
      </c>
    </row>
    <row r="141">
      <c r="A141" s="98"/>
      <c r="B141" s="136" t="s">
        <v>206</v>
      </c>
      <c r="C141" s="137">
        <v>254.0</v>
      </c>
      <c r="D141" s="137">
        <v>14.0</v>
      </c>
      <c r="E141" s="137">
        <v>240.0</v>
      </c>
      <c r="F141" s="137">
        <v>4.0</v>
      </c>
      <c r="G141" s="137">
        <v>0.0</v>
      </c>
      <c r="H141" s="137">
        <v>0.0</v>
      </c>
      <c r="I141" s="137">
        <v>0.0</v>
      </c>
      <c r="J141" s="137">
        <v>0.0</v>
      </c>
      <c r="K141" s="137">
        <v>2.0</v>
      </c>
      <c r="L141" s="137">
        <v>0.0</v>
      </c>
      <c r="M141" s="137">
        <v>6.0</v>
      </c>
      <c r="N141" s="137">
        <v>0.0</v>
      </c>
      <c r="O141" s="137">
        <v>24.0</v>
      </c>
      <c r="P141" s="137">
        <v>0.0</v>
      </c>
      <c r="Q141" s="137">
        <v>32.0</v>
      </c>
      <c r="R141" s="137">
        <v>2.0</v>
      </c>
      <c r="S141" s="137">
        <v>30.0</v>
      </c>
      <c r="T141" s="137">
        <v>0.0</v>
      </c>
      <c r="U141" s="137">
        <v>22.0</v>
      </c>
      <c r="V141" s="137">
        <v>0.0</v>
      </c>
      <c r="W141" s="137">
        <v>24.0</v>
      </c>
      <c r="X141" s="137">
        <v>0.0</v>
      </c>
      <c r="Y141" s="137">
        <v>24.0</v>
      </c>
      <c r="Z141" s="137">
        <v>2.0</v>
      </c>
      <c r="AA141" s="137">
        <v>20.0</v>
      </c>
      <c r="AB141" s="137">
        <v>0.0</v>
      </c>
      <c r="AC141" s="137">
        <v>14.0</v>
      </c>
      <c r="AD141" s="137">
        <v>0.0</v>
      </c>
      <c r="AE141" s="137">
        <v>14.0</v>
      </c>
      <c r="AF141" s="137">
        <v>2.0</v>
      </c>
      <c r="AG141" s="137">
        <v>18.0</v>
      </c>
      <c r="AH141" s="137">
        <v>2.0</v>
      </c>
      <c r="AI141" s="137">
        <v>8.0</v>
      </c>
      <c r="AJ141" s="137">
        <v>0.0</v>
      </c>
      <c r="AK141" s="137">
        <v>2.0</v>
      </c>
      <c r="AL141" s="137">
        <v>2.0</v>
      </c>
      <c r="AM141" s="137">
        <v>0.0</v>
      </c>
      <c r="AN141" s="137">
        <v>254.0</v>
      </c>
    </row>
    <row r="142">
      <c r="A142" s="98"/>
      <c r="B142" s="136" t="s">
        <v>200</v>
      </c>
      <c r="C142" s="134">
        <v>8586.0</v>
      </c>
      <c r="D142" s="134">
        <v>2408.0</v>
      </c>
      <c r="E142" s="134">
        <v>6178.0</v>
      </c>
      <c r="F142" s="137">
        <v>742.0</v>
      </c>
      <c r="G142" s="137">
        <v>708.0</v>
      </c>
      <c r="H142" s="137">
        <v>122.0</v>
      </c>
      <c r="I142" s="137">
        <v>150.0</v>
      </c>
      <c r="J142" s="137">
        <v>138.0</v>
      </c>
      <c r="K142" s="137">
        <v>174.0</v>
      </c>
      <c r="L142" s="137">
        <v>104.0</v>
      </c>
      <c r="M142" s="137">
        <v>366.0</v>
      </c>
      <c r="N142" s="137">
        <v>70.0</v>
      </c>
      <c r="O142" s="137">
        <v>390.0</v>
      </c>
      <c r="P142" s="137">
        <v>38.0</v>
      </c>
      <c r="Q142" s="137">
        <v>420.0</v>
      </c>
      <c r="R142" s="137">
        <v>68.0</v>
      </c>
      <c r="S142" s="137">
        <v>458.0</v>
      </c>
      <c r="T142" s="137">
        <v>68.0</v>
      </c>
      <c r="U142" s="137">
        <v>416.0</v>
      </c>
      <c r="V142" s="137">
        <v>66.0</v>
      </c>
      <c r="W142" s="137">
        <v>420.0</v>
      </c>
      <c r="X142" s="137">
        <v>74.0</v>
      </c>
      <c r="Y142" s="137">
        <v>428.0</v>
      </c>
      <c r="Z142" s="137">
        <v>114.0</v>
      </c>
      <c r="AA142" s="137">
        <v>466.0</v>
      </c>
      <c r="AB142" s="137">
        <v>142.0</v>
      </c>
      <c r="AC142" s="137">
        <v>444.0</v>
      </c>
      <c r="AD142" s="137">
        <v>136.0</v>
      </c>
      <c r="AE142" s="137">
        <v>390.0</v>
      </c>
      <c r="AF142" s="137">
        <v>174.0</v>
      </c>
      <c r="AG142" s="137">
        <v>312.0</v>
      </c>
      <c r="AH142" s="137">
        <v>102.0</v>
      </c>
      <c r="AI142" s="137">
        <v>270.0</v>
      </c>
      <c r="AJ142" s="137">
        <v>128.0</v>
      </c>
      <c r="AK142" s="137">
        <v>176.0</v>
      </c>
      <c r="AL142" s="137">
        <v>122.0</v>
      </c>
      <c r="AM142" s="137">
        <v>190.0</v>
      </c>
      <c r="AN142" s="134">
        <v>8160.0</v>
      </c>
    </row>
    <row r="143">
      <c r="A143" s="104"/>
      <c r="B143" s="136" t="s">
        <v>201</v>
      </c>
      <c r="C143" s="134">
        <v>2958.0</v>
      </c>
      <c r="D143" s="134">
        <v>1472.0</v>
      </c>
      <c r="E143" s="134">
        <v>1486.0</v>
      </c>
      <c r="F143" s="137">
        <v>16.0</v>
      </c>
      <c r="G143" s="137">
        <v>36.0</v>
      </c>
      <c r="H143" s="137">
        <v>4.0</v>
      </c>
      <c r="I143" s="137">
        <v>4.0</v>
      </c>
      <c r="J143" s="137">
        <v>20.0</v>
      </c>
      <c r="K143" s="137">
        <v>26.0</v>
      </c>
      <c r="L143" s="137">
        <v>26.0</v>
      </c>
      <c r="M143" s="137">
        <v>8.0</v>
      </c>
      <c r="N143" s="137">
        <v>8.0</v>
      </c>
      <c r="O143" s="137">
        <v>20.0</v>
      </c>
      <c r="P143" s="137">
        <v>30.0</v>
      </c>
      <c r="Q143" s="137">
        <v>38.0</v>
      </c>
      <c r="R143" s="137">
        <v>28.0</v>
      </c>
      <c r="S143" s="137">
        <v>78.0</v>
      </c>
      <c r="T143" s="137">
        <v>32.0</v>
      </c>
      <c r="U143" s="137">
        <v>56.0</v>
      </c>
      <c r="V143" s="137">
        <v>26.0</v>
      </c>
      <c r="W143" s="137">
        <v>154.0</v>
      </c>
      <c r="X143" s="137">
        <v>130.0</v>
      </c>
      <c r="Y143" s="137">
        <v>66.0</v>
      </c>
      <c r="Z143" s="137">
        <v>34.0</v>
      </c>
      <c r="AA143" s="137">
        <v>126.0</v>
      </c>
      <c r="AB143" s="137">
        <v>60.0</v>
      </c>
      <c r="AC143" s="137">
        <v>164.0</v>
      </c>
      <c r="AD143" s="137">
        <v>44.0</v>
      </c>
      <c r="AE143" s="137">
        <v>124.0</v>
      </c>
      <c r="AF143" s="137">
        <v>62.0</v>
      </c>
      <c r="AG143" s="137">
        <v>42.0</v>
      </c>
      <c r="AH143" s="137">
        <v>168.0</v>
      </c>
      <c r="AI143" s="137">
        <v>72.0</v>
      </c>
      <c r="AJ143" s="137">
        <v>230.0</v>
      </c>
      <c r="AK143" s="137">
        <v>160.0</v>
      </c>
      <c r="AL143" s="137">
        <v>554.0</v>
      </c>
      <c r="AM143" s="137">
        <v>312.0</v>
      </c>
      <c r="AN143" s="134">
        <v>2958.0</v>
      </c>
    </row>
    <row r="144">
      <c r="A144" s="132" t="s">
        <v>208</v>
      </c>
      <c r="B144" s="136" t="s">
        <v>198</v>
      </c>
      <c r="C144" s="137">
        <v>136.0</v>
      </c>
      <c r="D144" s="137">
        <v>74.0</v>
      </c>
      <c r="E144" s="137">
        <v>62.0</v>
      </c>
      <c r="F144" s="137">
        <v>38.0</v>
      </c>
      <c r="G144" s="137">
        <v>44.0</v>
      </c>
      <c r="H144" s="137">
        <v>22.0</v>
      </c>
      <c r="I144" s="137">
        <v>8.0</v>
      </c>
      <c r="J144" s="137">
        <v>8.0</v>
      </c>
      <c r="K144" s="137">
        <v>4.0</v>
      </c>
      <c r="L144" s="137">
        <v>4.0</v>
      </c>
      <c r="M144" s="137">
        <v>4.0</v>
      </c>
      <c r="N144" s="137">
        <v>2.0</v>
      </c>
      <c r="O144" s="137">
        <v>2.0</v>
      </c>
      <c r="P144" s="135">
        <v>0.0</v>
      </c>
      <c r="Q144" s="135">
        <v>0.0</v>
      </c>
      <c r="R144" s="135">
        <v>0.0</v>
      </c>
      <c r="S144" s="135">
        <v>0.0</v>
      </c>
      <c r="T144" s="135">
        <v>0.0</v>
      </c>
      <c r="U144" s="135">
        <v>0.0</v>
      </c>
      <c r="V144" s="135">
        <v>0.0</v>
      </c>
      <c r="W144" s="135">
        <v>0.0</v>
      </c>
      <c r="X144" s="135">
        <v>0.0</v>
      </c>
      <c r="Y144" s="135">
        <v>0.0</v>
      </c>
      <c r="Z144" s="135">
        <v>0.0</v>
      </c>
      <c r="AA144" s="135">
        <v>0.0</v>
      </c>
      <c r="AB144" s="135">
        <v>0.0</v>
      </c>
      <c r="AC144" s="135">
        <v>0.0</v>
      </c>
      <c r="AD144" s="135">
        <v>0.0</v>
      </c>
      <c r="AE144" s="135">
        <v>0.0</v>
      </c>
      <c r="AF144" s="135">
        <v>0.0</v>
      </c>
      <c r="AG144" s="135">
        <v>0.0</v>
      </c>
      <c r="AH144" s="135">
        <v>0.0</v>
      </c>
      <c r="AI144" s="135">
        <v>0.0</v>
      </c>
      <c r="AJ144" s="135">
        <v>0.0</v>
      </c>
      <c r="AK144" s="135">
        <v>0.0</v>
      </c>
      <c r="AL144" s="135">
        <v>0.0</v>
      </c>
      <c r="AM144" s="135">
        <v>0.0</v>
      </c>
      <c r="AN144" s="137">
        <v>124.0</v>
      </c>
    </row>
    <row r="145">
      <c r="A145" s="98"/>
      <c r="B145" s="136" t="s">
        <v>199</v>
      </c>
      <c r="C145" s="137">
        <v>194.0</v>
      </c>
      <c r="D145" s="137">
        <v>110.0</v>
      </c>
      <c r="E145" s="137">
        <v>84.0</v>
      </c>
      <c r="F145" s="137">
        <v>90.0</v>
      </c>
      <c r="G145" s="137">
        <v>68.0</v>
      </c>
      <c r="H145" s="137">
        <v>20.0</v>
      </c>
      <c r="I145" s="137">
        <v>10.0</v>
      </c>
      <c r="J145" s="137">
        <v>0.0</v>
      </c>
      <c r="K145" s="137">
        <v>4.0</v>
      </c>
      <c r="L145" s="137">
        <v>0.0</v>
      </c>
      <c r="M145" s="137">
        <v>0.0</v>
      </c>
      <c r="N145" s="137">
        <v>0.0</v>
      </c>
      <c r="O145" s="137">
        <v>2.0</v>
      </c>
      <c r="P145" s="135">
        <v>0.0</v>
      </c>
      <c r="Q145" s="135">
        <v>0.0</v>
      </c>
      <c r="R145" s="135">
        <v>0.0</v>
      </c>
      <c r="S145" s="135">
        <v>0.0</v>
      </c>
      <c r="T145" s="135">
        <v>0.0</v>
      </c>
      <c r="U145" s="135">
        <v>0.0</v>
      </c>
      <c r="V145" s="135">
        <v>0.0</v>
      </c>
      <c r="W145" s="135">
        <v>0.0</v>
      </c>
      <c r="X145" s="135">
        <v>0.0</v>
      </c>
      <c r="Y145" s="135">
        <v>0.0</v>
      </c>
      <c r="Z145" s="135">
        <v>0.0</v>
      </c>
      <c r="AA145" s="135">
        <v>0.0</v>
      </c>
      <c r="AB145" s="135">
        <v>0.0</v>
      </c>
      <c r="AC145" s="135">
        <v>0.0</v>
      </c>
      <c r="AD145" s="135">
        <v>0.0</v>
      </c>
      <c r="AE145" s="135">
        <v>0.0</v>
      </c>
      <c r="AF145" s="135">
        <v>0.0</v>
      </c>
      <c r="AG145" s="135">
        <v>0.0</v>
      </c>
      <c r="AH145" s="135">
        <v>0.0</v>
      </c>
      <c r="AI145" s="135">
        <v>0.0</v>
      </c>
      <c r="AJ145" s="135">
        <v>0.0</v>
      </c>
      <c r="AK145" s="135">
        <v>0.0</v>
      </c>
      <c r="AL145" s="135">
        <v>0.0</v>
      </c>
      <c r="AM145" s="135">
        <v>0.0</v>
      </c>
      <c r="AN145" s="137">
        <v>160.0</v>
      </c>
    </row>
    <row r="146">
      <c r="A146" s="98"/>
      <c r="B146" s="136" t="s">
        <v>206</v>
      </c>
      <c r="C146" s="137">
        <v>10.0</v>
      </c>
      <c r="D146" s="137">
        <v>8.0</v>
      </c>
      <c r="E146" s="137">
        <v>2.0</v>
      </c>
      <c r="F146" s="137">
        <v>6.0</v>
      </c>
      <c r="G146" s="137">
        <v>2.0</v>
      </c>
      <c r="H146" s="137">
        <v>2.0</v>
      </c>
      <c r="I146" s="137">
        <v>0.0</v>
      </c>
      <c r="J146" s="137">
        <v>0.0</v>
      </c>
      <c r="K146" s="137">
        <v>0.0</v>
      </c>
      <c r="L146" s="137">
        <v>0.0</v>
      </c>
      <c r="M146" s="137">
        <v>0.0</v>
      </c>
      <c r="N146" s="137">
        <v>0.0</v>
      </c>
      <c r="O146" s="137">
        <v>0.0</v>
      </c>
      <c r="P146" s="135">
        <v>0.0</v>
      </c>
      <c r="Q146" s="135">
        <v>0.0</v>
      </c>
      <c r="R146" s="135">
        <v>0.0</v>
      </c>
      <c r="S146" s="135">
        <v>0.0</v>
      </c>
      <c r="T146" s="135">
        <v>0.0</v>
      </c>
      <c r="U146" s="135">
        <v>0.0</v>
      </c>
      <c r="V146" s="135">
        <v>0.0</v>
      </c>
      <c r="W146" s="135">
        <v>0.0</v>
      </c>
      <c r="X146" s="135">
        <v>0.0</v>
      </c>
      <c r="Y146" s="135">
        <v>0.0</v>
      </c>
      <c r="Z146" s="135">
        <v>0.0</v>
      </c>
      <c r="AA146" s="135">
        <v>0.0</v>
      </c>
      <c r="AB146" s="135">
        <v>0.0</v>
      </c>
      <c r="AC146" s="135">
        <v>0.0</v>
      </c>
      <c r="AD146" s="135">
        <v>0.0</v>
      </c>
      <c r="AE146" s="135">
        <v>0.0</v>
      </c>
      <c r="AF146" s="135">
        <v>0.0</v>
      </c>
      <c r="AG146" s="135">
        <v>0.0</v>
      </c>
      <c r="AH146" s="135">
        <v>0.0</v>
      </c>
      <c r="AI146" s="135">
        <v>0.0</v>
      </c>
      <c r="AJ146" s="135">
        <v>0.0</v>
      </c>
      <c r="AK146" s="135">
        <v>0.0</v>
      </c>
      <c r="AL146" s="135">
        <v>0.0</v>
      </c>
      <c r="AM146" s="135">
        <v>0.0</v>
      </c>
      <c r="AN146" s="137">
        <v>8.0</v>
      </c>
    </row>
    <row r="147">
      <c r="A147" s="98"/>
      <c r="B147" s="136" t="s">
        <v>200</v>
      </c>
      <c r="C147" s="137">
        <v>104.0</v>
      </c>
      <c r="D147" s="137">
        <v>58.0</v>
      </c>
      <c r="E147" s="137">
        <v>46.0</v>
      </c>
      <c r="F147" s="137">
        <v>32.0</v>
      </c>
      <c r="G147" s="137">
        <v>28.0</v>
      </c>
      <c r="H147" s="137">
        <v>12.0</v>
      </c>
      <c r="I147" s="137">
        <v>4.0</v>
      </c>
      <c r="J147" s="137">
        <v>14.0</v>
      </c>
      <c r="K147" s="137">
        <v>8.0</v>
      </c>
      <c r="L147" s="137">
        <v>0.0</v>
      </c>
      <c r="M147" s="137">
        <v>4.0</v>
      </c>
      <c r="N147" s="137">
        <v>0.0</v>
      </c>
      <c r="O147" s="137">
        <v>2.0</v>
      </c>
      <c r="P147" s="135">
        <v>0.0</v>
      </c>
      <c r="Q147" s="135">
        <v>0.0</v>
      </c>
      <c r="R147" s="135">
        <v>0.0</v>
      </c>
      <c r="S147" s="135">
        <v>0.0</v>
      </c>
      <c r="T147" s="135">
        <v>0.0</v>
      </c>
      <c r="U147" s="135">
        <v>0.0</v>
      </c>
      <c r="V147" s="135">
        <v>0.0</v>
      </c>
      <c r="W147" s="135">
        <v>0.0</v>
      </c>
      <c r="X147" s="135">
        <v>0.0</v>
      </c>
      <c r="Y147" s="135">
        <v>0.0</v>
      </c>
      <c r="Z147" s="135">
        <v>0.0</v>
      </c>
      <c r="AA147" s="135">
        <v>0.0</v>
      </c>
      <c r="AB147" s="135">
        <v>0.0</v>
      </c>
      <c r="AC147" s="135">
        <v>0.0</v>
      </c>
      <c r="AD147" s="135">
        <v>0.0</v>
      </c>
      <c r="AE147" s="135">
        <v>0.0</v>
      </c>
      <c r="AF147" s="135">
        <v>0.0</v>
      </c>
      <c r="AG147" s="135">
        <v>0.0</v>
      </c>
      <c r="AH147" s="135">
        <v>0.0</v>
      </c>
      <c r="AI147" s="135">
        <v>0.0</v>
      </c>
      <c r="AJ147" s="135">
        <v>0.0</v>
      </c>
      <c r="AK147" s="135">
        <v>0.0</v>
      </c>
      <c r="AL147" s="135">
        <v>0.0</v>
      </c>
      <c r="AM147" s="135">
        <v>0.0</v>
      </c>
      <c r="AN147" s="137">
        <v>104.0</v>
      </c>
    </row>
    <row r="148">
      <c r="A148" s="104"/>
      <c r="B148" s="136" t="s">
        <v>201</v>
      </c>
      <c r="C148" s="137">
        <v>24.0</v>
      </c>
      <c r="D148" s="137">
        <v>16.0</v>
      </c>
      <c r="E148" s="137">
        <v>8.0</v>
      </c>
      <c r="F148" s="137">
        <v>4.0</v>
      </c>
      <c r="G148" s="137">
        <v>8.0</v>
      </c>
      <c r="H148" s="137">
        <v>12.0</v>
      </c>
      <c r="I148" s="137">
        <v>0.0</v>
      </c>
      <c r="J148" s="137">
        <v>0.0</v>
      </c>
      <c r="K148" s="137">
        <v>0.0</v>
      </c>
      <c r="L148" s="137">
        <v>0.0</v>
      </c>
      <c r="M148" s="137">
        <v>0.0</v>
      </c>
      <c r="N148" s="137">
        <v>0.0</v>
      </c>
      <c r="O148" s="137">
        <v>0.0</v>
      </c>
      <c r="P148" s="135">
        <v>0.0</v>
      </c>
      <c r="Q148" s="135">
        <v>0.0</v>
      </c>
      <c r="R148" s="135">
        <v>0.0</v>
      </c>
      <c r="S148" s="135">
        <v>0.0</v>
      </c>
      <c r="T148" s="135">
        <v>0.0</v>
      </c>
      <c r="U148" s="135">
        <v>0.0</v>
      </c>
      <c r="V148" s="135">
        <v>0.0</v>
      </c>
      <c r="W148" s="135">
        <v>0.0</v>
      </c>
      <c r="X148" s="135">
        <v>0.0</v>
      </c>
      <c r="Y148" s="135">
        <v>0.0</v>
      </c>
      <c r="Z148" s="135">
        <v>0.0</v>
      </c>
      <c r="AA148" s="135">
        <v>0.0</v>
      </c>
      <c r="AB148" s="135">
        <v>0.0</v>
      </c>
      <c r="AC148" s="135">
        <v>0.0</v>
      </c>
      <c r="AD148" s="135">
        <v>0.0</v>
      </c>
      <c r="AE148" s="135">
        <v>0.0</v>
      </c>
      <c r="AF148" s="135">
        <v>0.0</v>
      </c>
      <c r="AG148" s="135">
        <v>0.0</v>
      </c>
      <c r="AH148" s="135">
        <v>0.0</v>
      </c>
      <c r="AI148" s="135">
        <v>0.0</v>
      </c>
      <c r="AJ148" s="135">
        <v>0.0</v>
      </c>
      <c r="AK148" s="135">
        <v>0.0</v>
      </c>
      <c r="AL148" s="135">
        <v>0.0</v>
      </c>
      <c r="AM148" s="135">
        <v>0.0</v>
      </c>
      <c r="AN148" s="137">
        <v>24.0</v>
      </c>
    </row>
    <row r="149">
      <c r="A149" s="138" t="s">
        <v>245</v>
      </c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</row>
    <row r="150">
      <c r="A150" s="132" t="s">
        <v>197</v>
      </c>
      <c r="B150" s="133" t="s">
        <v>198</v>
      </c>
      <c r="C150" s="134">
        <v>220092.0</v>
      </c>
      <c r="D150" s="134">
        <v>81710.0</v>
      </c>
      <c r="E150" s="134">
        <v>138382.0</v>
      </c>
      <c r="F150" s="135">
        <v>0.0</v>
      </c>
      <c r="G150" s="135">
        <v>0.0</v>
      </c>
      <c r="H150" s="135">
        <v>0.0</v>
      </c>
      <c r="I150" s="135">
        <v>0.0</v>
      </c>
      <c r="J150" s="135">
        <v>0.0</v>
      </c>
      <c r="K150" s="135">
        <v>0.0</v>
      </c>
      <c r="L150" s="137">
        <v>176.0</v>
      </c>
      <c r="M150" s="137">
        <v>344.0</v>
      </c>
      <c r="N150" s="137">
        <v>304.0</v>
      </c>
      <c r="O150" s="137">
        <v>732.0</v>
      </c>
      <c r="P150" s="137">
        <v>436.0</v>
      </c>
      <c r="Q150" s="134">
        <v>1194.0</v>
      </c>
      <c r="R150" s="137">
        <v>774.0</v>
      </c>
      <c r="S150" s="134">
        <v>1744.0</v>
      </c>
      <c r="T150" s="134">
        <v>1254.0</v>
      </c>
      <c r="U150" s="134">
        <v>2864.0</v>
      </c>
      <c r="V150" s="134">
        <v>2296.0</v>
      </c>
      <c r="W150" s="134">
        <v>4464.0</v>
      </c>
      <c r="X150" s="134">
        <v>3590.0</v>
      </c>
      <c r="Y150" s="134">
        <v>7128.0</v>
      </c>
      <c r="Z150" s="134">
        <v>6180.0</v>
      </c>
      <c r="AA150" s="134">
        <v>12210.0</v>
      </c>
      <c r="AB150" s="134">
        <v>9204.0</v>
      </c>
      <c r="AC150" s="134">
        <v>16836.0</v>
      </c>
      <c r="AD150" s="134">
        <v>11358.0</v>
      </c>
      <c r="AE150" s="134">
        <v>18758.0</v>
      </c>
      <c r="AF150" s="134">
        <v>13028.0</v>
      </c>
      <c r="AG150" s="134">
        <v>19756.0</v>
      </c>
      <c r="AH150" s="134">
        <v>13210.0</v>
      </c>
      <c r="AI150" s="134">
        <v>19168.0</v>
      </c>
      <c r="AJ150" s="134">
        <v>9876.0</v>
      </c>
      <c r="AK150" s="134">
        <v>14882.0</v>
      </c>
      <c r="AL150" s="134">
        <v>10024.0</v>
      </c>
      <c r="AM150" s="134">
        <v>18302.0</v>
      </c>
      <c r="AN150" s="134">
        <v>217398.0</v>
      </c>
    </row>
    <row r="151">
      <c r="A151" s="98"/>
      <c r="B151" s="136" t="s">
        <v>199</v>
      </c>
      <c r="C151" s="134">
        <v>74320.0</v>
      </c>
      <c r="D151" s="134">
        <v>28250.0</v>
      </c>
      <c r="E151" s="134">
        <v>46070.0</v>
      </c>
      <c r="F151" s="135">
        <v>0.0</v>
      </c>
      <c r="G151" s="135">
        <v>0.0</v>
      </c>
      <c r="H151" s="135">
        <v>0.0</v>
      </c>
      <c r="I151" s="135">
        <v>0.0</v>
      </c>
      <c r="J151" s="135">
        <v>0.0</v>
      </c>
      <c r="K151" s="135">
        <v>0.0</v>
      </c>
      <c r="L151" s="137">
        <v>40.0</v>
      </c>
      <c r="M151" s="137">
        <v>42.0</v>
      </c>
      <c r="N151" s="137">
        <v>64.0</v>
      </c>
      <c r="O151" s="137">
        <v>78.0</v>
      </c>
      <c r="P151" s="137">
        <v>100.0</v>
      </c>
      <c r="Q151" s="137">
        <v>230.0</v>
      </c>
      <c r="R151" s="137">
        <v>198.0</v>
      </c>
      <c r="S151" s="137">
        <v>372.0</v>
      </c>
      <c r="T151" s="137">
        <v>286.0</v>
      </c>
      <c r="U151" s="137">
        <v>558.0</v>
      </c>
      <c r="V151" s="137">
        <v>530.0</v>
      </c>
      <c r="W151" s="134">
        <v>1040.0</v>
      </c>
      <c r="X151" s="134">
        <v>1012.0</v>
      </c>
      <c r="Y151" s="134">
        <v>1884.0</v>
      </c>
      <c r="Z151" s="134">
        <v>1714.0</v>
      </c>
      <c r="AA151" s="134">
        <v>3030.0</v>
      </c>
      <c r="AB151" s="134">
        <v>2482.0</v>
      </c>
      <c r="AC151" s="134">
        <v>4494.0</v>
      </c>
      <c r="AD151" s="134">
        <v>3348.0</v>
      </c>
      <c r="AE151" s="134">
        <v>5510.0</v>
      </c>
      <c r="AF151" s="134">
        <v>4576.0</v>
      </c>
      <c r="AG151" s="134">
        <v>7224.0</v>
      </c>
      <c r="AH151" s="134">
        <v>5330.0</v>
      </c>
      <c r="AI151" s="134">
        <v>7782.0</v>
      </c>
      <c r="AJ151" s="134">
        <v>4246.0</v>
      </c>
      <c r="AK151" s="134">
        <v>6352.0</v>
      </c>
      <c r="AL151" s="134">
        <v>4324.0</v>
      </c>
      <c r="AM151" s="134">
        <v>7474.0</v>
      </c>
      <c r="AN151" s="134">
        <v>73590.0</v>
      </c>
    </row>
    <row r="152">
      <c r="A152" s="98"/>
      <c r="B152" s="136" t="s">
        <v>200</v>
      </c>
      <c r="C152" s="134">
        <v>50806.0</v>
      </c>
      <c r="D152" s="134">
        <v>17508.0</v>
      </c>
      <c r="E152" s="134">
        <v>33298.0</v>
      </c>
      <c r="F152" s="135">
        <v>0.0</v>
      </c>
      <c r="G152" s="135">
        <v>0.0</v>
      </c>
      <c r="H152" s="135">
        <v>0.0</v>
      </c>
      <c r="I152" s="135">
        <v>0.0</v>
      </c>
      <c r="J152" s="135">
        <v>0.0</v>
      </c>
      <c r="K152" s="135">
        <v>0.0</v>
      </c>
      <c r="L152" s="137">
        <v>50.0</v>
      </c>
      <c r="M152" s="137">
        <v>180.0</v>
      </c>
      <c r="N152" s="137">
        <v>76.0</v>
      </c>
      <c r="O152" s="137">
        <v>246.0</v>
      </c>
      <c r="P152" s="137">
        <v>104.0</v>
      </c>
      <c r="Q152" s="137">
        <v>348.0</v>
      </c>
      <c r="R152" s="137">
        <v>238.0</v>
      </c>
      <c r="S152" s="137">
        <v>574.0</v>
      </c>
      <c r="T152" s="137">
        <v>442.0</v>
      </c>
      <c r="U152" s="137">
        <v>822.0</v>
      </c>
      <c r="V152" s="137">
        <v>686.0</v>
      </c>
      <c r="W152" s="134">
        <v>1358.0</v>
      </c>
      <c r="X152" s="137">
        <v>926.0</v>
      </c>
      <c r="Y152" s="134">
        <v>2104.0</v>
      </c>
      <c r="Z152" s="134">
        <v>1502.0</v>
      </c>
      <c r="AA152" s="134">
        <v>3384.0</v>
      </c>
      <c r="AB152" s="134">
        <v>2122.0</v>
      </c>
      <c r="AC152" s="134">
        <v>4328.0</v>
      </c>
      <c r="AD152" s="134">
        <v>2260.0</v>
      </c>
      <c r="AE152" s="134">
        <v>4712.0</v>
      </c>
      <c r="AF152" s="134">
        <v>2620.0</v>
      </c>
      <c r="AG152" s="134">
        <v>4688.0</v>
      </c>
      <c r="AH152" s="134">
        <v>2762.0</v>
      </c>
      <c r="AI152" s="134">
        <v>4394.0</v>
      </c>
      <c r="AJ152" s="134">
        <v>2010.0</v>
      </c>
      <c r="AK152" s="134">
        <v>3224.0</v>
      </c>
      <c r="AL152" s="134">
        <v>1710.0</v>
      </c>
      <c r="AM152" s="134">
        <v>2936.0</v>
      </c>
      <c r="AN152" s="134">
        <v>50290.0</v>
      </c>
    </row>
    <row r="153">
      <c r="A153" s="104"/>
      <c r="B153" s="136" t="s">
        <v>201</v>
      </c>
      <c r="C153" s="134">
        <v>13866.0</v>
      </c>
      <c r="D153" s="134">
        <v>5776.0</v>
      </c>
      <c r="E153" s="134">
        <v>8090.0</v>
      </c>
      <c r="F153" s="135">
        <v>0.0</v>
      </c>
      <c r="G153" s="135">
        <v>0.0</v>
      </c>
      <c r="H153" s="135">
        <v>0.0</v>
      </c>
      <c r="I153" s="135">
        <v>0.0</v>
      </c>
      <c r="J153" s="135">
        <v>0.0</v>
      </c>
      <c r="K153" s="135">
        <v>0.0</v>
      </c>
      <c r="L153" s="137">
        <v>10.0</v>
      </c>
      <c r="M153" s="137">
        <v>22.0</v>
      </c>
      <c r="N153" s="137">
        <v>20.0</v>
      </c>
      <c r="O153" s="137">
        <v>28.0</v>
      </c>
      <c r="P153" s="137">
        <v>18.0</v>
      </c>
      <c r="Q153" s="137">
        <v>48.0</v>
      </c>
      <c r="R153" s="137">
        <v>78.0</v>
      </c>
      <c r="S153" s="137">
        <v>206.0</v>
      </c>
      <c r="T153" s="137">
        <v>102.0</v>
      </c>
      <c r="U153" s="137">
        <v>280.0</v>
      </c>
      <c r="V153" s="137">
        <v>172.0</v>
      </c>
      <c r="W153" s="137">
        <v>294.0</v>
      </c>
      <c r="X153" s="137">
        <v>190.0</v>
      </c>
      <c r="Y153" s="137">
        <v>588.0</v>
      </c>
      <c r="Z153" s="137">
        <v>634.0</v>
      </c>
      <c r="AA153" s="137">
        <v>746.0</v>
      </c>
      <c r="AB153" s="137">
        <v>828.0</v>
      </c>
      <c r="AC153" s="134">
        <v>1126.0</v>
      </c>
      <c r="AD153" s="137">
        <v>892.0</v>
      </c>
      <c r="AE153" s="134">
        <v>1252.0</v>
      </c>
      <c r="AF153" s="137">
        <v>670.0</v>
      </c>
      <c r="AG153" s="137">
        <v>978.0</v>
      </c>
      <c r="AH153" s="137">
        <v>814.0</v>
      </c>
      <c r="AI153" s="137">
        <v>730.0</v>
      </c>
      <c r="AJ153" s="137">
        <v>488.0</v>
      </c>
      <c r="AK153" s="137">
        <v>830.0</v>
      </c>
      <c r="AL153" s="137">
        <v>860.0</v>
      </c>
      <c r="AM153" s="137">
        <v>962.0</v>
      </c>
      <c r="AN153" s="134">
        <v>13560.0</v>
      </c>
    </row>
    <row r="154">
      <c r="A154" s="132" t="s">
        <v>202</v>
      </c>
      <c r="B154" s="136" t="s">
        <v>198</v>
      </c>
      <c r="C154" s="137">
        <v>818.0</v>
      </c>
      <c r="D154" s="137">
        <v>420.0</v>
      </c>
      <c r="E154" s="137">
        <v>398.0</v>
      </c>
      <c r="F154" s="137">
        <v>12.0</v>
      </c>
      <c r="G154" s="137">
        <v>24.0</v>
      </c>
      <c r="H154" s="137">
        <v>54.0</v>
      </c>
      <c r="I154" s="137">
        <v>14.0</v>
      </c>
      <c r="J154" s="137">
        <v>20.0</v>
      </c>
      <c r="K154" s="137">
        <v>12.0</v>
      </c>
      <c r="L154" s="137">
        <v>4.0</v>
      </c>
      <c r="M154" s="137">
        <v>34.0</v>
      </c>
      <c r="N154" s="137">
        <v>16.0</v>
      </c>
      <c r="O154" s="137">
        <v>10.0</v>
      </c>
      <c r="P154" s="137">
        <v>36.0</v>
      </c>
      <c r="Q154" s="137">
        <v>18.0</v>
      </c>
      <c r="R154" s="137">
        <v>40.0</v>
      </c>
      <c r="S154" s="137">
        <v>28.0</v>
      </c>
      <c r="T154" s="137">
        <v>34.0</v>
      </c>
      <c r="U154" s="137">
        <v>14.0</v>
      </c>
      <c r="V154" s="137">
        <v>36.0</v>
      </c>
      <c r="W154" s="137">
        <v>22.0</v>
      </c>
      <c r="X154" s="137">
        <v>14.0</v>
      </c>
      <c r="Y154" s="137">
        <v>24.0</v>
      </c>
      <c r="Z154" s="137">
        <v>18.0</v>
      </c>
      <c r="AA154" s="137">
        <v>22.0</v>
      </c>
      <c r="AB154" s="137">
        <v>36.0</v>
      </c>
      <c r="AC154" s="137">
        <v>30.0</v>
      </c>
      <c r="AD154" s="137">
        <v>24.0</v>
      </c>
      <c r="AE154" s="137">
        <v>32.0</v>
      </c>
      <c r="AF154" s="137">
        <v>22.0</v>
      </c>
      <c r="AG154" s="137">
        <v>16.0</v>
      </c>
      <c r="AH154" s="137">
        <v>6.0</v>
      </c>
      <c r="AI154" s="137">
        <v>34.0</v>
      </c>
      <c r="AJ154" s="137">
        <v>14.0</v>
      </c>
      <c r="AK154" s="137">
        <v>6.0</v>
      </c>
      <c r="AL154" s="137">
        <v>34.0</v>
      </c>
      <c r="AM154" s="137">
        <v>58.0</v>
      </c>
      <c r="AN154" s="137">
        <v>806.0</v>
      </c>
    </row>
    <row r="155">
      <c r="A155" s="104"/>
      <c r="B155" s="136" t="s">
        <v>199</v>
      </c>
      <c r="C155" s="137">
        <v>830.0</v>
      </c>
      <c r="D155" s="137">
        <v>348.0</v>
      </c>
      <c r="E155" s="137">
        <v>482.0</v>
      </c>
      <c r="F155" s="137">
        <v>42.0</v>
      </c>
      <c r="G155" s="137">
        <v>60.0</v>
      </c>
      <c r="H155" s="137">
        <v>20.0</v>
      </c>
      <c r="I155" s="137">
        <v>42.0</v>
      </c>
      <c r="J155" s="137">
        <v>30.0</v>
      </c>
      <c r="K155" s="137">
        <v>46.0</v>
      </c>
      <c r="L155" s="137">
        <v>6.0</v>
      </c>
      <c r="M155" s="137">
        <v>12.0</v>
      </c>
      <c r="N155" s="137">
        <v>8.0</v>
      </c>
      <c r="O155" s="137">
        <v>12.0</v>
      </c>
      <c r="P155" s="137">
        <v>12.0</v>
      </c>
      <c r="Q155" s="137">
        <v>12.0</v>
      </c>
      <c r="R155" s="137">
        <v>24.0</v>
      </c>
      <c r="S155" s="137">
        <v>18.0</v>
      </c>
      <c r="T155" s="137">
        <v>8.0</v>
      </c>
      <c r="U155" s="137">
        <v>10.0</v>
      </c>
      <c r="V155" s="137">
        <v>16.0</v>
      </c>
      <c r="W155" s="137">
        <v>12.0</v>
      </c>
      <c r="X155" s="137">
        <v>8.0</v>
      </c>
      <c r="Y155" s="137">
        <v>24.0</v>
      </c>
      <c r="Z155" s="137">
        <v>18.0</v>
      </c>
      <c r="AA155" s="137">
        <v>34.0</v>
      </c>
      <c r="AB155" s="137">
        <v>30.0</v>
      </c>
      <c r="AC155" s="137">
        <v>44.0</v>
      </c>
      <c r="AD155" s="137">
        <v>18.0</v>
      </c>
      <c r="AE155" s="137">
        <v>38.0</v>
      </c>
      <c r="AF155" s="137">
        <v>30.0</v>
      </c>
      <c r="AG155" s="137">
        <v>28.0</v>
      </c>
      <c r="AH155" s="137">
        <v>26.0</v>
      </c>
      <c r="AI155" s="137">
        <v>38.0</v>
      </c>
      <c r="AJ155" s="137">
        <v>16.0</v>
      </c>
      <c r="AK155" s="137">
        <v>24.0</v>
      </c>
      <c r="AL155" s="137">
        <v>36.0</v>
      </c>
      <c r="AM155" s="137">
        <v>28.0</v>
      </c>
      <c r="AN155" s="137">
        <v>818.0</v>
      </c>
    </row>
    <row r="156">
      <c r="A156" s="132" t="s">
        <v>203</v>
      </c>
      <c r="B156" s="136" t="s">
        <v>198</v>
      </c>
      <c r="C156" s="137">
        <v>28.0</v>
      </c>
      <c r="D156" s="137">
        <v>8.0</v>
      </c>
      <c r="E156" s="137">
        <v>20.0</v>
      </c>
      <c r="F156" s="135">
        <v>0.0</v>
      </c>
      <c r="G156" s="135">
        <v>0.0</v>
      </c>
      <c r="H156" s="135">
        <v>0.0</v>
      </c>
      <c r="I156" s="135">
        <v>0.0</v>
      </c>
      <c r="J156" s="135">
        <v>0.0</v>
      </c>
      <c r="K156" s="135">
        <v>0.0</v>
      </c>
      <c r="L156" s="135">
        <v>0.0</v>
      </c>
      <c r="M156" s="135">
        <v>0.0</v>
      </c>
      <c r="N156" s="135">
        <v>0.0</v>
      </c>
      <c r="O156" s="135">
        <v>0.0</v>
      </c>
      <c r="P156" s="135">
        <v>0.0</v>
      </c>
      <c r="Q156" s="135">
        <v>0.0</v>
      </c>
      <c r="R156" s="135">
        <v>0.0</v>
      </c>
      <c r="S156" s="135">
        <v>0.0</v>
      </c>
      <c r="T156" s="135">
        <v>0.0</v>
      </c>
      <c r="U156" s="135">
        <v>0.0</v>
      </c>
      <c r="V156" s="135">
        <v>0.0</v>
      </c>
      <c r="W156" s="135">
        <v>0.0</v>
      </c>
      <c r="X156" s="135">
        <v>0.0</v>
      </c>
      <c r="Y156" s="135">
        <v>0.0</v>
      </c>
      <c r="Z156" s="135">
        <v>0.0</v>
      </c>
      <c r="AA156" s="135">
        <v>0.0</v>
      </c>
      <c r="AB156" s="135">
        <v>0.0</v>
      </c>
      <c r="AC156" s="135">
        <v>0.0</v>
      </c>
      <c r="AD156" s="135">
        <v>0.0</v>
      </c>
      <c r="AE156" s="135">
        <v>0.0</v>
      </c>
      <c r="AF156" s="137">
        <v>0.0</v>
      </c>
      <c r="AG156" s="137">
        <v>10.0</v>
      </c>
      <c r="AH156" s="137">
        <v>0.0</v>
      </c>
      <c r="AI156" s="137">
        <v>4.0</v>
      </c>
      <c r="AJ156" s="137">
        <v>4.0</v>
      </c>
      <c r="AK156" s="137">
        <v>0.0</v>
      </c>
      <c r="AL156" s="137">
        <v>4.0</v>
      </c>
      <c r="AM156" s="137">
        <v>6.0</v>
      </c>
      <c r="AN156" s="137">
        <v>28.0</v>
      </c>
    </row>
    <row r="157">
      <c r="A157" s="104"/>
      <c r="B157" s="136" t="s">
        <v>199</v>
      </c>
      <c r="C157" s="134">
        <v>1474.0</v>
      </c>
      <c r="D157" s="137">
        <v>554.0</v>
      </c>
      <c r="E157" s="137">
        <v>920.0</v>
      </c>
      <c r="F157" s="135">
        <v>0.0</v>
      </c>
      <c r="G157" s="135">
        <v>0.0</v>
      </c>
      <c r="H157" s="135">
        <v>0.0</v>
      </c>
      <c r="I157" s="135">
        <v>0.0</v>
      </c>
      <c r="J157" s="135">
        <v>0.0</v>
      </c>
      <c r="K157" s="135">
        <v>0.0</v>
      </c>
      <c r="L157" s="135">
        <v>0.0</v>
      </c>
      <c r="M157" s="135">
        <v>0.0</v>
      </c>
      <c r="N157" s="135">
        <v>0.0</v>
      </c>
      <c r="O157" s="135">
        <v>0.0</v>
      </c>
      <c r="P157" s="135">
        <v>0.0</v>
      </c>
      <c r="Q157" s="135">
        <v>0.0</v>
      </c>
      <c r="R157" s="135">
        <v>0.0</v>
      </c>
      <c r="S157" s="135">
        <v>0.0</v>
      </c>
      <c r="T157" s="135">
        <v>0.0</v>
      </c>
      <c r="U157" s="135">
        <v>0.0</v>
      </c>
      <c r="V157" s="135">
        <v>0.0</v>
      </c>
      <c r="W157" s="135">
        <v>0.0</v>
      </c>
      <c r="X157" s="135">
        <v>0.0</v>
      </c>
      <c r="Y157" s="135">
        <v>0.0</v>
      </c>
      <c r="Z157" s="135">
        <v>0.0</v>
      </c>
      <c r="AA157" s="135">
        <v>0.0</v>
      </c>
      <c r="AB157" s="135">
        <v>0.0</v>
      </c>
      <c r="AC157" s="135">
        <v>0.0</v>
      </c>
      <c r="AD157" s="135">
        <v>0.0</v>
      </c>
      <c r="AE157" s="135">
        <v>0.0</v>
      </c>
      <c r="AF157" s="137">
        <v>126.0</v>
      </c>
      <c r="AG157" s="137">
        <v>214.0</v>
      </c>
      <c r="AH157" s="137">
        <v>144.0</v>
      </c>
      <c r="AI157" s="137">
        <v>238.0</v>
      </c>
      <c r="AJ157" s="137">
        <v>108.0</v>
      </c>
      <c r="AK157" s="137">
        <v>218.0</v>
      </c>
      <c r="AL157" s="137">
        <v>176.0</v>
      </c>
      <c r="AM157" s="137">
        <v>250.0</v>
      </c>
      <c r="AN157" s="134">
        <v>1474.0</v>
      </c>
    </row>
    <row r="158">
      <c r="A158" s="132" t="s">
        <v>204</v>
      </c>
      <c r="B158" s="136" t="s">
        <v>198</v>
      </c>
      <c r="C158" s="137">
        <v>42.0</v>
      </c>
      <c r="D158" s="137">
        <v>12.0</v>
      </c>
      <c r="E158" s="137">
        <v>30.0</v>
      </c>
      <c r="F158" s="135">
        <v>0.0</v>
      </c>
      <c r="G158" s="135">
        <v>0.0</v>
      </c>
      <c r="H158" s="135">
        <v>0.0</v>
      </c>
      <c r="I158" s="135">
        <v>0.0</v>
      </c>
      <c r="J158" s="135">
        <v>0.0</v>
      </c>
      <c r="K158" s="135">
        <v>0.0</v>
      </c>
      <c r="L158" s="135">
        <v>0.0</v>
      </c>
      <c r="M158" s="135">
        <v>0.0</v>
      </c>
      <c r="N158" s="135">
        <v>0.0</v>
      </c>
      <c r="O158" s="135">
        <v>0.0</v>
      </c>
      <c r="P158" s="135">
        <v>0.0</v>
      </c>
      <c r="Q158" s="135">
        <v>0.0</v>
      </c>
      <c r="R158" s="135">
        <v>0.0</v>
      </c>
      <c r="S158" s="135">
        <v>0.0</v>
      </c>
      <c r="T158" s="135">
        <v>0.0</v>
      </c>
      <c r="U158" s="135">
        <v>0.0</v>
      </c>
      <c r="V158" s="135">
        <v>0.0</v>
      </c>
      <c r="W158" s="135">
        <v>0.0</v>
      </c>
      <c r="X158" s="135">
        <v>0.0</v>
      </c>
      <c r="Y158" s="135">
        <v>0.0</v>
      </c>
      <c r="Z158" s="135">
        <v>0.0</v>
      </c>
      <c r="AA158" s="135">
        <v>0.0</v>
      </c>
      <c r="AB158" s="135">
        <v>0.0</v>
      </c>
      <c r="AC158" s="135">
        <v>0.0</v>
      </c>
      <c r="AD158" s="135">
        <v>0.0</v>
      </c>
      <c r="AE158" s="135">
        <v>0.0</v>
      </c>
      <c r="AF158" s="137">
        <v>0.0</v>
      </c>
      <c r="AG158" s="137">
        <v>0.0</v>
      </c>
      <c r="AH158" s="137">
        <v>4.0</v>
      </c>
      <c r="AI158" s="137">
        <v>4.0</v>
      </c>
      <c r="AJ158" s="137">
        <v>0.0</v>
      </c>
      <c r="AK158" s="137">
        <v>14.0</v>
      </c>
      <c r="AL158" s="137">
        <v>8.0</v>
      </c>
      <c r="AM158" s="137">
        <v>12.0</v>
      </c>
      <c r="AN158" s="137">
        <v>42.0</v>
      </c>
    </row>
    <row r="159">
      <c r="A159" s="104"/>
      <c r="B159" s="136" t="s">
        <v>199</v>
      </c>
      <c r="C159" s="137">
        <v>842.0</v>
      </c>
      <c r="D159" s="137">
        <v>274.0</v>
      </c>
      <c r="E159" s="137">
        <v>568.0</v>
      </c>
      <c r="F159" s="135">
        <v>0.0</v>
      </c>
      <c r="G159" s="135">
        <v>0.0</v>
      </c>
      <c r="H159" s="135">
        <v>0.0</v>
      </c>
      <c r="I159" s="135">
        <v>0.0</v>
      </c>
      <c r="J159" s="135">
        <v>0.0</v>
      </c>
      <c r="K159" s="135">
        <v>0.0</v>
      </c>
      <c r="L159" s="135">
        <v>0.0</v>
      </c>
      <c r="M159" s="135">
        <v>0.0</v>
      </c>
      <c r="N159" s="135">
        <v>0.0</v>
      </c>
      <c r="O159" s="135">
        <v>0.0</v>
      </c>
      <c r="P159" s="135">
        <v>0.0</v>
      </c>
      <c r="Q159" s="135">
        <v>0.0</v>
      </c>
      <c r="R159" s="135">
        <v>0.0</v>
      </c>
      <c r="S159" s="135">
        <v>0.0</v>
      </c>
      <c r="T159" s="135">
        <v>0.0</v>
      </c>
      <c r="U159" s="135">
        <v>0.0</v>
      </c>
      <c r="V159" s="135">
        <v>0.0</v>
      </c>
      <c r="W159" s="135">
        <v>0.0</v>
      </c>
      <c r="X159" s="135">
        <v>0.0</v>
      </c>
      <c r="Y159" s="135">
        <v>0.0</v>
      </c>
      <c r="Z159" s="135">
        <v>0.0</v>
      </c>
      <c r="AA159" s="135">
        <v>0.0</v>
      </c>
      <c r="AB159" s="135">
        <v>0.0</v>
      </c>
      <c r="AC159" s="135">
        <v>0.0</v>
      </c>
      <c r="AD159" s="135">
        <v>0.0</v>
      </c>
      <c r="AE159" s="135">
        <v>0.0</v>
      </c>
      <c r="AF159" s="137">
        <v>20.0</v>
      </c>
      <c r="AG159" s="137">
        <v>52.0</v>
      </c>
      <c r="AH159" s="137">
        <v>50.0</v>
      </c>
      <c r="AI159" s="137">
        <v>114.0</v>
      </c>
      <c r="AJ159" s="137">
        <v>76.0</v>
      </c>
      <c r="AK159" s="137">
        <v>118.0</v>
      </c>
      <c r="AL159" s="137">
        <v>128.0</v>
      </c>
      <c r="AM159" s="137">
        <v>284.0</v>
      </c>
      <c r="AN159" s="137">
        <v>840.0</v>
      </c>
    </row>
    <row r="160">
      <c r="A160" s="132" t="s">
        <v>205</v>
      </c>
      <c r="B160" s="136" t="s">
        <v>198</v>
      </c>
      <c r="C160" s="137">
        <v>20.0</v>
      </c>
      <c r="D160" s="137">
        <v>8.0</v>
      </c>
      <c r="E160" s="137">
        <v>12.0</v>
      </c>
      <c r="F160" s="137">
        <v>0.0</v>
      </c>
      <c r="G160" s="137">
        <v>0.0</v>
      </c>
      <c r="H160" s="137">
        <v>0.0</v>
      </c>
      <c r="I160" s="137">
        <v>0.0</v>
      </c>
      <c r="J160" s="137">
        <v>0.0</v>
      </c>
      <c r="K160" s="137">
        <v>0.0</v>
      </c>
      <c r="L160" s="137">
        <v>0.0</v>
      </c>
      <c r="M160" s="137">
        <v>0.0</v>
      </c>
      <c r="N160" s="137">
        <v>0.0</v>
      </c>
      <c r="O160" s="137">
        <v>0.0</v>
      </c>
      <c r="P160" s="137">
        <v>0.0</v>
      </c>
      <c r="Q160" s="137">
        <v>0.0</v>
      </c>
      <c r="R160" s="137">
        <v>6.0</v>
      </c>
      <c r="S160" s="137">
        <v>0.0</v>
      </c>
      <c r="T160" s="137">
        <v>0.0</v>
      </c>
      <c r="U160" s="137">
        <v>6.0</v>
      </c>
      <c r="V160" s="137">
        <v>0.0</v>
      </c>
      <c r="W160" s="137">
        <v>0.0</v>
      </c>
      <c r="X160" s="137">
        <v>0.0</v>
      </c>
      <c r="Y160" s="137">
        <v>0.0</v>
      </c>
      <c r="Z160" s="137">
        <v>0.0</v>
      </c>
      <c r="AA160" s="137">
        <v>0.0</v>
      </c>
      <c r="AB160" s="137">
        <v>0.0</v>
      </c>
      <c r="AC160" s="137">
        <v>2.0</v>
      </c>
      <c r="AD160" s="137">
        <v>2.0</v>
      </c>
      <c r="AE160" s="137">
        <v>4.0</v>
      </c>
      <c r="AF160" s="137">
        <v>0.0</v>
      </c>
      <c r="AG160" s="137">
        <v>0.0</v>
      </c>
      <c r="AH160" s="137">
        <v>0.0</v>
      </c>
      <c r="AI160" s="137">
        <v>0.0</v>
      </c>
      <c r="AJ160" s="137">
        <v>0.0</v>
      </c>
      <c r="AK160" s="137">
        <v>0.0</v>
      </c>
      <c r="AL160" s="137">
        <v>0.0</v>
      </c>
      <c r="AM160" s="137">
        <v>0.0</v>
      </c>
      <c r="AN160" s="137">
        <v>18.0</v>
      </c>
    </row>
    <row r="161">
      <c r="A161" s="98"/>
      <c r="B161" s="136" t="s">
        <v>199</v>
      </c>
      <c r="C161" s="137">
        <v>10.0</v>
      </c>
      <c r="D161" s="137">
        <v>2.0</v>
      </c>
      <c r="E161" s="137">
        <v>8.0</v>
      </c>
      <c r="F161" s="137">
        <v>2.0</v>
      </c>
      <c r="G161" s="137">
        <v>0.0</v>
      </c>
      <c r="H161" s="137">
        <v>0.0</v>
      </c>
      <c r="I161" s="137">
        <v>0.0</v>
      </c>
      <c r="J161" s="137">
        <v>0.0</v>
      </c>
      <c r="K161" s="137">
        <v>0.0</v>
      </c>
      <c r="L161" s="137">
        <v>0.0</v>
      </c>
      <c r="M161" s="137">
        <v>0.0</v>
      </c>
      <c r="N161" s="137">
        <v>0.0</v>
      </c>
      <c r="O161" s="137">
        <v>0.0</v>
      </c>
      <c r="P161" s="137">
        <v>0.0</v>
      </c>
      <c r="Q161" s="137">
        <v>0.0</v>
      </c>
      <c r="R161" s="137">
        <v>0.0</v>
      </c>
      <c r="S161" s="137">
        <v>0.0</v>
      </c>
      <c r="T161" s="137">
        <v>0.0</v>
      </c>
      <c r="U161" s="137">
        <v>2.0</v>
      </c>
      <c r="V161" s="137">
        <v>0.0</v>
      </c>
      <c r="W161" s="137">
        <v>0.0</v>
      </c>
      <c r="X161" s="137">
        <v>0.0</v>
      </c>
      <c r="Y161" s="137">
        <v>4.0</v>
      </c>
      <c r="Z161" s="137">
        <v>0.0</v>
      </c>
      <c r="AA161" s="137">
        <v>0.0</v>
      </c>
      <c r="AB161" s="137">
        <v>0.0</v>
      </c>
      <c r="AC161" s="137">
        <v>0.0</v>
      </c>
      <c r="AD161" s="137">
        <v>0.0</v>
      </c>
      <c r="AE161" s="137">
        <v>2.0</v>
      </c>
      <c r="AF161" s="137">
        <v>0.0</v>
      </c>
      <c r="AG161" s="137">
        <v>0.0</v>
      </c>
      <c r="AH161" s="137">
        <v>0.0</v>
      </c>
      <c r="AI161" s="137">
        <v>0.0</v>
      </c>
      <c r="AJ161" s="137">
        <v>0.0</v>
      </c>
      <c r="AK161" s="137">
        <v>0.0</v>
      </c>
      <c r="AL161" s="137">
        <v>0.0</v>
      </c>
      <c r="AM161" s="137">
        <v>0.0</v>
      </c>
      <c r="AN161" s="137">
        <v>10.0</v>
      </c>
    </row>
    <row r="162">
      <c r="A162" s="104"/>
      <c r="B162" s="136" t="s">
        <v>206</v>
      </c>
      <c r="C162" s="137">
        <v>14.0</v>
      </c>
      <c r="D162" s="137">
        <v>6.0</v>
      </c>
      <c r="E162" s="137">
        <v>8.0</v>
      </c>
      <c r="F162" s="137">
        <v>0.0</v>
      </c>
      <c r="G162" s="137">
        <v>0.0</v>
      </c>
      <c r="H162" s="137">
        <v>0.0</v>
      </c>
      <c r="I162" s="137">
        <v>0.0</v>
      </c>
      <c r="J162" s="137">
        <v>0.0</v>
      </c>
      <c r="K162" s="137">
        <v>0.0</v>
      </c>
      <c r="L162" s="137">
        <v>2.0</v>
      </c>
      <c r="M162" s="137">
        <v>2.0</v>
      </c>
      <c r="N162" s="137">
        <v>0.0</v>
      </c>
      <c r="O162" s="137">
        <v>0.0</v>
      </c>
      <c r="P162" s="137">
        <v>4.0</v>
      </c>
      <c r="Q162" s="137">
        <v>6.0</v>
      </c>
      <c r="R162" s="137">
        <v>0.0</v>
      </c>
      <c r="S162" s="137">
        <v>0.0</v>
      </c>
      <c r="T162" s="137">
        <v>0.0</v>
      </c>
      <c r="U162" s="137">
        <v>0.0</v>
      </c>
      <c r="V162" s="137">
        <v>0.0</v>
      </c>
      <c r="W162" s="137">
        <v>0.0</v>
      </c>
      <c r="X162" s="137">
        <v>0.0</v>
      </c>
      <c r="Y162" s="137">
        <v>0.0</v>
      </c>
      <c r="Z162" s="137">
        <v>0.0</v>
      </c>
      <c r="AA162" s="137">
        <v>0.0</v>
      </c>
      <c r="AB162" s="137">
        <v>0.0</v>
      </c>
      <c r="AC162" s="137">
        <v>0.0</v>
      </c>
      <c r="AD162" s="137">
        <v>0.0</v>
      </c>
      <c r="AE162" s="137">
        <v>0.0</v>
      </c>
      <c r="AF162" s="137">
        <v>0.0</v>
      </c>
      <c r="AG162" s="137">
        <v>0.0</v>
      </c>
      <c r="AH162" s="137">
        <v>0.0</v>
      </c>
      <c r="AI162" s="137">
        <v>0.0</v>
      </c>
      <c r="AJ162" s="137">
        <v>0.0</v>
      </c>
      <c r="AK162" s="137">
        <v>0.0</v>
      </c>
      <c r="AL162" s="137">
        <v>0.0</v>
      </c>
      <c r="AM162" s="137">
        <v>0.0</v>
      </c>
      <c r="AN162" s="137">
        <v>14.0</v>
      </c>
    </row>
    <row r="163">
      <c r="A163" s="132" t="s">
        <v>207</v>
      </c>
      <c r="B163" s="136" t="s">
        <v>198</v>
      </c>
      <c r="C163" s="134">
        <v>48384.0</v>
      </c>
      <c r="D163" s="134">
        <v>14598.0</v>
      </c>
      <c r="E163" s="134">
        <v>33786.0</v>
      </c>
      <c r="F163" s="134">
        <v>1050.0</v>
      </c>
      <c r="G163" s="137">
        <v>856.0</v>
      </c>
      <c r="H163" s="137">
        <v>692.0</v>
      </c>
      <c r="I163" s="137">
        <v>642.0</v>
      </c>
      <c r="J163" s="137">
        <v>550.0</v>
      </c>
      <c r="K163" s="137">
        <v>590.0</v>
      </c>
      <c r="L163" s="137">
        <v>562.0</v>
      </c>
      <c r="M163" s="137">
        <v>752.0</v>
      </c>
      <c r="N163" s="137">
        <v>264.0</v>
      </c>
      <c r="O163" s="137">
        <v>810.0</v>
      </c>
      <c r="P163" s="137">
        <v>344.0</v>
      </c>
      <c r="Q163" s="134">
        <v>1100.0</v>
      </c>
      <c r="R163" s="137">
        <v>390.0</v>
      </c>
      <c r="S163" s="134">
        <v>1396.0</v>
      </c>
      <c r="T163" s="137">
        <v>404.0</v>
      </c>
      <c r="U163" s="134">
        <v>1418.0</v>
      </c>
      <c r="V163" s="137">
        <v>504.0</v>
      </c>
      <c r="W163" s="134">
        <v>1544.0</v>
      </c>
      <c r="X163" s="137">
        <v>640.0</v>
      </c>
      <c r="Y163" s="134">
        <v>2120.0</v>
      </c>
      <c r="Z163" s="137">
        <v>804.0</v>
      </c>
      <c r="AA163" s="134">
        <v>2846.0</v>
      </c>
      <c r="AB163" s="134">
        <v>1260.0</v>
      </c>
      <c r="AC163" s="134">
        <v>3648.0</v>
      </c>
      <c r="AD163" s="134">
        <v>1332.0</v>
      </c>
      <c r="AE163" s="134">
        <v>3742.0</v>
      </c>
      <c r="AF163" s="134">
        <v>1486.0</v>
      </c>
      <c r="AG163" s="134">
        <v>3520.0</v>
      </c>
      <c r="AH163" s="134">
        <v>1538.0</v>
      </c>
      <c r="AI163" s="134">
        <v>3204.0</v>
      </c>
      <c r="AJ163" s="134">
        <v>1306.0</v>
      </c>
      <c r="AK163" s="134">
        <v>2512.0</v>
      </c>
      <c r="AL163" s="134">
        <v>1472.0</v>
      </c>
      <c r="AM163" s="134">
        <v>3086.0</v>
      </c>
      <c r="AN163" s="134">
        <v>47690.0</v>
      </c>
    </row>
    <row r="164">
      <c r="A164" s="98"/>
      <c r="B164" s="136" t="s">
        <v>199</v>
      </c>
      <c r="C164" s="134">
        <v>2304.0</v>
      </c>
      <c r="D164" s="137">
        <v>986.0</v>
      </c>
      <c r="E164" s="134">
        <v>1318.0</v>
      </c>
      <c r="F164" s="137">
        <v>190.0</v>
      </c>
      <c r="G164" s="137">
        <v>124.0</v>
      </c>
      <c r="H164" s="137">
        <v>66.0</v>
      </c>
      <c r="I164" s="137">
        <v>62.0</v>
      </c>
      <c r="J164" s="137">
        <v>10.0</v>
      </c>
      <c r="K164" s="137">
        <v>30.0</v>
      </c>
      <c r="L164" s="137">
        <v>10.0</v>
      </c>
      <c r="M164" s="137">
        <v>16.0</v>
      </c>
      <c r="N164" s="137">
        <v>6.0</v>
      </c>
      <c r="O164" s="137">
        <v>26.0</v>
      </c>
      <c r="P164" s="137">
        <v>14.0</v>
      </c>
      <c r="Q164" s="137">
        <v>36.0</v>
      </c>
      <c r="R164" s="137">
        <v>34.0</v>
      </c>
      <c r="S164" s="137">
        <v>34.0</v>
      </c>
      <c r="T164" s="137">
        <v>18.0</v>
      </c>
      <c r="U164" s="137">
        <v>56.0</v>
      </c>
      <c r="V164" s="137">
        <v>28.0</v>
      </c>
      <c r="W164" s="137">
        <v>40.0</v>
      </c>
      <c r="X164" s="137">
        <v>36.0</v>
      </c>
      <c r="Y164" s="137">
        <v>74.0</v>
      </c>
      <c r="Z164" s="137">
        <v>46.0</v>
      </c>
      <c r="AA164" s="137">
        <v>62.0</v>
      </c>
      <c r="AB164" s="137">
        <v>78.0</v>
      </c>
      <c r="AC164" s="137">
        <v>134.0</v>
      </c>
      <c r="AD164" s="137">
        <v>64.0</v>
      </c>
      <c r="AE164" s="137">
        <v>102.0</v>
      </c>
      <c r="AF164" s="137">
        <v>100.0</v>
      </c>
      <c r="AG164" s="137">
        <v>112.0</v>
      </c>
      <c r="AH164" s="137">
        <v>86.0</v>
      </c>
      <c r="AI164" s="137">
        <v>130.0</v>
      </c>
      <c r="AJ164" s="137">
        <v>116.0</v>
      </c>
      <c r="AK164" s="137">
        <v>102.0</v>
      </c>
      <c r="AL164" s="137">
        <v>84.0</v>
      </c>
      <c r="AM164" s="137">
        <v>178.0</v>
      </c>
      <c r="AN164" s="134">
        <v>2280.0</v>
      </c>
    </row>
    <row r="165">
      <c r="A165" s="98"/>
      <c r="B165" s="136" t="s">
        <v>206</v>
      </c>
      <c r="C165" s="134">
        <v>1194.0</v>
      </c>
      <c r="D165" s="137">
        <v>246.0</v>
      </c>
      <c r="E165" s="137">
        <v>948.0</v>
      </c>
      <c r="F165" s="137">
        <v>80.0</v>
      </c>
      <c r="G165" s="137">
        <v>108.0</v>
      </c>
      <c r="H165" s="137">
        <v>0.0</v>
      </c>
      <c r="I165" s="137">
        <v>2.0</v>
      </c>
      <c r="J165" s="137">
        <v>66.0</v>
      </c>
      <c r="K165" s="137">
        <v>188.0</v>
      </c>
      <c r="L165" s="137">
        <v>28.0</v>
      </c>
      <c r="M165" s="137">
        <v>92.0</v>
      </c>
      <c r="N165" s="137">
        <v>10.0</v>
      </c>
      <c r="O165" s="137">
        <v>86.0</v>
      </c>
      <c r="P165" s="137">
        <v>16.0</v>
      </c>
      <c r="Q165" s="137">
        <v>100.0</v>
      </c>
      <c r="R165" s="137">
        <v>18.0</v>
      </c>
      <c r="S165" s="137">
        <v>88.0</v>
      </c>
      <c r="T165" s="137">
        <v>8.0</v>
      </c>
      <c r="U165" s="137">
        <v>54.0</v>
      </c>
      <c r="V165" s="137">
        <v>6.0</v>
      </c>
      <c r="W165" s="137">
        <v>46.0</v>
      </c>
      <c r="X165" s="137">
        <v>4.0</v>
      </c>
      <c r="Y165" s="137">
        <v>56.0</v>
      </c>
      <c r="Z165" s="137">
        <v>2.0</v>
      </c>
      <c r="AA165" s="137">
        <v>48.0</v>
      </c>
      <c r="AB165" s="137">
        <v>0.0</v>
      </c>
      <c r="AC165" s="137">
        <v>30.0</v>
      </c>
      <c r="AD165" s="137">
        <v>4.0</v>
      </c>
      <c r="AE165" s="137">
        <v>26.0</v>
      </c>
      <c r="AF165" s="137">
        <v>4.0</v>
      </c>
      <c r="AG165" s="137">
        <v>12.0</v>
      </c>
      <c r="AH165" s="137">
        <v>0.0</v>
      </c>
      <c r="AI165" s="137">
        <v>8.0</v>
      </c>
      <c r="AJ165" s="137">
        <v>0.0</v>
      </c>
      <c r="AK165" s="137">
        <v>2.0</v>
      </c>
      <c r="AL165" s="137">
        <v>0.0</v>
      </c>
      <c r="AM165" s="137">
        <v>2.0</v>
      </c>
      <c r="AN165" s="134">
        <v>1170.0</v>
      </c>
    </row>
    <row r="166">
      <c r="A166" s="98"/>
      <c r="B166" s="136" t="s">
        <v>200</v>
      </c>
      <c r="C166" s="134">
        <v>6068.0</v>
      </c>
      <c r="D166" s="134">
        <v>2152.0</v>
      </c>
      <c r="E166" s="134">
        <v>3916.0</v>
      </c>
      <c r="F166" s="134">
        <v>1172.0</v>
      </c>
      <c r="G166" s="134">
        <v>1346.0</v>
      </c>
      <c r="H166" s="137">
        <v>176.0</v>
      </c>
      <c r="I166" s="137">
        <v>224.0</v>
      </c>
      <c r="J166" s="137">
        <v>162.0</v>
      </c>
      <c r="K166" s="137">
        <v>210.0</v>
      </c>
      <c r="L166" s="137">
        <v>46.0</v>
      </c>
      <c r="M166" s="137">
        <v>202.0</v>
      </c>
      <c r="N166" s="137">
        <v>30.0</v>
      </c>
      <c r="O166" s="137">
        <v>174.0</v>
      </c>
      <c r="P166" s="137">
        <v>34.0</v>
      </c>
      <c r="Q166" s="137">
        <v>186.0</v>
      </c>
      <c r="R166" s="137">
        <v>54.0</v>
      </c>
      <c r="S166" s="137">
        <v>224.0</v>
      </c>
      <c r="T166" s="137">
        <v>36.0</v>
      </c>
      <c r="U166" s="137">
        <v>154.0</v>
      </c>
      <c r="V166" s="137">
        <v>22.0</v>
      </c>
      <c r="W166" s="137">
        <v>120.0</v>
      </c>
      <c r="X166" s="137">
        <v>42.0</v>
      </c>
      <c r="Y166" s="137">
        <v>116.0</v>
      </c>
      <c r="Z166" s="137">
        <v>34.0</v>
      </c>
      <c r="AA166" s="137">
        <v>160.0</v>
      </c>
      <c r="AB166" s="137">
        <v>44.0</v>
      </c>
      <c r="AC166" s="137">
        <v>188.0</v>
      </c>
      <c r="AD166" s="137">
        <v>48.0</v>
      </c>
      <c r="AE166" s="137">
        <v>146.0</v>
      </c>
      <c r="AF166" s="137">
        <v>72.0</v>
      </c>
      <c r="AG166" s="137">
        <v>122.0</v>
      </c>
      <c r="AH166" s="137">
        <v>64.0</v>
      </c>
      <c r="AI166" s="137">
        <v>92.0</v>
      </c>
      <c r="AJ166" s="137">
        <v>54.0</v>
      </c>
      <c r="AK166" s="137">
        <v>90.0</v>
      </c>
      <c r="AL166" s="137">
        <v>62.0</v>
      </c>
      <c r="AM166" s="137">
        <v>162.0</v>
      </c>
      <c r="AN166" s="134">
        <v>5930.0</v>
      </c>
    </row>
    <row r="167">
      <c r="A167" s="104"/>
      <c r="B167" s="136" t="s">
        <v>201</v>
      </c>
      <c r="C167" s="134">
        <v>18938.0</v>
      </c>
      <c r="D167" s="134">
        <v>6222.0</v>
      </c>
      <c r="E167" s="134">
        <v>12716.0</v>
      </c>
      <c r="F167" s="137">
        <v>334.0</v>
      </c>
      <c r="G167" s="137">
        <v>332.0</v>
      </c>
      <c r="H167" s="137">
        <v>334.0</v>
      </c>
      <c r="I167" s="137">
        <v>328.0</v>
      </c>
      <c r="J167" s="137">
        <v>272.0</v>
      </c>
      <c r="K167" s="137">
        <v>398.0</v>
      </c>
      <c r="L167" s="137">
        <v>204.0</v>
      </c>
      <c r="M167" s="137">
        <v>724.0</v>
      </c>
      <c r="N167" s="137">
        <v>132.0</v>
      </c>
      <c r="O167" s="137">
        <v>524.0</v>
      </c>
      <c r="P167" s="137">
        <v>134.0</v>
      </c>
      <c r="Q167" s="137">
        <v>676.0</v>
      </c>
      <c r="R167" s="137">
        <v>166.0</v>
      </c>
      <c r="S167" s="137">
        <v>798.0</v>
      </c>
      <c r="T167" s="137">
        <v>118.0</v>
      </c>
      <c r="U167" s="137">
        <v>838.0</v>
      </c>
      <c r="V167" s="137">
        <v>200.0</v>
      </c>
      <c r="W167" s="137">
        <v>824.0</v>
      </c>
      <c r="X167" s="137">
        <v>194.0</v>
      </c>
      <c r="Y167" s="137">
        <v>776.0</v>
      </c>
      <c r="Z167" s="137">
        <v>454.0</v>
      </c>
      <c r="AA167" s="137">
        <v>858.0</v>
      </c>
      <c r="AB167" s="137">
        <v>640.0</v>
      </c>
      <c r="AC167" s="134">
        <v>1192.0</v>
      </c>
      <c r="AD167" s="137">
        <v>630.0</v>
      </c>
      <c r="AE167" s="134">
        <v>1108.0</v>
      </c>
      <c r="AF167" s="137">
        <v>584.0</v>
      </c>
      <c r="AG167" s="137">
        <v>952.0</v>
      </c>
      <c r="AH167" s="137">
        <v>670.0</v>
      </c>
      <c r="AI167" s="137">
        <v>602.0</v>
      </c>
      <c r="AJ167" s="137">
        <v>498.0</v>
      </c>
      <c r="AK167" s="137">
        <v>818.0</v>
      </c>
      <c r="AL167" s="137">
        <v>658.0</v>
      </c>
      <c r="AM167" s="137">
        <v>968.0</v>
      </c>
      <c r="AN167" s="134">
        <v>18534.0</v>
      </c>
    </row>
    <row r="168">
      <c r="A168" s="132" t="s">
        <v>208</v>
      </c>
      <c r="B168" s="136" t="s">
        <v>198</v>
      </c>
      <c r="C168" s="137">
        <v>48.0</v>
      </c>
      <c r="D168" s="137">
        <v>34.0</v>
      </c>
      <c r="E168" s="137">
        <v>14.0</v>
      </c>
      <c r="F168" s="137">
        <v>32.0</v>
      </c>
      <c r="G168" s="137">
        <v>12.0</v>
      </c>
      <c r="H168" s="137">
        <v>0.0</v>
      </c>
      <c r="I168" s="137">
        <v>0.0</v>
      </c>
      <c r="J168" s="137">
        <v>0.0</v>
      </c>
      <c r="K168" s="137">
        <v>0.0</v>
      </c>
      <c r="L168" s="137">
        <v>2.0</v>
      </c>
      <c r="M168" s="137">
        <v>2.0</v>
      </c>
      <c r="N168" s="137">
        <v>0.0</v>
      </c>
      <c r="O168" s="137">
        <v>0.0</v>
      </c>
      <c r="P168" s="135">
        <v>0.0</v>
      </c>
      <c r="Q168" s="135">
        <v>0.0</v>
      </c>
      <c r="R168" s="135">
        <v>0.0</v>
      </c>
      <c r="S168" s="135">
        <v>0.0</v>
      </c>
      <c r="T168" s="135">
        <v>0.0</v>
      </c>
      <c r="U168" s="135">
        <v>0.0</v>
      </c>
      <c r="V168" s="135">
        <v>0.0</v>
      </c>
      <c r="W168" s="135">
        <v>0.0</v>
      </c>
      <c r="X168" s="135">
        <v>0.0</v>
      </c>
      <c r="Y168" s="135">
        <v>0.0</v>
      </c>
      <c r="Z168" s="135">
        <v>0.0</v>
      </c>
      <c r="AA168" s="135">
        <v>0.0</v>
      </c>
      <c r="AB168" s="135">
        <v>0.0</v>
      </c>
      <c r="AC168" s="135">
        <v>0.0</v>
      </c>
      <c r="AD168" s="135">
        <v>0.0</v>
      </c>
      <c r="AE168" s="135">
        <v>0.0</v>
      </c>
      <c r="AF168" s="135">
        <v>0.0</v>
      </c>
      <c r="AG168" s="135">
        <v>0.0</v>
      </c>
      <c r="AH168" s="135">
        <v>0.0</v>
      </c>
      <c r="AI168" s="135">
        <v>0.0</v>
      </c>
      <c r="AJ168" s="135">
        <v>0.0</v>
      </c>
      <c r="AK168" s="135">
        <v>0.0</v>
      </c>
      <c r="AL168" s="135">
        <v>0.0</v>
      </c>
      <c r="AM168" s="135">
        <v>0.0</v>
      </c>
      <c r="AN168" s="137">
        <v>48.0</v>
      </c>
    </row>
    <row r="169">
      <c r="A169" s="98"/>
      <c r="B169" s="136" t="s">
        <v>199</v>
      </c>
      <c r="C169" s="137">
        <v>316.0</v>
      </c>
      <c r="D169" s="137">
        <v>198.0</v>
      </c>
      <c r="E169" s="137">
        <v>118.0</v>
      </c>
      <c r="F169" s="137">
        <v>142.0</v>
      </c>
      <c r="G169" s="137">
        <v>92.0</v>
      </c>
      <c r="H169" s="137">
        <v>42.0</v>
      </c>
      <c r="I169" s="137">
        <v>20.0</v>
      </c>
      <c r="J169" s="137">
        <v>6.0</v>
      </c>
      <c r="K169" s="137">
        <v>2.0</v>
      </c>
      <c r="L169" s="137">
        <v>6.0</v>
      </c>
      <c r="M169" s="137">
        <v>2.0</v>
      </c>
      <c r="N169" s="137">
        <v>2.0</v>
      </c>
      <c r="O169" s="137">
        <v>2.0</v>
      </c>
      <c r="P169" s="135">
        <v>0.0</v>
      </c>
      <c r="Q169" s="135">
        <v>0.0</v>
      </c>
      <c r="R169" s="135">
        <v>0.0</v>
      </c>
      <c r="S169" s="135">
        <v>0.0</v>
      </c>
      <c r="T169" s="135">
        <v>0.0</v>
      </c>
      <c r="U169" s="135">
        <v>0.0</v>
      </c>
      <c r="V169" s="135">
        <v>0.0</v>
      </c>
      <c r="W169" s="135">
        <v>0.0</v>
      </c>
      <c r="X169" s="135">
        <v>0.0</v>
      </c>
      <c r="Y169" s="135">
        <v>0.0</v>
      </c>
      <c r="Z169" s="135">
        <v>0.0</v>
      </c>
      <c r="AA169" s="135">
        <v>0.0</v>
      </c>
      <c r="AB169" s="135">
        <v>0.0</v>
      </c>
      <c r="AC169" s="135">
        <v>0.0</v>
      </c>
      <c r="AD169" s="135">
        <v>0.0</v>
      </c>
      <c r="AE169" s="135">
        <v>0.0</v>
      </c>
      <c r="AF169" s="135">
        <v>0.0</v>
      </c>
      <c r="AG169" s="135">
        <v>0.0</v>
      </c>
      <c r="AH169" s="135">
        <v>0.0</v>
      </c>
      <c r="AI169" s="135">
        <v>0.0</v>
      </c>
      <c r="AJ169" s="135">
        <v>0.0</v>
      </c>
      <c r="AK169" s="135">
        <v>0.0</v>
      </c>
      <c r="AL169" s="135">
        <v>0.0</v>
      </c>
      <c r="AM169" s="135">
        <v>0.0</v>
      </c>
      <c r="AN169" s="137">
        <v>300.0</v>
      </c>
    </row>
    <row r="170">
      <c r="A170" s="98"/>
      <c r="B170" s="136" t="s">
        <v>206</v>
      </c>
      <c r="C170" s="137">
        <v>0.0</v>
      </c>
      <c r="D170" s="137">
        <v>0.0</v>
      </c>
      <c r="E170" s="137">
        <v>0.0</v>
      </c>
      <c r="F170" s="137">
        <v>0.0</v>
      </c>
      <c r="G170" s="137">
        <v>0.0</v>
      </c>
      <c r="H170" s="137">
        <v>0.0</v>
      </c>
      <c r="I170" s="137">
        <v>0.0</v>
      </c>
      <c r="J170" s="137">
        <v>0.0</v>
      </c>
      <c r="K170" s="137">
        <v>0.0</v>
      </c>
      <c r="L170" s="137">
        <v>0.0</v>
      </c>
      <c r="M170" s="137">
        <v>0.0</v>
      </c>
      <c r="N170" s="137">
        <v>0.0</v>
      </c>
      <c r="O170" s="137">
        <v>0.0</v>
      </c>
      <c r="P170" s="135">
        <v>0.0</v>
      </c>
      <c r="Q170" s="135">
        <v>0.0</v>
      </c>
      <c r="R170" s="135">
        <v>0.0</v>
      </c>
      <c r="S170" s="135">
        <v>0.0</v>
      </c>
      <c r="T170" s="135">
        <v>0.0</v>
      </c>
      <c r="U170" s="135">
        <v>0.0</v>
      </c>
      <c r="V170" s="135">
        <v>0.0</v>
      </c>
      <c r="W170" s="135">
        <v>0.0</v>
      </c>
      <c r="X170" s="135">
        <v>0.0</v>
      </c>
      <c r="Y170" s="135">
        <v>0.0</v>
      </c>
      <c r="Z170" s="135">
        <v>0.0</v>
      </c>
      <c r="AA170" s="135">
        <v>0.0</v>
      </c>
      <c r="AB170" s="135">
        <v>0.0</v>
      </c>
      <c r="AC170" s="135">
        <v>0.0</v>
      </c>
      <c r="AD170" s="135">
        <v>0.0</v>
      </c>
      <c r="AE170" s="135">
        <v>0.0</v>
      </c>
      <c r="AF170" s="135">
        <v>0.0</v>
      </c>
      <c r="AG170" s="135">
        <v>0.0</v>
      </c>
      <c r="AH170" s="135">
        <v>0.0</v>
      </c>
      <c r="AI170" s="135">
        <v>0.0</v>
      </c>
      <c r="AJ170" s="135">
        <v>0.0</v>
      </c>
      <c r="AK170" s="135">
        <v>0.0</v>
      </c>
      <c r="AL170" s="135">
        <v>0.0</v>
      </c>
      <c r="AM170" s="135">
        <v>0.0</v>
      </c>
      <c r="AN170" s="137">
        <v>0.0</v>
      </c>
    </row>
    <row r="171">
      <c r="A171" s="98"/>
      <c r="B171" s="136" t="s">
        <v>200</v>
      </c>
      <c r="C171" s="137">
        <v>392.0</v>
      </c>
      <c r="D171" s="137">
        <v>208.0</v>
      </c>
      <c r="E171" s="137">
        <v>184.0</v>
      </c>
      <c r="F171" s="137">
        <v>140.0</v>
      </c>
      <c r="G171" s="137">
        <v>132.0</v>
      </c>
      <c r="H171" s="137">
        <v>50.0</v>
      </c>
      <c r="I171" s="137">
        <v>30.0</v>
      </c>
      <c r="J171" s="137">
        <v>12.0</v>
      </c>
      <c r="K171" s="137">
        <v>12.0</v>
      </c>
      <c r="L171" s="137">
        <v>4.0</v>
      </c>
      <c r="M171" s="137">
        <v>8.0</v>
      </c>
      <c r="N171" s="137">
        <v>2.0</v>
      </c>
      <c r="O171" s="137">
        <v>2.0</v>
      </c>
      <c r="P171" s="135">
        <v>0.0</v>
      </c>
      <c r="Q171" s="135">
        <v>0.0</v>
      </c>
      <c r="R171" s="135">
        <v>0.0</v>
      </c>
      <c r="S171" s="135">
        <v>0.0</v>
      </c>
      <c r="T171" s="135">
        <v>0.0</v>
      </c>
      <c r="U171" s="135">
        <v>0.0</v>
      </c>
      <c r="V171" s="135">
        <v>0.0</v>
      </c>
      <c r="W171" s="135">
        <v>0.0</v>
      </c>
      <c r="X171" s="135">
        <v>0.0</v>
      </c>
      <c r="Y171" s="135">
        <v>0.0</v>
      </c>
      <c r="Z171" s="135">
        <v>0.0</v>
      </c>
      <c r="AA171" s="135">
        <v>0.0</v>
      </c>
      <c r="AB171" s="135">
        <v>0.0</v>
      </c>
      <c r="AC171" s="135">
        <v>0.0</v>
      </c>
      <c r="AD171" s="135">
        <v>0.0</v>
      </c>
      <c r="AE171" s="135">
        <v>0.0</v>
      </c>
      <c r="AF171" s="135">
        <v>0.0</v>
      </c>
      <c r="AG171" s="135">
        <v>0.0</v>
      </c>
      <c r="AH171" s="135">
        <v>0.0</v>
      </c>
      <c r="AI171" s="135">
        <v>0.0</v>
      </c>
      <c r="AJ171" s="135">
        <v>0.0</v>
      </c>
      <c r="AK171" s="135">
        <v>0.0</v>
      </c>
      <c r="AL171" s="135">
        <v>0.0</v>
      </c>
      <c r="AM171" s="135">
        <v>0.0</v>
      </c>
      <c r="AN171" s="137">
        <v>384.0</v>
      </c>
    </row>
    <row r="172">
      <c r="A172" s="104"/>
      <c r="B172" s="136" t="s">
        <v>201</v>
      </c>
      <c r="C172" s="137">
        <v>0.0</v>
      </c>
      <c r="D172" s="137">
        <v>0.0</v>
      </c>
      <c r="E172" s="137">
        <v>0.0</v>
      </c>
      <c r="F172" s="137">
        <v>0.0</v>
      </c>
      <c r="G172" s="137">
        <v>0.0</v>
      </c>
      <c r="H172" s="137">
        <v>0.0</v>
      </c>
      <c r="I172" s="137">
        <v>0.0</v>
      </c>
      <c r="J172" s="137">
        <v>0.0</v>
      </c>
      <c r="K172" s="137">
        <v>0.0</v>
      </c>
      <c r="L172" s="137">
        <v>0.0</v>
      </c>
      <c r="M172" s="137">
        <v>0.0</v>
      </c>
      <c r="N172" s="137">
        <v>0.0</v>
      </c>
      <c r="O172" s="137">
        <v>0.0</v>
      </c>
      <c r="P172" s="135">
        <v>0.0</v>
      </c>
      <c r="Q172" s="135">
        <v>0.0</v>
      </c>
      <c r="R172" s="135">
        <v>0.0</v>
      </c>
      <c r="S172" s="135">
        <v>0.0</v>
      </c>
      <c r="T172" s="135">
        <v>0.0</v>
      </c>
      <c r="U172" s="135">
        <v>0.0</v>
      </c>
      <c r="V172" s="135">
        <v>0.0</v>
      </c>
      <c r="W172" s="135">
        <v>0.0</v>
      </c>
      <c r="X172" s="135">
        <v>0.0</v>
      </c>
      <c r="Y172" s="135">
        <v>0.0</v>
      </c>
      <c r="Z172" s="135">
        <v>0.0</v>
      </c>
      <c r="AA172" s="135">
        <v>0.0</v>
      </c>
      <c r="AB172" s="135">
        <v>0.0</v>
      </c>
      <c r="AC172" s="135">
        <v>0.0</v>
      </c>
      <c r="AD172" s="135">
        <v>0.0</v>
      </c>
      <c r="AE172" s="135">
        <v>0.0</v>
      </c>
      <c r="AF172" s="135">
        <v>0.0</v>
      </c>
      <c r="AG172" s="135">
        <v>0.0</v>
      </c>
      <c r="AH172" s="135">
        <v>0.0</v>
      </c>
      <c r="AI172" s="135">
        <v>0.0</v>
      </c>
      <c r="AJ172" s="135">
        <v>0.0</v>
      </c>
      <c r="AK172" s="135">
        <v>0.0</v>
      </c>
      <c r="AL172" s="135">
        <v>0.0</v>
      </c>
      <c r="AM172" s="135">
        <v>0.0</v>
      </c>
      <c r="AN172" s="137">
        <v>0.0</v>
      </c>
    </row>
    <row r="173">
      <c r="A173" s="138" t="s">
        <v>246</v>
      </c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</row>
    <row r="174">
      <c r="A174" s="132" t="s">
        <v>197</v>
      </c>
      <c r="B174" s="133" t="s">
        <v>198</v>
      </c>
      <c r="C174" s="134">
        <v>310596.0</v>
      </c>
      <c r="D174" s="134">
        <v>110490.0</v>
      </c>
      <c r="E174" s="134">
        <v>200106.0</v>
      </c>
      <c r="F174" s="135">
        <v>0.0</v>
      </c>
      <c r="G174" s="135">
        <v>0.0</v>
      </c>
      <c r="H174" s="135">
        <v>0.0</v>
      </c>
      <c r="I174" s="135">
        <v>0.0</v>
      </c>
      <c r="J174" s="135">
        <v>0.0</v>
      </c>
      <c r="K174" s="135">
        <v>0.0</v>
      </c>
      <c r="L174" s="137">
        <v>254.0</v>
      </c>
      <c r="M174" s="137">
        <v>534.0</v>
      </c>
      <c r="N174" s="137">
        <v>380.0</v>
      </c>
      <c r="O174" s="137">
        <v>768.0</v>
      </c>
      <c r="P174" s="137">
        <v>668.0</v>
      </c>
      <c r="Q174" s="134">
        <v>1594.0</v>
      </c>
      <c r="R174" s="137">
        <v>926.0</v>
      </c>
      <c r="S174" s="134">
        <v>2684.0</v>
      </c>
      <c r="T174" s="134">
        <v>1688.0</v>
      </c>
      <c r="U174" s="134">
        <v>4098.0</v>
      </c>
      <c r="V174" s="134">
        <v>2654.0</v>
      </c>
      <c r="W174" s="134">
        <v>6564.0</v>
      </c>
      <c r="X174" s="134">
        <v>4634.0</v>
      </c>
      <c r="Y174" s="134">
        <v>10642.0</v>
      </c>
      <c r="Z174" s="134">
        <v>8214.0</v>
      </c>
      <c r="AA174" s="134">
        <v>18260.0</v>
      </c>
      <c r="AB174" s="134">
        <v>11986.0</v>
      </c>
      <c r="AC174" s="134">
        <v>24560.0</v>
      </c>
      <c r="AD174" s="134">
        <v>15456.0</v>
      </c>
      <c r="AE174" s="134">
        <v>27592.0</v>
      </c>
      <c r="AF174" s="134">
        <v>16850.0</v>
      </c>
      <c r="AG174" s="134">
        <v>26998.0</v>
      </c>
      <c r="AH174" s="134">
        <v>17400.0</v>
      </c>
      <c r="AI174" s="134">
        <v>26732.0</v>
      </c>
      <c r="AJ174" s="134">
        <v>14288.0</v>
      </c>
      <c r="AK174" s="134">
        <v>22420.0</v>
      </c>
      <c r="AL174" s="134">
        <v>15092.0</v>
      </c>
      <c r="AM174" s="134">
        <v>26660.0</v>
      </c>
      <c r="AN174" s="134">
        <v>308766.0</v>
      </c>
    </row>
    <row r="175">
      <c r="A175" s="98"/>
      <c r="B175" s="136" t="s">
        <v>199</v>
      </c>
      <c r="C175" s="134">
        <v>105956.0</v>
      </c>
      <c r="D175" s="134">
        <v>36780.0</v>
      </c>
      <c r="E175" s="134">
        <v>69176.0</v>
      </c>
      <c r="F175" s="135">
        <v>0.0</v>
      </c>
      <c r="G175" s="135">
        <v>0.0</v>
      </c>
      <c r="H175" s="135">
        <v>0.0</v>
      </c>
      <c r="I175" s="135">
        <v>0.0</v>
      </c>
      <c r="J175" s="135">
        <v>0.0</v>
      </c>
      <c r="K175" s="135">
        <v>0.0</v>
      </c>
      <c r="L175" s="137">
        <v>52.0</v>
      </c>
      <c r="M175" s="137">
        <v>70.0</v>
      </c>
      <c r="N175" s="137">
        <v>136.0</v>
      </c>
      <c r="O175" s="137">
        <v>236.0</v>
      </c>
      <c r="P175" s="137">
        <v>190.0</v>
      </c>
      <c r="Q175" s="137">
        <v>446.0</v>
      </c>
      <c r="R175" s="137">
        <v>274.0</v>
      </c>
      <c r="S175" s="137">
        <v>658.0</v>
      </c>
      <c r="T175" s="137">
        <v>488.0</v>
      </c>
      <c r="U175" s="134">
        <v>1064.0</v>
      </c>
      <c r="V175" s="137">
        <v>716.0</v>
      </c>
      <c r="W175" s="134">
        <v>1846.0</v>
      </c>
      <c r="X175" s="134">
        <v>1220.0</v>
      </c>
      <c r="Y175" s="134">
        <v>3068.0</v>
      </c>
      <c r="Z175" s="134">
        <v>2308.0</v>
      </c>
      <c r="AA175" s="134">
        <v>5492.0</v>
      </c>
      <c r="AB175" s="134">
        <v>3324.0</v>
      </c>
      <c r="AC175" s="134">
        <v>7648.0</v>
      </c>
      <c r="AD175" s="134">
        <v>4450.0</v>
      </c>
      <c r="AE175" s="134">
        <v>9300.0</v>
      </c>
      <c r="AF175" s="134">
        <v>6148.0</v>
      </c>
      <c r="AG175" s="134">
        <v>10090.0</v>
      </c>
      <c r="AH175" s="134">
        <v>6532.0</v>
      </c>
      <c r="AI175" s="134">
        <v>10428.0</v>
      </c>
      <c r="AJ175" s="134">
        <v>5630.0</v>
      </c>
      <c r="AK175" s="134">
        <v>8892.0</v>
      </c>
      <c r="AL175" s="134">
        <v>5312.0</v>
      </c>
      <c r="AM175" s="134">
        <v>9938.0</v>
      </c>
      <c r="AN175" s="134">
        <v>104492.0</v>
      </c>
    </row>
    <row r="176">
      <c r="A176" s="98"/>
      <c r="B176" s="136" t="s">
        <v>200</v>
      </c>
      <c r="C176" s="134">
        <v>103356.0</v>
      </c>
      <c r="D176" s="134">
        <v>34660.0</v>
      </c>
      <c r="E176" s="134">
        <v>68696.0</v>
      </c>
      <c r="F176" s="135">
        <v>0.0</v>
      </c>
      <c r="G176" s="135">
        <v>0.0</v>
      </c>
      <c r="H176" s="135">
        <v>0.0</v>
      </c>
      <c r="I176" s="135">
        <v>0.0</v>
      </c>
      <c r="J176" s="135">
        <v>0.0</v>
      </c>
      <c r="K176" s="135">
        <v>0.0</v>
      </c>
      <c r="L176" s="137">
        <v>88.0</v>
      </c>
      <c r="M176" s="137">
        <v>174.0</v>
      </c>
      <c r="N176" s="137">
        <v>130.0</v>
      </c>
      <c r="O176" s="137">
        <v>292.0</v>
      </c>
      <c r="P176" s="137">
        <v>222.0</v>
      </c>
      <c r="Q176" s="137">
        <v>636.0</v>
      </c>
      <c r="R176" s="137">
        <v>330.0</v>
      </c>
      <c r="S176" s="137">
        <v>866.0</v>
      </c>
      <c r="T176" s="137">
        <v>602.0</v>
      </c>
      <c r="U176" s="134">
        <v>1470.0</v>
      </c>
      <c r="V176" s="137">
        <v>888.0</v>
      </c>
      <c r="W176" s="134">
        <v>2442.0</v>
      </c>
      <c r="X176" s="134">
        <v>1576.0</v>
      </c>
      <c r="Y176" s="134">
        <v>3690.0</v>
      </c>
      <c r="Z176" s="134">
        <v>2546.0</v>
      </c>
      <c r="AA176" s="134">
        <v>6414.0</v>
      </c>
      <c r="AB176" s="134">
        <v>3662.0</v>
      </c>
      <c r="AC176" s="134">
        <v>8596.0</v>
      </c>
      <c r="AD176" s="134">
        <v>4664.0</v>
      </c>
      <c r="AE176" s="134">
        <v>9614.0</v>
      </c>
      <c r="AF176" s="134">
        <v>5222.0</v>
      </c>
      <c r="AG176" s="134">
        <v>9666.0</v>
      </c>
      <c r="AH176" s="134">
        <v>5688.0</v>
      </c>
      <c r="AI176" s="134">
        <v>9540.0</v>
      </c>
      <c r="AJ176" s="134">
        <v>4636.0</v>
      </c>
      <c r="AK176" s="134">
        <v>7566.0</v>
      </c>
      <c r="AL176" s="134">
        <v>4398.0</v>
      </c>
      <c r="AM176" s="134">
        <v>7730.0</v>
      </c>
      <c r="AN176" s="134">
        <v>100976.0</v>
      </c>
    </row>
    <row r="177">
      <c r="A177" s="104"/>
      <c r="B177" s="136" t="s">
        <v>201</v>
      </c>
      <c r="C177" s="134">
        <v>1750.0</v>
      </c>
      <c r="D177" s="137">
        <v>694.0</v>
      </c>
      <c r="E177" s="134">
        <v>1056.0</v>
      </c>
      <c r="F177" s="135">
        <v>0.0</v>
      </c>
      <c r="G177" s="135">
        <v>0.0</v>
      </c>
      <c r="H177" s="135">
        <v>0.0</v>
      </c>
      <c r="I177" s="135">
        <v>0.0</v>
      </c>
      <c r="J177" s="135">
        <v>0.0</v>
      </c>
      <c r="K177" s="135">
        <v>0.0</v>
      </c>
      <c r="L177" s="137">
        <v>14.0</v>
      </c>
      <c r="M177" s="137">
        <v>2.0</v>
      </c>
      <c r="N177" s="137">
        <v>20.0</v>
      </c>
      <c r="O177" s="137">
        <v>18.0</v>
      </c>
      <c r="P177" s="137">
        <v>34.0</v>
      </c>
      <c r="Q177" s="137">
        <v>2.0</v>
      </c>
      <c r="R177" s="137">
        <v>16.0</v>
      </c>
      <c r="S177" s="137">
        <v>40.0</v>
      </c>
      <c r="T177" s="137">
        <v>50.0</v>
      </c>
      <c r="U177" s="137">
        <v>26.0</v>
      </c>
      <c r="V177" s="137">
        <v>16.0</v>
      </c>
      <c r="W177" s="137">
        <v>56.0</v>
      </c>
      <c r="X177" s="137">
        <v>28.0</v>
      </c>
      <c r="Y177" s="137">
        <v>36.0</v>
      </c>
      <c r="Z177" s="137">
        <v>46.0</v>
      </c>
      <c r="AA177" s="137">
        <v>102.0</v>
      </c>
      <c r="AB177" s="137">
        <v>60.0</v>
      </c>
      <c r="AC177" s="137">
        <v>100.0</v>
      </c>
      <c r="AD177" s="137">
        <v>100.0</v>
      </c>
      <c r="AE177" s="137">
        <v>130.0</v>
      </c>
      <c r="AF177" s="137">
        <v>90.0</v>
      </c>
      <c r="AG177" s="137">
        <v>138.0</v>
      </c>
      <c r="AH177" s="137">
        <v>82.0</v>
      </c>
      <c r="AI177" s="137">
        <v>120.0</v>
      </c>
      <c r="AJ177" s="137">
        <v>58.0</v>
      </c>
      <c r="AK177" s="137">
        <v>106.0</v>
      </c>
      <c r="AL177" s="137">
        <v>80.0</v>
      </c>
      <c r="AM177" s="137">
        <v>180.0</v>
      </c>
      <c r="AN177" s="134">
        <v>1744.0</v>
      </c>
    </row>
    <row r="178">
      <c r="A178" s="132" t="s">
        <v>202</v>
      </c>
      <c r="B178" s="136" t="s">
        <v>198</v>
      </c>
      <c r="C178" s="137">
        <v>890.0</v>
      </c>
      <c r="D178" s="137">
        <v>536.0</v>
      </c>
      <c r="E178" s="137">
        <v>354.0</v>
      </c>
      <c r="F178" s="137">
        <v>32.0</v>
      </c>
      <c r="G178" s="137">
        <v>16.0</v>
      </c>
      <c r="H178" s="137">
        <v>18.0</v>
      </c>
      <c r="I178" s="137">
        <v>20.0</v>
      </c>
      <c r="J178" s="137">
        <v>20.0</v>
      </c>
      <c r="K178" s="137">
        <v>6.0</v>
      </c>
      <c r="L178" s="137">
        <v>4.0</v>
      </c>
      <c r="M178" s="137">
        <v>10.0</v>
      </c>
      <c r="N178" s="137">
        <v>30.0</v>
      </c>
      <c r="O178" s="137">
        <v>40.0</v>
      </c>
      <c r="P178" s="137">
        <v>68.0</v>
      </c>
      <c r="Q178" s="137">
        <v>38.0</v>
      </c>
      <c r="R178" s="137">
        <v>40.0</v>
      </c>
      <c r="S178" s="137">
        <v>26.0</v>
      </c>
      <c r="T178" s="137">
        <v>42.0</v>
      </c>
      <c r="U178" s="137">
        <v>8.0</v>
      </c>
      <c r="V178" s="137">
        <v>24.0</v>
      </c>
      <c r="W178" s="137">
        <v>28.0</v>
      </c>
      <c r="X178" s="137">
        <v>30.0</v>
      </c>
      <c r="Y178" s="137">
        <v>6.0</v>
      </c>
      <c r="Z178" s="137">
        <v>44.0</v>
      </c>
      <c r="AA178" s="137">
        <v>36.0</v>
      </c>
      <c r="AB178" s="137">
        <v>54.0</v>
      </c>
      <c r="AC178" s="137">
        <v>14.0</v>
      </c>
      <c r="AD178" s="137">
        <v>16.0</v>
      </c>
      <c r="AE178" s="137">
        <v>14.0</v>
      </c>
      <c r="AF178" s="137">
        <v>28.0</v>
      </c>
      <c r="AG178" s="137">
        <v>18.0</v>
      </c>
      <c r="AH178" s="137">
        <v>44.0</v>
      </c>
      <c r="AI178" s="137">
        <v>40.0</v>
      </c>
      <c r="AJ178" s="137">
        <v>26.0</v>
      </c>
      <c r="AK178" s="137">
        <v>24.0</v>
      </c>
      <c r="AL178" s="137">
        <v>16.0</v>
      </c>
      <c r="AM178" s="137">
        <v>10.0</v>
      </c>
      <c r="AN178" s="137">
        <v>878.0</v>
      </c>
    </row>
    <row r="179">
      <c r="A179" s="104"/>
      <c r="B179" s="136" t="s">
        <v>199</v>
      </c>
      <c r="C179" s="137">
        <v>746.0</v>
      </c>
      <c r="D179" s="137">
        <v>384.0</v>
      </c>
      <c r="E179" s="137">
        <v>362.0</v>
      </c>
      <c r="F179" s="137">
        <v>34.0</v>
      </c>
      <c r="G179" s="137">
        <v>32.0</v>
      </c>
      <c r="H179" s="137">
        <v>8.0</v>
      </c>
      <c r="I179" s="137">
        <v>10.0</v>
      </c>
      <c r="J179" s="137">
        <v>22.0</v>
      </c>
      <c r="K179" s="137">
        <v>20.0</v>
      </c>
      <c r="L179" s="137">
        <v>28.0</v>
      </c>
      <c r="M179" s="137">
        <v>8.0</v>
      </c>
      <c r="N179" s="137">
        <v>18.0</v>
      </c>
      <c r="O179" s="137">
        <v>44.0</v>
      </c>
      <c r="P179" s="137">
        <v>38.0</v>
      </c>
      <c r="Q179" s="137">
        <v>46.0</v>
      </c>
      <c r="R179" s="137">
        <v>26.0</v>
      </c>
      <c r="S179" s="137">
        <v>24.0</v>
      </c>
      <c r="T179" s="137">
        <v>16.0</v>
      </c>
      <c r="U179" s="137">
        <v>34.0</v>
      </c>
      <c r="V179" s="137">
        <v>22.0</v>
      </c>
      <c r="W179" s="137">
        <v>20.0</v>
      </c>
      <c r="X179" s="137">
        <v>16.0</v>
      </c>
      <c r="Y179" s="137">
        <v>18.0</v>
      </c>
      <c r="Z179" s="137">
        <v>52.0</v>
      </c>
      <c r="AA179" s="137">
        <v>20.0</v>
      </c>
      <c r="AB179" s="137">
        <v>26.0</v>
      </c>
      <c r="AC179" s="137">
        <v>16.0</v>
      </c>
      <c r="AD179" s="137">
        <v>6.0</v>
      </c>
      <c r="AE179" s="137">
        <v>4.0</v>
      </c>
      <c r="AF179" s="137">
        <v>26.0</v>
      </c>
      <c r="AG179" s="137">
        <v>20.0</v>
      </c>
      <c r="AH179" s="137">
        <v>24.0</v>
      </c>
      <c r="AI179" s="137">
        <v>40.0</v>
      </c>
      <c r="AJ179" s="137">
        <v>16.0</v>
      </c>
      <c r="AK179" s="137">
        <v>2.0</v>
      </c>
      <c r="AL179" s="137">
        <v>6.0</v>
      </c>
      <c r="AM179" s="137">
        <v>4.0</v>
      </c>
      <c r="AN179" s="137">
        <v>720.0</v>
      </c>
    </row>
    <row r="180">
      <c r="A180" s="132" t="s">
        <v>203</v>
      </c>
      <c r="B180" s="136" t="s">
        <v>198</v>
      </c>
      <c r="C180" s="137">
        <v>662.0</v>
      </c>
      <c r="D180" s="137">
        <v>224.0</v>
      </c>
      <c r="E180" s="137">
        <v>438.0</v>
      </c>
      <c r="F180" s="135">
        <v>0.0</v>
      </c>
      <c r="G180" s="135">
        <v>0.0</v>
      </c>
      <c r="H180" s="135">
        <v>0.0</v>
      </c>
      <c r="I180" s="135">
        <v>0.0</v>
      </c>
      <c r="J180" s="135">
        <v>0.0</v>
      </c>
      <c r="K180" s="135">
        <v>0.0</v>
      </c>
      <c r="L180" s="135">
        <v>0.0</v>
      </c>
      <c r="M180" s="135">
        <v>0.0</v>
      </c>
      <c r="N180" s="135">
        <v>0.0</v>
      </c>
      <c r="O180" s="135">
        <v>0.0</v>
      </c>
      <c r="P180" s="135">
        <v>0.0</v>
      </c>
      <c r="Q180" s="135">
        <v>0.0</v>
      </c>
      <c r="R180" s="135">
        <v>0.0</v>
      </c>
      <c r="S180" s="135">
        <v>0.0</v>
      </c>
      <c r="T180" s="135">
        <v>0.0</v>
      </c>
      <c r="U180" s="135">
        <v>0.0</v>
      </c>
      <c r="V180" s="135">
        <v>0.0</v>
      </c>
      <c r="W180" s="135">
        <v>0.0</v>
      </c>
      <c r="X180" s="135">
        <v>0.0</v>
      </c>
      <c r="Y180" s="135">
        <v>0.0</v>
      </c>
      <c r="Z180" s="135">
        <v>0.0</v>
      </c>
      <c r="AA180" s="135">
        <v>0.0</v>
      </c>
      <c r="AB180" s="135">
        <v>0.0</v>
      </c>
      <c r="AC180" s="135">
        <v>0.0</v>
      </c>
      <c r="AD180" s="135">
        <v>0.0</v>
      </c>
      <c r="AE180" s="135">
        <v>0.0</v>
      </c>
      <c r="AF180" s="137">
        <v>50.0</v>
      </c>
      <c r="AG180" s="137">
        <v>90.0</v>
      </c>
      <c r="AH180" s="137">
        <v>62.0</v>
      </c>
      <c r="AI180" s="137">
        <v>96.0</v>
      </c>
      <c r="AJ180" s="137">
        <v>42.0</v>
      </c>
      <c r="AK180" s="137">
        <v>94.0</v>
      </c>
      <c r="AL180" s="137">
        <v>70.0</v>
      </c>
      <c r="AM180" s="137">
        <v>158.0</v>
      </c>
      <c r="AN180" s="137">
        <v>662.0</v>
      </c>
    </row>
    <row r="181">
      <c r="A181" s="104"/>
      <c r="B181" s="136" t="s">
        <v>199</v>
      </c>
      <c r="C181" s="134">
        <v>2438.0</v>
      </c>
      <c r="D181" s="137">
        <v>816.0</v>
      </c>
      <c r="E181" s="134">
        <v>1622.0</v>
      </c>
      <c r="F181" s="135">
        <v>0.0</v>
      </c>
      <c r="G181" s="135">
        <v>0.0</v>
      </c>
      <c r="H181" s="135">
        <v>0.0</v>
      </c>
      <c r="I181" s="135">
        <v>0.0</v>
      </c>
      <c r="J181" s="135">
        <v>0.0</v>
      </c>
      <c r="K181" s="135">
        <v>0.0</v>
      </c>
      <c r="L181" s="135">
        <v>0.0</v>
      </c>
      <c r="M181" s="135">
        <v>0.0</v>
      </c>
      <c r="N181" s="135">
        <v>0.0</v>
      </c>
      <c r="O181" s="135">
        <v>0.0</v>
      </c>
      <c r="P181" s="135">
        <v>0.0</v>
      </c>
      <c r="Q181" s="135">
        <v>0.0</v>
      </c>
      <c r="R181" s="135">
        <v>0.0</v>
      </c>
      <c r="S181" s="135">
        <v>0.0</v>
      </c>
      <c r="T181" s="135">
        <v>0.0</v>
      </c>
      <c r="U181" s="135">
        <v>0.0</v>
      </c>
      <c r="V181" s="135">
        <v>0.0</v>
      </c>
      <c r="W181" s="135">
        <v>0.0</v>
      </c>
      <c r="X181" s="135">
        <v>0.0</v>
      </c>
      <c r="Y181" s="135">
        <v>0.0</v>
      </c>
      <c r="Z181" s="135">
        <v>0.0</v>
      </c>
      <c r="AA181" s="135">
        <v>0.0</v>
      </c>
      <c r="AB181" s="135">
        <v>0.0</v>
      </c>
      <c r="AC181" s="135">
        <v>0.0</v>
      </c>
      <c r="AD181" s="135">
        <v>0.0</v>
      </c>
      <c r="AE181" s="135">
        <v>0.0</v>
      </c>
      <c r="AF181" s="137">
        <v>222.0</v>
      </c>
      <c r="AG181" s="137">
        <v>390.0</v>
      </c>
      <c r="AH181" s="137">
        <v>216.0</v>
      </c>
      <c r="AI181" s="137">
        <v>416.0</v>
      </c>
      <c r="AJ181" s="137">
        <v>210.0</v>
      </c>
      <c r="AK181" s="137">
        <v>376.0</v>
      </c>
      <c r="AL181" s="137">
        <v>168.0</v>
      </c>
      <c r="AM181" s="137">
        <v>440.0</v>
      </c>
      <c r="AN181" s="134">
        <v>2426.0</v>
      </c>
    </row>
    <row r="182">
      <c r="A182" s="132" t="s">
        <v>204</v>
      </c>
      <c r="B182" s="136" t="s">
        <v>198</v>
      </c>
      <c r="C182" s="137">
        <v>180.0</v>
      </c>
      <c r="D182" s="137">
        <v>72.0</v>
      </c>
      <c r="E182" s="137">
        <v>108.0</v>
      </c>
      <c r="F182" s="135">
        <v>0.0</v>
      </c>
      <c r="G182" s="135">
        <v>0.0</v>
      </c>
      <c r="H182" s="135">
        <v>0.0</v>
      </c>
      <c r="I182" s="135">
        <v>0.0</v>
      </c>
      <c r="J182" s="135">
        <v>0.0</v>
      </c>
      <c r="K182" s="135">
        <v>0.0</v>
      </c>
      <c r="L182" s="135">
        <v>0.0</v>
      </c>
      <c r="M182" s="135">
        <v>0.0</v>
      </c>
      <c r="N182" s="135">
        <v>0.0</v>
      </c>
      <c r="O182" s="135">
        <v>0.0</v>
      </c>
      <c r="P182" s="135">
        <v>0.0</v>
      </c>
      <c r="Q182" s="135">
        <v>0.0</v>
      </c>
      <c r="R182" s="135">
        <v>0.0</v>
      </c>
      <c r="S182" s="135">
        <v>0.0</v>
      </c>
      <c r="T182" s="135">
        <v>0.0</v>
      </c>
      <c r="U182" s="135">
        <v>0.0</v>
      </c>
      <c r="V182" s="135">
        <v>0.0</v>
      </c>
      <c r="W182" s="135">
        <v>0.0</v>
      </c>
      <c r="X182" s="135">
        <v>0.0</v>
      </c>
      <c r="Y182" s="135">
        <v>0.0</v>
      </c>
      <c r="Z182" s="135">
        <v>0.0</v>
      </c>
      <c r="AA182" s="135">
        <v>0.0</v>
      </c>
      <c r="AB182" s="135">
        <v>0.0</v>
      </c>
      <c r="AC182" s="135">
        <v>0.0</v>
      </c>
      <c r="AD182" s="135">
        <v>0.0</v>
      </c>
      <c r="AE182" s="135">
        <v>0.0</v>
      </c>
      <c r="AF182" s="137">
        <v>12.0</v>
      </c>
      <c r="AG182" s="137">
        <v>18.0</v>
      </c>
      <c r="AH182" s="137">
        <v>18.0</v>
      </c>
      <c r="AI182" s="137">
        <v>20.0</v>
      </c>
      <c r="AJ182" s="137">
        <v>18.0</v>
      </c>
      <c r="AK182" s="137">
        <v>26.0</v>
      </c>
      <c r="AL182" s="137">
        <v>24.0</v>
      </c>
      <c r="AM182" s="137">
        <v>44.0</v>
      </c>
      <c r="AN182" s="137">
        <v>180.0</v>
      </c>
    </row>
    <row r="183">
      <c r="A183" s="104"/>
      <c r="B183" s="136" t="s">
        <v>199</v>
      </c>
      <c r="C183" s="137">
        <v>728.0</v>
      </c>
      <c r="D183" s="137">
        <v>298.0</v>
      </c>
      <c r="E183" s="137">
        <v>430.0</v>
      </c>
      <c r="F183" s="135">
        <v>0.0</v>
      </c>
      <c r="G183" s="135">
        <v>0.0</v>
      </c>
      <c r="H183" s="135">
        <v>0.0</v>
      </c>
      <c r="I183" s="135">
        <v>0.0</v>
      </c>
      <c r="J183" s="135">
        <v>0.0</v>
      </c>
      <c r="K183" s="135">
        <v>0.0</v>
      </c>
      <c r="L183" s="135">
        <v>0.0</v>
      </c>
      <c r="M183" s="135">
        <v>0.0</v>
      </c>
      <c r="N183" s="135">
        <v>0.0</v>
      </c>
      <c r="O183" s="135">
        <v>0.0</v>
      </c>
      <c r="P183" s="135">
        <v>0.0</v>
      </c>
      <c r="Q183" s="135">
        <v>0.0</v>
      </c>
      <c r="R183" s="135">
        <v>0.0</v>
      </c>
      <c r="S183" s="135">
        <v>0.0</v>
      </c>
      <c r="T183" s="135">
        <v>0.0</v>
      </c>
      <c r="U183" s="135">
        <v>0.0</v>
      </c>
      <c r="V183" s="135">
        <v>0.0</v>
      </c>
      <c r="W183" s="135">
        <v>0.0</v>
      </c>
      <c r="X183" s="135">
        <v>0.0</v>
      </c>
      <c r="Y183" s="135">
        <v>0.0</v>
      </c>
      <c r="Z183" s="135">
        <v>0.0</v>
      </c>
      <c r="AA183" s="135">
        <v>0.0</v>
      </c>
      <c r="AB183" s="135">
        <v>0.0</v>
      </c>
      <c r="AC183" s="135">
        <v>0.0</v>
      </c>
      <c r="AD183" s="135">
        <v>0.0</v>
      </c>
      <c r="AE183" s="135">
        <v>0.0</v>
      </c>
      <c r="AF183" s="137">
        <v>60.0</v>
      </c>
      <c r="AG183" s="137">
        <v>76.0</v>
      </c>
      <c r="AH183" s="137">
        <v>78.0</v>
      </c>
      <c r="AI183" s="137">
        <v>88.0</v>
      </c>
      <c r="AJ183" s="137">
        <v>64.0</v>
      </c>
      <c r="AK183" s="137">
        <v>110.0</v>
      </c>
      <c r="AL183" s="137">
        <v>96.0</v>
      </c>
      <c r="AM183" s="137">
        <v>156.0</v>
      </c>
      <c r="AN183" s="137">
        <v>726.0</v>
      </c>
    </row>
    <row r="184">
      <c r="A184" s="132" t="s">
        <v>205</v>
      </c>
      <c r="B184" s="136" t="s">
        <v>198</v>
      </c>
      <c r="C184" s="137">
        <v>906.0</v>
      </c>
      <c r="D184" s="137">
        <v>498.0</v>
      </c>
      <c r="E184" s="137">
        <v>408.0</v>
      </c>
      <c r="F184" s="137">
        <v>0.0</v>
      </c>
      <c r="G184" s="137">
        <v>0.0</v>
      </c>
      <c r="H184" s="137">
        <v>4.0</v>
      </c>
      <c r="I184" s="137">
        <v>6.0</v>
      </c>
      <c r="J184" s="137">
        <v>2.0</v>
      </c>
      <c r="K184" s="137">
        <v>8.0</v>
      </c>
      <c r="L184" s="137">
        <v>30.0</v>
      </c>
      <c r="M184" s="137">
        <v>16.0</v>
      </c>
      <c r="N184" s="137">
        <v>44.0</v>
      </c>
      <c r="O184" s="137">
        <v>66.0</v>
      </c>
      <c r="P184" s="137">
        <v>46.0</v>
      </c>
      <c r="Q184" s="137">
        <v>40.0</v>
      </c>
      <c r="R184" s="137">
        <v>44.0</v>
      </c>
      <c r="S184" s="137">
        <v>20.0</v>
      </c>
      <c r="T184" s="137">
        <v>46.0</v>
      </c>
      <c r="U184" s="137">
        <v>14.0</v>
      </c>
      <c r="V184" s="137">
        <v>20.0</v>
      </c>
      <c r="W184" s="137">
        <v>16.0</v>
      </c>
      <c r="X184" s="137">
        <v>30.0</v>
      </c>
      <c r="Y184" s="137">
        <v>32.0</v>
      </c>
      <c r="Z184" s="137">
        <v>16.0</v>
      </c>
      <c r="AA184" s="137">
        <v>18.0</v>
      </c>
      <c r="AB184" s="137">
        <v>80.0</v>
      </c>
      <c r="AC184" s="137">
        <v>28.0</v>
      </c>
      <c r="AD184" s="137">
        <v>22.0</v>
      </c>
      <c r="AE184" s="137">
        <v>16.0</v>
      </c>
      <c r="AF184" s="137">
        <v>24.0</v>
      </c>
      <c r="AG184" s="137">
        <v>34.0</v>
      </c>
      <c r="AH184" s="137">
        <v>50.0</v>
      </c>
      <c r="AI184" s="137">
        <v>22.0</v>
      </c>
      <c r="AJ184" s="137">
        <v>30.0</v>
      </c>
      <c r="AK184" s="137">
        <v>46.0</v>
      </c>
      <c r="AL184" s="137">
        <v>10.0</v>
      </c>
      <c r="AM184" s="137">
        <v>26.0</v>
      </c>
      <c r="AN184" s="137">
        <v>906.0</v>
      </c>
    </row>
    <row r="185">
      <c r="A185" s="98"/>
      <c r="B185" s="136" t="s">
        <v>199</v>
      </c>
      <c r="C185" s="137">
        <v>454.0</v>
      </c>
      <c r="D185" s="137">
        <v>166.0</v>
      </c>
      <c r="E185" s="137">
        <v>288.0</v>
      </c>
      <c r="F185" s="137">
        <v>12.0</v>
      </c>
      <c r="G185" s="137">
        <v>6.0</v>
      </c>
      <c r="H185" s="137">
        <v>0.0</v>
      </c>
      <c r="I185" s="137">
        <v>2.0</v>
      </c>
      <c r="J185" s="137">
        <v>0.0</v>
      </c>
      <c r="K185" s="137">
        <v>2.0</v>
      </c>
      <c r="L185" s="137">
        <v>2.0</v>
      </c>
      <c r="M185" s="137">
        <v>0.0</v>
      </c>
      <c r="N185" s="137">
        <v>0.0</v>
      </c>
      <c r="O185" s="137">
        <v>14.0</v>
      </c>
      <c r="P185" s="137">
        <v>4.0</v>
      </c>
      <c r="Q185" s="137">
        <v>12.0</v>
      </c>
      <c r="R185" s="137">
        <v>12.0</v>
      </c>
      <c r="S185" s="137">
        <v>6.0</v>
      </c>
      <c r="T185" s="137">
        <v>6.0</v>
      </c>
      <c r="U185" s="137">
        <v>12.0</v>
      </c>
      <c r="V185" s="137">
        <v>10.0</v>
      </c>
      <c r="W185" s="137">
        <v>8.0</v>
      </c>
      <c r="X185" s="137">
        <v>14.0</v>
      </c>
      <c r="Y185" s="137">
        <v>32.0</v>
      </c>
      <c r="Z185" s="137">
        <v>8.0</v>
      </c>
      <c r="AA185" s="137">
        <v>28.0</v>
      </c>
      <c r="AB185" s="137">
        <v>8.0</v>
      </c>
      <c r="AC185" s="137">
        <v>12.0</v>
      </c>
      <c r="AD185" s="137">
        <v>8.0</v>
      </c>
      <c r="AE185" s="137">
        <v>14.0</v>
      </c>
      <c r="AF185" s="137">
        <v>20.0</v>
      </c>
      <c r="AG185" s="137">
        <v>22.0</v>
      </c>
      <c r="AH185" s="137">
        <v>30.0</v>
      </c>
      <c r="AI185" s="137">
        <v>46.0</v>
      </c>
      <c r="AJ185" s="137">
        <v>16.0</v>
      </c>
      <c r="AK185" s="137">
        <v>30.0</v>
      </c>
      <c r="AL185" s="137">
        <v>16.0</v>
      </c>
      <c r="AM185" s="137">
        <v>42.0</v>
      </c>
      <c r="AN185" s="137">
        <v>452.0</v>
      </c>
    </row>
    <row r="186">
      <c r="A186" s="104"/>
      <c r="B186" s="136" t="s">
        <v>206</v>
      </c>
      <c r="C186" s="134">
        <v>2708.0</v>
      </c>
      <c r="D186" s="137">
        <v>642.0</v>
      </c>
      <c r="E186" s="134">
        <v>2066.0</v>
      </c>
      <c r="F186" s="137">
        <v>22.0</v>
      </c>
      <c r="G186" s="137">
        <v>24.0</v>
      </c>
      <c r="H186" s="137">
        <v>10.0</v>
      </c>
      <c r="I186" s="137">
        <v>6.0</v>
      </c>
      <c r="J186" s="137">
        <v>14.0</v>
      </c>
      <c r="K186" s="137">
        <v>8.0</v>
      </c>
      <c r="L186" s="137">
        <v>118.0</v>
      </c>
      <c r="M186" s="137">
        <v>224.0</v>
      </c>
      <c r="N186" s="137">
        <v>176.0</v>
      </c>
      <c r="O186" s="137">
        <v>394.0</v>
      </c>
      <c r="P186" s="137">
        <v>122.0</v>
      </c>
      <c r="Q186" s="137">
        <v>342.0</v>
      </c>
      <c r="R186" s="137">
        <v>36.0</v>
      </c>
      <c r="S186" s="137">
        <v>312.0</v>
      </c>
      <c r="T186" s="137">
        <v>32.0</v>
      </c>
      <c r="U186" s="137">
        <v>184.0</v>
      </c>
      <c r="V186" s="137">
        <v>24.0</v>
      </c>
      <c r="W186" s="137">
        <v>126.0</v>
      </c>
      <c r="X186" s="137">
        <v>2.0</v>
      </c>
      <c r="Y186" s="137">
        <v>152.0</v>
      </c>
      <c r="Z186" s="137">
        <v>34.0</v>
      </c>
      <c r="AA186" s="137">
        <v>140.0</v>
      </c>
      <c r="AB186" s="137">
        <v>12.0</v>
      </c>
      <c r="AC186" s="137">
        <v>84.0</v>
      </c>
      <c r="AD186" s="137">
        <v>20.0</v>
      </c>
      <c r="AE186" s="137">
        <v>48.0</v>
      </c>
      <c r="AF186" s="137">
        <v>0.0</v>
      </c>
      <c r="AG186" s="137">
        <v>6.0</v>
      </c>
      <c r="AH186" s="137">
        <v>10.0</v>
      </c>
      <c r="AI186" s="137">
        <v>6.0</v>
      </c>
      <c r="AJ186" s="137">
        <v>8.0</v>
      </c>
      <c r="AK186" s="137">
        <v>6.0</v>
      </c>
      <c r="AL186" s="137">
        <v>2.0</v>
      </c>
      <c r="AM186" s="137">
        <v>4.0</v>
      </c>
      <c r="AN186" s="134">
        <v>2682.0</v>
      </c>
    </row>
    <row r="187">
      <c r="A187" s="132" t="s">
        <v>207</v>
      </c>
      <c r="B187" s="136" t="s">
        <v>198</v>
      </c>
      <c r="C187" s="134">
        <v>49438.0</v>
      </c>
      <c r="D187" s="134">
        <v>13288.0</v>
      </c>
      <c r="E187" s="134">
        <v>36150.0</v>
      </c>
      <c r="F187" s="137">
        <v>428.0</v>
      </c>
      <c r="G187" s="137">
        <v>248.0</v>
      </c>
      <c r="H187" s="137">
        <v>294.0</v>
      </c>
      <c r="I187" s="137">
        <v>224.0</v>
      </c>
      <c r="J187" s="137">
        <v>336.0</v>
      </c>
      <c r="K187" s="137">
        <v>270.0</v>
      </c>
      <c r="L187" s="137">
        <v>292.0</v>
      </c>
      <c r="M187" s="137">
        <v>446.0</v>
      </c>
      <c r="N187" s="137">
        <v>280.0</v>
      </c>
      <c r="O187" s="137">
        <v>596.0</v>
      </c>
      <c r="P187" s="137">
        <v>274.0</v>
      </c>
      <c r="Q187" s="137">
        <v>934.0</v>
      </c>
      <c r="R187" s="137">
        <v>286.0</v>
      </c>
      <c r="S187" s="134">
        <v>1050.0</v>
      </c>
      <c r="T187" s="137">
        <v>286.0</v>
      </c>
      <c r="U187" s="134">
        <v>1208.0</v>
      </c>
      <c r="V187" s="137">
        <v>274.0</v>
      </c>
      <c r="W187" s="134">
        <v>1578.0</v>
      </c>
      <c r="X187" s="137">
        <v>522.0</v>
      </c>
      <c r="Y187" s="134">
        <v>1780.0</v>
      </c>
      <c r="Z187" s="137">
        <v>654.0</v>
      </c>
      <c r="AA187" s="134">
        <v>2658.0</v>
      </c>
      <c r="AB187" s="137">
        <v>986.0</v>
      </c>
      <c r="AC187" s="134">
        <v>3788.0</v>
      </c>
      <c r="AD187" s="134">
        <v>1334.0</v>
      </c>
      <c r="AE187" s="134">
        <v>4352.0</v>
      </c>
      <c r="AF187" s="134">
        <v>1488.0</v>
      </c>
      <c r="AG187" s="134">
        <v>4164.0</v>
      </c>
      <c r="AH187" s="134">
        <v>1754.0</v>
      </c>
      <c r="AI187" s="134">
        <v>4460.0</v>
      </c>
      <c r="AJ187" s="134">
        <v>1668.0</v>
      </c>
      <c r="AK187" s="134">
        <v>3626.0</v>
      </c>
      <c r="AL187" s="134">
        <v>2132.0</v>
      </c>
      <c r="AM187" s="134">
        <v>4768.0</v>
      </c>
      <c r="AN187" s="134">
        <v>48846.0</v>
      </c>
    </row>
    <row r="188">
      <c r="A188" s="98"/>
      <c r="B188" s="136" t="s">
        <v>199</v>
      </c>
      <c r="C188" s="134">
        <v>12928.0</v>
      </c>
      <c r="D188" s="134">
        <v>3842.0</v>
      </c>
      <c r="E188" s="134">
        <v>9086.0</v>
      </c>
      <c r="F188" s="137">
        <v>98.0</v>
      </c>
      <c r="G188" s="137">
        <v>66.0</v>
      </c>
      <c r="H188" s="137">
        <v>14.0</v>
      </c>
      <c r="I188" s="137">
        <v>22.0</v>
      </c>
      <c r="J188" s="137">
        <v>18.0</v>
      </c>
      <c r="K188" s="137">
        <v>8.0</v>
      </c>
      <c r="L188" s="137">
        <v>16.0</v>
      </c>
      <c r="M188" s="137">
        <v>30.0</v>
      </c>
      <c r="N188" s="137">
        <v>48.0</v>
      </c>
      <c r="O188" s="137">
        <v>80.0</v>
      </c>
      <c r="P188" s="137">
        <v>56.0</v>
      </c>
      <c r="Q188" s="137">
        <v>88.0</v>
      </c>
      <c r="R188" s="137">
        <v>56.0</v>
      </c>
      <c r="S188" s="137">
        <v>156.0</v>
      </c>
      <c r="T188" s="137">
        <v>62.0</v>
      </c>
      <c r="U188" s="137">
        <v>190.0</v>
      </c>
      <c r="V188" s="137">
        <v>74.0</v>
      </c>
      <c r="W188" s="137">
        <v>238.0</v>
      </c>
      <c r="X188" s="137">
        <v>112.0</v>
      </c>
      <c r="Y188" s="137">
        <v>346.0</v>
      </c>
      <c r="Z188" s="137">
        <v>222.0</v>
      </c>
      <c r="AA188" s="137">
        <v>586.0</v>
      </c>
      <c r="AB188" s="137">
        <v>216.0</v>
      </c>
      <c r="AC188" s="137">
        <v>936.0</v>
      </c>
      <c r="AD188" s="137">
        <v>338.0</v>
      </c>
      <c r="AE188" s="134">
        <v>1034.0</v>
      </c>
      <c r="AF188" s="137">
        <v>592.0</v>
      </c>
      <c r="AG188" s="134">
        <v>1210.0</v>
      </c>
      <c r="AH188" s="137">
        <v>684.0</v>
      </c>
      <c r="AI188" s="134">
        <v>1382.0</v>
      </c>
      <c r="AJ188" s="137">
        <v>588.0</v>
      </c>
      <c r="AK188" s="134">
        <v>1314.0</v>
      </c>
      <c r="AL188" s="137">
        <v>648.0</v>
      </c>
      <c r="AM188" s="134">
        <v>1400.0</v>
      </c>
      <c r="AN188" s="134">
        <v>12796.0</v>
      </c>
    </row>
    <row r="189">
      <c r="A189" s="98"/>
      <c r="B189" s="136" t="s">
        <v>206</v>
      </c>
      <c r="C189" s="134">
        <v>1648.0</v>
      </c>
      <c r="D189" s="137">
        <v>102.0</v>
      </c>
      <c r="E189" s="134">
        <v>1546.0</v>
      </c>
      <c r="F189" s="137">
        <v>8.0</v>
      </c>
      <c r="G189" s="137">
        <v>6.0</v>
      </c>
      <c r="H189" s="137">
        <v>2.0</v>
      </c>
      <c r="I189" s="137">
        <v>12.0</v>
      </c>
      <c r="J189" s="137">
        <v>0.0</v>
      </c>
      <c r="K189" s="137">
        <v>26.0</v>
      </c>
      <c r="L189" s="137">
        <v>2.0</v>
      </c>
      <c r="M189" s="137">
        <v>216.0</v>
      </c>
      <c r="N189" s="137">
        <v>4.0</v>
      </c>
      <c r="O189" s="137">
        <v>194.0</v>
      </c>
      <c r="P189" s="137">
        <v>2.0</v>
      </c>
      <c r="Q189" s="137">
        <v>292.0</v>
      </c>
      <c r="R189" s="137">
        <v>0.0</v>
      </c>
      <c r="S189" s="137">
        <v>146.0</v>
      </c>
      <c r="T189" s="137">
        <v>4.0</v>
      </c>
      <c r="U189" s="137">
        <v>22.0</v>
      </c>
      <c r="V189" s="137">
        <v>0.0</v>
      </c>
      <c r="W189" s="137">
        <v>102.0</v>
      </c>
      <c r="X189" s="137">
        <v>0.0</v>
      </c>
      <c r="Y189" s="137">
        <v>104.0</v>
      </c>
      <c r="Z189" s="137">
        <v>6.0</v>
      </c>
      <c r="AA189" s="137">
        <v>58.0</v>
      </c>
      <c r="AB189" s="137">
        <v>8.0</v>
      </c>
      <c r="AC189" s="137">
        <v>138.0</v>
      </c>
      <c r="AD189" s="137">
        <v>6.0</v>
      </c>
      <c r="AE189" s="137">
        <v>18.0</v>
      </c>
      <c r="AF189" s="137">
        <v>12.0</v>
      </c>
      <c r="AG189" s="137">
        <v>64.0</v>
      </c>
      <c r="AH189" s="137">
        <v>22.0</v>
      </c>
      <c r="AI189" s="137">
        <v>42.0</v>
      </c>
      <c r="AJ189" s="137">
        <v>16.0</v>
      </c>
      <c r="AK189" s="137">
        <v>66.0</v>
      </c>
      <c r="AL189" s="137">
        <v>10.0</v>
      </c>
      <c r="AM189" s="137">
        <v>40.0</v>
      </c>
      <c r="AN189" s="134">
        <v>1594.0</v>
      </c>
    </row>
    <row r="190">
      <c r="A190" s="98"/>
      <c r="B190" s="136" t="s">
        <v>200</v>
      </c>
      <c r="C190" s="134">
        <v>24414.0</v>
      </c>
      <c r="D190" s="134">
        <v>8534.0</v>
      </c>
      <c r="E190" s="134">
        <v>15880.0</v>
      </c>
      <c r="F190" s="134">
        <v>3754.0</v>
      </c>
      <c r="G190" s="134">
        <v>3314.0</v>
      </c>
      <c r="H190" s="137">
        <v>764.0</v>
      </c>
      <c r="I190" s="137">
        <v>834.0</v>
      </c>
      <c r="J190" s="137">
        <v>336.0</v>
      </c>
      <c r="K190" s="137">
        <v>370.0</v>
      </c>
      <c r="L190" s="137">
        <v>162.0</v>
      </c>
      <c r="M190" s="137">
        <v>538.0</v>
      </c>
      <c r="N190" s="137">
        <v>96.0</v>
      </c>
      <c r="O190" s="137">
        <v>684.0</v>
      </c>
      <c r="P190" s="137">
        <v>128.0</v>
      </c>
      <c r="Q190" s="137">
        <v>894.0</v>
      </c>
      <c r="R190" s="137">
        <v>112.0</v>
      </c>
      <c r="S190" s="137">
        <v>964.0</v>
      </c>
      <c r="T190" s="137">
        <v>132.0</v>
      </c>
      <c r="U190" s="137">
        <v>752.0</v>
      </c>
      <c r="V190" s="137">
        <v>148.0</v>
      </c>
      <c r="W190" s="137">
        <v>568.0</v>
      </c>
      <c r="X190" s="137">
        <v>180.0</v>
      </c>
      <c r="Y190" s="137">
        <v>610.0</v>
      </c>
      <c r="Z190" s="137">
        <v>308.0</v>
      </c>
      <c r="AA190" s="137">
        <v>808.0</v>
      </c>
      <c r="AB190" s="137">
        <v>380.0</v>
      </c>
      <c r="AC190" s="134">
        <v>1076.0</v>
      </c>
      <c r="AD190" s="137">
        <v>418.0</v>
      </c>
      <c r="AE190" s="134">
        <v>1080.0</v>
      </c>
      <c r="AF190" s="137">
        <v>478.0</v>
      </c>
      <c r="AG190" s="134">
        <v>1088.0</v>
      </c>
      <c r="AH190" s="137">
        <v>476.0</v>
      </c>
      <c r="AI190" s="137">
        <v>920.0</v>
      </c>
      <c r="AJ190" s="137">
        <v>316.0</v>
      </c>
      <c r="AK190" s="137">
        <v>694.0</v>
      </c>
      <c r="AL190" s="137">
        <v>346.0</v>
      </c>
      <c r="AM190" s="137">
        <v>686.0</v>
      </c>
      <c r="AN190" s="134">
        <v>24044.0</v>
      </c>
    </row>
    <row r="191">
      <c r="A191" s="104"/>
      <c r="B191" s="136" t="s">
        <v>201</v>
      </c>
      <c r="C191" s="134">
        <v>3960.0</v>
      </c>
      <c r="D191" s="134">
        <v>1712.0</v>
      </c>
      <c r="E191" s="134">
        <v>2248.0</v>
      </c>
      <c r="F191" s="137">
        <v>244.0</v>
      </c>
      <c r="G191" s="137">
        <v>194.0</v>
      </c>
      <c r="H191" s="137">
        <v>38.0</v>
      </c>
      <c r="I191" s="137">
        <v>44.0</v>
      </c>
      <c r="J191" s="137">
        <v>46.0</v>
      </c>
      <c r="K191" s="137">
        <v>56.0</v>
      </c>
      <c r="L191" s="137">
        <v>40.0</v>
      </c>
      <c r="M191" s="137">
        <v>28.0</v>
      </c>
      <c r="N191" s="137">
        <v>54.0</v>
      </c>
      <c r="O191" s="137">
        <v>108.0</v>
      </c>
      <c r="P191" s="137">
        <v>64.0</v>
      </c>
      <c r="Q191" s="137">
        <v>82.0</v>
      </c>
      <c r="R191" s="137">
        <v>72.0</v>
      </c>
      <c r="S191" s="137">
        <v>86.0</v>
      </c>
      <c r="T191" s="137">
        <v>72.0</v>
      </c>
      <c r="U191" s="137">
        <v>132.0</v>
      </c>
      <c r="V191" s="137">
        <v>100.0</v>
      </c>
      <c r="W191" s="137">
        <v>96.0</v>
      </c>
      <c r="X191" s="137">
        <v>84.0</v>
      </c>
      <c r="Y191" s="137">
        <v>162.0</v>
      </c>
      <c r="Z191" s="137">
        <v>104.0</v>
      </c>
      <c r="AA191" s="137">
        <v>146.0</v>
      </c>
      <c r="AB191" s="137">
        <v>130.0</v>
      </c>
      <c r="AC191" s="137">
        <v>150.0</v>
      </c>
      <c r="AD191" s="137">
        <v>114.0</v>
      </c>
      <c r="AE191" s="137">
        <v>116.0</v>
      </c>
      <c r="AF191" s="137">
        <v>156.0</v>
      </c>
      <c r="AG191" s="137">
        <v>144.0</v>
      </c>
      <c r="AH191" s="137">
        <v>112.0</v>
      </c>
      <c r="AI191" s="137">
        <v>108.0</v>
      </c>
      <c r="AJ191" s="137">
        <v>108.0</v>
      </c>
      <c r="AK191" s="137">
        <v>140.0</v>
      </c>
      <c r="AL191" s="137">
        <v>174.0</v>
      </c>
      <c r="AM191" s="137">
        <v>456.0</v>
      </c>
      <c r="AN191" s="134">
        <v>3892.0</v>
      </c>
    </row>
    <row r="192">
      <c r="A192" s="132" t="s">
        <v>208</v>
      </c>
      <c r="B192" s="136" t="s">
        <v>198</v>
      </c>
      <c r="C192" s="137">
        <v>122.0</v>
      </c>
      <c r="D192" s="137">
        <v>78.0</v>
      </c>
      <c r="E192" s="137">
        <v>44.0</v>
      </c>
      <c r="F192" s="137">
        <v>28.0</v>
      </c>
      <c r="G192" s="137">
        <v>18.0</v>
      </c>
      <c r="H192" s="137">
        <v>14.0</v>
      </c>
      <c r="I192" s="137">
        <v>0.0</v>
      </c>
      <c r="J192" s="137">
        <v>28.0</v>
      </c>
      <c r="K192" s="137">
        <v>22.0</v>
      </c>
      <c r="L192" s="137">
        <v>8.0</v>
      </c>
      <c r="M192" s="137">
        <v>2.0</v>
      </c>
      <c r="N192" s="137">
        <v>0.0</v>
      </c>
      <c r="O192" s="137">
        <v>2.0</v>
      </c>
      <c r="P192" s="135">
        <v>0.0</v>
      </c>
      <c r="Q192" s="135">
        <v>0.0</v>
      </c>
      <c r="R192" s="135">
        <v>0.0</v>
      </c>
      <c r="S192" s="135">
        <v>0.0</v>
      </c>
      <c r="T192" s="135">
        <v>0.0</v>
      </c>
      <c r="U192" s="135">
        <v>0.0</v>
      </c>
      <c r="V192" s="135">
        <v>0.0</v>
      </c>
      <c r="W192" s="135">
        <v>0.0</v>
      </c>
      <c r="X192" s="135">
        <v>0.0</v>
      </c>
      <c r="Y192" s="135">
        <v>0.0</v>
      </c>
      <c r="Z192" s="135">
        <v>0.0</v>
      </c>
      <c r="AA192" s="135">
        <v>0.0</v>
      </c>
      <c r="AB192" s="135">
        <v>0.0</v>
      </c>
      <c r="AC192" s="135">
        <v>0.0</v>
      </c>
      <c r="AD192" s="135">
        <v>0.0</v>
      </c>
      <c r="AE192" s="135">
        <v>0.0</v>
      </c>
      <c r="AF192" s="135">
        <v>0.0</v>
      </c>
      <c r="AG192" s="135">
        <v>0.0</v>
      </c>
      <c r="AH192" s="135">
        <v>0.0</v>
      </c>
      <c r="AI192" s="135">
        <v>0.0</v>
      </c>
      <c r="AJ192" s="135">
        <v>0.0</v>
      </c>
      <c r="AK192" s="135">
        <v>0.0</v>
      </c>
      <c r="AL192" s="135">
        <v>0.0</v>
      </c>
      <c r="AM192" s="135">
        <v>0.0</v>
      </c>
      <c r="AN192" s="137">
        <v>120.0</v>
      </c>
    </row>
    <row r="193">
      <c r="A193" s="98"/>
      <c r="B193" s="136" t="s">
        <v>199</v>
      </c>
      <c r="C193" s="137">
        <v>150.0</v>
      </c>
      <c r="D193" s="137">
        <v>92.0</v>
      </c>
      <c r="E193" s="137">
        <v>58.0</v>
      </c>
      <c r="F193" s="137">
        <v>60.0</v>
      </c>
      <c r="G193" s="137">
        <v>42.0</v>
      </c>
      <c r="H193" s="137">
        <v>10.0</v>
      </c>
      <c r="I193" s="137">
        <v>2.0</v>
      </c>
      <c r="J193" s="137">
        <v>20.0</v>
      </c>
      <c r="K193" s="137">
        <v>14.0</v>
      </c>
      <c r="L193" s="137">
        <v>2.0</v>
      </c>
      <c r="M193" s="137">
        <v>0.0</v>
      </c>
      <c r="N193" s="137">
        <v>0.0</v>
      </c>
      <c r="O193" s="137">
        <v>0.0</v>
      </c>
      <c r="P193" s="135">
        <v>0.0</v>
      </c>
      <c r="Q193" s="135">
        <v>0.0</v>
      </c>
      <c r="R193" s="135">
        <v>0.0</v>
      </c>
      <c r="S193" s="135">
        <v>0.0</v>
      </c>
      <c r="T193" s="135">
        <v>0.0</v>
      </c>
      <c r="U193" s="135">
        <v>0.0</v>
      </c>
      <c r="V193" s="135">
        <v>0.0</v>
      </c>
      <c r="W193" s="135">
        <v>0.0</v>
      </c>
      <c r="X193" s="135">
        <v>0.0</v>
      </c>
      <c r="Y193" s="135">
        <v>0.0</v>
      </c>
      <c r="Z193" s="135">
        <v>0.0</v>
      </c>
      <c r="AA193" s="135">
        <v>0.0</v>
      </c>
      <c r="AB193" s="135">
        <v>0.0</v>
      </c>
      <c r="AC193" s="135">
        <v>0.0</v>
      </c>
      <c r="AD193" s="135">
        <v>0.0</v>
      </c>
      <c r="AE193" s="135">
        <v>0.0</v>
      </c>
      <c r="AF193" s="135">
        <v>0.0</v>
      </c>
      <c r="AG193" s="135">
        <v>0.0</v>
      </c>
      <c r="AH193" s="135">
        <v>0.0</v>
      </c>
      <c r="AI193" s="135">
        <v>0.0</v>
      </c>
      <c r="AJ193" s="135">
        <v>0.0</v>
      </c>
      <c r="AK193" s="135">
        <v>0.0</v>
      </c>
      <c r="AL193" s="135">
        <v>0.0</v>
      </c>
      <c r="AM193" s="135">
        <v>0.0</v>
      </c>
      <c r="AN193" s="137">
        <v>146.0</v>
      </c>
    </row>
    <row r="194">
      <c r="A194" s="98"/>
      <c r="B194" s="136" t="s">
        <v>206</v>
      </c>
      <c r="C194" s="137">
        <v>2.0</v>
      </c>
      <c r="D194" s="137">
        <v>2.0</v>
      </c>
      <c r="E194" s="137">
        <v>0.0</v>
      </c>
      <c r="F194" s="137">
        <v>2.0</v>
      </c>
      <c r="G194" s="137">
        <v>0.0</v>
      </c>
      <c r="H194" s="137">
        <v>0.0</v>
      </c>
      <c r="I194" s="137">
        <v>0.0</v>
      </c>
      <c r="J194" s="137">
        <v>0.0</v>
      </c>
      <c r="K194" s="137">
        <v>0.0</v>
      </c>
      <c r="L194" s="137">
        <v>0.0</v>
      </c>
      <c r="M194" s="137">
        <v>0.0</v>
      </c>
      <c r="N194" s="137">
        <v>0.0</v>
      </c>
      <c r="O194" s="137">
        <v>0.0</v>
      </c>
      <c r="P194" s="135">
        <v>0.0</v>
      </c>
      <c r="Q194" s="135">
        <v>0.0</v>
      </c>
      <c r="R194" s="135">
        <v>0.0</v>
      </c>
      <c r="S194" s="135">
        <v>0.0</v>
      </c>
      <c r="T194" s="135">
        <v>0.0</v>
      </c>
      <c r="U194" s="135">
        <v>0.0</v>
      </c>
      <c r="V194" s="135">
        <v>0.0</v>
      </c>
      <c r="W194" s="135">
        <v>0.0</v>
      </c>
      <c r="X194" s="135">
        <v>0.0</v>
      </c>
      <c r="Y194" s="135">
        <v>0.0</v>
      </c>
      <c r="Z194" s="135">
        <v>0.0</v>
      </c>
      <c r="AA194" s="135">
        <v>0.0</v>
      </c>
      <c r="AB194" s="135">
        <v>0.0</v>
      </c>
      <c r="AC194" s="135">
        <v>0.0</v>
      </c>
      <c r="AD194" s="135">
        <v>0.0</v>
      </c>
      <c r="AE194" s="135">
        <v>0.0</v>
      </c>
      <c r="AF194" s="135">
        <v>0.0</v>
      </c>
      <c r="AG194" s="135">
        <v>0.0</v>
      </c>
      <c r="AH194" s="135">
        <v>0.0</v>
      </c>
      <c r="AI194" s="135">
        <v>0.0</v>
      </c>
      <c r="AJ194" s="135">
        <v>0.0</v>
      </c>
      <c r="AK194" s="135">
        <v>0.0</v>
      </c>
      <c r="AL194" s="135">
        <v>0.0</v>
      </c>
      <c r="AM194" s="135">
        <v>0.0</v>
      </c>
      <c r="AN194" s="137">
        <v>2.0</v>
      </c>
    </row>
    <row r="195">
      <c r="A195" s="98"/>
      <c r="B195" s="136" t="s">
        <v>200</v>
      </c>
      <c r="C195" s="134">
        <v>1050.0</v>
      </c>
      <c r="D195" s="137">
        <v>502.0</v>
      </c>
      <c r="E195" s="137">
        <v>548.0</v>
      </c>
      <c r="F195" s="137">
        <v>420.0</v>
      </c>
      <c r="G195" s="137">
        <v>450.0</v>
      </c>
      <c r="H195" s="137">
        <v>50.0</v>
      </c>
      <c r="I195" s="137">
        <v>48.0</v>
      </c>
      <c r="J195" s="137">
        <v>20.0</v>
      </c>
      <c r="K195" s="137">
        <v>24.0</v>
      </c>
      <c r="L195" s="137">
        <v>6.0</v>
      </c>
      <c r="M195" s="137">
        <v>10.0</v>
      </c>
      <c r="N195" s="137">
        <v>6.0</v>
      </c>
      <c r="O195" s="137">
        <v>16.0</v>
      </c>
      <c r="P195" s="135">
        <v>0.0</v>
      </c>
      <c r="Q195" s="135">
        <v>0.0</v>
      </c>
      <c r="R195" s="135">
        <v>0.0</v>
      </c>
      <c r="S195" s="135">
        <v>0.0</v>
      </c>
      <c r="T195" s="135">
        <v>0.0</v>
      </c>
      <c r="U195" s="135">
        <v>0.0</v>
      </c>
      <c r="V195" s="135">
        <v>0.0</v>
      </c>
      <c r="W195" s="135">
        <v>0.0</v>
      </c>
      <c r="X195" s="135">
        <v>0.0</v>
      </c>
      <c r="Y195" s="135">
        <v>0.0</v>
      </c>
      <c r="Z195" s="135">
        <v>0.0</v>
      </c>
      <c r="AA195" s="135">
        <v>0.0</v>
      </c>
      <c r="AB195" s="135">
        <v>0.0</v>
      </c>
      <c r="AC195" s="135">
        <v>0.0</v>
      </c>
      <c r="AD195" s="135">
        <v>0.0</v>
      </c>
      <c r="AE195" s="135">
        <v>0.0</v>
      </c>
      <c r="AF195" s="135">
        <v>0.0</v>
      </c>
      <c r="AG195" s="135">
        <v>0.0</v>
      </c>
      <c r="AH195" s="135">
        <v>0.0</v>
      </c>
      <c r="AI195" s="135">
        <v>0.0</v>
      </c>
      <c r="AJ195" s="135">
        <v>0.0</v>
      </c>
      <c r="AK195" s="135">
        <v>0.0</v>
      </c>
      <c r="AL195" s="135">
        <v>0.0</v>
      </c>
      <c r="AM195" s="135">
        <v>0.0</v>
      </c>
      <c r="AN195" s="134">
        <v>1030.0</v>
      </c>
    </row>
    <row r="196">
      <c r="A196" s="104"/>
      <c r="B196" s="136" t="s">
        <v>201</v>
      </c>
      <c r="C196" s="137">
        <v>26.0</v>
      </c>
      <c r="D196" s="137">
        <v>24.0</v>
      </c>
      <c r="E196" s="137">
        <v>2.0</v>
      </c>
      <c r="F196" s="137">
        <v>4.0</v>
      </c>
      <c r="G196" s="137">
        <v>0.0</v>
      </c>
      <c r="H196" s="137">
        <v>0.0</v>
      </c>
      <c r="I196" s="137">
        <v>0.0</v>
      </c>
      <c r="J196" s="137">
        <v>6.0</v>
      </c>
      <c r="K196" s="137">
        <v>2.0</v>
      </c>
      <c r="L196" s="137">
        <v>10.0</v>
      </c>
      <c r="M196" s="137">
        <v>0.0</v>
      </c>
      <c r="N196" s="137">
        <v>4.0</v>
      </c>
      <c r="O196" s="137">
        <v>0.0</v>
      </c>
      <c r="P196" s="135">
        <v>0.0</v>
      </c>
      <c r="Q196" s="135">
        <v>0.0</v>
      </c>
      <c r="R196" s="135">
        <v>0.0</v>
      </c>
      <c r="S196" s="135">
        <v>0.0</v>
      </c>
      <c r="T196" s="135">
        <v>0.0</v>
      </c>
      <c r="U196" s="135">
        <v>0.0</v>
      </c>
      <c r="V196" s="135">
        <v>0.0</v>
      </c>
      <c r="W196" s="135">
        <v>0.0</v>
      </c>
      <c r="X196" s="135">
        <v>0.0</v>
      </c>
      <c r="Y196" s="135">
        <v>0.0</v>
      </c>
      <c r="Z196" s="135">
        <v>0.0</v>
      </c>
      <c r="AA196" s="135">
        <v>0.0</v>
      </c>
      <c r="AB196" s="135">
        <v>0.0</v>
      </c>
      <c r="AC196" s="135">
        <v>0.0</v>
      </c>
      <c r="AD196" s="135">
        <v>0.0</v>
      </c>
      <c r="AE196" s="135">
        <v>0.0</v>
      </c>
      <c r="AF196" s="135">
        <v>0.0</v>
      </c>
      <c r="AG196" s="135">
        <v>0.0</v>
      </c>
      <c r="AH196" s="135">
        <v>0.0</v>
      </c>
      <c r="AI196" s="135">
        <v>0.0</v>
      </c>
      <c r="AJ196" s="135">
        <v>0.0</v>
      </c>
      <c r="AK196" s="135">
        <v>0.0</v>
      </c>
      <c r="AL196" s="135">
        <v>0.0</v>
      </c>
      <c r="AM196" s="135">
        <v>0.0</v>
      </c>
      <c r="AN196" s="137">
        <v>26.0</v>
      </c>
    </row>
    <row r="197">
      <c r="A197" s="138" t="s">
        <v>247</v>
      </c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</row>
    <row r="198">
      <c r="A198" s="132" t="s">
        <v>197</v>
      </c>
      <c r="B198" s="133" t="s">
        <v>198</v>
      </c>
      <c r="C198" s="134">
        <v>69390.0</v>
      </c>
      <c r="D198" s="134">
        <v>25774.0</v>
      </c>
      <c r="E198" s="134">
        <v>43616.0</v>
      </c>
      <c r="F198" s="135">
        <v>0.0</v>
      </c>
      <c r="G198" s="135">
        <v>0.0</v>
      </c>
      <c r="H198" s="135">
        <v>0.0</v>
      </c>
      <c r="I198" s="135">
        <v>0.0</v>
      </c>
      <c r="J198" s="135">
        <v>0.0</v>
      </c>
      <c r="K198" s="135">
        <v>0.0</v>
      </c>
      <c r="L198" s="137">
        <v>22.0</v>
      </c>
      <c r="M198" s="137">
        <v>36.0</v>
      </c>
      <c r="N198" s="137">
        <v>54.0</v>
      </c>
      <c r="O198" s="137">
        <v>110.0</v>
      </c>
      <c r="P198" s="137">
        <v>104.0</v>
      </c>
      <c r="Q198" s="137">
        <v>288.0</v>
      </c>
      <c r="R198" s="137">
        <v>236.0</v>
      </c>
      <c r="S198" s="137">
        <v>476.0</v>
      </c>
      <c r="T198" s="137">
        <v>400.0</v>
      </c>
      <c r="U198" s="137">
        <v>904.0</v>
      </c>
      <c r="V198" s="137">
        <v>746.0</v>
      </c>
      <c r="W198" s="134">
        <v>1598.0</v>
      </c>
      <c r="X198" s="134">
        <v>1214.0</v>
      </c>
      <c r="Y198" s="134">
        <v>2508.0</v>
      </c>
      <c r="Z198" s="134">
        <v>2072.0</v>
      </c>
      <c r="AA198" s="134">
        <v>4370.0</v>
      </c>
      <c r="AB198" s="134">
        <v>3006.0</v>
      </c>
      <c r="AC198" s="134">
        <v>5722.0</v>
      </c>
      <c r="AD198" s="134">
        <v>3382.0</v>
      </c>
      <c r="AE198" s="134">
        <v>5896.0</v>
      </c>
      <c r="AF198" s="134">
        <v>4070.0</v>
      </c>
      <c r="AG198" s="134">
        <v>6224.0</v>
      </c>
      <c r="AH198" s="134">
        <v>3946.0</v>
      </c>
      <c r="AI198" s="134">
        <v>5814.0</v>
      </c>
      <c r="AJ198" s="134">
        <v>3260.0</v>
      </c>
      <c r="AK198" s="134">
        <v>4648.0</v>
      </c>
      <c r="AL198" s="134">
        <v>3262.0</v>
      </c>
      <c r="AM198" s="134">
        <v>5022.0</v>
      </c>
      <c r="AN198" s="134">
        <v>68916.0</v>
      </c>
    </row>
    <row r="199">
      <c r="A199" s="98"/>
      <c r="B199" s="136" t="s">
        <v>199</v>
      </c>
      <c r="C199" s="134">
        <v>34778.0</v>
      </c>
      <c r="D199" s="134">
        <v>12796.0</v>
      </c>
      <c r="E199" s="134">
        <v>21982.0</v>
      </c>
      <c r="F199" s="135">
        <v>0.0</v>
      </c>
      <c r="G199" s="135">
        <v>0.0</v>
      </c>
      <c r="H199" s="135">
        <v>0.0</v>
      </c>
      <c r="I199" s="135">
        <v>0.0</v>
      </c>
      <c r="J199" s="135">
        <v>0.0</v>
      </c>
      <c r="K199" s="135">
        <v>0.0</v>
      </c>
      <c r="L199" s="137">
        <v>16.0</v>
      </c>
      <c r="M199" s="137">
        <v>6.0</v>
      </c>
      <c r="N199" s="137">
        <v>20.0</v>
      </c>
      <c r="O199" s="137">
        <v>40.0</v>
      </c>
      <c r="P199" s="137">
        <v>32.0</v>
      </c>
      <c r="Q199" s="137">
        <v>90.0</v>
      </c>
      <c r="R199" s="137">
        <v>84.0</v>
      </c>
      <c r="S199" s="137">
        <v>182.0</v>
      </c>
      <c r="T199" s="137">
        <v>184.0</v>
      </c>
      <c r="U199" s="137">
        <v>324.0</v>
      </c>
      <c r="V199" s="137">
        <v>288.0</v>
      </c>
      <c r="W199" s="137">
        <v>698.0</v>
      </c>
      <c r="X199" s="137">
        <v>542.0</v>
      </c>
      <c r="Y199" s="134">
        <v>1044.0</v>
      </c>
      <c r="Z199" s="137">
        <v>970.0</v>
      </c>
      <c r="AA199" s="134">
        <v>2188.0</v>
      </c>
      <c r="AB199" s="134">
        <v>1440.0</v>
      </c>
      <c r="AC199" s="134">
        <v>2926.0</v>
      </c>
      <c r="AD199" s="134">
        <v>1714.0</v>
      </c>
      <c r="AE199" s="134">
        <v>3186.0</v>
      </c>
      <c r="AF199" s="134">
        <v>2114.0</v>
      </c>
      <c r="AG199" s="134">
        <v>3196.0</v>
      </c>
      <c r="AH199" s="134">
        <v>2054.0</v>
      </c>
      <c r="AI199" s="134">
        <v>3030.0</v>
      </c>
      <c r="AJ199" s="134">
        <v>1688.0</v>
      </c>
      <c r="AK199" s="134">
        <v>2368.0</v>
      </c>
      <c r="AL199" s="134">
        <v>1650.0</v>
      </c>
      <c r="AM199" s="134">
        <v>2704.0</v>
      </c>
      <c r="AN199" s="134">
        <v>34496.0</v>
      </c>
    </row>
    <row r="200">
      <c r="A200" s="98"/>
      <c r="B200" s="136" t="s">
        <v>200</v>
      </c>
      <c r="C200" s="134">
        <v>40558.0</v>
      </c>
      <c r="D200" s="134">
        <v>14368.0</v>
      </c>
      <c r="E200" s="134">
        <v>26190.0</v>
      </c>
      <c r="F200" s="135">
        <v>0.0</v>
      </c>
      <c r="G200" s="135">
        <v>0.0</v>
      </c>
      <c r="H200" s="135">
        <v>0.0</v>
      </c>
      <c r="I200" s="135">
        <v>0.0</v>
      </c>
      <c r="J200" s="135">
        <v>0.0</v>
      </c>
      <c r="K200" s="135">
        <v>0.0</v>
      </c>
      <c r="L200" s="137">
        <v>10.0</v>
      </c>
      <c r="M200" s="137">
        <v>30.0</v>
      </c>
      <c r="N200" s="137">
        <v>26.0</v>
      </c>
      <c r="O200" s="137">
        <v>72.0</v>
      </c>
      <c r="P200" s="137">
        <v>36.0</v>
      </c>
      <c r="Q200" s="137">
        <v>138.0</v>
      </c>
      <c r="R200" s="137">
        <v>134.0</v>
      </c>
      <c r="S200" s="137">
        <v>238.0</v>
      </c>
      <c r="T200" s="137">
        <v>214.0</v>
      </c>
      <c r="U200" s="137">
        <v>466.0</v>
      </c>
      <c r="V200" s="137">
        <v>430.0</v>
      </c>
      <c r="W200" s="137">
        <v>922.0</v>
      </c>
      <c r="X200" s="137">
        <v>648.0</v>
      </c>
      <c r="Y200" s="134">
        <v>1332.0</v>
      </c>
      <c r="Z200" s="134">
        <v>1098.0</v>
      </c>
      <c r="AA200" s="134">
        <v>2468.0</v>
      </c>
      <c r="AB200" s="134">
        <v>1572.0</v>
      </c>
      <c r="AC200" s="134">
        <v>3520.0</v>
      </c>
      <c r="AD200" s="134">
        <v>1924.0</v>
      </c>
      <c r="AE200" s="134">
        <v>3664.0</v>
      </c>
      <c r="AF200" s="134">
        <v>2258.0</v>
      </c>
      <c r="AG200" s="134">
        <v>3778.0</v>
      </c>
      <c r="AH200" s="134">
        <v>2304.0</v>
      </c>
      <c r="AI200" s="134">
        <v>3646.0</v>
      </c>
      <c r="AJ200" s="134">
        <v>1928.0</v>
      </c>
      <c r="AK200" s="134">
        <v>2832.0</v>
      </c>
      <c r="AL200" s="134">
        <v>1786.0</v>
      </c>
      <c r="AM200" s="134">
        <v>3084.0</v>
      </c>
      <c r="AN200" s="134">
        <v>40346.0</v>
      </c>
    </row>
    <row r="201">
      <c r="A201" s="104"/>
      <c r="B201" s="136" t="s">
        <v>201</v>
      </c>
      <c r="C201" s="137">
        <v>2.0</v>
      </c>
      <c r="D201" s="137">
        <v>0.0</v>
      </c>
      <c r="E201" s="137">
        <v>2.0</v>
      </c>
      <c r="F201" s="135">
        <v>0.0</v>
      </c>
      <c r="G201" s="135">
        <v>0.0</v>
      </c>
      <c r="H201" s="135">
        <v>0.0</v>
      </c>
      <c r="I201" s="135">
        <v>0.0</v>
      </c>
      <c r="J201" s="135">
        <v>0.0</v>
      </c>
      <c r="K201" s="135">
        <v>0.0</v>
      </c>
      <c r="L201" s="137">
        <v>0.0</v>
      </c>
      <c r="M201" s="137">
        <v>0.0</v>
      </c>
      <c r="N201" s="137">
        <v>0.0</v>
      </c>
      <c r="O201" s="137">
        <v>0.0</v>
      </c>
      <c r="P201" s="137">
        <v>0.0</v>
      </c>
      <c r="Q201" s="137">
        <v>0.0</v>
      </c>
      <c r="R201" s="137">
        <v>0.0</v>
      </c>
      <c r="S201" s="137">
        <v>0.0</v>
      </c>
      <c r="T201" s="137">
        <v>0.0</v>
      </c>
      <c r="U201" s="137">
        <v>0.0</v>
      </c>
      <c r="V201" s="137">
        <v>0.0</v>
      </c>
      <c r="W201" s="137">
        <v>0.0</v>
      </c>
      <c r="X201" s="137">
        <v>0.0</v>
      </c>
      <c r="Y201" s="137">
        <v>0.0</v>
      </c>
      <c r="Z201" s="137">
        <v>0.0</v>
      </c>
      <c r="AA201" s="137">
        <v>0.0</v>
      </c>
      <c r="AB201" s="137">
        <v>0.0</v>
      </c>
      <c r="AC201" s="137">
        <v>0.0</v>
      </c>
      <c r="AD201" s="137">
        <v>0.0</v>
      </c>
      <c r="AE201" s="137">
        <v>0.0</v>
      </c>
      <c r="AF201" s="137">
        <v>0.0</v>
      </c>
      <c r="AG201" s="137">
        <v>0.0</v>
      </c>
      <c r="AH201" s="137">
        <v>0.0</v>
      </c>
      <c r="AI201" s="137">
        <v>0.0</v>
      </c>
      <c r="AJ201" s="137">
        <v>0.0</v>
      </c>
      <c r="AK201" s="137">
        <v>2.0</v>
      </c>
      <c r="AL201" s="137">
        <v>0.0</v>
      </c>
      <c r="AM201" s="137">
        <v>0.0</v>
      </c>
      <c r="AN201" s="137">
        <v>2.0</v>
      </c>
    </row>
    <row r="202">
      <c r="A202" s="132" t="s">
        <v>202</v>
      </c>
      <c r="B202" s="136" t="s">
        <v>198</v>
      </c>
      <c r="C202" s="137">
        <v>230.0</v>
      </c>
      <c r="D202" s="137">
        <v>142.0</v>
      </c>
      <c r="E202" s="137">
        <v>88.0</v>
      </c>
      <c r="F202" s="137">
        <v>6.0</v>
      </c>
      <c r="G202" s="137">
        <v>2.0</v>
      </c>
      <c r="H202" s="137">
        <v>2.0</v>
      </c>
      <c r="I202" s="137">
        <v>4.0</v>
      </c>
      <c r="J202" s="137">
        <v>0.0</v>
      </c>
      <c r="K202" s="137">
        <v>0.0</v>
      </c>
      <c r="L202" s="137">
        <v>0.0</v>
      </c>
      <c r="M202" s="137">
        <v>4.0</v>
      </c>
      <c r="N202" s="137">
        <v>2.0</v>
      </c>
      <c r="O202" s="137">
        <v>6.0</v>
      </c>
      <c r="P202" s="137">
        <v>14.0</v>
      </c>
      <c r="Q202" s="137">
        <v>24.0</v>
      </c>
      <c r="R202" s="137">
        <v>16.0</v>
      </c>
      <c r="S202" s="137">
        <v>14.0</v>
      </c>
      <c r="T202" s="137">
        <v>22.0</v>
      </c>
      <c r="U202" s="137">
        <v>10.0</v>
      </c>
      <c r="V202" s="137">
        <v>6.0</v>
      </c>
      <c r="W202" s="137">
        <v>2.0</v>
      </c>
      <c r="X202" s="137">
        <v>6.0</v>
      </c>
      <c r="Y202" s="137">
        <v>2.0</v>
      </c>
      <c r="Z202" s="137">
        <v>2.0</v>
      </c>
      <c r="AA202" s="137">
        <v>8.0</v>
      </c>
      <c r="AB202" s="137">
        <v>2.0</v>
      </c>
      <c r="AC202" s="137">
        <v>2.0</v>
      </c>
      <c r="AD202" s="137">
        <v>30.0</v>
      </c>
      <c r="AE202" s="137">
        <v>8.0</v>
      </c>
      <c r="AF202" s="137">
        <v>20.0</v>
      </c>
      <c r="AG202" s="137">
        <v>0.0</v>
      </c>
      <c r="AH202" s="137">
        <v>0.0</v>
      </c>
      <c r="AI202" s="137">
        <v>2.0</v>
      </c>
      <c r="AJ202" s="137">
        <v>6.0</v>
      </c>
      <c r="AK202" s="137">
        <v>0.0</v>
      </c>
      <c r="AL202" s="137">
        <v>8.0</v>
      </c>
      <c r="AM202" s="137">
        <v>0.0</v>
      </c>
      <c r="AN202" s="137">
        <v>210.0</v>
      </c>
    </row>
    <row r="203">
      <c r="A203" s="104"/>
      <c r="B203" s="136" t="s">
        <v>199</v>
      </c>
      <c r="C203" s="137">
        <v>38.0</v>
      </c>
      <c r="D203" s="137">
        <v>28.0</v>
      </c>
      <c r="E203" s="137">
        <v>10.0</v>
      </c>
      <c r="F203" s="137">
        <v>0.0</v>
      </c>
      <c r="G203" s="137">
        <v>0.0</v>
      </c>
      <c r="H203" s="137">
        <v>0.0</v>
      </c>
      <c r="I203" s="137">
        <v>0.0</v>
      </c>
      <c r="J203" s="137">
        <v>0.0</v>
      </c>
      <c r="K203" s="137">
        <v>0.0</v>
      </c>
      <c r="L203" s="137">
        <v>0.0</v>
      </c>
      <c r="M203" s="137">
        <v>2.0</v>
      </c>
      <c r="N203" s="137">
        <v>0.0</v>
      </c>
      <c r="O203" s="137">
        <v>0.0</v>
      </c>
      <c r="P203" s="137">
        <v>2.0</v>
      </c>
      <c r="Q203" s="137">
        <v>0.0</v>
      </c>
      <c r="R203" s="137">
        <v>2.0</v>
      </c>
      <c r="S203" s="137">
        <v>4.0</v>
      </c>
      <c r="T203" s="137">
        <v>8.0</v>
      </c>
      <c r="U203" s="137">
        <v>0.0</v>
      </c>
      <c r="V203" s="137">
        <v>0.0</v>
      </c>
      <c r="W203" s="137">
        <v>0.0</v>
      </c>
      <c r="X203" s="137">
        <v>0.0</v>
      </c>
      <c r="Y203" s="137">
        <v>2.0</v>
      </c>
      <c r="Z203" s="137">
        <v>0.0</v>
      </c>
      <c r="AA203" s="137">
        <v>2.0</v>
      </c>
      <c r="AB203" s="137">
        <v>0.0</v>
      </c>
      <c r="AC203" s="137">
        <v>0.0</v>
      </c>
      <c r="AD203" s="137">
        <v>8.0</v>
      </c>
      <c r="AE203" s="137">
        <v>0.0</v>
      </c>
      <c r="AF203" s="137">
        <v>2.0</v>
      </c>
      <c r="AG203" s="137">
        <v>0.0</v>
      </c>
      <c r="AH203" s="137">
        <v>0.0</v>
      </c>
      <c r="AI203" s="137">
        <v>0.0</v>
      </c>
      <c r="AJ203" s="137">
        <v>2.0</v>
      </c>
      <c r="AK203" s="137">
        <v>0.0</v>
      </c>
      <c r="AL203" s="137">
        <v>4.0</v>
      </c>
      <c r="AM203" s="137">
        <v>0.0</v>
      </c>
      <c r="AN203" s="137">
        <v>36.0</v>
      </c>
    </row>
    <row r="204">
      <c r="A204" s="132" t="s">
        <v>203</v>
      </c>
      <c r="B204" s="136" t="s">
        <v>198</v>
      </c>
      <c r="C204" s="137">
        <v>132.0</v>
      </c>
      <c r="D204" s="137">
        <v>52.0</v>
      </c>
      <c r="E204" s="137">
        <v>80.0</v>
      </c>
      <c r="F204" s="135">
        <v>0.0</v>
      </c>
      <c r="G204" s="135">
        <v>0.0</v>
      </c>
      <c r="H204" s="135">
        <v>0.0</v>
      </c>
      <c r="I204" s="135">
        <v>0.0</v>
      </c>
      <c r="J204" s="135">
        <v>0.0</v>
      </c>
      <c r="K204" s="135">
        <v>0.0</v>
      </c>
      <c r="L204" s="135">
        <v>0.0</v>
      </c>
      <c r="M204" s="135">
        <v>0.0</v>
      </c>
      <c r="N204" s="135">
        <v>0.0</v>
      </c>
      <c r="O204" s="135">
        <v>0.0</v>
      </c>
      <c r="P204" s="135">
        <v>0.0</v>
      </c>
      <c r="Q204" s="135">
        <v>0.0</v>
      </c>
      <c r="R204" s="135">
        <v>0.0</v>
      </c>
      <c r="S204" s="135">
        <v>0.0</v>
      </c>
      <c r="T204" s="135">
        <v>0.0</v>
      </c>
      <c r="U204" s="135">
        <v>0.0</v>
      </c>
      <c r="V204" s="135">
        <v>0.0</v>
      </c>
      <c r="W204" s="135">
        <v>0.0</v>
      </c>
      <c r="X204" s="135">
        <v>0.0</v>
      </c>
      <c r="Y204" s="135">
        <v>0.0</v>
      </c>
      <c r="Z204" s="135">
        <v>0.0</v>
      </c>
      <c r="AA204" s="135">
        <v>0.0</v>
      </c>
      <c r="AB204" s="135">
        <v>0.0</v>
      </c>
      <c r="AC204" s="135">
        <v>0.0</v>
      </c>
      <c r="AD204" s="135">
        <v>0.0</v>
      </c>
      <c r="AE204" s="135">
        <v>0.0</v>
      </c>
      <c r="AF204" s="137">
        <v>12.0</v>
      </c>
      <c r="AG204" s="137">
        <v>14.0</v>
      </c>
      <c r="AH204" s="137">
        <v>12.0</v>
      </c>
      <c r="AI204" s="137">
        <v>30.0</v>
      </c>
      <c r="AJ204" s="137">
        <v>14.0</v>
      </c>
      <c r="AK204" s="137">
        <v>20.0</v>
      </c>
      <c r="AL204" s="137">
        <v>14.0</v>
      </c>
      <c r="AM204" s="137">
        <v>16.0</v>
      </c>
      <c r="AN204" s="137">
        <v>132.0</v>
      </c>
    </row>
    <row r="205">
      <c r="A205" s="104"/>
      <c r="B205" s="136" t="s">
        <v>199</v>
      </c>
      <c r="C205" s="137">
        <v>340.0</v>
      </c>
      <c r="D205" s="137">
        <v>130.0</v>
      </c>
      <c r="E205" s="137">
        <v>210.0</v>
      </c>
      <c r="F205" s="135">
        <v>0.0</v>
      </c>
      <c r="G205" s="135">
        <v>0.0</v>
      </c>
      <c r="H205" s="135">
        <v>0.0</v>
      </c>
      <c r="I205" s="135">
        <v>0.0</v>
      </c>
      <c r="J205" s="135">
        <v>0.0</v>
      </c>
      <c r="K205" s="135">
        <v>0.0</v>
      </c>
      <c r="L205" s="135">
        <v>0.0</v>
      </c>
      <c r="M205" s="135">
        <v>0.0</v>
      </c>
      <c r="N205" s="135">
        <v>0.0</v>
      </c>
      <c r="O205" s="135">
        <v>0.0</v>
      </c>
      <c r="P205" s="135">
        <v>0.0</v>
      </c>
      <c r="Q205" s="135">
        <v>0.0</v>
      </c>
      <c r="R205" s="135">
        <v>0.0</v>
      </c>
      <c r="S205" s="135">
        <v>0.0</v>
      </c>
      <c r="T205" s="135">
        <v>0.0</v>
      </c>
      <c r="U205" s="135">
        <v>0.0</v>
      </c>
      <c r="V205" s="135">
        <v>0.0</v>
      </c>
      <c r="W205" s="135">
        <v>0.0</v>
      </c>
      <c r="X205" s="135">
        <v>0.0</v>
      </c>
      <c r="Y205" s="135">
        <v>0.0</v>
      </c>
      <c r="Z205" s="135">
        <v>0.0</v>
      </c>
      <c r="AA205" s="135">
        <v>0.0</v>
      </c>
      <c r="AB205" s="135">
        <v>0.0</v>
      </c>
      <c r="AC205" s="135">
        <v>0.0</v>
      </c>
      <c r="AD205" s="135">
        <v>0.0</v>
      </c>
      <c r="AE205" s="135">
        <v>0.0</v>
      </c>
      <c r="AF205" s="137">
        <v>50.0</v>
      </c>
      <c r="AG205" s="137">
        <v>68.0</v>
      </c>
      <c r="AH205" s="137">
        <v>34.0</v>
      </c>
      <c r="AI205" s="137">
        <v>70.0</v>
      </c>
      <c r="AJ205" s="137">
        <v>26.0</v>
      </c>
      <c r="AK205" s="137">
        <v>32.0</v>
      </c>
      <c r="AL205" s="137">
        <v>20.0</v>
      </c>
      <c r="AM205" s="137">
        <v>40.0</v>
      </c>
      <c r="AN205" s="137">
        <v>340.0</v>
      </c>
    </row>
    <row r="206">
      <c r="A206" s="132" t="s">
        <v>204</v>
      </c>
      <c r="B206" s="136" t="s">
        <v>198</v>
      </c>
      <c r="C206" s="137">
        <v>90.0</v>
      </c>
      <c r="D206" s="137">
        <v>42.0</v>
      </c>
      <c r="E206" s="137">
        <v>48.0</v>
      </c>
      <c r="F206" s="135">
        <v>0.0</v>
      </c>
      <c r="G206" s="135">
        <v>0.0</v>
      </c>
      <c r="H206" s="135">
        <v>0.0</v>
      </c>
      <c r="I206" s="135">
        <v>0.0</v>
      </c>
      <c r="J206" s="135">
        <v>0.0</v>
      </c>
      <c r="K206" s="135">
        <v>0.0</v>
      </c>
      <c r="L206" s="135">
        <v>0.0</v>
      </c>
      <c r="M206" s="135">
        <v>0.0</v>
      </c>
      <c r="N206" s="135">
        <v>0.0</v>
      </c>
      <c r="O206" s="135">
        <v>0.0</v>
      </c>
      <c r="P206" s="135">
        <v>0.0</v>
      </c>
      <c r="Q206" s="135">
        <v>0.0</v>
      </c>
      <c r="R206" s="135">
        <v>0.0</v>
      </c>
      <c r="S206" s="135">
        <v>0.0</v>
      </c>
      <c r="T206" s="135">
        <v>0.0</v>
      </c>
      <c r="U206" s="135">
        <v>0.0</v>
      </c>
      <c r="V206" s="135">
        <v>0.0</v>
      </c>
      <c r="W206" s="135">
        <v>0.0</v>
      </c>
      <c r="X206" s="135">
        <v>0.0</v>
      </c>
      <c r="Y206" s="135">
        <v>0.0</v>
      </c>
      <c r="Z206" s="135">
        <v>0.0</v>
      </c>
      <c r="AA206" s="135">
        <v>0.0</v>
      </c>
      <c r="AB206" s="135">
        <v>0.0</v>
      </c>
      <c r="AC206" s="135">
        <v>0.0</v>
      </c>
      <c r="AD206" s="135">
        <v>0.0</v>
      </c>
      <c r="AE206" s="135">
        <v>0.0</v>
      </c>
      <c r="AF206" s="137">
        <v>4.0</v>
      </c>
      <c r="AG206" s="137">
        <v>6.0</v>
      </c>
      <c r="AH206" s="137">
        <v>10.0</v>
      </c>
      <c r="AI206" s="137">
        <v>8.0</v>
      </c>
      <c r="AJ206" s="137">
        <v>6.0</v>
      </c>
      <c r="AK206" s="137">
        <v>12.0</v>
      </c>
      <c r="AL206" s="137">
        <v>22.0</v>
      </c>
      <c r="AM206" s="137">
        <v>22.0</v>
      </c>
      <c r="AN206" s="137">
        <v>90.0</v>
      </c>
    </row>
    <row r="207">
      <c r="A207" s="104"/>
      <c r="B207" s="136" t="s">
        <v>199</v>
      </c>
      <c r="C207" s="137">
        <v>234.0</v>
      </c>
      <c r="D207" s="137">
        <v>84.0</v>
      </c>
      <c r="E207" s="137">
        <v>150.0</v>
      </c>
      <c r="F207" s="135">
        <v>0.0</v>
      </c>
      <c r="G207" s="135">
        <v>0.0</v>
      </c>
      <c r="H207" s="135">
        <v>0.0</v>
      </c>
      <c r="I207" s="135">
        <v>0.0</v>
      </c>
      <c r="J207" s="135">
        <v>0.0</v>
      </c>
      <c r="K207" s="135">
        <v>0.0</v>
      </c>
      <c r="L207" s="135">
        <v>0.0</v>
      </c>
      <c r="M207" s="135">
        <v>0.0</v>
      </c>
      <c r="N207" s="135">
        <v>0.0</v>
      </c>
      <c r="O207" s="135">
        <v>0.0</v>
      </c>
      <c r="P207" s="135">
        <v>0.0</v>
      </c>
      <c r="Q207" s="135">
        <v>0.0</v>
      </c>
      <c r="R207" s="135">
        <v>0.0</v>
      </c>
      <c r="S207" s="135">
        <v>0.0</v>
      </c>
      <c r="T207" s="135">
        <v>0.0</v>
      </c>
      <c r="U207" s="135">
        <v>0.0</v>
      </c>
      <c r="V207" s="135">
        <v>0.0</v>
      </c>
      <c r="W207" s="135">
        <v>0.0</v>
      </c>
      <c r="X207" s="135">
        <v>0.0</v>
      </c>
      <c r="Y207" s="135">
        <v>0.0</v>
      </c>
      <c r="Z207" s="135">
        <v>0.0</v>
      </c>
      <c r="AA207" s="135">
        <v>0.0</v>
      </c>
      <c r="AB207" s="135">
        <v>0.0</v>
      </c>
      <c r="AC207" s="135">
        <v>0.0</v>
      </c>
      <c r="AD207" s="135">
        <v>0.0</v>
      </c>
      <c r="AE207" s="135">
        <v>0.0</v>
      </c>
      <c r="AF207" s="137">
        <v>16.0</v>
      </c>
      <c r="AG207" s="137">
        <v>14.0</v>
      </c>
      <c r="AH207" s="137">
        <v>14.0</v>
      </c>
      <c r="AI207" s="137">
        <v>32.0</v>
      </c>
      <c r="AJ207" s="137">
        <v>12.0</v>
      </c>
      <c r="AK207" s="137">
        <v>32.0</v>
      </c>
      <c r="AL207" s="137">
        <v>42.0</v>
      </c>
      <c r="AM207" s="137">
        <v>72.0</v>
      </c>
      <c r="AN207" s="137">
        <v>234.0</v>
      </c>
    </row>
    <row r="208">
      <c r="A208" s="132" t="s">
        <v>205</v>
      </c>
      <c r="B208" s="136" t="s">
        <v>198</v>
      </c>
      <c r="C208" s="137">
        <v>886.0</v>
      </c>
      <c r="D208" s="137">
        <v>254.0</v>
      </c>
      <c r="E208" s="137">
        <v>632.0</v>
      </c>
      <c r="F208" s="137">
        <v>0.0</v>
      </c>
      <c r="G208" s="137">
        <v>0.0</v>
      </c>
      <c r="H208" s="137">
        <v>0.0</v>
      </c>
      <c r="I208" s="137">
        <v>0.0</v>
      </c>
      <c r="J208" s="137">
        <v>0.0</v>
      </c>
      <c r="K208" s="137">
        <v>0.0</v>
      </c>
      <c r="L208" s="137">
        <v>16.0</v>
      </c>
      <c r="M208" s="137">
        <v>70.0</v>
      </c>
      <c r="N208" s="137">
        <v>48.0</v>
      </c>
      <c r="O208" s="137">
        <v>148.0</v>
      </c>
      <c r="P208" s="137">
        <v>58.0</v>
      </c>
      <c r="Q208" s="137">
        <v>92.0</v>
      </c>
      <c r="R208" s="137">
        <v>36.0</v>
      </c>
      <c r="S208" s="137">
        <v>122.0</v>
      </c>
      <c r="T208" s="137">
        <v>18.0</v>
      </c>
      <c r="U208" s="137">
        <v>58.0</v>
      </c>
      <c r="V208" s="137">
        <v>12.0</v>
      </c>
      <c r="W208" s="137">
        <v>20.0</v>
      </c>
      <c r="X208" s="137">
        <v>18.0</v>
      </c>
      <c r="Y208" s="137">
        <v>46.0</v>
      </c>
      <c r="Z208" s="137">
        <v>12.0</v>
      </c>
      <c r="AA208" s="137">
        <v>46.0</v>
      </c>
      <c r="AB208" s="137">
        <v>22.0</v>
      </c>
      <c r="AC208" s="137">
        <v>18.0</v>
      </c>
      <c r="AD208" s="137">
        <v>8.0</v>
      </c>
      <c r="AE208" s="137">
        <v>2.0</v>
      </c>
      <c r="AF208" s="137">
        <v>2.0</v>
      </c>
      <c r="AG208" s="137">
        <v>0.0</v>
      </c>
      <c r="AH208" s="137">
        <v>0.0</v>
      </c>
      <c r="AI208" s="137">
        <v>6.0</v>
      </c>
      <c r="AJ208" s="137">
        <v>4.0</v>
      </c>
      <c r="AK208" s="137">
        <v>4.0</v>
      </c>
      <c r="AL208" s="137">
        <v>0.0</v>
      </c>
      <c r="AM208" s="137">
        <v>0.0</v>
      </c>
      <c r="AN208" s="137">
        <v>886.0</v>
      </c>
    </row>
    <row r="209">
      <c r="A209" s="98"/>
      <c r="B209" s="136" t="s">
        <v>199</v>
      </c>
      <c r="C209" s="137">
        <v>4.0</v>
      </c>
      <c r="D209" s="137">
        <v>2.0</v>
      </c>
      <c r="E209" s="137">
        <v>2.0</v>
      </c>
      <c r="F209" s="137">
        <v>0.0</v>
      </c>
      <c r="G209" s="137">
        <v>0.0</v>
      </c>
      <c r="H209" s="137">
        <v>2.0</v>
      </c>
      <c r="I209" s="137">
        <v>0.0</v>
      </c>
      <c r="J209" s="137">
        <v>0.0</v>
      </c>
      <c r="K209" s="137">
        <v>0.0</v>
      </c>
      <c r="L209" s="137">
        <v>0.0</v>
      </c>
      <c r="M209" s="137">
        <v>0.0</v>
      </c>
      <c r="N209" s="137">
        <v>0.0</v>
      </c>
      <c r="O209" s="137">
        <v>2.0</v>
      </c>
      <c r="P209" s="137">
        <v>0.0</v>
      </c>
      <c r="Q209" s="137">
        <v>0.0</v>
      </c>
      <c r="R209" s="137">
        <v>0.0</v>
      </c>
      <c r="S209" s="137">
        <v>0.0</v>
      </c>
      <c r="T209" s="137">
        <v>0.0</v>
      </c>
      <c r="U209" s="137">
        <v>0.0</v>
      </c>
      <c r="V209" s="137">
        <v>0.0</v>
      </c>
      <c r="W209" s="137">
        <v>0.0</v>
      </c>
      <c r="X209" s="137">
        <v>0.0</v>
      </c>
      <c r="Y209" s="137">
        <v>0.0</v>
      </c>
      <c r="Z209" s="137">
        <v>0.0</v>
      </c>
      <c r="AA209" s="137">
        <v>0.0</v>
      </c>
      <c r="AB209" s="137">
        <v>0.0</v>
      </c>
      <c r="AC209" s="137">
        <v>0.0</v>
      </c>
      <c r="AD209" s="137">
        <v>0.0</v>
      </c>
      <c r="AE209" s="137">
        <v>0.0</v>
      </c>
      <c r="AF209" s="137">
        <v>0.0</v>
      </c>
      <c r="AG209" s="137">
        <v>0.0</v>
      </c>
      <c r="AH209" s="137">
        <v>0.0</v>
      </c>
      <c r="AI209" s="137">
        <v>0.0</v>
      </c>
      <c r="AJ209" s="137">
        <v>0.0</v>
      </c>
      <c r="AK209" s="137">
        <v>0.0</v>
      </c>
      <c r="AL209" s="137">
        <v>0.0</v>
      </c>
      <c r="AM209" s="137">
        <v>0.0</v>
      </c>
      <c r="AN209" s="137">
        <v>4.0</v>
      </c>
    </row>
    <row r="210">
      <c r="A210" s="104"/>
      <c r="B210" s="136" t="s">
        <v>206</v>
      </c>
      <c r="C210" s="137">
        <v>434.0</v>
      </c>
      <c r="D210" s="137">
        <v>108.0</v>
      </c>
      <c r="E210" s="137">
        <v>326.0</v>
      </c>
      <c r="F210" s="137">
        <v>0.0</v>
      </c>
      <c r="G210" s="137">
        <v>0.0</v>
      </c>
      <c r="H210" s="137">
        <v>0.0</v>
      </c>
      <c r="I210" s="137">
        <v>0.0</v>
      </c>
      <c r="J210" s="137">
        <v>0.0</v>
      </c>
      <c r="K210" s="137">
        <v>4.0</v>
      </c>
      <c r="L210" s="137">
        <v>8.0</v>
      </c>
      <c r="M210" s="137">
        <v>42.0</v>
      </c>
      <c r="N210" s="137">
        <v>44.0</v>
      </c>
      <c r="O210" s="137">
        <v>84.0</v>
      </c>
      <c r="P210" s="137">
        <v>20.0</v>
      </c>
      <c r="Q210" s="137">
        <v>52.0</v>
      </c>
      <c r="R210" s="137">
        <v>12.0</v>
      </c>
      <c r="S210" s="137">
        <v>18.0</v>
      </c>
      <c r="T210" s="137">
        <v>2.0</v>
      </c>
      <c r="U210" s="137">
        <v>42.0</v>
      </c>
      <c r="V210" s="137">
        <v>12.0</v>
      </c>
      <c r="W210" s="137">
        <v>12.0</v>
      </c>
      <c r="X210" s="137">
        <v>4.0</v>
      </c>
      <c r="Y210" s="137">
        <v>26.0</v>
      </c>
      <c r="Z210" s="137">
        <v>4.0</v>
      </c>
      <c r="AA210" s="137">
        <v>8.0</v>
      </c>
      <c r="AB210" s="137">
        <v>0.0</v>
      </c>
      <c r="AC210" s="137">
        <v>24.0</v>
      </c>
      <c r="AD210" s="137">
        <v>2.0</v>
      </c>
      <c r="AE210" s="137">
        <v>12.0</v>
      </c>
      <c r="AF210" s="137">
        <v>0.0</v>
      </c>
      <c r="AG210" s="137">
        <v>0.0</v>
      </c>
      <c r="AH210" s="137">
        <v>0.0</v>
      </c>
      <c r="AI210" s="137">
        <v>2.0</v>
      </c>
      <c r="AJ210" s="137">
        <v>0.0</v>
      </c>
      <c r="AK210" s="137">
        <v>0.0</v>
      </c>
      <c r="AL210" s="137">
        <v>0.0</v>
      </c>
      <c r="AM210" s="137">
        <v>0.0</v>
      </c>
      <c r="AN210" s="137">
        <v>430.0</v>
      </c>
    </row>
    <row r="211">
      <c r="A211" s="132" t="s">
        <v>207</v>
      </c>
      <c r="B211" s="136" t="s">
        <v>198</v>
      </c>
      <c r="C211" s="134">
        <v>28298.0</v>
      </c>
      <c r="D211" s="134">
        <v>6106.0</v>
      </c>
      <c r="E211" s="134">
        <v>22192.0</v>
      </c>
      <c r="F211" s="137">
        <v>244.0</v>
      </c>
      <c r="G211" s="137">
        <v>188.0</v>
      </c>
      <c r="H211" s="137">
        <v>108.0</v>
      </c>
      <c r="I211" s="137">
        <v>78.0</v>
      </c>
      <c r="J211" s="137">
        <v>86.0</v>
      </c>
      <c r="K211" s="137">
        <v>68.0</v>
      </c>
      <c r="L211" s="137">
        <v>90.0</v>
      </c>
      <c r="M211" s="137">
        <v>240.0</v>
      </c>
      <c r="N211" s="137">
        <v>116.0</v>
      </c>
      <c r="O211" s="137">
        <v>358.0</v>
      </c>
      <c r="P211" s="137">
        <v>110.0</v>
      </c>
      <c r="Q211" s="137">
        <v>606.0</v>
      </c>
      <c r="R211" s="137">
        <v>152.0</v>
      </c>
      <c r="S211" s="137">
        <v>788.0</v>
      </c>
      <c r="T211" s="137">
        <v>184.0</v>
      </c>
      <c r="U211" s="137">
        <v>936.0</v>
      </c>
      <c r="V211" s="137">
        <v>168.0</v>
      </c>
      <c r="W211" s="134">
        <v>1158.0</v>
      </c>
      <c r="X211" s="137">
        <v>288.0</v>
      </c>
      <c r="Y211" s="134">
        <v>1444.0</v>
      </c>
      <c r="Z211" s="137">
        <v>328.0</v>
      </c>
      <c r="AA211" s="134">
        <v>2276.0</v>
      </c>
      <c r="AB211" s="137">
        <v>600.0</v>
      </c>
      <c r="AC211" s="134">
        <v>2562.0</v>
      </c>
      <c r="AD211" s="137">
        <v>652.0</v>
      </c>
      <c r="AE211" s="134">
        <v>2864.0</v>
      </c>
      <c r="AF211" s="137">
        <v>684.0</v>
      </c>
      <c r="AG211" s="134">
        <v>2836.0</v>
      </c>
      <c r="AH211" s="137">
        <v>772.0</v>
      </c>
      <c r="AI211" s="134">
        <v>2304.0</v>
      </c>
      <c r="AJ211" s="137">
        <v>710.0</v>
      </c>
      <c r="AK211" s="134">
        <v>1718.0</v>
      </c>
      <c r="AL211" s="137">
        <v>814.0</v>
      </c>
      <c r="AM211" s="134">
        <v>1768.0</v>
      </c>
      <c r="AN211" s="134">
        <v>27918.0</v>
      </c>
    </row>
    <row r="212">
      <c r="A212" s="98"/>
      <c r="B212" s="136" t="s">
        <v>199</v>
      </c>
      <c r="C212" s="134">
        <v>1892.0</v>
      </c>
      <c r="D212" s="137">
        <v>408.0</v>
      </c>
      <c r="E212" s="134">
        <v>1484.0</v>
      </c>
      <c r="F212" s="137">
        <v>32.0</v>
      </c>
      <c r="G212" s="137">
        <v>24.0</v>
      </c>
      <c r="H212" s="137">
        <v>14.0</v>
      </c>
      <c r="I212" s="137">
        <v>30.0</v>
      </c>
      <c r="J212" s="137">
        <v>4.0</v>
      </c>
      <c r="K212" s="137">
        <v>2.0</v>
      </c>
      <c r="L212" s="137">
        <v>2.0</v>
      </c>
      <c r="M212" s="137">
        <v>6.0</v>
      </c>
      <c r="N212" s="137">
        <v>0.0</v>
      </c>
      <c r="O212" s="137">
        <v>6.0</v>
      </c>
      <c r="P212" s="137">
        <v>0.0</v>
      </c>
      <c r="Q212" s="137">
        <v>14.0</v>
      </c>
      <c r="R212" s="137">
        <v>4.0</v>
      </c>
      <c r="S212" s="137">
        <v>12.0</v>
      </c>
      <c r="T212" s="137">
        <v>6.0</v>
      </c>
      <c r="U212" s="137">
        <v>30.0</v>
      </c>
      <c r="V212" s="137">
        <v>0.0</v>
      </c>
      <c r="W212" s="137">
        <v>28.0</v>
      </c>
      <c r="X212" s="137">
        <v>6.0</v>
      </c>
      <c r="Y212" s="137">
        <v>74.0</v>
      </c>
      <c r="Z212" s="137">
        <v>20.0</v>
      </c>
      <c r="AA212" s="137">
        <v>106.0</v>
      </c>
      <c r="AB212" s="137">
        <v>36.0</v>
      </c>
      <c r="AC212" s="137">
        <v>104.0</v>
      </c>
      <c r="AD212" s="137">
        <v>32.0</v>
      </c>
      <c r="AE212" s="137">
        <v>218.0</v>
      </c>
      <c r="AF212" s="137">
        <v>84.0</v>
      </c>
      <c r="AG212" s="137">
        <v>248.0</v>
      </c>
      <c r="AH212" s="137">
        <v>42.0</v>
      </c>
      <c r="AI212" s="137">
        <v>218.0</v>
      </c>
      <c r="AJ212" s="137">
        <v>40.0</v>
      </c>
      <c r="AK212" s="137">
        <v>164.0</v>
      </c>
      <c r="AL212" s="137">
        <v>86.0</v>
      </c>
      <c r="AM212" s="137">
        <v>200.0</v>
      </c>
      <c r="AN212" s="134">
        <v>1884.0</v>
      </c>
    </row>
    <row r="213">
      <c r="A213" s="98"/>
      <c r="B213" s="136" t="s">
        <v>206</v>
      </c>
      <c r="C213" s="137">
        <v>292.0</v>
      </c>
      <c r="D213" s="137">
        <v>60.0</v>
      </c>
      <c r="E213" s="137">
        <v>232.0</v>
      </c>
      <c r="F213" s="137">
        <v>6.0</v>
      </c>
      <c r="G213" s="137">
        <v>0.0</v>
      </c>
      <c r="H213" s="137">
        <v>2.0</v>
      </c>
      <c r="I213" s="137">
        <v>0.0</v>
      </c>
      <c r="J213" s="137">
        <v>0.0</v>
      </c>
      <c r="K213" s="137">
        <v>0.0</v>
      </c>
      <c r="L213" s="137">
        <v>0.0</v>
      </c>
      <c r="M213" s="137">
        <v>0.0</v>
      </c>
      <c r="N213" s="137">
        <v>0.0</v>
      </c>
      <c r="O213" s="137">
        <v>4.0</v>
      </c>
      <c r="P213" s="137">
        <v>0.0</v>
      </c>
      <c r="Q213" s="137">
        <v>40.0</v>
      </c>
      <c r="R213" s="137">
        <v>18.0</v>
      </c>
      <c r="S213" s="137">
        <v>34.0</v>
      </c>
      <c r="T213" s="137">
        <v>22.0</v>
      </c>
      <c r="U213" s="137">
        <v>26.0</v>
      </c>
      <c r="V213" s="137">
        <v>4.0</v>
      </c>
      <c r="W213" s="137">
        <v>32.0</v>
      </c>
      <c r="X213" s="137">
        <v>2.0</v>
      </c>
      <c r="Y213" s="137">
        <v>30.0</v>
      </c>
      <c r="Z213" s="137">
        <v>0.0</v>
      </c>
      <c r="AA213" s="137">
        <v>44.0</v>
      </c>
      <c r="AB213" s="137">
        <v>0.0</v>
      </c>
      <c r="AC213" s="137">
        <v>22.0</v>
      </c>
      <c r="AD213" s="137">
        <v>2.0</v>
      </c>
      <c r="AE213" s="137">
        <v>0.0</v>
      </c>
      <c r="AF213" s="137">
        <v>2.0</v>
      </c>
      <c r="AG213" s="137">
        <v>0.0</v>
      </c>
      <c r="AH213" s="137">
        <v>0.0</v>
      </c>
      <c r="AI213" s="137">
        <v>0.0</v>
      </c>
      <c r="AJ213" s="137">
        <v>2.0</v>
      </c>
      <c r="AK213" s="137">
        <v>0.0</v>
      </c>
      <c r="AL213" s="137">
        <v>0.0</v>
      </c>
      <c r="AM213" s="137">
        <v>0.0</v>
      </c>
      <c r="AN213" s="137">
        <v>286.0</v>
      </c>
    </row>
    <row r="214">
      <c r="A214" s="98"/>
      <c r="B214" s="136" t="s">
        <v>200</v>
      </c>
      <c r="C214" s="134">
        <v>2014.0</v>
      </c>
      <c r="D214" s="137">
        <v>598.0</v>
      </c>
      <c r="E214" s="134">
        <v>1416.0</v>
      </c>
      <c r="F214" s="137">
        <v>238.0</v>
      </c>
      <c r="G214" s="137">
        <v>260.0</v>
      </c>
      <c r="H214" s="137">
        <v>10.0</v>
      </c>
      <c r="I214" s="137">
        <v>10.0</v>
      </c>
      <c r="J214" s="137">
        <v>0.0</v>
      </c>
      <c r="K214" s="137">
        <v>4.0</v>
      </c>
      <c r="L214" s="137">
        <v>6.0</v>
      </c>
      <c r="M214" s="137">
        <v>40.0</v>
      </c>
      <c r="N214" s="137">
        <v>20.0</v>
      </c>
      <c r="O214" s="137">
        <v>74.0</v>
      </c>
      <c r="P214" s="137">
        <v>16.0</v>
      </c>
      <c r="Q214" s="137">
        <v>80.0</v>
      </c>
      <c r="R214" s="137">
        <v>22.0</v>
      </c>
      <c r="S214" s="137">
        <v>108.0</v>
      </c>
      <c r="T214" s="137">
        <v>24.0</v>
      </c>
      <c r="U214" s="137">
        <v>76.0</v>
      </c>
      <c r="V214" s="137">
        <v>12.0</v>
      </c>
      <c r="W214" s="137">
        <v>66.0</v>
      </c>
      <c r="X214" s="137">
        <v>32.0</v>
      </c>
      <c r="Y214" s="137">
        <v>102.0</v>
      </c>
      <c r="Z214" s="137">
        <v>22.0</v>
      </c>
      <c r="AA214" s="137">
        <v>122.0</v>
      </c>
      <c r="AB214" s="137">
        <v>36.0</v>
      </c>
      <c r="AC214" s="137">
        <v>76.0</v>
      </c>
      <c r="AD214" s="137">
        <v>44.0</v>
      </c>
      <c r="AE214" s="137">
        <v>88.0</v>
      </c>
      <c r="AF214" s="137">
        <v>32.0</v>
      </c>
      <c r="AG214" s="137">
        <v>98.0</v>
      </c>
      <c r="AH214" s="137">
        <v>36.0</v>
      </c>
      <c r="AI214" s="137">
        <v>70.0</v>
      </c>
      <c r="AJ214" s="137">
        <v>18.0</v>
      </c>
      <c r="AK214" s="137">
        <v>52.0</v>
      </c>
      <c r="AL214" s="137">
        <v>30.0</v>
      </c>
      <c r="AM214" s="137">
        <v>90.0</v>
      </c>
      <c r="AN214" s="134">
        <v>1978.0</v>
      </c>
    </row>
    <row r="215">
      <c r="A215" s="104"/>
      <c r="B215" s="136" t="s">
        <v>201</v>
      </c>
      <c r="C215" s="137">
        <v>18.0</v>
      </c>
      <c r="D215" s="137">
        <v>8.0</v>
      </c>
      <c r="E215" s="137">
        <v>10.0</v>
      </c>
      <c r="F215" s="137">
        <v>0.0</v>
      </c>
      <c r="G215" s="137">
        <v>0.0</v>
      </c>
      <c r="H215" s="137">
        <v>0.0</v>
      </c>
      <c r="I215" s="137">
        <v>0.0</v>
      </c>
      <c r="J215" s="137">
        <v>0.0</v>
      </c>
      <c r="K215" s="137">
        <v>0.0</v>
      </c>
      <c r="L215" s="137">
        <v>0.0</v>
      </c>
      <c r="M215" s="137">
        <v>0.0</v>
      </c>
      <c r="N215" s="137">
        <v>0.0</v>
      </c>
      <c r="O215" s="137">
        <v>0.0</v>
      </c>
      <c r="P215" s="137">
        <v>0.0</v>
      </c>
      <c r="Q215" s="137">
        <v>0.0</v>
      </c>
      <c r="R215" s="137">
        <v>0.0</v>
      </c>
      <c r="S215" s="137">
        <v>0.0</v>
      </c>
      <c r="T215" s="137">
        <v>0.0</v>
      </c>
      <c r="U215" s="137">
        <v>0.0</v>
      </c>
      <c r="V215" s="137">
        <v>0.0</v>
      </c>
      <c r="W215" s="137">
        <v>4.0</v>
      </c>
      <c r="X215" s="137">
        <v>0.0</v>
      </c>
      <c r="Y215" s="137">
        <v>0.0</v>
      </c>
      <c r="Z215" s="137">
        <v>0.0</v>
      </c>
      <c r="AA215" s="137">
        <v>2.0</v>
      </c>
      <c r="AB215" s="137">
        <v>0.0</v>
      </c>
      <c r="AC215" s="137">
        <v>0.0</v>
      </c>
      <c r="AD215" s="137">
        <v>0.0</v>
      </c>
      <c r="AE215" s="137">
        <v>2.0</v>
      </c>
      <c r="AF215" s="137">
        <v>2.0</v>
      </c>
      <c r="AG215" s="137">
        <v>0.0</v>
      </c>
      <c r="AH215" s="137">
        <v>0.0</v>
      </c>
      <c r="AI215" s="137">
        <v>0.0</v>
      </c>
      <c r="AJ215" s="137">
        <v>6.0</v>
      </c>
      <c r="AK215" s="137">
        <v>2.0</v>
      </c>
      <c r="AL215" s="137">
        <v>0.0</v>
      </c>
      <c r="AM215" s="137">
        <v>0.0</v>
      </c>
      <c r="AN215" s="137">
        <v>18.0</v>
      </c>
    </row>
    <row r="216">
      <c r="A216" s="132" t="s">
        <v>208</v>
      </c>
      <c r="B216" s="136" t="s">
        <v>198</v>
      </c>
      <c r="C216" s="137">
        <v>114.0</v>
      </c>
      <c r="D216" s="137">
        <v>80.0</v>
      </c>
      <c r="E216" s="137">
        <v>34.0</v>
      </c>
      <c r="F216" s="137">
        <v>76.0</v>
      </c>
      <c r="G216" s="137">
        <v>34.0</v>
      </c>
      <c r="H216" s="137">
        <v>4.0</v>
      </c>
      <c r="I216" s="137">
        <v>0.0</v>
      </c>
      <c r="J216" s="137">
        <v>0.0</v>
      </c>
      <c r="K216" s="137">
        <v>0.0</v>
      </c>
      <c r="L216" s="137">
        <v>0.0</v>
      </c>
      <c r="M216" s="137">
        <v>0.0</v>
      </c>
      <c r="N216" s="137">
        <v>0.0</v>
      </c>
      <c r="O216" s="137">
        <v>0.0</v>
      </c>
      <c r="P216" s="135">
        <v>0.0</v>
      </c>
      <c r="Q216" s="135">
        <v>0.0</v>
      </c>
      <c r="R216" s="135">
        <v>0.0</v>
      </c>
      <c r="S216" s="135">
        <v>0.0</v>
      </c>
      <c r="T216" s="135">
        <v>0.0</v>
      </c>
      <c r="U216" s="135">
        <v>0.0</v>
      </c>
      <c r="V216" s="135">
        <v>0.0</v>
      </c>
      <c r="W216" s="135">
        <v>0.0</v>
      </c>
      <c r="X216" s="135">
        <v>0.0</v>
      </c>
      <c r="Y216" s="135">
        <v>0.0</v>
      </c>
      <c r="Z216" s="135">
        <v>0.0</v>
      </c>
      <c r="AA216" s="135">
        <v>0.0</v>
      </c>
      <c r="AB216" s="135">
        <v>0.0</v>
      </c>
      <c r="AC216" s="135">
        <v>0.0</v>
      </c>
      <c r="AD216" s="135">
        <v>0.0</v>
      </c>
      <c r="AE216" s="135">
        <v>0.0</v>
      </c>
      <c r="AF216" s="135">
        <v>0.0</v>
      </c>
      <c r="AG216" s="135">
        <v>0.0</v>
      </c>
      <c r="AH216" s="135">
        <v>0.0</v>
      </c>
      <c r="AI216" s="135">
        <v>0.0</v>
      </c>
      <c r="AJ216" s="135">
        <v>0.0</v>
      </c>
      <c r="AK216" s="135">
        <v>0.0</v>
      </c>
      <c r="AL216" s="135">
        <v>0.0</v>
      </c>
      <c r="AM216" s="135">
        <v>0.0</v>
      </c>
      <c r="AN216" s="137">
        <v>110.0</v>
      </c>
    </row>
    <row r="217">
      <c r="A217" s="98"/>
      <c r="B217" s="136" t="s">
        <v>199</v>
      </c>
      <c r="C217" s="137">
        <v>428.0</v>
      </c>
      <c r="D217" s="137">
        <v>262.0</v>
      </c>
      <c r="E217" s="137">
        <v>166.0</v>
      </c>
      <c r="F217" s="137">
        <v>254.0</v>
      </c>
      <c r="G217" s="137">
        <v>158.0</v>
      </c>
      <c r="H217" s="137">
        <v>8.0</v>
      </c>
      <c r="I217" s="137">
        <v>8.0</v>
      </c>
      <c r="J217" s="137">
        <v>0.0</v>
      </c>
      <c r="K217" s="137">
        <v>0.0</v>
      </c>
      <c r="L217" s="137">
        <v>0.0</v>
      </c>
      <c r="M217" s="137">
        <v>0.0</v>
      </c>
      <c r="N217" s="137">
        <v>0.0</v>
      </c>
      <c r="O217" s="137">
        <v>0.0</v>
      </c>
      <c r="P217" s="135">
        <v>0.0</v>
      </c>
      <c r="Q217" s="135">
        <v>0.0</v>
      </c>
      <c r="R217" s="135">
        <v>0.0</v>
      </c>
      <c r="S217" s="135">
        <v>0.0</v>
      </c>
      <c r="T217" s="135">
        <v>0.0</v>
      </c>
      <c r="U217" s="135">
        <v>0.0</v>
      </c>
      <c r="V217" s="135">
        <v>0.0</v>
      </c>
      <c r="W217" s="135">
        <v>0.0</v>
      </c>
      <c r="X217" s="135">
        <v>0.0</v>
      </c>
      <c r="Y217" s="135">
        <v>0.0</v>
      </c>
      <c r="Z217" s="135">
        <v>0.0</v>
      </c>
      <c r="AA217" s="135">
        <v>0.0</v>
      </c>
      <c r="AB217" s="135">
        <v>0.0</v>
      </c>
      <c r="AC217" s="135">
        <v>0.0</v>
      </c>
      <c r="AD217" s="135">
        <v>0.0</v>
      </c>
      <c r="AE217" s="135">
        <v>0.0</v>
      </c>
      <c r="AF217" s="135">
        <v>0.0</v>
      </c>
      <c r="AG217" s="135">
        <v>0.0</v>
      </c>
      <c r="AH217" s="135">
        <v>0.0</v>
      </c>
      <c r="AI217" s="135">
        <v>0.0</v>
      </c>
      <c r="AJ217" s="135">
        <v>0.0</v>
      </c>
      <c r="AK217" s="135">
        <v>0.0</v>
      </c>
      <c r="AL217" s="135">
        <v>0.0</v>
      </c>
      <c r="AM217" s="135">
        <v>0.0</v>
      </c>
      <c r="AN217" s="137">
        <v>422.0</v>
      </c>
    </row>
    <row r="218">
      <c r="A218" s="98"/>
      <c r="B218" s="136" t="s">
        <v>206</v>
      </c>
      <c r="C218" s="137">
        <v>0.0</v>
      </c>
      <c r="D218" s="137">
        <v>0.0</v>
      </c>
      <c r="E218" s="137">
        <v>0.0</v>
      </c>
      <c r="F218" s="137">
        <v>0.0</v>
      </c>
      <c r="G218" s="137">
        <v>0.0</v>
      </c>
      <c r="H218" s="137">
        <v>0.0</v>
      </c>
      <c r="I218" s="137">
        <v>0.0</v>
      </c>
      <c r="J218" s="137">
        <v>0.0</v>
      </c>
      <c r="K218" s="137">
        <v>0.0</v>
      </c>
      <c r="L218" s="137">
        <v>0.0</v>
      </c>
      <c r="M218" s="137">
        <v>0.0</v>
      </c>
      <c r="N218" s="137">
        <v>0.0</v>
      </c>
      <c r="O218" s="137">
        <v>0.0</v>
      </c>
      <c r="P218" s="135">
        <v>0.0</v>
      </c>
      <c r="Q218" s="135">
        <v>0.0</v>
      </c>
      <c r="R218" s="135">
        <v>0.0</v>
      </c>
      <c r="S218" s="135">
        <v>0.0</v>
      </c>
      <c r="T218" s="135">
        <v>0.0</v>
      </c>
      <c r="U218" s="135">
        <v>0.0</v>
      </c>
      <c r="V218" s="135">
        <v>0.0</v>
      </c>
      <c r="W218" s="135">
        <v>0.0</v>
      </c>
      <c r="X218" s="135">
        <v>0.0</v>
      </c>
      <c r="Y218" s="135">
        <v>0.0</v>
      </c>
      <c r="Z218" s="135">
        <v>0.0</v>
      </c>
      <c r="AA218" s="135">
        <v>0.0</v>
      </c>
      <c r="AB218" s="135">
        <v>0.0</v>
      </c>
      <c r="AC218" s="135">
        <v>0.0</v>
      </c>
      <c r="AD218" s="135">
        <v>0.0</v>
      </c>
      <c r="AE218" s="135">
        <v>0.0</v>
      </c>
      <c r="AF218" s="135">
        <v>0.0</v>
      </c>
      <c r="AG218" s="135">
        <v>0.0</v>
      </c>
      <c r="AH218" s="135">
        <v>0.0</v>
      </c>
      <c r="AI218" s="135">
        <v>0.0</v>
      </c>
      <c r="AJ218" s="135">
        <v>0.0</v>
      </c>
      <c r="AK218" s="135">
        <v>0.0</v>
      </c>
      <c r="AL218" s="135">
        <v>0.0</v>
      </c>
      <c r="AM218" s="135">
        <v>0.0</v>
      </c>
      <c r="AN218" s="137">
        <v>0.0</v>
      </c>
    </row>
    <row r="219">
      <c r="A219" s="98"/>
      <c r="B219" s="136" t="s">
        <v>200</v>
      </c>
      <c r="C219" s="137">
        <v>18.0</v>
      </c>
      <c r="D219" s="137">
        <v>10.0</v>
      </c>
      <c r="E219" s="137">
        <v>8.0</v>
      </c>
      <c r="F219" s="137">
        <v>10.0</v>
      </c>
      <c r="G219" s="137">
        <v>8.0</v>
      </c>
      <c r="H219" s="137">
        <v>0.0</v>
      </c>
      <c r="I219" s="137">
        <v>0.0</v>
      </c>
      <c r="J219" s="137">
        <v>0.0</v>
      </c>
      <c r="K219" s="137">
        <v>0.0</v>
      </c>
      <c r="L219" s="137">
        <v>0.0</v>
      </c>
      <c r="M219" s="137">
        <v>0.0</v>
      </c>
      <c r="N219" s="137">
        <v>0.0</v>
      </c>
      <c r="O219" s="137">
        <v>0.0</v>
      </c>
      <c r="P219" s="135">
        <v>0.0</v>
      </c>
      <c r="Q219" s="135">
        <v>0.0</v>
      </c>
      <c r="R219" s="135">
        <v>0.0</v>
      </c>
      <c r="S219" s="135">
        <v>0.0</v>
      </c>
      <c r="T219" s="135">
        <v>0.0</v>
      </c>
      <c r="U219" s="135">
        <v>0.0</v>
      </c>
      <c r="V219" s="135">
        <v>0.0</v>
      </c>
      <c r="W219" s="135">
        <v>0.0</v>
      </c>
      <c r="X219" s="135">
        <v>0.0</v>
      </c>
      <c r="Y219" s="135">
        <v>0.0</v>
      </c>
      <c r="Z219" s="135">
        <v>0.0</v>
      </c>
      <c r="AA219" s="135">
        <v>0.0</v>
      </c>
      <c r="AB219" s="135">
        <v>0.0</v>
      </c>
      <c r="AC219" s="135">
        <v>0.0</v>
      </c>
      <c r="AD219" s="135">
        <v>0.0</v>
      </c>
      <c r="AE219" s="135">
        <v>0.0</v>
      </c>
      <c r="AF219" s="135">
        <v>0.0</v>
      </c>
      <c r="AG219" s="135">
        <v>0.0</v>
      </c>
      <c r="AH219" s="135">
        <v>0.0</v>
      </c>
      <c r="AI219" s="135">
        <v>0.0</v>
      </c>
      <c r="AJ219" s="135">
        <v>0.0</v>
      </c>
      <c r="AK219" s="135">
        <v>0.0</v>
      </c>
      <c r="AL219" s="135">
        <v>0.0</v>
      </c>
      <c r="AM219" s="135">
        <v>0.0</v>
      </c>
      <c r="AN219" s="137">
        <v>18.0</v>
      </c>
    </row>
    <row r="220">
      <c r="A220" s="104"/>
      <c r="B220" s="136" t="s">
        <v>201</v>
      </c>
      <c r="C220" s="137">
        <v>0.0</v>
      </c>
      <c r="D220" s="137">
        <v>0.0</v>
      </c>
      <c r="E220" s="137">
        <v>0.0</v>
      </c>
      <c r="F220" s="137">
        <v>0.0</v>
      </c>
      <c r="G220" s="137">
        <v>0.0</v>
      </c>
      <c r="H220" s="137">
        <v>0.0</v>
      </c>
      <c r="I220" s="137">
        <v>0.0</v>
      </c>
      <c r="J220" s="137">
        <v>0.0</v>
      </c>
      <c r="K220" s="137">
        <v>0.0</v>
      </c>
      <c r="L220" s="137">
        <v>0.0</v>
      </c>
      <c r="M220" s="137">
        <v>0.0</v>
      </c>
      <c r="N220" s="137">
        <v>0.0</v>
      </c>
      <c r="O220" s="137">
        <v>0.0</v>
      </c>
      <c r="P220" s="135">
        <v>0.0</v>
      </c>
      <c r="Q220" s="135">
        <v>0.0</v>
      </c>
      <c r="R220" s="135">
        <v>0.0</v>
      </c>
      <c r="S220" s="135">
        <v>0.0</v>
      </c>
      <c r="T220" s="135">
        <v>0.0</v>
      </c>
      <c r="U220" s="135">
        <v>0.0</v>
      </c>
      <c r="V220" s="135">
        <v>0.0</v>
      </c>
      <c r="W220" s="135">
        <v>0.0</v>
      </c>
      <c r="X220" s="135">
        <v>0.0</v>
      </c>
      <c r="Y220" s="135">
        <v>0.0</v>
      </c>
      <c r="Z220" s="135">
        <v>0.0</v>
      </c>
      <c r="AA220" s="135">
        <v>0.0</v>
      </c>
      <c r="AB220" s="135">
        <v>0.0</v>
      </c>
      <c r="AC220" s="135">
        <v>0.0</v>
      </c>
      <c r="AD220" s="135">
        <v>0.0</v>
      </c>
      <c r="AE220" s="135">
        <v>0.0</v>
      </c>
      <c r="AF220" s="135">
        <v>0.0</v>
      </c>
      <c r="AG220" s="135">
        <v>0.0</v>
      </c>
      <c r="AH220" s="135">
        <v>0.0</v>
      </c>
      <c r="AI220" s="135">
        <v>0.0</v>
      </c>
      <c r="AJ220" s="135">
        <v>0.0</v>
      </c>
      <c r="AK220" s="135">
        <v>0.0</v>
      </c>
      <c r="AL220" s="135">
        <v>0.0</v>
      </c>
      <c r="AM220" s="135">
        <v>0.0</v>
      </c>
      <c r="AN220" s="137">
        <v>0.0</v>
      </c>
    </row>
    <row r="221">
      <c r="A221" s="138" t="s">
        <v>248</v>
      </c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</row>
    <row r="222">
      <c r="A222" s="132" t="s">
        <v>197</v>
      </c>
      <c r="B222" s="133" t="s">
        <v>198</v>
      </c>
      <c r="C222" s="134">
        <v>235774.0</v>
      </c>
      <c r="D222" s="134">
        <v>87052.0</v>
      </c>
      <c r="E222" s="134">
        <v>148722.0</v>
      </c>
      <c r="F222" s="135">
        <v>0.0</v>
      </c>
      <c r="G222" s="135">
        <v>0.0</v>
      </c>
      <c r="H222" s="135">
        <v>0.0</v>
      </c>
      <c r="I222" s="135">
        <v>0.0</v>
      </c>
      <c r="J222" s="135">
        <v>0.0</v>
      </c>
      <c r="K222" s="135">
        <v>0.0</v>
      </c>
      <c r="L222" s="137">
        <v>154.0</v>
      </c>
      <c r="M222" s="137">
        <v>242.0</v>
      </c>
      <c r="N222" s="137">
        <v>326.0</v>
      </c>
      <c r="O222" s="137">
        <v>658.0</v>
      </c>
      <c r="P222" s="137">
        <v>582.0</v>
      </c>
      <c r="Q222" s="134">
        <v>1330.0</v>
      </c>
      <c r="R222" s="134">
        <v>1040.0</v>
      </c>
      <c r="S222" s="134">
        <v>2116.0</v>
      </c>
      <c r="T222" s="134">
        <v>1698.0</v>
      </c>
      <c r="U222" s="134">
        <v>3154.0</v>
      </c>
      <c r="V222" s="134">
        <v>2910.0</v>
      </c>
      <c r="W222" s="134">
        <v>5446.0</v>
      </c>
      <c r="X222" s="134">
        <v>5304.0</v>
      </c>
      <c r="Y222" s="134">
        <v>9644.0</v>
      </c>
      <c r="Z222" s="134">
        <v>8034.0</v>
      </c>
      <c r="AA222" s="134">
        <v>15354.0</v>
      </c>
      <c r="AB222" s="134">
        <v>10818.0</v>
      </c>
      <c r="AC222" s="134">
        <v>19286.0</v>
      </c>
      <c r="AD222" s="134">
        <v>12204.0</v>
      </c>
      <c r="AE222" s="134">
        <v>19514.0</v>
      </c>
      <c r="AF222" s="134">
        <v>12616.0</v>
      </c>
      <c r="AG222" s="134">
        <v>19584.0</v>
      </c>
      <c r="AH222" s="134">
        <v>12284.0</v>
      </c>
      <c r="AI222" s="134">
        <v>18684.0</v>
      </c>
      <c r="AJ222" s="134">
        <v>9844.0</v>
      </c>
      <c r="AK222" s="134">
        <v>15548.0</v>
      </c>
      <c r="AL222" s="134">
        <v>9238.0</v>
      </c>
      <c r="AM222" s="134">
        <v>18162.0</v>
      </c>
      <c r="AN222" s="134">
        <v>233756.0</v>
      </c>
    </row>
    <row r="223">
      <c r="A223" s="98"/>
      <c r="B223" s="136" t="s">
        <v>199</v>
      </c>
      <c r="C223" s="134">
        <v>125022.0</v>
      </c>
      <c r="D223" s="134">
        <v>45286.0</v>
      </c>
      <c r="E223" s="134">
        <v>79736.0</v>
      </c>
      <c r="F223" s="135">
        <v>0.0</v>
      </c>
      <c r="G223" s="135">
        <v>0.0</v>
      </c>
      <c r="H223" s="135">
        <v>0.0</v>
      </c>
      <c r="I223" s="135">
        <v>0.0</v>
      </c>
      <c r="J223" s="135">
        <v>0.0</v>
      </c>
      <c r="K223" s="135">
        <v>0.0</v>
      </c>
      <c r="L223" s="137">
        <v>62.0</v>
      </c>
      <c r="M223" s="137">
        <v>106.0</v>
      </c>
      <c r="N223" s="137">
        <v>156.0</v>
      </c>
      <c r="O223" s="137">
        <v>270.0</v>
      </c>
      <c r="P223" s="137">
        <v>248.0</v>
      </c>
      <c r="Q223" s="137">
        <v>540.0</v>
      </c>
      <c r="R223" s="137">
        <v>476.0</v>
      </c>
      <c r="S223" s="137">
        <v>994.0</v>
      </c>
      <c r="T223" s="137">
        <v>810.0</v>
      </c>
      <c r="U223" s="134">
        <v>1584.0</v>
      </c>
      <c r="V223" s="134">
        <v>1368.0</v>
      </c>
      <c r="W223" s="134">
        <v>2772.0</v>
      </c>
      <c r="X223" s="134">
        <v>2552.0</v>
      </c>
      <c r="Y223" s="134">
        <v>4862.0</v>
      </c>
      <c r="Z223" s="134">
        <v>4360.0</v>
      </c>
      <c r="AA223" s="134">
        <v>8280.0</v>
      </c>
      <c r="AB223" s="134">
        <v>5712.0</v>
      </c>
      <c r="AC223" s="134">
        <v>10306.0</v>
      </c>
      <c r="AD223" s="134">
        <v>6408.0</v>
      </c>
      <c r="AE223" s="134">
        <v>10754.0</v>
      </c>
      <c r="AF223" s="134">
        <v>6404.0</v>
      </c>
      <c r="AG223" s="134">
        <v>10732.0</v>
      </c>
      <c r="AH223" s="134">
        <v>6522.0</v>
      </c>
      <c r="AI223" s="134">
        <v>10236.0</v>
      </c>
      <c r="AJ223" s="134">
        <v>5212.0</v>
      </c>
      <c r="AK223" s="134">
        <v>8446.0</v>
      </c>
      <c r="AL223" s="134">
        <v>4996.0</v>
      </c>
      <c r="AM223" s="134">
        <v>9854.0</v>
      </c>
      <c r="AN223" s="134">
        <v>124654.0</v>
      </c>
    </row>
    <row r="224">
      <c r="A224" s="98"/>
      <c r="B224" s="136" t="s">
        <v>200</v>
      </c>
      <c r="C224" s="134">
        <v>115116.0</v>
      </c>
      <c r="D224" s="134">
        <v>40604.0</v>
      </c>
      <c r="E224" s="134">
        <v>74512.0</v>
      </c>
      <c r="F224" s="135">
        <v>0.0</v>
      </c>
      <c r="G224" s="135">
        <v>0.0</v>
      </c>
      <c r="H224" s="135">
        <v>0.0</v>
      </c>
      <c r="I224" s="135">
        <v>0.0</v>
      </c>
      <c r="J224" s="135">
        <v>0.0</v>
      </c>
      <c r="K224" s="135">
        <v>0.0</v>
      </c>
      <c r="L224" s="137">
        <v>88.0</v>
      </c>
      <c r="M224" s="137">
        <v>126.0</v>
      </c>
      <c r="N224" s="137">
        <v>118.0</v>
      </c>
      <c r="O224" s="137">
        <v>344.0</v>
      </c>
      <c r="P224" s="137">
        <v>308.0</v>
      </c>
      <c r="Q224" s="137">
        <v>866.0</v>
      </c>
      <c r="R224" s="137">
        <v>460.0</v>
      </c>
      <c r="S224" s="134">
        <v>1248.0</v>
      </c>
      <c r="T224" s="137">
        <v>756.0</v>
      </c>
      <c r="U224" s="134">
        <v>1804.0</v>
      </c>
      <c r="V224" s="134">
        <v>1328.0</v>
      </c>
      <c r="W224" s="134">
        <v>2892.0</v>
      </c>
      <c r="X224" s="134">
        <v>2648.0</v>
      </c>
      <c r="Y224" s="134">
        <v>5104.0</v>
      </c>
      <c r="Z224" s="134">
        <v>4052.0</v>
      </c>
      <c r="AA224" s="134">
        <v>7938.0</v>
      </c>
      <c r="AB224" s="134">
        <v>5262.0</v>
      </c>
      <c r="AC224" s="134">
        <v>10220.0</v>
      </c>
      <c r="AD224" s="134">
        <v>5614.0</v>
      </c>
      <c r="AE224" s="134">
        <v>10134.0</v>
      </c>
      <c r="AF224" s="134">
        <v>5646.0</v>
      </c>
      <c r="AG224" s="134">
        <v>9588.0</v>
      </c>
      <c r="AH224" s="134">
        <v>5632.0</v>
      </c>
      <c r="AI224" s="134">
        <v>9146.0</v>
      </c>
      <c r="AJ224" s="134">
        <v>4460.0</v>
      </c>
      <c r="AK224" s="134">
        <v>7152.0</v>
      </c>
      <c r="AL224" s="134">
        <v>4232.0</v>
      </c>
      <c r="AM224" s="134">
        <v>7950.0</v>
      </c>
      <c r="AN224" s="134">
        <v>112164.0</v>
      </c>
    </row>
    <row r="225">
      <c r="A225" s="104"/>
      <c r="B225" s="136" t="s">
        <v>201</v>
      </c>
      <c r="C225" s="134">
        <v>3278.0</v>
      </c>
      <c r="D225" s="134">
        <v>1420.0</v>
      </c>
      <c r="E225" s="134">
        <v>1858.0</v>
      </c>
      <c r="F225" s="135">
        <v>0.0</v>
      </c>
      <c r="G225" s="135">
        <v>0.0</v>
      </c>
      <c r="H225" s="135">
        <v>0.0</v>
      </c>
      <c r="I225" s="135">
        <v>0.0</v>
      </c>
      <c r="J225" s="135">
        <v>0.0</v>
      </c>
      <c r="K225" s="135">
        <v>0.0</v>
      </c>
      <c r="L225" s="137">
        <v>24.0</v>
      </c>
      <c r="M225" s="137">
        <v>22.0</v>
      </c>
      <c r="N225" s="137">
        <v>42.0</v>
      </c>
      <c r="O225" s="137">
        <v>52.0</v>
      </c>
      <c r="P225" s="137">
        <v>30.0</v>
      </c>
      <c r="Q225" s="137">
        <v>76.0</v>
      </c>
      <c r="R225" s="137">
        <v>48.0</v>
      </c>
      <c r="S225" s="137">
        <v>38.0</v>
      </c>
      <c r="T225" s="137">
        <v>44.0</v>
      </c>
      <c r="U225" s="137">
        <v>70.0</v>
      </c>
      <c r="V225" s="137">
        <v>78.0</v>
      </c>
      <c r="W225" s="137">
        <v>78.0</v>
      </c>
      <c r="X225" s="137">
        <v>124.0</v>
      </c>
      <c r="Y225" s="137">
        <v>232.0</v>
      </c>
      <c r="Z225" s="137">
        <v>114.0</v>
      </c>
      <c r="AA225" s="137">
        <v>236.0</v>
      </c>
      <c r="AB225" s="137">
        <v>202.0</v>
      </c>
      <c r="AC225" s="137">
        <v>228.0</v>
      </c>
      <c r="AD225" s="137">
        <v>150.0</v>
      </c>
      <c r="AE225" s="137">
        <v>192.0</v>
      </c>
      <c r="AF225" s="137">
        <v>192.0</v>
      </c>
      <c r="AG225" s="137">
        <v>180.0</v>
      </c>
      <c r="AH225" s="137">
        <v>176.0</v>
      </c>
      <c r="AI225" s="137">
        <v>190.0</v>
      </c>
      <c r="AJ225" s="137">
        <v>106.0</v>
      </c>
      <c r="AK225" s="137">
        <v>154.0</v>
      </c>
      <c r="AL225" s="137">
        <v>90.0</v>
      </c>
      <c r="AM225" s="137">
        <v>110.0</v>
      </c>
      <c r="AN225" s="134">
        <v>3278.0</v>
      </c>
    </row>
    <row r="226">
      <c r="A226" s="132" t="s">
        <v>202</v>
      </c>
      <c r="B226" s="136" t="s">
        <v>198</v>
      </c>
      <c r="C226" s="134">
        <v>1546.0</v>
      </c>
      <c r="D226" s="137">
        <v>906.0</v>
      </c>
      <c r="E226" s="137">
        <v>640.0</v>
      </c>
      <c r="F226" s="137">
        <v>2.0</v>
      </c>
      <c r="G226" s="137">
        <v>4.0</v>
      </c>
      <c r="H226" s="137">
        <v>6.0</v>
      </c>
      <c r="I226" s="137">
        <v>16.0</v>
      </c>
      <c r="J226" s="137">
        <v>30.0</v>
      </c>
      <c r="K226" s="137">
        <v>2.0</v>
      </c>
      <c r="L226" s="137">
        <v>16.0</v>
      </c>
      <c r="M226" s="137">
        <v>30.0</v>
      </c>
      <c r="N226" s="137">
        <v>124.0</v>
      </c>
      <c r="O226" s="137">
        <v>84.0</v>
      </c>
      <c r="P226" s="137">
        <v>122.0</v>
      </c>
      <c r="Q226" s="137">
        <v>74.0</v>
      </c>
      <c r="R226" s="137">
        <v>92.0</v>
      </c>
      <c r="S226" s="137">
        <v>80.0</v>
      </c>
      <c r="T226" s="137">
        <v>138.0</v>
      </c>
      <c r="U226" s="137">
        <v>90.0</v>
      </c>
      <c r="V226" s="137">
        <v>56.0</v>
      </c>
      <c r="W226" s="137">
        <v>36.0</v>
      </c>
      <c r="X226" s="137">
        <v>54.0</v>
      </c>
      <c r="Y226" s="137">
        <v>24.0</v>
      </c>
      <c r="Z226" s="137">
        <v>74.0</v>
      </c>
      <c r="AA226" s="137">
        <v>24.0</v>
      </c>
      <c r="AB226" s="137">
        <v>62.0</v>
      </c>
      <c r="AC226" s="137">
        <v>38.0</v>
      </c>
      <c r="AD226" s="137">
        <v>50.0</v>
      </c>
      <c r="AE226" s="137">
        <v>42.0</v>
      </c>
      <c r="AF226" s="137">
        <v>36.0</v>
      </c>
      <c r="AG226" s="137">
        <v>26.0</v>
      </c>
      <c r="AH226" s="137">
        <v>16.0</v>
      </c>
      <c r="AI226" s="137">
        <v>16.0</v>
      </c>
      <c r="AJ226" s="137">
        <v>18.0</v>
      </c>
      <c r="AK226" s="137">
        <v>8.0</v>
      </c>
      <c r="AL226" s="137">
        <v>10.0</v>
      </c>
      <c r="AM226" s="137">
        <v>46.0</v>
      </c>
      <c r="AN226" s="134">
        <v>1544.0</v>
      </c>
    </row>
    <row r="227">
      <c r="A227" s="104"/>
      <c r="B227" s="136" t="s">
        <v>199</v>
      </c>
      <c r="C227" s="134">
        <v>1954.0</v>
      </c>
      <c r="D227" s="134">
        <v>1092.0</v>
      </c>
      <c r="E227" s="137">
        <v>862.0</v>
      </c>
      <c r="F227" s="137">
        <v>102.0</v>
      </c>
      <c r="G227" s="137">
        <v>44.0</v>
      </c>
      <c r="H227" s="137">
        <v>112.0</v>
      </c>
      <c r="I227" s="137">
        <v>58.0</v>
      </c>
      <c r="J227" s="137">
        <v>46.0</v>
      </c>
      <c r="K227" s="137">
        <v>24.0</v>
      </c>
      <c r="L227" s="137">
        <v>22.0</v>
      </c>
      <c r="M227" s="137">
        <v>34.0</v>
      </c>
      <c r="N227" s="137">
        <v>110.0</v>
      </c>
      <c r="O227" s="137">
        <v>244.0</v>
      </c>
      <c r="P227" s="137">
        <v>66.0</v>
      </c>
      <c r="Q227" s="137">
        <v>32.0</v>
      </c>
      <c r="R227" s="137">
        <v>60.0</v>
      </c>
      <c r="S227" s="137">
        <v>68.0</v>
      </c>
      <c r="T227" s="137">
        <v>300.0</v>
      </c>
      <c r="U227" s="137">
        <v>90.0</v>
      </c>
      <c r="V227" s="137">
        <v>42.0</v>
      </c>
      <c r="W227" s="137">
        <v>32.0</v>
      </c>
      <c r="X227" s="137">
        <v>72.0</v>
      </c>
      <c r="Y227" s="137">
        <v>18.0</v>
      </c>
      <c r="Z227" s="137">
        <v>54.0</v>
      </c>
      <c r="AA227" s="137">
        <v>28.0</v>
      </c>
      <c r="AB227" s="137">
        <v>30.0</v>
      </c>
      <c r="AC227" s="137">
        <v>28.0</v>
      </c>
      <c r="AD227" s="137">
        <v>26.0</v>
      </c>
      <c r="AE227" s="137">
        <v>30.0</v>
      </c>
      <c r="AF227" s="137">
        <v>40.0</v>
      </c>
      <c r="AG227" s="137">
        <v>66.0</v>
      </c>
      <c r="AH227" s="137">
        <v>4.0</v>
      </c>
      <c r="AI227" s="137">
        <v>14.0</v>
      </c>
      <c r="AJ227" s="137">
        <v>2.0</v>
      </c>
      <c r="AK227" s="137">
        <v>8.0</v>
      </c>
      <c r="AL227" s="137">
        <v>4.0</v>
      </c>
      <c r="AM227" s="137">
        <v>44.0</v>
      </c>
      <c r="AN227" s="134">
        <v>1928.0</v>
      </c>
    </row>
    <row r="228">
      <c r="A228" s="132" t="s">
        <v>203</v>
      </c>
      <c r="B228" s="136" t="s">
        <v>198</v>
      </c>
      <c r="C228" s="137">
        <v>104.0</v>
      </c>
      <c r="D228" s="137">
        <v>40.0</v>
      </c>
      <c r="E228" s="137">
        <v>64.0</v>
      </c>
      <c r="F228" s="135">
        <v>0.0</v>
      </c>
      <c r="G228" s="135">
        <v>0.0</v>
      </c>
      <c r="H228" s="135">
        <v>0.0</v>
      </c>
      <c r="I228" s="135">
        <v>0.0</v>
      </c>
      <c r="J228" s="135">
        <v>0.0</v>
      </c>
      <c r="K228" s="135">
        <v>0.0</v>
      </c>
      <c r="L228" s="135">
        <v>0.0</v>
      </c>
      <c r="M228" s="135">
        <v>0.0</v>
      </c>
      <c r="N228" s="135">
        <v>0.0</v>
      </c>
      <c r="O228" s="135">
        <v>0.0</v>
      </c>
      <c r="P228" s="135">
        <v>0.0</v>
      </c>
      <c r="Q228" s="135">
        <v>0.0</v>
      </c>
      <c r="R228" s="135">
        <v>0.0</v>
      </c>
      <c r="S228" s="135">
        <v>0.0</v>
      </c>
      <c r="T228" s="135">
        <v>0.0</v>
      </c>
      <c r="U228" s="135">
        <v>0.0</v>
      </c>
      <c r="V228" s="135">
        <v>0.0</v>
      </c>
      <c r="W228" s="135">
        <v>0.0</v>
      </c>
      <c r="X228" s="135">
        <v>0.0</v>
      </c>
      <c r="Y228" s="135">
        <v>0.0</v>
      </c>
      <c r="Z228" s="135">
        <v>0.0</v>
      </c>
      <c r="AA228" s="135">
        <v>0.0</v>
      </c>
      <c r="AB228" s="135">
        <v>0.0</v>
      </c>
      <c r="AC228" s="135">
        <v>0.0</v>
      </c>
      <c r="AD228" s="135">
        <v>0.0</v>
      </c>
      <c r="AE228" s="135">
        <v>0.0</v>
      </c>
      <c r="AF228" s="137">
        <v>12.0</v>
      </c>
      <c r="AG228" s="137">
        <v>14.0</v>
      </c>
      <c r="AH228" s="137">
        <v>4.0</v>
      </c>
      <c r="AI228" s="137">
        <v>12.0</v>
      </c>
      <c r="AJ228" s="137">
        <v>12.0</v>
      </c>
      <c r="AK228" s="137">
        <v>22.0</v>
      </c>
      <c r="AL228" s="137">
        <v>12.0</v>
      </c>
      <c r="AM228" s="137">
        <v>16.0</v>
      </c>
      <c r="AN228" s="137">
        <v>104.0</v>
      </c>
    </row>
    <row r="229">
      <c r="A229" s="104"/>
      <c r="B229" s="136" t="s">
        <v>199</v>
      </c>
      <c r="C229" s="134">
        <v>2048.0</v>
      </c>
      <c r="D229" s="137">
        <v>668.0</v>
      </c>
      <c r="E229" s="134">
        <v>1380.0</v>
      </c>
      <c r="F229" s="135">
        <v>0.0</v>
      </c>
      <c r="G229" s="135">
        <v>0.0</v>
      </c>
      <c r="H229" s="135">
        <v>0.0</v>
      </c>
      <c r="I229" s="135">
        <v>0.0</v>
      </c>
      <c r="J229" s="135">
        <v>0.0</v>
      </c>
      <c r="K229" s="135">
        <v>0.0</v>
      </c>
      <c r="L229" s="135">
        <v>0.0</v>
      </c>
      <c r="M229" s="135">
        <v>0.0</v>
      </c>
      <c r="N229" s="135">
        <v>0.0</v>
      </c>
      <c r="O229" s="135">
        <v>0.0</v>
      </c>
      <c r="P229" s="135">
        <v>0.0</v>
      </c>
      <c r="Q229" s="135">
        <v>0.0</v>
      </c>
      <c r="R229" s="135">
        <v>0.0</v>
      </c>
      <c r="S229" s="135">
        <v>0.0</v>
      </c>
      <c r="T229" s="135">
        <v>0.0</v>
      </c>
      <c r="U229" s="135">
        <v>0.0</v>
      </c>
      <c r="V229" s="135">
        <v>0.0</v>
      </c>
      <c r="W229" s="135">
        <v>0.0</v>
      </c>
      <c r="X229" s="135">
        <v>0.0</v>
      </c>
      <c r="Y229" s="135">
        <v>0.0</v>
      </c>
      <c r="Z229" s="135">
        <v>0.0</v>
      </c>
      <c r="AA229" s="135">
        <v>0.0</v>
      </c>
      <c r="AB229" s="135">
        <v>0.0</v>
      </c>
      <c r="AC229" s="135">
        <v>0.0</v>
      </c>
      <c r="AD229" s="135">
        <v>0.0</v>
      </c>
      <c r="AE229" s="135">
        <v>0.0</v>
      </c>
      <c r="AF229" s="137">
        <v>170.0</v>
      </c>
      <c r="AG229" s="137">
        <v>390.0</v>
      </c>
      <c r="AH229" s="137">
        <v>198.0</v>
      </c>
      <c r="AI229" s="137">
        <v>398.0</v>
      </c>
      <c r="AJ229" s="137">
        <v>164.0</v>
      </c>
      <c r="AK229" s="137">
        <v>334.0</v>
      </c>
      <c r="AL229" s="137">
        <v>136.0</v>
      </c>
      <c r="AM229" s="137">
        <v>258.0</v>
      </c>
      <c r="AN229" s="134">
        <v>2038.0</v>
      </c>
    </row>
    <row r="230">
      <c r="A230" s="132" t="s">
        <v>204</v>
      </c>
      <c r="B230" s="136" t="s">
        <v>198</v>
      </c>
      <c r="C230" s="137">
        <v>48.0</v>
      </c>
      <c r="D230" s="137">
        <v>18.0</v>
      </c>
      <c r="E230" s="137">
        <v>30.0</v>
      </c>
      <c r="F230" s="135">
        <v>0.0</v>
      </c>
      <c r="G230" s="135">
        <v>0.0</v>
      </c>
      <c r="H230" s="135">
        <v>0.0</v>
      </c>
      <c r="I230" s="135">
        <v>0.0</v>
      </c>
      <c r="J230" s="135">
        <v>0.0</v>
      </c>
      <c r="K230" s="135">
        <v>0.0</v>
      </c>
      <c r="L230" s="135">
        <v>0.0</v>
      </c>
      <c r="M230" s="135">
        <v>0.0</v>
      </c>
      <c r="N230" s="135">
        <v>0.0</v>
      </c>
      <c r="O230" s="135">
        <v>0.0</v>
      </c>
      <c r="P230" s="135">
        <v>0.0</v>
      </c>
      <c r="Q230" s="135">
        <v>0.0</v>
      </c>
      <c r="R230" s="135">
        <v>0.0</v>
      </c>
      <c r="S230" s="135">
        <v>0.0</v>
      </c>
      <c r="T230" s="135">
        <v>0.0</v>
      </c>
      <c r="U230" s="135">
        <v>0.0</v>
      </c>
      <c r="V230" s="135">
        <v>0.0</v>
      </c>
      <c r="W230" s="135">
        <v>0.0</v>
      </c>
      <c r="X230" s="135">
        <v>0.0</v>
      </c>
      <c r="Y230" s="135">
        <v>0.0</v>
      </c>
      <c r="Z230" s="135">
        <v>0.0</v>
      </c>
      <c r="AA230" s="135">
        <v>0.0</v>
      </c>
      <c r="AB230" s="135">
        <v>0.0</v>
      </c>
      <c r="AC230" s="135">
        <v>0.0</v>
      </c>
      <c r="AD230" s="135">
        <v>0.0</v>
      </c>
      <c r="AE230" s="135">
        <v>0.0</v>
      </c>
      <c r="AF230" s="137">
        <v>8.0</v>
      </c>
      <c r="AG230" s="137">
        <v>4.0</v>
      </c>
      <c r="AH230" s="137">
        <v>4.0</v>
      </c>
      <c r="AI230" s="137">
        <v>2.0</v>
      </c>
      <c r="AJ230" s="137">
        <v>0.0</v>
      </c>
      <c r="AK230" s="137">
        <v>4.0</v>
      </c>
      <c r="AL230" s="137">
        <v>6.0</v>
      </c>
      <c r="AM230" s="137">
        <v>20.0</v>
      </c>
      <c r="AN230" s="137">
        <v>48.0</v>
      </c>
    </row>
    <row r="231">
      <c r="A231" s="104"/>
      <c r="B231" s="136" t="s">
        <v>199</v>
      </c>
      <c r="C231" s="134">
        <v>1338.0</v>
      </c>
      <c r="D231" s="137">
        <v>412.0</v>
      </c>
      <c r="E231" s="137">
        <v>926.0</v>
      </c>
      <c r="F231" s="135">
        <v>0.0</v>
      </c>
      <c r="G231" s="135">
        <v>0.0</v>
      </c>
      <c r="H231" s="135">
        <v>0.0</v>
      </c>
      <c r="I231" s="135">
        <v>0.0</v>
      </c>
      <c r="J231" s="135">
        <v>0.0</v>
      </c>
      <c r="K231" s="135">
        <v>0.0</v>
      </c>
      <c r="L231" s="135">
        <v>0.0</v>
      </c>
      <c r="M231" s="135">
        <v>0.0</v>
      </c>
      <c r="N231" s="135">
        <v>0.0</v>
      </c>
      <c r="O231" s="135">
        <v>0.0</v>
      </c>
      <c r="P231" s="135">
        <v>0.0</v>
      </c>
      <c r="Q231" s="135">
        <v>0.0</v>
      </c>
      <c r="R231" s="135">
        <v>0.0</v>
      </c>
      <c r="S231" s="135">
        <v>0.0</v>
      </c>
      <c r="T231" s="135">
        <v>0.0</v>
      </c>
      <c r="U231" s="135">
        <v>0.0</v>
      </c>
      <c r="V231" s="135">
        <v>0.0</v>
      </c>
      <c r="W231" s="135">
        <v>0.0</v>
      </c>
      <c r="X231" s="135">
        <v>0.0</v>
      </c>
      <c r="Y231" s="135">
        <v>0.0</v>
      </c>
      <c r="Z231" s="135">
        <v>0.0</v>
      </c>
      <c r="AA231" s="135">
        <v>0.0</v>
      </c>
      <c r="AB231" s="135">
        <v>0.0</v>
      </c>
      <c r="AC231" s="135">
        <v>0.0</v>
      </c>
      <c r="AD231" s="135">
        <v>0.0</v>
      </c>
      <c r="AE231" s="135">
        <v>0.0</v>
      </c>
      <c r="AF231" s="137">
        <v>34.0</v>
      </c>
      <c r="AG231" s="137">
        <v>114.0</v>
      </c>
      <c r="AH231" s="137">
        <v>82.0</v>
      </c>
      <c r="AI231" s="137">
        <v>154.0</v>
      </c>
      <c r="AJ231" s="137">
        <v>94.0</v>
      </c>
      <c r="AK231" s="137">
        <v>184.0</v>
      </c>
      <c r="AL231" s="137">
        <v>202.0</v>
      </c>
      <c r="AM231" s="137">
        <v>474.0</v>
      </c>
      <c r="AN231" s="134">
        <v>1334.0</v>
      </c>
    </row>
    <row r="232">
      <c r="A232" s="132" t="s">
        <v>205</v>
      </c>
      <c r="B232" s="136" t="s">
        <v>198</v>
      </c>
      <c r="C232" s="137">
        <v>170.0</v>
      </c>
      <c r="D232" s="137">
        <v>40.0</v>
      </c>
      <c r="E232" s="137">
        <v>130.0</v>
      </c>
      <c r="F232" s="137">
        <v>0.0</v>
      </c>
      <c r="G232" s="137">
        <v>2.0</v>
      </c>
      <c r="H232" s="137">
        <v>0.0</v>
      </c>
      <c r="I232" s="137">
        <v>0.0</v>
      </c>
      <c r="J232" s="137">
        <v>0.0</v>
      </c>
      <c r="K232" s="137">
        <v>0.0</v>
      </c>
      <c r="L232" s="137">
        <v>0.0</v>
      </c>
      <c r="M232" s="137">
        <v>0.0</v>
      </c>
      <c r="N232" s="137">
        <v>2.0</v>
      </c>
      <c r="O232" s="137">
        <v>0.0</v>
      </c>
      <c r="P232" s="137">
        <v>2.0</v>
      </c>
      <c r="Q232" s="137">
        <v>0.0</v>
      </c>
      <c r="R232" s="137">
        <v>2.0</v>
      </c>
      <c r="S232" s="137">
        <v>2.0</v>
      </c>
      <c r="T232" s="137">
        <v>2.0</v>
      </c>
      <c r="U232" s="137">
        <v>14.0</v>
      </c>
      <c r="V232" s="137">
        <v>0.0</v>
      </c>
      <c r="W232" s="137">
        <v>8.0</v>
      </c>
      <c r="X232" s="137">
        <v>0.0</v>
      </c>
      <c r="Y232" s="137">
        <v>2.0</v>
      </c>
      <c r="Z232" s="137">
        <v>4.0</v>
      </c>
      <c r="AA232" s="137">
        <v>14.0</v>
      </c>
      <c r="AB232" s="137">
        <v>0.0</v>
      </c>
      <c r="AC232" s="137">
        <v>12.0</v>
      </c>
      <c r="AD232" s="137">
        <v>8.0</v>
      </c>
      <c r="AE232" s="137">
        <v>24.0</v>
      </c>
      <c r="AF232" s="137">
        <v>6.0</v>
      </c>
      <c r="AG232" s="137">
        <v>14.0</v>
      </c>
      <c r="AH232" s="137">
        <v>6.0</v>
      </c>
      <c r="AI232" s="137">
        <v>16.0</v>
      </c>
      <c r="AJ232" s="137">
        <v>0.0</v>
      </c>
      <c r="AK232" s="137">
        <v>12.0</v>
      </c>
      <c r="AL232" s="137">
        <v>8.0</v>
      </c>
      <c r="AM232" s="137">
        <v>10.0</v>
      </c>
      <c r="AN232" s="137">
        <v>164.0</v>
      </c>
    </row>
    <row r="233">
      <c r="A233" s="98"/>
      <c r="B233" s="136" t="s">
        <v>199</v>
      </c>
      <c r="C233" s="137">
        <v>2.0</v>
      </c>
      <c r="D233" s="137">
        <v>0.0</v>
      </c>
      <c r="E233" s="137">
        <v>2.0</v>
      </c>
      <c r="F233" s="137">
        <v>0.0</v>
      </c>
      <c r="G233" s="137">
        <v>0.0</v>
      </c>
      <c r="H233" s="137">
        <v>0.0</v>
      </c>
      <c r="I233" s="137">
        <v>0.0</v>
      </c>
      <c r="J233" s="137">
        <v>0.0</v>
      </c>
      <c r="K233" s="137">
        <v>0.0</v>
      </c>
      <c r="L233" s="137">
        <v>0.0</v>
      </c>
      <c r="M233" s="137">
        <v>0.0</v>
      </c>
      <c r="N233" s="137">
        <v>0.0</v>
      </c>
      <c r="O233" s="137">
        <v>0.0</v>
      </c>
      <c r="P233" s="137">
        <v>0.0</v>
      </c>
      <c r="Q233" s="137">
        <v>0.0</v>
      </c>
      <c r="R233" s="137">
        <v>0.0</v>
      </c>
      <c r="S233" s="137">
        <v>2.0</v>
      </c>
      <c r="T233" s="137">
        <v>0.0</v>
      </c>
      <c r="U233" s="137">
        <v>0.0</v>
      </c>
      <c r="V233" s="137">
        <v>0.0</v>
      </c>
      <c r="W233" s="137">
        <v>0.0</v>
      </c>
      <c r="X233" s="137">
        <v>0.0</v>
      </c>
      <c r="Y233" s="137">
        <v>0.0</v>
      </c>
      <c r="Z233" s="137">
        <v>0.0</v>
      </c>
      <c r="AA233" s="137">
        <v>0.0</v>
      </c>
      <c r="AB233" s="137">
        <v>0.0</v>
      </c>
      <c r="AC233" s="137">
        <v>0.0</v>
      </c>
      <c r="AD233" s="137">
        <v>0.0</v>
      </c>
      <c r="AE233" s="137">
        <v>0.0</v>
      </c>
      <c r="AF233" s="137">
        <v>0.0</v>
      </c>
      <c r="AG233" s="137">
        <v>0.0</v>
      </c>
      <c r="AH233" s="137">
        <v>0.0</v>
      </c>
      <c r="AI233" s="137">
        <v>0.0</v>
      </c>
      <c r="AJ233" s="137">
        <v>0.0</v>
      </c>
      <c r="AK233" s="137">
        <v>0.0</v>
      </c>
      <c r="AL233" s="137">
        <v>0.0</v>
      </c>
      <c r="AM233" s="137">
        <v>0.0</v>
      </c>
      <c r="AN233" s="137">
        <v>2.0</v>
      </c>
    </row>
    <row r="234">
      <c r="A234" s="104"/>
      <c r="B234" s="136" t="s">
        <v>206</v>
      </c>
      <c r="C234" s="137">
        <v>172.0</v>
      </c>
      <c r="D234" s="137">
        <v>26.0</v>
      </c>
      <c r="E234" s="137">
        <v>146.0</v>
      </c>
      <c r="F234" s="137">
        <v>0.0</v>
      </c>
      <c r="G234" s="137">
        <v>0.0</v>
      </c>
      <c r="H234" s="137">
        <v>0.0</v>
      </c>
      <c r="I234" s="137">
        <v>0.0</v>
      </c>
      <c r="J234" s="137">
        <v>0.0</v>
      </c>
      <c r="K234" s="137">
        <v>0.0</v>
      </c>
      <c r="L234" s="137">
        <v>2.0</v>
      </c>
      <c r="M234" s="137">
        <v>2.0</v>
      </c>
      <c r="N234" s="137">
        <v>2.0</v>
      </c>
      <c r="O234" s="137">
        <v>12.0</v>
      </c>
      <c r="P234" s="137">
        <v>4.0</v>
      </c>
      <c r="Q234" s="137">
        <v>8.0</v>
      </c>
      <c r="R234" s="137">
        <v>0.0</v>
      </c>
      <c r="S234" s="137">
        <v>6.0</v>
      </c>
      <c r="T234" s="137">
        <v>0.0</v>
      </c>
      <c r="U234" s="137">
        <v>4.0</v>
      </c>
      <c r="V234" s="137">
        <v>0.0</v>
      </c>
      <c r="W234" s="137">
        <v>6.0</v>
      </c>
      <c r="X234" s="137">
        <v>0.0</v>
      </c>
      <c r="Y234" s="137">
        <v>12.0</v>
      </c>
      <c r="Z234" s="137">
        <v>4.0</v>
      </c>
      <c r="AA234" s="137">
        <v>8.0</v>
      </c>
      <c r="AB234" s="137">
        <v>0.0</v>
      </c>
      <c r="AC234" s="137">
        <v>12.0</v>
      </c>
      <c r="AD234" s="137">
        <v>0.0</v>
      </c>
      <c r="AE234" s="137">
        <v>10.0</v>
      </c>
      <c r="AF234" s="137">
        <v>2.0</v>
      </c>
      <c r="AG234" s="137">
        <v>16.0</v>
      </c>
      <c r="AH234" s="137">
        <v>4.0</v>
      </c>
      <c r="AI234" s="137">
        <v>14.0</v>
      </c>
      <c r="AJ234" s="137">
        <v>4.0</v>
      </c>
      <c r="AK234" s="137">
        <v>22.0</v>
      </c>
      <c r="AL234" s="137">
        <v>4.0</v>
      </c>
      <c r="AM234" s="137">
        <v>14.0</v>
      </c>
      <c r="AN234" s="137">
        <v>172.0</v>
      </c>
    </row>
    <row r="235">
      <c r="A235" s="132" t="s">
        <v>207</v>
      </c>
      <c r="B235" s="136" t="s">
        <v>198</v>
      </c>
      <c r="C235" s="134">
        <v>63218.0</v>
      </c>
      <c r="D235" s="134">
        <v>14190.0</v>
      </c>
      <c r="E235" s="134">
        <v>49028.0</v>
      </c>
      <c r="F235" s="134">
        <v>1664.0</v>
      </c>
      <c r="G235" s="134">
        <v>1504.0</v>
      </c>
      <c r="H235" s="137">
        <v>564.0</v>
      </c>
      <c r="I235" s="137">
        <v>488.0</v>
      </c>
      <c r="J235" s="137">
        <v>380.0</v>
      </c>
      <c r="K235" s="137">
        <v>358.0</v>
      </c>
      <c r="L235" s="137">
        <v>300.0</v>
      </c>
      <c r="M235" s="137">
        <v>508.0</v>
      </c>
      <c r="N235" s="137">
        <v>302.0</v>
      </c>
      <c r="O235" s="137">
        <v>934.0</v>
      </c>
      <c r="P235" s="137">
        <v>304.0</v>
      </c>
      <c r="Q235" s="134">
        <v>1232.0</v>
      </c>
      <c r="R235" s="137">
        <v>366.0</v>
      </c>
      <c r="S235" s="134">
        <v>1524.0</v>
      </c>
      <c r="T235" s="137">
        <v>402.0</v>
      </c>
      <c r="U235" s="134">
        <v>1716.0</v>
      </c>
      <c r="V235" s="137">
        <v>424.0</v>
      </c>
      <c r="W235" s="134">
        <v>2002.0</v>
      </c>
      <c r="X235" s="137">
        <v>652.0</v>
      </c>
      <c r="Y235" s="134">
        <v>3166.0</v>
      </c>
      <c r="Z235" s="137">
        <v>876.0</v>
      </c>
      <c r="AA235" s="134">
        <v>4374.0</v>
      </c>
      <c r="AB235" s="134">
        <v>1154.0</v>
      </c>
      <c r="AC235" s="134">
        <v>5990.0</v>
      </c>
      <c r="AD235" s="134">
        <v>1308.0</v>
      </c>
      <c r="AE235" s="134">
        <v>5894.0</v>
      </c>
      <c r="AF235" s="134">
        <v>1384.0</v>
      </c>
      <c r="AG235" s="134">
        <v>5582.0</v>
      </c>
      <c r="AH235" s="134">
        <v>1398.0</v>
      </c>
      <c r="AI235" s="134">
        <v>5104.0</v>
      </c>
      <c r="AJ235" s="134">
        <v>1276.0</v>
      </c>
      <c r="AK235" s="134">
        <v>4110.0</v>
      </c>
      <c r="AL235" s="134">
        <v>1436.0</v>
      </c>
      <c r="AM235" s="134">
        <v>4542.0</v>
      </c>
      <c r="AN235" s="134">
        <v>62924.0</v>
      </c>
    </row>
    <row r="236">
      <c r="A236" s="98"/>
      <c r="B236" s="136" t="s">
        <v>199</v>
      </c>
      <c r="C236" s="134">
        <v>6728.0</v>
      </c>
      <c r="D236" s="134">
        <v>2024.0</v>
      </c>
      <c r="E236" s="134">
        <v>4704.0</v>
      </c>
      <c r="F236" s="137">
        <v>36.0</v>
      </c>
      <c r="G236" s="137">
        <v>38.0</v>
      </c>
      <c r="H236" s="137">
        <v>2.0</v>
      </c>
      <c r="I236" s="137">
        <v>6.0</v>
      </c>
      <c r="J236" s="137">
        <v>26.0</v>
      </c>
      <c r="K236" s="137">
        <v>8.0</v>
      </c>
      <c r="L236" s="137">
        <v>12.0</v>
      </c>
      <c r="M236" s="137">
        <v>34.0</v>
      </c>
      <c r="N236" s="137">
        <v>40.0</v>
      </c>
      <c r="O236" s="137">
        <v>78.0</v>
      </c>
      <c r="P236" s="137">
        <v>68.0</v>
      </c>
      <c r="Q236" s="137">
        <v>132.0</v>
      </c>
      <c r="R236" s="137">
        <v>82.0</v>
      </c>
      <c r="S236" s="137">
        <v>154.0</v>
      </c>
      <c r="T236" s="137">
        <v>130.0</v>
      </c>
      <c r="U236" s="137">
        <v>290.0</v>
      </c>
      <c r="V236" s="137">
        <v>102.0</v>
      </c>
      <c r="W236" s="137">
        <v>308.0</v>
      </c>
      <c r="X236" s="137">
        <v>204.0</v>
      </c>
      <c r="Y236" s="137">
        <v>432.0</v>
      </c>
      <c r="Z236" s="137">
        <v>200.0</v>
      </c>
      <c r="AA236" s="137">
        <v>532.0</v>
      </c>
      <c r="AB236" s="137">
        <v>202.0</v>
      </c>
      <c r="AC236" s="137">
        <v>622.0</v>
      </c>
      <c r="AD236" s="137">
        <v>186.0</v>
      </c>
      <c r="AE236" s="137">
        <v>526.0</v>
      </c>
      <c r="AF236" s="137">
        <v>220.0</v>
      </c>
      <c r="AG236" s="137">
        <v>522.0</v>
      </c>
      <c r="AH236" s="137">
        <v>186.0</v>
      </c>
      <c r="AI236" s="137">
        <v>426.0</v>
      </c>
      <c r="AJ236" s="137">
        <v>174.0</v>
      </c>
      <c r="AK236" s="137">
        <v>288.0</v>
      </c>
      <c r="AL236" s="137">
        <v>154.0</v>
      </c>
      <c r="AM236" s="137">
        <v>308.0</v>
      </c>
      <c r="AN236" s="134">
        <v>6712.0</v>
      </c>
    </row>
    <row r="237">
      <c r="A237" s="98"/>
      <c r="B237" s="136" t="s">
        <v>206</v>
      </c>
      <c r="C237" s="137">
        <v>124.0</v>
      </c>
      <c r="D237" s="137">
        <v>14.0</v>
      </c>
      <c r="E237" s="137">
        <v>110.0</v>
      </c>
      <c r="F237" s="137">
        <v>0.0</v>
      </c>
      <c r="G237" s="137">
        <v>4.0</v>
      </c>
      <c r="H237" s="137">
        <v>0.0</v>
      </c>
      <c r="I237" s="137">
        <v>2.0</v>
      </c>
      <c r="J237" s="137">
        <v>2.0</v>
      </c>
      <c r="K237" s="137">
        <v>0.0</v>
      </c>
      <c r="L237" s="137">
        <v>2.0</v>
      </c>
      <c r="M237" s="137">
        <v>6.0</v>
      </c>
      <c r="N237" s="137">
        <v>2.0</v>
      </c>
      <c r="O237" s="137">
        <v>12.0</v>
      </c>
      <c r="P237" s="137">
        <v>0.0</v>
      </c>
      <c r="Q237" s="137">
        <v>18.0</v>
      </c>
      <c r="R237" s="137">
        <v>4.0</v>
      </c>
      <c r="S237" s="137">
        <v>12.0</v>
      </c>
      <c r="T237" s="137">
        <v>0.0</v>
      </c>
      <c r="U237" s="137">
        <v>12.0</v>
      </c>
      <c r="V237" s="137">
        <v>0.0</v>
      </c>
      <c r="W237" s="137">
        <v>20.0</v>
      </c>
      <c r="X237" s="137">
        <v>0.0</v>
      </c>
      <c r="Y237" s="137">
        <v>6.0</v>
      </c>
      <c r="Z237" s="137">
        <v>2.0</v>
      </c>
      <c r="AA237" s="137">
        <v>12.0</v>
      </c>
      <c r="AB237" s="137">
        <v>2.0</v>
      </c>
      <c r="AC237" s="137">
        <v>2.0</v>
      </c>
      <c r="AD237" s="137">
        <v>0.0</v>
      </c>
      <c r="AE237" s="137">
        <v>2.0</v>
      </c>
      <c r="AF237" s="137">
        <v>0.0</v>
      </c>
      <c r="AG237" s="137">
        <v>0.0</v>
      </c>
      <c r="AH237" s="137">
        <v>0.0</v>
      </c>
      <c r="AI237" s="137">
        <v>0.0</v>
      </c>
      <c r="AJ237" s="137">
        <v>0.0</v>
      </c>
      <c r="AK237" s="137">
        <v>0.0</v>
      </c>
      <c r="AL237" s="137">
        <v>0.0</v>
      </c>
      <c r="AM237" s="137">
        <v>2.0</v>
      </c>
      <c r="AN237" s="137">
        <v>124.0</v>
      </c>
    </row>
    <row r="238">
      <c r="A238" s="98"/>
      <c r="B238" s="136" t="s">
        <v>200</v>
      </c>
      <c r="C238" s="134">
        <v>7316.0</v>
      </c>
      <c r="D238" s="134">
        <v>2204.0</v>
      </c>
      <c r="E238" s="134">
        <v>5112.0</v>
      </c>
      <c r="F238" s="137">
        <v>758.0</v>
      </c>
      <c r="G238" s="137">
        <v>768.0</v>
      </c>
      <c r="H238" s="137">
        <v>208.0</v>
      </c>
      <c r="I238" s="137">
        <v>232.0</v>
      </c>
      <c r="J238" s="137">
        <v>54.0</v>
      </c>
      <c r="K238" s="137">
        <v>118.0</v>
      </c>
      <c r="L238" s="137">
        <v>82.0</v>
      </c>
      <c r="M238" s="137">
        <v>178.0</v>
      </c>
      <c r="N238" s="137">
        <v>50.0</v>
      </c>
      <c r="O238" s="137">
        <v>272.0</v>
      </c>
      <c r="P238" s="137">
        <v>34.0</v>
      </c>
      <c r="Q238" s="137">
        <v>272.0</v>
      </c>
      <c r="R238" s="137">
        <v>42.0</v>
      </c>
      <c r="S238" s="137">
        <v>254.0</v>
      </c>
      <c r="T238" s="137">
        <v>50.0</v>
      </c>
      <c r="U238" s="137">
        <v>264.0</v>
      </c>
      <c r="V238" s="137">
        <v>56.0</v>
      </c>
      <c r="W238" s="137">
        <v>246.0</v>
      </c>
      <c r="X238" s="137">
        <v>94.0</v>
      </c>
      <c r="Y238" s="137">
        <v>276.0</v>
      </c>
      <c r="Z238" s="137">
        <v>106.0</v>
      </c>
      <c r="AA238" s="137">
        <v>362.0</v>
      </c>
      <c r="AB238" s="137">
        <v>90.0</v>
      </c>
      <c r="AC238" s="137">
        <v>412.0</v>
      </c>
      <c r="AD238" s="137">
        <v>120.0</v>
      </c>
      <c r="AE238" s="137">
        <v>338.0</v>
      </c>
      <c r="AF238" s="137">
        <v>122.0</v>
      </c>
      <c r="AG238" s="137">
        <v>340.0</v>
      </c>
      <c r="AH238" s="137">
        <v>148.0</v>
      </c>
      <c r="AI238" s="137">
        <v>320.0</v>
      </c>
      <c r="AJ238" s="137">
        <v>94.0</v>
      </c>
      <c r="AK238" s="137">
        <v>220.0</v>
      </c>
      <c r="AL238" s="137">
        <v>96.0</v>
      </c>
      <c r="AM238" s="137">
        <v>240.0</v>
      </c>
      <c r="AN238" s="134">
        <v>7086.0</v>
      </c>
    </row>
    <row r="239">
      <c r="A239" s="104"/>
      <c r="B239" s="136" t="s">
        <v>201</v>
      </c>
      <c r="C239" s="134">
        <v>2558.0</v>
      </c>
      <c r="D239" s="134">
        <v>1042.0</v>
      </c>
      <c r="E239" s="134">
        <v>1516.0</v>
      </c>
      <c r="F239" s="137">
        <v>0.0</v>
      </c>
      <c r="G239" s="137">
        <v>0.0</v>
      </c>
      <c r="H239" s="137">
        <v>0.0</v>
      </c>
      <c r="I239" s="137">
        <v>2.0</v>
      </c>
      <c r="J239" s="137">
        <v>10.0</v>
      </c>
      <c r="K239" s="137">
        <v>4.0</v>
      </c>
      <c r="L239" s="137">
        <v>12.0</v>
      </c>
      <c r="M239" s="137">
        <v>8.0</v>
      </c>
      <c r="N239" s="137">
        <v>28.0</v>
      </c>
      <c r="O239" s="137">
        <v>50.0</v>
      </c>
      <c r="P239" s="137">
        <v>22.0</v>
      </c>
      <c r="Q239" s="137">
        <v>56.0</v>
      </c>
      <c r="R239" s="137">
        <v>44.0</v>
      </c>
      <c r="S239" s="137">
        <v>46.0</v>
      </c>
      <c r="T239" s="137">
        <v>36.0</v>
      </c>
      <c r="U239" s="137">
        <v>52.0</v>
      </c>
      <c r="V239" s="137">
        <v>32.0</v>
      </c>
      <c r="W239" s="137">
        <v>66.0</v>
      </c>
      <c r="X239" s="137">
        <v>56.0</v>
      </c>
      <c r="Y239" s="137">
        <v>102.0</v>
      </c>
      <c r="Z239" s="137">
        <v>82.0</v>
      </c>
      <c r="AA239" s="137">
        <v>128.0</v>
      </c>
      <c r="AB239" s="137">
        <v>120.0</v>
      </c>
      <c r="AC239" s="137">
        <v>132.0</v>
      </c>
      <c r="AD239" s="137">
        <v>132.0</v>
      </c>
      <c r="AE239" s="137">
        <v>138.0</v>
      </c>
      <c r="AF239" s="137">
        <v>116.0</v>
      </c>
      <c r="AG239" s="137">
        <v>126.0</v>
      </c>
      <c r="AH239" s="137">
        <v>130.0</v>
      </c>
      <c r="AI239" s="137">
        <v>146.0</v>
      </c>
      <c r="AJ239" s="137">
        <v>122.0</v>
      </c>
      <c r="AK239" s="137">
        <v>194.0</v>
      </c>
      <c r="AL239" s="137">
        <v>100.0</v>
      </c>
      <c r="AM239" s="137">
        <v>266.0</v>
      </c>
      <c r="AN239" s="134">
        <v>2558.0</v>
      </c>
    </row>
    <row r="240">
      <c r="A240" s="132" t="s">
        <v>208</v>
      </c>
      <c r="B240" s="136" t="s">
        <v>198</v>
      </c>
      <c r="C240" s="137">
        <v>12.0</v>
      </c>
      <c r="D240" s="137">
        <v>12.0</v>
      </c>
      <c r="E240" s="137">
        <v>0.0</v>
      </c>
      <c r="F240" s="137">
        <v>8.0</v>
      </c>
      <c r="G240" s="137">
        <v>0.0</v>
      </c>
      <c r="H240" s="137">
        <v>4.0</v>
      </c>
      <c r="I240" s="137">
        <v>0.0</v>
      </c>
      <c r="J240" s="137">
        <v>0.0</v>
      </c>
      <c r="K240" s="137">
        <v>0.0</v>
      </c>
      <c r="L240" s="137">
        <v>0.0</v>
      </c>
      <c r="M240" s="137">
        <v>0.0</v>
      </c>
      <c r="N240" s="137">
        <v>0.0</v>
      </c>
      <c r="O240" s="137">
        <v>0.0</v>
      </c>
      <c r="P240" s="135">
        <v>0.0</v>
      </c>
      <c r="Q240" s="135">
        <v>0.0</v>
      </c>
      <c r="R240" s="135">
        <v>0.0</v>
      </c>
      <c r="S240" s="135">
        <v>0.0</v>
      </c>
      <c r="T240" s="135">
        <v>0.0</v>
      </c>
      <c r="U240" s="135">
        <v>0.0</v>
      </c>
      <c r="V240" s="135">
        <v>0.0</v>
      </c>
      <c r="W240" s="135">
        <v>0.0</v>
      </c>
      <c r="X240" s="135">
        <v>0.0</v>
      </c>
      <c r="Y240" s="135">
        <v>0.0</v>
      </c>
      <c r="Z240" s="135">
        <v>0.0</v>
      </c>
      <c r="AA240" s="135">
        <v>0.0</v>
      </c>
      <c r="AB240" s="135">
        <v>0.0</v>
      </c>
      <c r="AC240" s="135">
        <v>0.0</v>
      </c>
      <c r="AD240" s="135">
        <v>0.0</v>
      </c>
      <c r="AE240" s="135">
        <v>0.0</v>
      </c>
      <c r="AF240" s="135">
        <v>0.0</v>
      </c>
      <c r="AG240" s="135">
        <v>0.0</v>
      </c>
      <c r="AH240" s="135">
        <v>0.0</v>
      </c>
      <c r="AI240" s="135">
        <v>0.0</v>
      </c>
      <c r="AJ240" s="135">
        <v>0.0</v>
      </c>
      <c r="AK240" s="135">
        <v>0.0</v>
      </c>
      <c r="AL240" s="135">
        <v>0.0</v>
      </c>
      <c r="AM240" s="135">
        <v>0.0</v>
      </c>
      <c r="AN240" s="137">
        <v>12.0</v>
      </c>
    </row>
    <row r="241">
      <c r="A241" s="98"/>
      <c r="B241" s="136" t="s">
        <v>199</v>
      </c>
      <c r="C241" s="137">
        <v>104.0</v>
      </c>
      <c r="D241" s="137">
        <v>76.0</v>
      </c>
      <c r="E241" s="137">
        <v>28.0</v>
      </c>
      <c r="F241" s="137">
        <v>66.0</v>
      </c>
      <c r="G241" s="137">
        <v>24.0</v>
      </c>
      <c r="H241" s="137">
        <v>10.0</v>
      </c>
      <c r="I241" s="137">
        <v>4.0</v>
      </c>
      <c r="J241" s="137">
        <v>0.0</v>
      </c>
      <c r="K241" s="137">
        <v>0.0</v>
      </c>
      <c r="L241" s="137">
        <v>0.0</v>
      </c>
      <c r="M241" s="137">
        <v>0.0</v>
      </c>
      <c r="N241" s="137">
        <v>0.0</v>
      </c>
      <c r="O241" s="137">
        <v>0.0</v>
      </c>
      <c r="P241" s="135">
        <v>0.0</v>
      </c>
      <c r="Q241" s="135">
        <v>0.0</v>
      </c>
      <c r="R241" s="135">
        <v>0.0</v>
      </c>
      <c r="S241" s="135">
        <v>0.0</v>
      </c>
      <c r="T241" s="135">
        <v>0.0</v>
      </c>
      <c r="U241" s="135">
        <v>0.0</v>
      </c>
      <c r="V241" s="135">
        <v>0.0</v>
      </c>
      <c r="W241" s="135">
        <v>0.0</v>
      </c>
      <c r="X241" s="135">
        <v>0.0</v>
      </c>
      <c r="Y241" s="135">
        <v>0.0</v>
      </c>
      <c r="Z241" s="135">
        <v>0.0</v>
      </c>
      <c r="AA241" s="135">
        <v>0.0</v>
      </c>
      <c r="AB241" s="135">
        <v>0.0</v>
      </c>
      <c r="AC241" s="135">
        <v>0.0</v>
      </c>
      <c r="AD241" s="135">
        <v>0.0</v>
      </c>
      <c r="AE241" s="135">
        <v>0.0</v>
      </c>
      <c r="AF241" s="135">
        <v>0.0</v>
      </c>
      <c r="AG241" s="135">
        <v>0.0</v>
      </c>
      <c r="AH241" s="135">
        <v>0.0</v>
      </c>
      <c r="AI241" s="135">
        <v>0.0</v>
      </c>
      <c r="AJ241" s="135">
        <v>0.0</v>
      </c>
      <c r="AK241" s="135">
        <v>0.0</v>
      </c>
      <c r="AL241" s="135">
        <v>0.0</v>
      </c>
      <c r="AM241" s="135">
        <v>0.0</v>
      </c>
      <c r="AN241" s="137">
        <v>104.0</v>
      </c>
    </row>
    <row r="242">
      <c r="A242" s="98"/>
      <c r="B242" s="136" t="s">
        <v>206</v>
      </c>
      <c r="C242" s="137">
        <v>2.0</v>
      </c>
      <c r="D242" s="137">
        <v>2.0</v>
      </c>
      <c r="E242" s="137">
        <v>0.0</v>
      </c>
      <c r="F242" s="137">
        <v>2.0</v>
      </c>
      <c r="G242" s="137">
        <v>0.0</v>
      </c>
      <c r="H242" s="137">
        <v>0.0</v>
      </c>
      <c r="I242" s="137">
        <v>0.0</v>
      </c>
      <c r="J242" s="137">
        <v>0.0</v>
      </c>
      <c r="K242" s="137">
        <v>0.0</v>
      </c>
      <c r="L242" s="137">
        <v>0.0</v>
      </c>
      <c r="M242" s="137">
        <v>0.0</v>
      </c>
      <c r="N242" s="137">
        <v>0.0</v>
      </c>
      <c r="O242" s="137">
        <v>0.0</v>
      </c>
      <c r="P242" s="135">
        <v>0.0</v>
      </c>
      <c r="Q242" s="135">
        <v>0.0</v>
      </c>
      <c r="R242" s="135">
        <v>0.0</v>
      </c>
      <c r="S242" s="135">
        <v>0.0</v>
      </c>
      <c r="T242" s="135">
        <v>0.0</v>
      </c>
      <c r="U242" s="135">
        <v>0.0</v>
      </c>
      <c r="V242" s="135">
        <v>0.0</v>
      </c>
      <c r="W242" s="135">
        <v>0.0</v>
      </c>
      <c r="X242" s="135">
        <v>0.0</v>
      </c>
      <c r="Y242" s="135">
        <v>0.0</v>
      </c>
      <c r="Z242" s="135">
        <v>0.0</v>
      </c>
      <c r="AA242" s="135">
        <v>0.0</v>
      </c>
      <c r="AB242" s="135">
        <v>0.0</v>
      </c>
      <c r="AC242" s="135">
        <v>0.0</v>
      </c>
      <c r="AD242" s="135">
        <v>0.0</v>
      </c>
      <c r="AE242" s="135">
        <v>0.0</v>
      </c>
      <c r="AF242" s="135">
        <v>0.0</v>
      </c>
      <c r="AG242" s="135">
        <v>0.0</v>
      </c>
      <c r="AH242" s="135">
        <v>0.0</v>
      </c>
      <c r="AI242" s="135">
        <v>0.0</v>
      </c>
      <c r="AJ242" s="135">
        <v>0.0</v>
      </c>
      <c r="AK242" s="135">
        <v>0.0</v>
      </c>
      <c r="AL242" s="135">
        <v>0.0</v>
      </c>
      <c r="AM242" s="135">
        <v>0.0</v>
      </c>
      <c r="AN242" s="137">
        <v>2.0</v>
      </c>
    </row>
    <row r="243">
      <c r="A243" s="98"/>
      <c r="B243" s="136" t="s">
        <v>200</v>
      </c>
      <c r="C243" s="137">
        <v>30.0</v>
      </c>
      <c r="D243" s="137">
        <v>6.0</v>
      </c>
      <c r="E243" s="137">
        <v>24.0</v>
      </c>
      <c r="F243" s="137">
        <v>4.0</v>
      </c>
      <c r="G243" s="137">
        <v>22.0</v>
      </c>
      <c r="H243" s="137">
        <v>2.0</v>
      </c>
      <c r="I243" s="137">
        <v>0.0</v>
      </c>
      <c r="J243" s="137">
        <v>0.0</v>
      </c>
      <c r="K243" s="137">
        <v>2.0</v>
      </c>
      <c r="L243" s="137">
        <v>0.0</v>
      </c>
      <c r="M243" s="137">
        <v>0.0</v>
      </c>
      <c r="N243" s="137">
        <v>0.0</v>
      </c>
      <c r="O243" s="137">
        <v>0.0</v>
      </c>
      <c r="P243" s="135">
        <v>0.0</v>
      </c>
      <c r="Q243" s="135">
        <v>0.0</v>
      </c>
      <c r="R243" s="135">
        <v>0.0</v>
      </c>
      <c r="S243" s="135">
        <v>0.0</v>
      </c>
      <c r="T243" s="135">
        <v>0.0</v>
      </c>
      <c r="U243" s="135">
        <v>0.0</v>
      </c>
      <c r="V243" s="135">
        <v>0.0</v>
      </c>
      <c r="W243" s="135">
        <v>0.0</v>
      </c>
      <c r="X243" s="135">
        <v>0.0</v>
      </c>
      <c r="Y243" s="135">
        <v>0.0</v>
      </c>
      <c r="Z243" s="135">
        <v>0.0</v>
      </c>
      <c r="AA243" s="135">
        <v>0.0</v>
      </c>
      <c r="AB243" s="135">
        <v>0.0</v>
      </c>
      <c r="AC243" s="135">
        <v>0.0</v>
      </c>
      <c r="AD243" s="135">
        <v>0.0</v>
      </c>
      <c r="AE243" s="135">
        <v>0.0</v>
      </c>
      <c r="AF243" s="135">
        <v>0.0</v>
      </c>
      <c r="AG243" s="135">
        <v>0.0</v>
      </c>
      <c r="AH243" s="135">
        <v>0.0</v>
      </c>
      <c r="AI243" s="135">
        <v>0.0</v>
      </c>
      <c r="AJ243" s="135">
        <v>0.0</v>
      </c>
      <c r="AK243" s="135">
        <v>0.0</v>
      </c>
      <c r="AL243" s="135">
        <v>0.0</v>
      </c>
      <c r="AM243" s="135">
        <v>0.0</v>
      </c>
      <c r="AN243" s="137">
        <v>28.0</v>
      </c>
    </row>
    <row r="244">
      <c r="A244" s="104"/>
      <c r="B244" s="136" t="s">
        <v>201</v>
      </c>
      <c r="C244" s="137">
        <v>2.0</v>
      </c>
      <c r="D244" s="137">
        <v>2.0</v>
      </c>
      <c r="E244" s="137">
        <v>0.0</v>
      </c>
      <c r="F244" s="137">
        <v>0.0</v>
      </c>
      <c r="G244" s="137">
        <v>0.0</v>
      </c>
      <c r="H244" s="137">
        <v>2.0</v>
      </c>
      <c r="I244" s="137">
        <v>0.0</v>
      </c>
      <c r="J244" s="137">
        <v>0.0</v>
      </c>
      <c r="K244" s="137">
        <v>0.0</v>
      </c>
      <c r="L244" s="137">
        <v>0.0</v>
      </c>
      <c r="M244" s="137">
        <v>0.0</v>
      </c>
      <c r="N244" s="137">
        <v>0.0</v>
      </c>
      <c r="O244" s="137">
        <v>0.0</v>
      </c>
      <c r="P244" s="135">
        <v>0.0</v>
      </c>
      <c r="Q244" s="135">
        <v>0.0</v>
      </c>
      <c r="R244" s="135">
        <v>0.0</v>
      </c>
      <c r="S244" s="135">
        <v>0.0</v>
      </c>
      <c r="T244" s="135">
        <v>0.0</v>
      </c>
      <c r="U244" s="135">
        <v>0.0</v>
      </c>
      <c r="V244" s="135">
        <v>0.0</v>
      </c>
      <c r="W244" s="135">
        <v>0.0</v>
      </c>
      <c r="X244" s="135">
        <v>0.0</v>
      </c>
      <c r="Y244" s="135">
        <v>0.0</v>
      </c>
      <c r="Z244" s="135">
        <v>0.0</v>
      </c>
      <c r="AA244" s="135">
        <v>0.0</v>
      </c>
      <c r="AB244" s="135">
        <v>0.0</v>
      </c>
      <c r="AC244" s="135">
        <v>0.0</v>
      </c>
      <c r="AD244" s="135">
        <v>0.0</v>
      </c>
      <c r="AE244" s="135">
        <v>0.0</v>
      </c>
      <c r="AF244" s="135">
        <v>0.0</v>
      </c>
      <c r="AG244" s="135">
        <v>0.0</v>
      </c>
      <c r="AH244" s="135">
        <v>0.0</v>
      </c>
      <c r="AI244" s="135">
        <v>0.0</v>
      </c>
      <c r="AJ244" s="135">
        <v>0.0</v>
      </c>
      <c r="AK244" s="135">
        <v>0.0</v>
      </c>
      <c r="AL244" s="135">
        <v>0.0</v>
      </c>
      <c r="AM244" s="135">
        <v>0.0</v>
      </c>
      <c r="AN244" s="137">
        <v>2.0</v>
      </c>
    </row>
    <row r="245">
      <c r="A245" s="138" t="s">
        <v>249</v>
      </c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</row>
    <row r="246">
      <c r="A246" s="132" t="s">
        <v>197</v>
      </c>
      <c r="B246" s="133" t="s">
        <v>198</v>
      </c>
      <c r="C246" s="134">
        <v>346696.0</v>
      </c>
      <c r="D246" s="134">
        <v>129772.0</v>
      </c>
      <c r="E246" s="134">
        <v>216924.0</v>
      </c>
      <c r="F246" s="135">
        <v>0.0</v>
      </c>
      <c r="G246" s="135">
        <v>0.0</v>
      </c>
      <c r="H246" s="135">
        <v>0.0</v>
      </c>
      <c r="I246" s="135">
        <v>0.0</v>
      </c>
      <c r="J246" s="135">
        <v>0.0</v>
      </c>
      <c r="K246" s="135">
        <v>0.0</v>
      </c>
      <c r="L246" s="137">
        <v>216.0</v>
      </c>
      <c r="M246" s="137">
        <v>254.0</v>
      </c>
      <c r="N246" s="137">
        <v>366.0</v>
      </c>
      <c r="O246" s="137">
        <v>458.0</v>
      </c>
      <c r="P246" s="137">
        <v>646.0</v>
      </c>
      <c r="Q246" s="134">
        <v>1270.0</v>
      </c>
      <c r="R246" s="134">
        <v>1224.0</v>
      </c>
      <c r="S246" s="134">
        <v>2340.0</v>
      </c>
      <c r="T246" s="134">
        <v>1970.0</v>
      </c>
      <c r="U246" s="134">
        <v>4024.0</v>
      </c>
      <c r="V246" s="134">
        <v>3778.0</v>
      </c>
      <c r="W246" s="134">
        <v>7130.0</v>
      </c>
      <c r="X246" s="134">
        <v>6548.0</v>
      </c>
      <c r="Y246" s="134">
        <v>12722.0</v>
      </c>
      <c r="Z246" s="134">
        <v>10448.0</v>
      </c>
      <c r="AA246" s="134">
        <v>20750.0</v>
      </c>
      <c r="AB246" s="134">
        <v>15578.0</v>
      </c>
      <c r="AC246" s="134">
        <v>27278.0</v>
      </c>
      <c r="AD246" s="134">
        <v>17564.0</v>
      </c>
      <c r="AE246" s="134">
        <v>29734.0</v>
      </c>
      <c r="AF246" s="134">
        <v>19700.0</v>
      </c>
      <c r="AG246" s="134">
        <v>30442.0</v>
      </c>
      <c r="AH246" s="134">
        <v>20096.0</v>
      </c>
      <c r="AI246" s="134">
        <v>30350.0</v>
      </c>
      <c r="AJ246" s="134">
        <v>16074.0</v>
      </c>
      <c r="AK246" s="134">
        <v>23878.0</v>
      </c>
      <c r="AL246" s="134">
        <v>15564.0</v>
      </c>
      <c r="AM246" s="134">
        <v>26294.0</v>
      </c>
      <c r="AN246" s="134">
        <v>345280.0</v>
      </c>
    </row>
    <row r="247">
      <c r="A247" s="98"/>
      <c r="B247" s="136" t="s">
        <v>199</v>
      </c>
      <c r="C247" s="134">
        <v>177452.0</v>
      </c>
      <c r="D247" s="134">
        <v>63766.0</v>
      </c>
      <c r="E247" s="134">
        <v>113686.0</v>
      </c>
      <c r="F247" s="135">
        <v>0.0</v>
      </c>
      <c r="G247" s="135">
        <v>0.0</v>
      </c>
      <c r="H247" s="135">
        <v>0.0</v>
      </c>
      <c r="I247" s="135">
        <v>0.0</v>
      </c>
      <c r="J247" s="135">
        <v>0.0</v>
      </c>
      <c r="K247" s="135">
        <v>0.0</v>
      </c>
      <c r="L247" s="137">
        <v>48.0</v>
      </c>
      <c r="M247" s="137">
        <v>42.0</v>
      </c>
      <c r="N247" s="137">
        <v>90.0</v>
      </c>
      <c r="O247" s="137">
        <v>140.0</v>
      </c>
      <c r="P247" s="137">
        <v>190.0</v>
      </c>
      <c r="Q247" s="137">
        <v>366.0</v>
      </c>
      <c r="R247" s="137">
        <v>350.0</v>
      </c>
      <c r="S247" s="137">
        <v>824.0</v>
      </c>
      <c r="T247" s="137">
        <v>708.0</v>
      </c>
      <c r="U247" s="134">
        <v>1378.0</v>
      </c>
      <c r="V247" s="134">
        <v>1336.0</v>
      </c>
      <c r="W247" s="134">
        <v>2788.0</v>
      </c>
      <c r="X247" s="134">
        <v>2376.0</v>
      </c>
      <c r="Y247" s="134">
        <v>5152.0</v>
      </c>
      <c r="Z247" s="134">
        <v>4298.0</v>
      </c>
      <c r="AA247" s="134">
        <v>9350.0</v>
      </c>
      <c r="AB247" s="134">
        <v>6648.0</v>
      </c>
      <c r="AC247" s="134">
        <v>12848.0</v>
      </c>
      <c r="AD247" s="134">
        <v>7748.0</v>
      </c>
      <c r="AE247" s="134">
        <v>14630.0</v>
      </c>
      <c r="AF247" s="134">
        <v>10630.0</v>
      </c>
      <c r="AG247" s="134">
        <v>18164.0</v>
      </c>
      <c r="AH247" s="134">
        <v>11254.0</v>
      </c>
      <c r="AI247" s="134">
        <v>18086.0</v>
      </c>
      <c r="AJ247" s="134">
        <v>9102.0</v>
      </c>
      <c r="AK247" s="134">
        <v>14186.0</v>
      </c>
      <c r="AL247" s="134">
        <v>8988.0</v>
      </c>
      <c r="AM247" s="134">
        <v>15732.0</v>
      </c>
      <c r="AN247" s="134">
        <v>176494.0</v>
      </c>
    </row>
    <row r="248">
      <c r="A248" s="98"/>
      <c r="B248" s="136" t="s">
        <v>200</v>
      </c>
      <c r="C248" s="134">
        <v>174508.0</v>
      </c>
      <c r="D248" s="134">
        <v>60590.0</v>
      </c>
      <c r="E248" s="134">
        <v>113918.0</v>
      </c>
      <c r="F248" s="135">
        <v>0.0</v>
      </c>
      <c r="G248" s="135">
        <v>0.0</v>
      </c>
      <c r="H248" s="135">
        <v>0.0</v>
      </c>
      <c r="I248" s="135">
        <v>0.0</v>
      </c>
      <c r="J248" s="135">
        <v>0.0</v>
      </c>
      <c r="K248" s="135">
        <v>0.0</v>
      </c>
      <c r="L248" s="137">
        <v>68.0</v>
      </c>
      <c r="M248" s="137">
        <v>82.0</v>
      </c>
      <c r="N248" s="137">
        <v>150.0</v>
      </c>
      <c r="O248" s="137">
        <v>276.0</v>
      </c>
      <c r="P248" s="137">
        <v>304.0</v>
      </c>
      <c r="Q248" s="137">
        <v>576.0</v>
      </c>
      <c r="R248" s="137">
        <v>466.0</v>
      </c>
      <c r="S248" s="134">
        <v>1010.0</v>
      </c>
      <c r="T248" s="137">
        <v>910.0</v>
      </c>
      <c r="U248" s="134">
        <v>2018.0</v>
      </c>
      <c r="V248" s="134">
        <v>1652.0</v>
      </c>
      <c r="W248" s="134">
        <v>3706.0</v>
      </c>
      <c r="X248" s="134">
        <v>2808.0</v>
      </c>
      <c r="Y248" s="134">
        <v>6416.0</v>
      </c>
      <c r="Z248" s="134">
        <v>4826.0</v>
      </c>
      <c r="AA248" s="134">
        <v>11104.0</v>
      </c>
      <c r="AB248" s="134">
        <v>7236.0</v>
      </c>
      <c r="AC248" s="134">
        <v>14862.0</v>
      </c>
      <c r="AD248" s="134">
        <v>8284.0</v>
      </c>
      <c r="AE248" s="134">
        <v>16348.0</v>
      </c>
      <c r="AF248" s="134">
        <v>9328.0</v>
      </c>
      <c r="AG248" s="134">
        <v>16462.0</v>
      </c>
      <c r="AH248" s="134">
        <v>9702.0</v>
      </c>
      <c r="AI248" s="134">
        <v>16010.0</v>
      </c>
      <c r="AJ248" s="134">
        <v>7656.0</v>
      </c>
      <c r="AK248" s="134">
        <v>12364.0</v>
      </c>
      <c r="AL248" s="134">
        <v>7200.0</v>
      </c>
      <c r="AM248" s="134">
        <v>12684.0</v>
      </c>
      <c r="AN248" s="134">
        <v>174294.0</v>
      </c>
    </row>
    <row r="249">
      <c r="A249" s="104"/>
      <c r="B249" s="136" t="s">
        <v>201</v>
      </c>
      <c r="C249" s="134">
        <v>12822.0</v>
      </c>
      <c r="D249" s="134">
        <v>4948.0</v>
      </c>
      <c r="E249" s="134">
        <v>7874.0</v>
      </c>
      <c r="F249" s="135">
        <v>0.0</v>
      </c>
      <c r="G249" s="135">
        <v>0.0</v>
      </c>
      <c r="H249" s="135">
        <v>0.0</v>
      </c>
      <c r="I249" s="135">
        <v>0.0</v>
      </c>
      <c r="J249" s="135">
        <v>0.0</v>
      </c>
      <c r="K249" s="135">
        <v>0.0</v>
      </c>
      <c r="L249" s="137">
        <v>30.0</v>
      </c>
      <c r="M249" s="137">
        <v>52.0</v>
      </c>
      <c r="N249" s="137">
        <v>56.0</v>
      </c>
      <c r="O249" s="137">
        <v>66.0</v>
      </c>
      <c r="P249" s="137">
        <v>30.0</v>
      </c>
      <c r="Q249" s="137">
        <v>84.0</v>
      </c>
      <c r="R249" s="137">
        <v>44.0</v>
      </c>
      <c r="S249" s="137">
        <v>204.0</v>
      </c>
      <c r="T249" s="137">
        <v>130.0</v>
      </c>
      <c r="U249" s="137">
        <v>150.0</v>
      </c>
      <c r="V249" s="137">
        <v>154.0</v>
      </c>
      <c r="W249" s="137">
        <v>418.0</v>
      </c>
      <c r="X249" s="137">
        <v>300.0</v>
      </c>
      <c r="Y249" s="137">
        <v>558.0</v>
      </c>
      <c r="Z249" s="137">
        <v>402.0</v>
      </c>
      <c r="AA249" s="137">
        <v>834.0</v>
      </c>
      <c r="AB249" s="137">
        <v>726.0</v>
      </c>
      <c r="AC249" s="137">
        <v>888.0</v>
      </c>
      <c r="AD249" s="137">
        <v>508.0</v>
      </c>
      <c r="AE249" s="137">
        <v>834.0</v>
      </c>
      <c r="AF249" s="137">
        <v>692.0</v>
      </c>
      <c r="AG249" s="137">
        <v>922.0</v>
      </c>
      <c r="AH249" s="137">
        <v>876.0</v>
      </c>
      <c r="AI249" s="134">
        <v>1036.0</v>
      </c>
      <c r="AJ249" s="137">
        <v>472.0</v>
      </c>
      <c r="AK249" s="137">
        <v>878.0</v>
      </c>
      <c r="AL249" s="137">
        <v>528.0</v>
      </c>
      <c r="AM249" s="137">
        <v>950.0</v>
      </c>
      <c r="AN249" s="134">
        <v>12822.0</v>
      </c>
    </row>
    <row r="250">
      <c r="A250" s="132" t="s">
        <v>202</v>
      </c>
      <c r="B250" s="136" t="s">
        <v>198</v>
      </c>
      <c r="C250" s="134">
        <v>2338.0</v>
      </c>
      <c r="D250" s="134">
        <v>1372.0</v>
      </c>
      <c r="E250" s="137">
        <v>966.0</v>
      </c>
      <c r="F250" s="137">
        <v>58.0</v>
      </c>
      <c r="G250" s="137">
        <v>68.0</v>
      </c>
      <c r="H250" s="137">
        <v>82.0</v>
      </c>
      <c r="I250" s="137">
        <v>84.0</v>
      </c>
      <c r="J250" s="137">
        <v>30.0</v>
      </c>
      <c r="K250" s="137">
        <v>46.0</v>
      </c>
      <c r="L250" s="137">
        <v>28.0</v>
      </c>
      <c r="M250" s="137">
        <v>44.0</v>
      </c>
      <c r="N250" s="137">
        <v>84.0</v>
      </c>
      <c r="O250" s="137">
        <v>36.0</v>
      </c>
      <c r="P250" s="137">
        <v>122.0</v>
      </c>
      <c r="Q250" s="137">
        <v>92.0</v>
      </c>
      <c r="R250" s="137">
        <v>192.0</v>
      </c>
      <c r="S250" s="137">
        <v>88.0</v>
      </c>
      <c r="T250" s="137">
        <v>152.0</v>
      </c>
      <c r="U250" s="137">
        <v>76.0</v>
      </c>
      <c r="V250" s="137">
        <v>54.0</v>
      </c>
      <c r="W250" s="137">
        <v>40.0</v>
      </c>
      <c r="X250" s="137">
        <v>128.0</v>
      </c>
      <c r="Y250" s="137">
        <v>50.0</v>
      </c>
      <c r="Z250" s="137">
        <v>68.0</v>
      </c>
      <c r="AA250" s="137">
        <v>50.0</v>
      </c>
      <c r="AB250" s="137">
        <v>122.0</v>
      </c>
      <c r="AC250" s="137">
        <v>92.0</v>
      </c>
      <c r="AD250" s="137">
        <v>102.0</v>
      </c>
      <c r="AE250" s="137">
        <v>50.0</v>
      </c>
      <c r="AF250" s="137">
        <v>60.0</v>
      </c>
      <c r="AG250" s="137">
        <v>26.0</v>
      </c>
      <c r="AH250" s="137">
        <v>48.0</v>
      </c>
      <c r="AI250" s="137">
        <v>42.0</v>
      </c>
      <c r="AJ250" s="137">
        <v>22.0</v>
      </c>
      <c r="AK250" s="137">
        <v>10.0</v>
      </c>
      <c r="AL250" s="137">
        <v>20.0</v>
      </c>
      <c r="AM250" s="137">
        <v>72.0</v>
      </c>
      <c r="AN250" s="134">
        <v>2156.0</v>
      </c>
    </row>
    <row r="251">
      <c r="A251" s="104"/>
      <c r="B251" s="136" t="s">
        <v>199</v>
      </c>
      <c r="C251" s="134">
        <v>1594.0</v>
      </c>
      <c r="D251" s="137">
        <v>990.0</v>
      </c>
      <c r="E251" s="137">
        <v>604.0</v>
      </c>
      <c r="F251" s="137">
        <v>44.0</v>
      </c>
      <c r="G251" s="137">
        <v>64.0</v>
      </c>
      <c r="H251" s="137">
        <v>28.0</v>
      </c>
      <c r="I251" s="137">
        <v>68.0</v>
      </c>
      <c r="J251" s="137">
        <v>22.0</v>
      </c>
      <c r="K251" s="137">
        <v>40.0</v>
      </c>
      <c r="L251" s="137">
        <v>26.0</v>
      </c>
      <c r="M251" s="137">
        <v>14.0</v>
      </c>
      <c r="N251" s="137">
        <v>30.0</v>
      </c>
      <c r="O251" s="137">
        <v>44.0</v>
      </c>
      <c r="P251" s="137">
        <v>100.0</v>
      </c>
      <c r="Q251" s="137">
        <v>38.0</v>
      </c>
      <c r="R251" s="137">
        <v>150.0</v>
      </c>
      <c r="S251" s="137">
        <v>82.0</v>
      </c>
      <c r="T251" s="137">
        <v>102.0</v>
      </c>
      <c r="U251" s="137">
        <v>18.0</v>
      </c>
      <c r="V251" s="137">
        <v>42.0</v>
      </c>
      <c r="W251" s="137">
        <v>12.0</v>
      </c>
      <c r="X251" s="137">
        <v>68.0</v>
      </c>
      <c r="Y251" s="137">
        <v>48.0</v>
      </c>
      <c r="Z251" s="137">
        <v>60.0</v>
      </c>
      <c r="AA251" s="137">
        <v>20.0</v>
      </c>
      <c r="AB251" s="137">
        <v>82.0</v>
      </c>
      <c r="AC251" s="137">
        <v>60.0</v>
      </c>
      <c r="AD251" s="137">
        <v>90.0</v>
      </c>
      <c r="AE251" s="137">
        <v>12.0</v>
      </c>
      <c r="AF251" s="137">
        <v>24.0</v>
      </c>
      <c r="AG251" s="137">
        <v>2.0</v>
      </c>
      <c r="AH251" s="137">
        <v>50.0</v>
      </c>
      <c r="AI251" s="137">
        <v>32.0</v>
      </c>
      <c r="AJ251" s="137">
        <v>22.0</v>
      </c>
      <c r="AK251" s="137">
        <v>2.0</v>
      </c>
      <c r="AL251" s="137">
        <v>50.0</v>
      </c>
      <c r="AM251" s="137">
        <v>48.0</v>
      </c>
      <c r="AN251" s="134">
        <v>1546.0</v>
      </c>
    </row>
    <row r="252">
      <c r="A252" s="132" t="s">
        <v>203</v>
      </c>
      <c r="B252" s="136" t="s">
        <v>198</v>
      </c>
      <c r="C252" s="137">
        <v>294.0</v>
      </c>
      <c r="D252" s="137">
        <v>120.0</v>
      </c>
      <c r="E252" s="137">
        <v>174.0</v>
      </c>
      <c r="F252" s="135">
        <v>0.0</v>
      </c>
      <c r="G252" s="135">
        <v>0.0</v>
      </c>
      <c r="H252" s="135">
        <v>0.0</v>
      </c>
      <c r="I252" s="135">
        <v>0.0</v>
      </c>
      <c r="J252" s="135">
        <v>0.0</v>
      </c>
      <c r="K252" s="135">
        <v>0.0</v>
      </c>
      <c r="L252" s="135">
        <v>0.0</v>
      </c>
      <c r="M252" s="135">
        <v>0.0</v>
      </c>
      <c r="N252" s="135">
        <v>0.0</v>
      </c>
      <c r="O252" s="135">
        <v>0.0</v>
      </c>
      <c r="P252" s="135">
        <v>0.0</v>
      </c>
      <c r="Q252" s="135">
        <v>0.0</v>
      </c>
      <c r="R252" s="135">
        <v>0.0</v>
      </c>
      <c r="S252" s="135">
        <v>0.0</v>
      </c>
      <c r="T252" s="135">
        <v>0.0</v>
      </c>
      <c r="U252" s="135">
        <v>0.0</v>
      </c>
      <c r="V252" s="135">
        <v>0.0</v>
      </c>
      <c r="W252" s="135">
        <v>0.0</v>
      </c>
      <c r="X252" s="135">
        <v>0.0</v>
      </c>
      <c r="Y252" s="135">
        <v>0.0</v>
      </c>
      <c r="Z252" s="135">
        <v>0.0</v>
      </c>
      <c r="AA252" s="135">
        <v>0.0</v>
      </c>
      <c r="AB252" s="135">
        <v>0.0</v>
      </c>
      <c r="AC252" s="135">
        <v>0.0</v>
      </c>
      <c r="AD252" s="135">
        <v>0.0</v>
      </c>
      <c r="AE252" s="135">
        <v>0.0</v>
      </c>
      <c r="AF252" s="137">
        <v>30.0</v>
      </c>
      <c r="AG252" s="137">
        <v>60.0</v>
      </c>
      <c r="AH252" s="137">
        <v>34.0</v>
      </c>
      <c r="AI252" s="137">
        <v>62.0</v>
      </c>
      <c r="AJ252" s="137">
        <v>28.0</v>
      </c>
      <c r="AK252" s="137">
        <v>34.0</v>
      </c>
      <c r="AL252" s="137">
        <v>28.0</v>
      </c>
      <c r="AM252" s="137">
        <v>18.0</v>
      </c>
      <c r="AN252" s="137">
        <v>292.0</v>
      </c>
    </row>
    <row r="253">
      <c r="A253" s="104"/>
      <c r="B253" s="136" t="s">
        <v>199</v>
      </c>
      <c r="C253" s="134">
        <v>6142.0</v>
      </c>
      <c r="D253" s="134">
        <v>2212.0</v>
      </c>
      <c r="E253" s="134">
        <v>3930.0</v>
      </c>
      <c r="F253" s="135">
        <v>0.0</v>
      </c>
      <c r="G253" s="135">
        <v>0.0</v>
      </c>
      <c r="H253" s="135">
        <v>0.0</v>
      </c>
      <c r="I253" s="135">
        <v>0.0</v>
      </c>
      <c r="J253" s="135">
        <v>0.0</v>
      </c>
      <c r="K253" s="135">
        <v>0.0</v>
      </c>
      <c r="L253" s="135">
        <v>0.0</v>
      </c>
      <c r="M253" s="135">
        <v>0.0</v>
      </c>
      <c r="N253" s="135">
        <v>0.0</v>
      </c>
      <c r="O253" s="135">
        <v>0.0</v>
      </c>
      <c r="P253" s="135">
        <v>0.0</v>
      </c>
      <c r="Q253" s="135">
        <v>0.0</v>
      </c>
      <c r="R253" s="135">
        <v>0.0</v>
      </c>
      <c r="S253" s="135">
        <v>0.0</v>
      </c>
      <c r="T253" s="135">
        <v>0.0</v>
      </c>
      <c r="U253" s="135">
        <v>0.0</v>
      </c>
      <c r="V253" s="135">
        <v>0.0</v>
      </c>
      <c r="W253" s="135">
        <v>0.0</v>
      </c>
      <c r="X253" s="135">
        <v>0.0</v>
      </c>
      <c r="Y253" s="135">
        <v>0.0</v>
      </c>
      <c r="Z253" s="135">
        <v>0.0</v>
      </c>
      <c r="AA253" s="135">
        <v>0.0</v>
      </c>
      <c r="AB253" s="135">
        <v>0.0</v>
      </c>
      <c r="AC253" s="135">
        <v>0.0</v>
      </c>
      <c r="AD253" s="135">
        <v>0.0</v>
      </c>
      <c r="AE253" s="135">
        <v>0.0</v>
      </c>
      <c r="AF253" s="137">
        <v>714.0</v>
      </c>
      <c r="AG253" s="134">
        <v>1258.0</v>
      </c>
      <c r="AH253" s="137">
        <v>626.0</v>
      </c>
      <c r="AI253" s="134">
        <v>1192.0</v>
      </c>
      <c r="AJ253" s="137">
        <v>504.0</v>
      </c>
      <c r="AK253" s="137">
        <v>876.0</v>
      </c>
      <c r="AL253" s="137">
        <v>368.0</v>
      </c>
      <c r="AM253" s="137">
        <v>604.0</v>
      </c>
      <c r="AN253" s="134">
        <v>6070.0</v>
      </c>
    </row>
    <row r="254">
      <c r="A254" s="132" t="s">
        <v>204</v>
      </c>
      <c r="B254" s="136" t="s">
        <v>198</v>
      </c>
      <c r="C254" s="137">
        <v>126.0</v>
      </c>
      <c r="D254" s="137">
        <v>48.0</v>
      </c>
      <c r="E254" s="137">
        <v>78.0</v>
      </c>
      <c r="F254" s="135">
        <v>0.0</v>
      </c>
      <c r="G254" s="135">
        <v>0.0</v>
      </c>
      <c r="H254" s="135">
        <v>0.0</v>
      </c>
      <c r="I254" s="135">
        <v>0.0</v>
      </c>
      <c r="J254" s="135">
        <v>0.0</v>
      </c>
      <c r="K254" s="135">
        <v>0.0</v>
      </c>
      <c r="L254" s="135">
        <v>0.0</v>
      </c>
      <c r="M254" s="135">
        <v>0.0</v>
      </c>
      <c r="N254" s="135">
        <v>0.0</v>
      </c>
      <c r="O254" s="135">
        <v>0.0</v>
      </c>
      <c r="P254" s="135">
        <v>0.0</v>
      </c>
      <c r="Q254" s="135">
        <v>0.0</v>
      </c>
      <c r="R254" s="135">
        <v>0.0</v>
      </c>
      <c r="S254" s="135">
        <v>0.0</v>
      </c>
      <c r="T254" s="135">
        <v>0.0</v>
      </c>
      <c r="U254" s="135">
        <v>0.0</v>
      </c>
      <c r="V254" s="135">
        <v>0.0</v>
      </c>
      <c r="W254" s="135">
        <v>0.0</v>
      </c>
      <c r="X254" s="135">
        <v>0.0</v>
      </c>
      <c r="Y254" s="135">
        <v>0.0</v>
      </c>
      <c r="Z254" s="135">
        <v>0.0</v>
      </c>
      <c r="AA254" s="135">
        <v>0.0</v>
      </c>
      <c r="AB254" s="135">
        <v>0.0</v>
      </c>
      <c r="AC254" s="135">
        <v>0.0</v>
      </c>
      <c r="AD254" s="135">
        <v>0.0</v>
      </c>
      <c r="AE254" s="135">
        <v>0.0</v>
      </c>
      <c r="AF254" s="137">
        <v>6.0</v>
      </c>
      <c r="AG254" s="137">
        <v>6.0</v>
      </c>
      <c r="AH254" s="137">
        <v>6.0</v>
      </c>
      <c r="AI254" s="137">
        <v>14.0</v>
      </c>
      <c r="AJ254" s="137">
        <v>8.0</v>
      </c>
      <c r="AK254" s="137">
        <v>26.0</v>
      </c>
      <c r="AL254" s="137">
        <v>28.0</v>
      </c>
      <c r="AM254" s="137">
        <v>32.0</v>
      </c>
      <c r="AN254" s="137">
        <v>126.0</v>
      </c>
    </row>
    <row r="255">
      <c r="A255" s="104"/>
      <c r="B255" s="136" t="s">
        <v>199</v>
      </c>
      <c r="C255" s="134">
        <v>3766.0</v>
      </c>
      <c r="D255" s="134">
        <v>1332.0</v>
      </c>
      <c r="E255" s="134">
        <v>2434.0</v>
      </c>
      <c r="F255" s="135">
        <v>0.0</v>
      </c>
      <c r="G255" s="135">
        <v>0.0</v>
      </c>
      <c r="H255" s="135">
        <v>0.0</v>
      </c>
      <c r="I255" s="135">
        <v>0.0</v>
      </c>
      <c r="J255" s="135">
        <v>0.0</v>
      </c>
      <c r="K255" s="135">
        <v>0.0</v>
      </c>
      <c r="L255" s="135">
        <v>0.0</v>
      </c>
      <c r="M255" s="135">
        <v>0.0</v>
      </c>
      <c r="N255" s="135">
        <v>0.0</v>
      </c>
      <c r="O255" s="135">
        <v>0.0</v>
      </c>
      <c r="P255" s="135">
        <v>0.0</v>
      </c>
      <c r="Q255" s="135">
        <v>0.0</v>
      </c>
      <c r="R255" s="135">
        <v>0.0</v>
      </c>
      <c r="S255" s="135">
        <v>0.0</v>
      </c>
      <c r="T255" s="135">
        <v>0.0</v>
      </c>
      <c r="U255" s="135">
        <v>0.0</v>
      </c>
      <c r="V255" s="135">
        <v>0.0</v>
      </c>
      <c r="W255" s="135">
        <v>0.0</v>
      </c>
      <c r="X255" s="135">
        <v>0.0</v>
      </c>
      <c r="Y255" s="135">
        <v>0.0</v>
      </c>
      <c r="Z255" s="135">
        <v>0.0</v>
      </c>
      <c r="AA255" s="135">
        <v>0.0</v>
      </c>
      <c r="AB255" s="135">
        <v>0.0</v>
      </c>
      <c r="AC255" s="135">
        <v>0.0</v>
      </c>
      <c r="AD255" s="135">
        <v>0.0</v>
      </c>
      <c r="AE255" s="135">
        <v>0.0</v>
      </c>
      <c r="AF255" s="137">
        <v>166.0</v>
      </c>
      <c r="AG255" s="137">
        <v>342.0</v>
      </c>
      <c r="AH255" s="137">
        <v>270.0</v>
      </c>
      <c r="AI255" s="137">
        <v>452.0</v>
      </c>
      <c r="AJ255" s="137">
        <v>292.0</v>
      </c>
      <c r="AK255" s="137">
        <v>536.0</v>
      </c>
      <c r="AL255" s="137">
        <v>604.0</v>
      </c>
      <c r="AM255" s="134">
        <v>1104.0</v>
      </c>
      <c r="AN255" s="134">
        <v>3758.0</v>
      </c>
    </row>
    <row r="256">
      <c r="A256" s="132" t="s">
        <v>205</v>
      </c>
      <c r="B256" s="136" t="s">
        <v>198</v>
      </c>
      <c r="C256" s="137">
        <v>362.0</v>
      </c>
      <c r="D256" s="137">
        <v>154.0</v>
      </c>
      <c r="E256" s="137">
        <v>208.0</v>
      </c>
      <c r="F256" s="137">
        <v>2.0</v>
      </c>
      <c r="G256" s="137">
        <v>0.0</v>
      </c>
      <c r="H256" s="137">
        <v>0.0</v>
      </c>
      <c r="I256" s="137">
        <v>0.0</v>
      </c>
      <c r="J256" s="137">
        <v>2.0</v>
      </c>
      <c r="K256" s="137">
        <v>0.0</v>
      </c>
      <c r="L256" s="137">
        <v>12.0</v>
      </c>
      <c r="M256" s="137">
        <v>6.0</v>
      </c>
      <c r="N256" s="137">
        <v>4.0</v>
      </c>
      <c r="O256" s="137">
        <v>18.0</v>
      </c>
      <c r="P256" s="137">
        <v>14.0</v>
      </c>
      <c r="Q256" s="137">
        <v>14.0</v>
      </c>
      <c r="R256" s="137">
        <v>12.0</v>
      </c>
      <c r="S256" s="137">
        <v>12.0</v>
      </c>
      <c r="T256" s="137">
        <v>6.0</v>
      </c>
      <c r="U256" s="137">
        <v>16.0</v>
      </c>
      <c r="V256" s="137">
        <v>10.0</v>
      </c>
      <c r="W256" s="137">
        <v>8.0</v>
      </c>
      <c r="X256" s="137">
        <v>6.0</v>
      </c>
      <c r="Y256" s="137">
        <v>10.0</v>
      </c>
      <c r="Z256" s="137">
        <v>6.0</v>
      </c>
      <c r="AA256" s="137">
        <v>16.0</v>
      </c>
      <c r="AB256" s="137">
        <v>20.0</v>
      </c>
      <c r="AC256" s="137">
        <v>18.0</v>
      </c>
      <c r="AD256" s="137">
        <v>16.0</v>
      </c>
      <c r="AE256" s="137">
        <v>22.0</v>
      </c>
      <c r="AF256" s="137">
        <v>14.0</v>
      </c>
      <c r="AG256" s="137">
        <v>26.0</v>
      </c>
      <c r="AH256" s="137">
        <v>18.0</v>
      </c>
      <c r="AI256" s="137">
        <v>12.0</v>
      </c>
      <c r="AJ256" s="137">
        <v>8.0</v>
      </c>
      <c r="AK256" s="137">
        <v>12.0</v>
      </c>
      <c r="AL256" s="137">
        <v>4.0</v>
      </c>
      <c r="AM256" s="137">
        <v>18.0</v>
      </c>
      <c r="AN256" s="137">
        <v>348.0</v>
      </c>
    </row>
    <row r="257">
      <c r="A257" s="98"/>
      <c r="B257" s="136" t="s">
        <v>199</v>
      </c>
      <c r="C257" s="137">
        <v>2.0</v>
      </c>
      <c r="D257" s="137">
        <v>2.0</v>
      </c>
      <c r="E257" s="137">
        <v>0.0</v>
      </c>
      <c r="F257" s="137">
        <v>0.0</v>
      </c>
      <c r="G257" s="137">
        <v>0.0</v>
      </c>
      <c r="H257" s="137">
        <v>0.0</v>
      </c>
      <c r="I257" s="137">
        <v>0.0</v>
      </c>
      <c r="J257" s="137">
        <v>0.0</v>
      </c>
      <c r="K257" s="137">
        <v>0.0</v>
      </c>
      <c r="L257" s="137">
        <v>0.0</v>
      </c>
      <c r="M257" s="137">
        <v>0.0</v>
      </c>
      <c r="N257" s="137">
        <v>0.0</v>
      </c>
      <c r="O257" s="137">
        <v>0.0</v>
      </c>
      <c r="P257" s="137">
        <v>0.0</v>
      </c>
      <c r="Q257" s="137">
        <v>0.0</v>
      </c>
      <c r="R257" s="137">
        <v>0.0</v>
      </c>
      <c r="S257" s="137">
        <v>0.0</v>
      </c>
      <c r="T257" s="137">
        <v>0.0</v>
      </c>
      <c r="U257" s="137">
        <v>0.0</v>
      </c>
      <c r="V257" s="137">
        <v>0.0</v>
      </c>
      <c r="W257" s="137">
        <v>0.0</v>
      </c>
      <c r="X257" s="137">
        <v>0.0</v>
      </c>
      <c r="Y257" s="137">
        <v>0.0</v>
      </c>
      <c r="Z257" s="137">
        <v>0.0</v>
      </c>
      <c r="AA257" s="137">
        <v>0.0</v>
      </c>
      <c r="AB257" s="137">
        <v>0.0</v>
      </c>
      <c r="AC257" s="137">
        <v>0.0</v>
      </c>
      <c r="AD257" s="137">
        <v>0.0</v>
      </c>
      <c r="AE257" s="137">
        <v>0.0</v>
      </c>
      <c r="AF257" s="137">
        <v>0.0</v>
      </c>
      <c r="AG257" s="137">
        <v>0.0</v>
      </c>
      <c r="AH257" s="137">
        <v>0.0</v>
      </c>
      <c r="AI257" s="137">
        <v>0.0</v>
      </c>
      <c r="AJ257" s="137">
        <v>0.0</v>
      </c>
      <c r="AK257" s="137">
        <v>0.0</v>
      </c>
      <c r="AL257" s="137">
        <v>2.0</v>
      </c>
      <c r="AM257" s="137">
        <v>0.0</v>
      </c>
      <c r="AN257" s="137">
        <v>2.0</v>
      </c>
    </row>
    <row r="258">
      <c r="A258" s="104"/>
      <c r="B258" s="136" t="s">
        <v>206</v>
      </c>
      <c r="C258" s="137">
        <v>788.0</v>
      </c>
      <c r="D258" s="137">
        <v>216.0</v>
      </c>
      <c r="E258" s="137">
        <v>572.0</v>
      </c>
      <c r="F258" s="137">
        <v>0.0</v>
      </c>
      <c r="G258" s="137">
        <v>0.0</v>
      </c>
      <c r="H258" s="137">
        <v>0.0</v>
      </c>
      <c r="I258" s="137">
        <v>0.0</v>
      </c>
      <c r="J258" s="137">
        <v>2.0</v>
      </c>
      <c r="K258" s="137">
        <v>0.0</v>
      </c>
      <c r="L258" s="137">
        <v>12.0</v>
      </c>
      <c r="M258" s="137">
        <v>80.0</v>
      </c>
      <c r="N258" s="137">
        <v>52.0</v>
      </c>
      <c r="O258" s="137">
        <v>138.0</v>
      </c>
      <c r="P258" s="137">
        <v>26.0</v>
      </c>
      <c r="Q258" s="137">
        <v>68.0</v>
      </c>
      <c r="R258" s="137">
        <v>32.0</v>
      </c>
      <c r="S258" s="137">
        <v>68.0</v>
      </c>
      <c r="T258" s="137">
        <v>14.0</v>
      </c>
      <c r="U258" s="137">
        <v>30.0</v>
      </c>
      <c r="V258" s="137">
        <v>22.0</v>
      </c>
      <c r="W258" s="137">
        <v>50.0</v>
      </c>
      <c r="X258" s="137">
        <v>12.0</v>
      </c>
      <c r="Y258" s="137">
        <v>52.0</v>
      </c>
      <c r="Z258" s="137">
        <v>18.0</v>
      </c>
      <c r="AA258" s="137">
        <v>28.0</v>
      </c>
      <c r="AB258" s="137">
        <v>10.0</v>
      </c>
      <c r="AC258" s="137">
        <v>18.0</v>
      </c>
      <c r="AD258" s="137">
        <v>4.0</v>
      </c>
      <c r="AE258" s="137">
        <v>10.0</v>
      </c>
      <c r="AF258" s="137">
        <v>8.0</v>
      </c>
      <c r="AG258" s="137">
        <v>18.0</v>
      </c>
      <c r="AH258" s="137">
        <v>0.0</v>
      </c>
      <c r="AI258" s="137">
        <v>4.0</v>
      </c>
      <c r="AJ258" s="137">
        <v>0.0</v>
      </c>
      <c r="AK258" s="137">
        <v>0.0</v>
      </c>
      <c r="AL258" s="137">
        <v>4.0</v>
      </c>
      <c r="AM258" s="137">
        <v>8.0</v>
      </c>
      <c r="AN258" s="137">
        <v>776.0</v>
      </c>
    </row>
    <row r="259">
      <c r="A259" s="132" t="s">
        <v>207</v>
      </c>
      <c r="B259" s="136" t="s">
        <v>198</v>
      </c>
      <c r="C259" s="134">
        <v>62380.0</v>
      </c>
      <c r="D259" s="134">
        <v>15212.0</v>
      </c>
      <c r="E259" s="134">
        <v>47168.0</v>
      </c>
      <c r="F259" s="137">
        <v>440.0</v>
      </c>
      <c r="G259" s="137">
        <v>344.0</v>
      </c>
      <c r="H259" s="137">
        <v>320.0</v>
      </c>
      <c r="I259" s="137">
        <v>264.0</v>
      </c>
      <c r="J259" s="137">
        <v>352.0</v>
      </c>
      <c r="K259" s="137">
        <v>322.0</v>
      </c>
      <c r="L259" s="137">
        <v>336.0</v>
      </c>
      <c r="M259" s="137">
        <v>464.0</v>
      </c>
      <c r="N259" s="137">
        <v>314.0</v>
      </c>
      <c r="O259" s="137">
        <v>664.0</v>
      </c>
      <c r="P259" s="137">
        <v>406.0</v>
      </c>
      <c r="Q259" s="134">
        <v>1024.0</v>
      </c>
      <c r="R259" s="137">
        <v>442.0</v>
      </c>
      <c r="S259" s="134">
        <v>1410.0</v>
      </c>
      <c r="T259" s="137">
        <v>482.0</v>
      </c>
      <c r="U259" s="134">
        <v>1516.0</v>
      </c>
      <c r="V259" s="137">
        <v>598.0</v>
      </c>
      <c r="W259" s="134">
        <v>1916.0</v>
      </c>
      <c r="X259" s="137">
        <v>744.0</v>
      </c>
      <c r="Y259" s="134">
        <v>2698.0</v>
      </c>
      <c r="Z259" s="134">
        <v>1088.0</v>
      </c>
      <c r="AA259" s="134">
        <v>3956.0</v>
      </c>
      <c r="AB259" s="134">
        <v>1516.0</v>
      </c>
      <c r="AC259" s="134">
        <v>5738.0</v>
      </c>
      <c r="AD259" s="134">
        <v>1536.0</v>
      </c>
      <c r="AE259" s="134">
        <v>6284.0</v>
      </c>
      <c r="AF259" s="134">
        <v>1526.0</v>
      </c>
      <c r="AG259" s="134">
        <v>6070.0</v>
      </c>
      <c r="AH259" s="134">
        <v>1884.0</v>
      </c>
      <c r="AI259" s="134">
        <v>5836.0</v>
      </c>
      <c r="AJ259" s="134">
        <v>1578.0</v>
      </c>
      <c r="AK259" s="134">
        <v>4210.0</v>
      </c>
      <c r="AL259" s="134">
        <v>1650.0</v>
      </c>
      <c r="AM259" s="134">
        <v>4452.0</v>
      </c>
      <c r="AN259" s="134">
        <v>61948.0</v>
      </c>
    </row>
    <row r="260">
      <c r="A260" s="98"/>
      <c r="B260" s="136" t="s">
        <v>199</v>
      </c>
      <c r="C260" s="134">
        <v>3208.0</v>
      </c>
      <c r="D260" s="134">
        <v>1384.0</v>
      </c>
      <c r="E260" s="134">
        <v>1824.0</v>
      </c>
      <c r="F260" s="137">
        <v>50.0</v>
      </c>
      <c r="G260" s="137">
        <v>86.0</v>
      </c>
      <c r="H260" s="137">
        <v>22.0</v>
      </c>
      <c r="I260" s="137">
        <v>34.0</v>
      </c>
      <c r="J260" s="137">
        <v>18.0</v>
      </c>
      <c r="K260" s="137">
        <v>28.0</v>
      </c>
      <c r="L260" s="137">
        <v>14.0</v>
      </c>
      <c r="M260" s="137">
        <v>20.0</v>
      </c>
      <c r="N260" s="137">
        <v>6.0</v>
      </c>
      <c r="O260" s="137">
        <v>18.0</v>
      </c>
      <c r="P260" s="137">
        <v>14.0</v>
      </c>
      <c r="Q260" s="137">
        <v>30.0</v>
      </c>
      <c r="R260" s="137">
        <v>22.0</v>
      </c>
      <c r="S260" s="137">
        <v>42.0</v>
      </c>
      <c r="T260" s="137">
        <v>40.0</v>
      </c>
      <c r="U260" s="137">
        <v>76.0</v>
      </c>
      <c r="V260" s="137">
        <v>44.0</v>
      </c>
      <c r="W260" s="137">
        <v>100.0</v>
      </c>
      <c r="X260" s="137">
        <v>56.0</v>
      </c>
      <c r="Y260" s="137">
        <v>130.0</v>
      </c>
      <c r="Z260" s="137">
        <v>102.0</v>
      </c>
      <c r="AA260" s="137">
        <v>132.0</v>
      </c>
      <c r="AB260" s="137">
        <v>146.0</v>
      </c>
      <c r="AC260" s="137">
        <v>180.0</v>
      </c>
      <c r="AD260" s="137">
        <v>162.0</v>
      </c>
      <c r="AE260" s="137">
        <v>320.0</v>
      </c>
      <c r="AF260" s="137">
        <v>204.0</v>
      </c>
      <c r="AG260" s="137">
        <v>228.0</v>
      </c>
      <c r="AH260" s="137">
        <v>190.0</v>
      </c>
      <c r="AI260" s="137">
        <v>174.0</v>
      </c>
      <c r="AJ260" s="137">
        <v>120.0</v>
      </c>
      <c r="AK260" s="137">
        <v>100.0</v>
      </c>
      <c r="AL260" s="137">
        <v>174.0</v>
      </c>
      <c r="AM260" s="137">
        <v>126.0</v>
      </c>
      <c r="AN260" s="134">
        <v>3204.0</v>
      </c>
    </row>
    <row r="261">
      <c r="A261" s="98"/>
      <c r="B261" s="136" t="s">
        <v>206</v>
      </c>
      <c r="C261" s="137">
        <v>174.0</v>
      </c>
      <c r="D261" s="137">
        <v>34.0</v>
      </c>
      <c r="E261" s="137">
        <v>140.0</v>
      </c>
      <c r="F261" s="137">
        <v>20.0</v>
      </c>
      <c r="G261" s="137">
        <v>6.0</v>
      </c>
      <c r="H261" s="137">
        <v>0.0</v>
      </c>
      <c r="I261" s="137">
        <v>0.0</v>
      </c>
      <c r="J261" s="137">
        <v>0.0</v>
      </c>
      <c r="K261" s="137">
        <v>0.0</v>
      </c>
      <c r="L261" s="137">
        <v>0.0</v>
      </c>
      <c r="M261" s="137">
        <v>16.0</v>
      </c>
      <c r="N261" s="137">
        <v>4.0</v>
      </c>
      <c r="O261" s="137">
        <v>16.0</v>
      </c>
      <c r="P261" s="137">
        <v>0.0</v>
      </c>
      <c r="Q261" s="137">
        <v>22.0</v>
      </c>
      <c r="R261" s="137">
        <v>2.0</v>
      </c>
      <c r="S261" s="137">
        <v>14.0</v>
      </c>
      <c r="T261" s="137">
        <v>6.0</v>
      </c>
      <c r="U261" s="137">
        <v>12.0</v>
      </c>
      <c r="V261" s="137">
        <v>0.0</v>
      </c>
      <c r="W261" s="137">
        <v>10.0</v>
      </c>
      <c r="X261" s="137">
        <v>0.0</v>
      </c>
      <c r="Y261" s="137">
        <v>6.0</v>
      </c>
      <c r="Z261" s="137">
        <v>0.0</v>
      </c>
      <c r="AA261" s="137">
        <v>14.0</v>
      </c>
      <c r="AB261" s="137">
        <v>0.0</v>
      </c>
      <c r="AC261" s="137">
        <v>14.0</v>
      </c>
      <c r="AD261" s="137">
        <v>0.0</v>
      </c>
      <c r="AE261" s="137">
        <v>4.0</v>
      </c>
      <c r="AF261" s="137">
        <v>0.0</v>
      </c>
      <c r="AG261" s="137">
        <v>2.0</v>
      </c>
      <c r="AH261" s="137">
        <v>0.0</v>
      </c>
      <c r="AI261" s="137">
        <v>2.0</v>
      </c>
      <c r="AJ261" s="137">
        <v>2.0</v>
      </c>
      <c r="AK261" s="137">
        <v>0.0</v>
      </c>
      <c r="AL261" s="137">
        <v>0.0</v>
      </c>
      <c r="AM261" s="137">
        <v>2.0</v>
      </c>
      <c r="AN261" s="137">
        <v>174.0</v>
      </c>
    </row>
    <row r="262">
      <c r="A262" s="98"/>
      <c r="B262" s="136" t="s">
        <v>200</v>
      </c>
      <c r="C262" s="134">
        <v>12300.0</v>
      </c>
      <c r="D262" s="134">
        <v>3948.0</v>
      </c>
      <c r="E262" s="134">
        <v>8352.0</v>
      </c>
      <c r="F262" s="134">
        <v>2030.0</v>
      </c>
      <c r="G262" s="134">
        <v>1856.0</v>
      </c>
      <c r="H262" s="137">
        <v>374.0</v>
      </c>
      <c r="I262" s="137">
        <v>460.0</v>
      </c>
      <c r="J262" s="137">
        <v>242.0</v>
      </c>
      <c r="K262" s="137">
        <v>300.0</v>
      </c>
      <c r="L262" s="137">
        <v>136.0</v>
      </c>
      <c r="M262" s="137">
        <v>554.0</v>
      </c>
      <c r="N262" s="137">
        <v>54.0</v>
      </c>
      <c r="O262" s="137">
        <v>568.0</v>
      </c>
      <c r="P262" s="137">
        <v>100.0</v>
      </c>
      <c r="Q262" s="137">
        <v>638.0</v>
      </c>
      <c r="R262" s="137">
        <v>84.0</v>
      </c>
      <c r="S262" s="137">
        <v>568.0</v>
      </c>
      <c r="T262" s="137">
        <v>70.0</v>
      </c>
      <c r="U262" s="137">
        <v>478.0</v>
      </c>
      <c r="V262" s="137">
        <v>88.0</v>
      </c>
      <c r="W262" s="137">
        <v>488.0</v>
      </c>
      <c r="X262" s="137">
        <v>88.0</v>
      </c>
      <c r="Y262" s="137">
        <v>464.0</v>
      </c>
      <c r="Z262" s="137">
        <v>124.0</v>
      </c>
      <c r="AA262" s="137">
        <v>486.0</v>
      </c>
      <c r="AB262" s="137">
        <v>92.0</v>
      </c>
      <c r="AC262" s="137">
        <v>374.0</v>
      </c>
      <c r="AD262" s="137">
        <v>92.0</v>
      </c>
      <c r="AE262" s="137">
        <v>386.0</v>
      </c>
      <c r="AF262" s="137">
        <v>122.0</v>
      </c>
      <c r="AG262" s="137">
        <v>250.0</v>
      </c>
      <c r="AH262" s="137">
        <v>98.0</v>
      </c>
      <c r="AI262" s="137">
        <v>200.0</v>
      </c>
      <c r="AJ262" s="137">
        <v>86.0</v>
      </c>
      <c r="AK262" s="137">
        <v>148.0</v>
      </c>
      <c r="AL262" s="137">
        <v>68.0</v>
      </c>
      <c r="AM262" s="137">
        <v>134.0</v>
      </c>
      <c r="AN262" s="134">
        <v>12226.0</v>
      </c>
    </row>
    <row r="263">
      <c r="A263" s="104"/>
      <c r="B263" s="136" t="s">
        <v>201</v>
      </c>
      <c r="C263" s="134">
        <v>2876.0</v>
      </c>
      <c r="D263" s="134">
        <v>1090.0</v>
      </c>
      <c r="E263" s="134">
        <v>1786.0</v>
      </c>
      <c r="F263" s="137">
        <v>0.0</v>
      </c>
      <c r="G263" s="137">
        <v>0.0</v>
      </c>
      <c r="H263" s="137">
        <v>0.0</v>
      </c>
      <c r="I263" s="137">
        <v>6.0</v>
      </c>
      <c r="J263" s="137">
        <v>4.0</v>
      </c>
      <c r="K263" s="137">
        <v>10.0</v>
      </c>
      <c r="L263" s="137">
        <v>8.0</v>
      </c>
      <c r="M263" s="137">
        <v>12.0</v>
      </c>
      <c r="N263" s="137">
        <v>8.0</v>
      </c>
      <c r="O263" s="137">
        <v>26.0</v>
      </c>
      <c r="P263" s="137">
        <v>34.0</v>
      </c>
      <c r="Q263" s="137">
        <v>48.0</v>
      </c>
      <c r="R263" s="137">
        <v>6.0</v>
      </c>
      <c r="S263" s="137">
        <v>70.0</v>
      </c>
      <c r="T263" s="137">
        <v>38.0</v>
      </c>
      <c r="U263" s="137">
        <v>104.0</v>
      </c>
      <c r="V263" s="137">
        <v>28.0</v>
      </c>
      <c r="W263" s="137">
        <v>112.0</v>
      </c>
      <c r="X263" s="137">
        <v>56.0</v>
      </c>
      <c r="Y263" s="137">
        <v>116.0</v>
      </c>
      <c r="Z263" s="137">
        <v>56.0</v>
      </c>
      <c r="AA263" s="137">
        <v>108.0</v>
      </c>
      <c r="AB263" s="137">
        <v>142.0</v>
      </c>
      <c r="AC263" s="137">
        <v>112.0</v>
      </c>
      <c r="AD263" s="137">
        <v>144.0</v>
      </c>
      <c r="AE263" s="137">
        <v>264.0</v>
      </c>
      <c r="AF263" s="137">
        <v>142.0</v>
      </c>
      <c r="AG263" s="137">
        <v>224.0</v>
      </c>
      <c r="AH263" s="137">
        <v>188.0</v>
      </c>
      <c r="AI263" s="137">
        <v>188.0</v>
      </c>
      <c r="AJ263" s="137">
        <v>142.0</v>
      </c>
      <c r="AK263" s="137">
        <v>210.0</v>
      </c>
      <c r="AL263" s="137">
        <v>94.0</v>
      </c>
      <c r="AM263" s="137">
        <v>176.0</v>
      </c>
      <c r="AN263" s="134">
        <v>2818.0</v>
      </c>
    </row>
    <row r="264">
      <c r="A264" s="132" t="s">
        <v>208</v>
      </c>
      <c r="B264" s="136" t="s">
        <v>198</v>
      </c>
      <c r="C264" s="137">
        <v>6.0</v>
      </c>
      <c r="D264" s="137">
        <v>0.0</v>
      </c>
      <c r="E264" s="137">
        <v>6.0</v>
      </c>
      <c r="F264" s="137">
        <v>0.0</v>
      </c>
      <c r="G264" s="137">
        <v>2.0</v>
      </c>
      <c r="H264" s="137">
        <v>0.0</v>
      </c>
      <c r="I264" s="137">
        <v>4.0</v>
      </c>
      <c r="J264" s="137">
        <v>0.0</v>
      </c>
      <c r="K264" s="137">
        <v>0.0</v>
      </c>
      <c r="L264" s="137">
        <v>0.0</v>
      </c>
      <c r="M264" s="137">
        <v>0.0</v>
      </c>
      <c r="N264" s="137">
        <v>0.0</v>
      </c>
      <c r="O264" s="137">
        <v>0.0</v>
      </c>
      <c r="P264" s="135">
        <v>0.0</v>
      </c>
      <c r="Q264" s="135">
        <v>0.0</v>
      </c>
      <c r="R264" s="135">
        <v>0.0</v>
      </c>
      <c r="S264" s="135">
        <v>0.0</v>
      </c>
      <c r="T264" s="135">
        <v>0.0</v>
      </c>
      <c r="U264" s="135">
        <v>0.0</v>
      </c>
      <c r="V264" s="135">
        <v>0.0</v>
      </c>
      <c r="W264" s="135">
        <v>0.0</v>
      </c>
      <c r="X264" s="135">
        <v>0.0</v>
      </c>
      <c r="Y264" s="135">
        <v>0.0</v>
      </c>
      <c r="Z264" s="135">
        <v>0.0</v>
      </c>
      <c r="AA264" s="135">
        <v>0.0</v>
      </c>
      <c r="AB264" s="135">
        <v>0.0</v>
      </c>
      <c r="AC264" s="135">
        <v>0.0</v>
      </c>
      <c r="AD264" s="135">
        <v>0.0</v>
      </c>
      <c r="AE264" s="135">
        <v>0.0</v>
      </c>
      <c r="AF264" s="135">
        <v>0.0</v>
      </c>
      <c r="AG264" s="135">
        <v>0.0</v>
      </c>
      <c r="AH264" s="135">
        <v>0.0</v>
      </c>
      <c r="AI264" s="135">
        <v>0.0</v>
      </c>
      <c r="AJ264" s="135">
        <v>0.0</v>
      </c>
      <c r="AK264" s="135">
        <v>0.0</v>
      </c>
      <c r="AL264" s="135">
        <v>0.0</v>
      </c>
      <c r="AM264" s="135">
        <v>0.0</v>
      </c>
      <c r="AN264" s="137">
        <v>4.0</v>
      </c>
    </row>
    <row r="265">
      <c r="A265" s="98"/>
      <c r="B265" s="136" t="s">
        <v>199</v>
      </c>
      <c r="C265" s="137">
        <v>264.0</v>
      </c>
      <c r="D265" s="137">
        <v>120.0</v>
      </c>
      <c r="E265" s="137">
        <v>144.0</v>
      </c>
      <c r="F265" s="137">
        <v>100.0</v>
      </c>
      <c r="G265" s="137">
        <v>114.0</v>
      </c>
      <c r="H265" s="137">
        <v>20.0</v>
      </c>
      <c r="I265" s="137">
        <v>28.0</v>
      </c>
      <c r="J265" s="137">
        <v>0.0</v>
      </c>
      <c r="K265" s="137">
        <v>2.0</v>
      </c>
      <c r="L265" s="137">
        <v>0.0</v>
      </c>
      <c r="M265" s="137">
        <v>0.0</v>
      </c>
      <c r="N265" s="137">
        <v>0.0</v>
      </c>
      <c r="O265" s="137">
        <v>0.0</v>
      </c>
      <c r="P265" s="135">
        <v>0.0</v>
      </c>
      <c r="Q265" s="135">
        <v>0.0</v>
      </c>
      <c r="R265" s="135">
        <v>0.0</v>
      </c>
      <c r="S265" s="135">
        <v>0.0</v>
      </c>
      <c r="T265" s="135">
        <v>0.0</v>
      </c>
      <c r="U265" s="135">
        <v>0.0</v>
      </c>
      <c r="V265" s="135">
        <v>0.0</v>
      </c>
      <c r="W265" s="135">
        <v>0.0</v>
      </c>
      <c r="X265" s="135">
        <v>0.0</v>
      </c>
      <c r="Y265" s="135">
        <v>0.0</v>
      </c>
      <c r="Z265" s="135">
        <v>0.0</v>
      </c>
      <c r="AA265" s="135">
        <v>0.0</v>
      </c>
      <c r="AB265" s="135">
        <v>0.0</v>
      </c>
      <c r="AC265" s="135">
        <v>0.0</v>
      </c>
      <c r="AD265" s="135">
        <v>0.0</v>
      </c>
      <c r="AE265" s="135">
        <v>0.0</v>
      </c>
      <c r="AF265" s="135">
        <v>0.0</v>
      </c>
      <c r="AG265" s="135">
        <v>0.0</v>
      </c>
      <c r="AH265" s="135">
        <v>0.0</v>
      </c>
      <c r="AI265" s="135">
        <v>0.0</v>
      </c>
      <c r="AJ265" s="135">
        <v>0.0</v>
      </c>
      <c r="AK265" s="135">
        <v>0.0</v>
      </c>
      <c r="AL265" s="135">
        <v>0.0</v>
      </c>
      <c r="AM265" s="135">
        <v>0.0</v>
      </c>
      <c r="AN265" s="137">
        <v>214.0</v>
      </c>
    </row>
    <row r="266">
      <c r="A266" s="98"/>
      <c r="B266" s="136" t="s">
        <v>206</v>
      </c>
      <c r="C266" s="137">
        <v>4.0</v>
      </c>
      <c r="D266" s="137">
        <v>2.0</v>
      </c>
      <c r="E266" s="137">
        <v>2.0</v>
      </c>
      <c r="F266" s="137">
        <v>0.0</v>
      </c>
      <c r="G266" s="137">
        <v>2.0</v>
      </c>
      <c r="H266" s="137">
        <v>0.0</v>
      </c>
      <c r="I266" s="137">
        <v>0.0</v>
      </c>
      <c r="J266" s="137">
        <v>0.0</v>
      </c>
      <c r="K266" s="137">
        <v>0.0</v>
      </c>
      <c r="L266" s="137">
        <v>2.0</v>
      </c>
      <c r="M266" s="137">
        <v>0.0</v>
      </c>
      <c r="N266" s="137">
        <v>0.0</v>
      </c>
      <c r="O266" s="137">
        <v>0.0</v>
      </c>
      <c r="P266" s="135">
        <v>0.0</v>
      </c>
      <c r="Q266" s="135">
        <v>0.0</v>
      </c>
      <c r="R266" s="135">
        <v>0.0</v>
      </c>
      <c r="S266" s="135">
        <v>0.0</v>
      </c>
      <c r="T266" s="135">
        <v>0.0</v>
      </c>
      <c r="U266" s="135">
        <v>0.0</v>
      </c>
      <c r="V266" s="135">
        <v>0.0</v>
      </c>
      <c r="W266" s="135">
        <v>0.0</v>
      </c>
      <c r="X266" s="135">
        <v>0.0</v>
      </c>
      <c r="Y266" s="135">
        <v>0.0</v>
      </c>
      <c r="Z266" s="135">
        <v>0.0</v>
      </c>
      <c r="AA266" s="135">
        <v>0.0</v>
      </c>
      <c r="AB266" s="135">
        <v>0.0</v>
      </c>
      <c r="AC266" s="135">
        <v>0.0</v>
      </c>
      <c r="AD266" s="135">
        <v>0.0</v>
      </c>
      <c r="AE266" s="135">
        <v>0.0</v>
      </c>
      <c r="AF266" s="135">
        <v>0.0</v>
      </c>
      <c r="AG266" s="135">
        <v>0.0</v>
      </c>
      <c r="AH266" s="135">
        <v>0.0</v>
      </c>
      <c r="AI266" s="135">
        <v>0.0</v>
      </c>
      <c r="AJ266" s="135">
        <v>0.0</v>
      </c>
      <c r="AK266" s="135">
        <v>0.0</v>
      </c>
      <c r="AL266" s="135">
        <v>0.0</v>
      </c>
      <c r="AM266" s="135">
        <v>0.0</v>
      </c>
      <c r="AN266" s="137">
        <v>4.0</v>
      </c>
    </row>
    <row r="267">
      <c r="A267" s="98"/>
      <c r="B267" s="136" t="s">
        <v>200</v>
      </c>
      <c r="C267" s="137">
        <v>22.0</v>
      </c>
      <c r="D267" s="137">
        <v>10.0</v>
      </c>
      <c r="E267" s="137">
        <v>12.0</v>
      </c>
      <c r="F267" s="137">
        <v>6.0</v>
      </c>
      <c r="G267" s="137">
        <v>12.0</v>
      </c>
      <c r="H267" s="137">
        <v>2.0</v>
      </c>
      <c r="I267" s="137">
        <v>0.0</v>
      </c>
      <c r="J267" s="137">
        <v>0.0</v>
      </c>
      <c r="K267" s="137">
        <v>0.0</v>
      </c>
      <c r="L267" s="137">
        <v>0.0</v>
      </c>
      <c r="M267" s="137">
        <v>0.0</v>
      </c>
      <c r="N267" s="137">
        <v>2.0</v>
      </c>
      <c r="O267" s="137">
        <v>0.0</v>
      </c>
      <c r="P267" s="135">
        <v>0.0</v>
      </c>
      <c r="Q267" s="135">
        <v>0.0</v>
      </c>
      <c r="R267" s="135">
        <v>0.0</v>
      </c>
      <c r="S267" s="135">
        <v>0.0</v>
      </c>
      <c r="T267" s="135">
        <v>0.0</v>
      </c>
      <c r="U267" s="135">
        <v>0.0</v>
      </c>
      <c r="V267" s="135">
        <v>0.0</v>
      </c>
      <c r="W267" s="135">
        <v>0.0</v>
      </c>
      <c r="X267" s="135">
        <v>0.0</v>
      </c>
      <c r="Y267" s="135">
        <v>0.0</v>
      </c>
      <c r="Z267" s="135">
        <v>0.0</v>
      </c>
      <c r="AA267" s="135">
        <v>0.0</v>
      </c>
      <c r="AB267" s="135">
        <v>0.0</v>
      </c>
      <c r="AC267" s="135">
        <v>0.0</v>
      </c>
      <c r="AD267" s="135">
        <v>0.0</v>
      </c>
      <c r="AE267" s="135">
        <v>0.0</v>
      </c>
      <c r="AF267" s="135">
        <v>0.0</v>
      </c>
      <c r="AG267" s="135">
        <v>0.0</v>
      </c>
      <c r="AH267" s="135">
        <v>0.0</v>
      </c>
      <c r="AI267" s="135">
        <v>0.0</v>
      </c>
      <c r="AJ267" s="135">
        <v>0.0</v>
      </c>
      <c r="AK267" s="135">
        <v>0.0</v>
      </c>
      <c r="AL267" s="135">
        <v>0.0</v>
      </c>
      <c r="AM267" s="135">
        <v>0.0</v>
      </c>
      <c r="AN267" s="137">
        <v>22.0</v>
      </c>
    </row>
    <row r="268">
      <c r="A268" s="104"/>
      <c r="B268" s="136" t="s">
        <v>201</v>
      </c>
      <c r="C268" s="137">
        <v>0.0</v>
      </c>
      <c r="D268" s="137">
        <v>0.0</v>
      </c>
      <c r="E268" s="137">
        <v>0.0</v>
      </c>
      <c r="F268" s="137">
        <v>0.0</v>
      </c>
      <c r="G268" s="137">
        <v>0.0</v>
      </c>
      <c r="H268" s="137">
        <v>0.0</v>
      </c>
      <c r="I268" s="137">
        <v>0.0</v>
      </c>
      <c r="J268" s="137">
        <v>0.0</v>
      </c>
      <c r="K268" s="137">
        <v>0.0</v>
      </c>
      <c r="L268" s="137">
        <v>0.0</v>
      </c>
      <c r="M268" s="137">
        <v>0.0</v>
      </c>
      <c r="N268" s="137">
        <v>0.0</v>
      </c>
      <c r="O268" s="137">
        <v>0.0</v>
      </c>
      <c r="P268" s="135">
        <v>0.0</v>
      </c>
      <c r="Q268" s="135">
        <v>0.0</v>
      </c>
      <c r="R268" s="135">
        <v>0.0</v>
      </c>
      <c r="S268" s="135">
        <v>0.0</v>
      </c>
      <c r="T268" s="135">
        <v>0.0</v>
      </c>
      <c r="U268" s="135">
        <v>0.0</v>
      </c>
      <c r="V268" s="135">
        <v>0.0</v>
      </c>
      <c r="W268" s="135">
        <v>0.0</v>
      </c>
      <c r="X268" s="135">
        <v>0.0</v>
      </c>
      <c r="Y268" s="135">
        <v>0.0</v>
      </c>
      <c r="Z268" s="135">
        <v>0.0</v>
      </c>
      <c r="AA268" s="135">
        <v>0.0</v>
      </c>
      <c r="AB268" s="135">
        <v>0.0</v>
      </c>
      <c r="AC268" s="135">
        <v>0.0</v>
      </c>
      <c r="AD268" s="135">
        <v>0.0</v>
      </c>
      <c r="AE268" s="135">
        <v>0.0</v>
      </c>
      <c r="AF268" s="135">
        <v>0.0</v>
      </c>
      <c r="AG268" s="135">
        <v>0.0</v>
      </c>
      <c r="AH268" s="135">
        <v>0.0</v>
      </c>
      <c r="AI268" s="135">
        <v>0.0</v>
      </c>
      <c r="AJ268" s="135">
        <v>0.0</v>
      </c>
      <c r="AK268" s="135">
        <v>0.0</v>
      </c>
      <c r="AL268" s="135">
        <v>0.0</v>
      </c>
      <c r="AM268" s="135">
        <v>0.0</v>
      </c>
      <c r="AN268" s="137">
        <v>0.0</v>
      </c>
    </row>
    <row r="269">
      <c r="A269" s="138" t="s">
        <v>250</v>
      </c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</row>
    <row r="270">
      <c r="A270" s="132" t="s">
        <v>197</v>
      </c>
      <c r="B270" s="133" t="s">
        <v>198</v>
      </c>
      <c r="C270" s="134">
        <v>162250.0</v>
      </c>
      <c r="D270" s="134">
        <v>58604.0</v>
      </c>
      <c r="E270" s="134">
        <v>103646.0</v>
      </c>
      <c r="F270" s="135">
        <v>0.0</v>
      </c>
      <c r="G270" s="135">
        <v>0.0</v>
      </c>
      <c r="H270" s="135">
        <v>0.0</v>
      </c>
      <c r="I270" s="135">
        <v>0.0</v>
      </c>
      <c r="J270" s="135">
        <v>0.0</v>
      </c>
      <c r="K270" s="135">
        <v>0.0</v>
      </c>
      <c r="L270" s="137">
        <v>68.0</v>
      </c>
      <c r="M270" s="137">
        <v>64.0</v>
      </c>
      <c r="N270" s="137">
        <v>94.0</v>
      </c>
      <c r="O270" s="137">
        <v>186.0</v>
      </c>
      <c r="P270" s="137">
        <v>224.0</v>
      </c>
      <c r="Q270" s="137">
        <v>418.0</v>
      </c>
      <c r="R270" s="137">
        <v>446.0</v>
      </c>
      <c r="S270" s="137">
        <v>946.0</v>
      </c>
      <c r="T270" s="137">
        <v>876.0</v>
      </c>
      <c r="U270" s="134">
        <v>1516.0</v>
      </c>
      <c r="V270" s="134">
        <v>1412.0</v>
      </c>
      <c r="W270" s="134">
        <v>2590.0</v>
      </c>
      <c r="X270" s="134">
        <v>2366.0</v>
      </c>
      <c r="Y270" s="134">
        <v>4630.0</v>
      </c>
      <c r="Z270" s="134">
        <v>4340.0</v>
      </c>
      <c r="AA270" s="134">
        <v>8578.0</v>
      </c>
      <c r="AB270" s="134">
        <v>7184.0</v>
      </c>
      <c r="AC270" s="134">
        <v>12616.0</v>
      </c>
      <c r="AD270" s="134">
        <v>8282.0</v>
      </c>
      <c r="AE270" s="134">
        <v>14526.0</v>
      </c>
      <c r="AF270" s="134">
        <v>9100.0</v>
      </c>
      <c r="AG270" s="134">
        <v>15240.0</v>
      </c>
      <c r="AH270" s="134">
        <v>9162.0</v>
      </c>
      <c r="AI270" s="134">
        <v>15442.0</v>
      </c>
      <c r="AJ270" s="134">
        <v>7648.0</v>
      </c>
      <c r="AK270" s="134">
        <v>12356.0</v>
      </c>
      <c r="AL270" s="134">
        <v>7402.0</v>
      </c>
      <c r="AM270" s="134">
        <v>14538.0</v>
      </c>
      <c r="AN270" s="134">
        <v>161670.0</v>
      </c>
    </row>
    <row r="271">
      <c r="A271" s="98"/>
      <c r="B271" s="136" t="s">
        <v>199</v>
      </c>
      <c r="C271" s="134">
        <v>83412.0</v>
      </c>
      <c r="D271" s="134">
        <v>28756.0</v>
      </c>
      <c r="E271" s="134">
        <v>54656.0</v>
      </c>
      <c r="F271" s="135">
        <v>0.0</v>
      </c>
      <c r="G271" s="135">
        <v>0.0</v>
      </c>
      <c r="H271" s="135">
        <v>0.0</v>
      </c>
      <c r="I271" s="135">
        <v>0.0</v>
      </c>
      <c r="J271" s="135">
        <v>0.0</v>
      </c>
      <c r="K271" s="135">
        <v>0.0</v>
      </c>
      <c r="L271" s="137">
        <v>8.0</v>
      </c>
      <c r="M271" s="137">
        <v>16.0</v>
      </c>
      <c r="N271" s="137">
        <v>32.0</v>
      </c>
      <c r="O271" s="137">
        <v>40.0</v>
      </c>
      <c r="P271" s="137">
        <v>74.0</v>
      </c>
      <c r="Q271" s="137">
        <v>122.0</v>
      </c>
      <c r="R271" s="137">
        <v>160.0</v>
      </c>
      <c r="S271" s="137">
        <v>288.0</v>
      </c>
      <c r="T271" s="137">
        <v>274.0</v>
      </c>
      <c r="U271" s="137">
        <v>552.0</v>
      </c>
      <c r="V271" s="137">
        <v>502.0</v>
      </c>
      <c r="W271" s="137">
        <v>984.0</v>
      </c>
      <c r="X271" s="137">
        <v>884.0</v>
      </c>
      <c r="Y271" s="134">
        <v>1998.0</v>
      </c>
      <c r="Z271" s="134">
        <v>1742.0</v>
      </c>
      <c r="AA271" s="134">
        <v>4044.0</v>
      </c>
      <c r="AB271" s="134">
        <v>3228.0</v>
      </c>
      <c r="AC271" s="134">
        <v>6272.0</v>
      </c>
      <c r="AD271" s="134">
        <v>4026.0</v>
      </c>
      <c r="AE271" s="134">
        <v>7682.0</v>
      </c>
      <c r="AF271" s="134">
        <v>4552.0</v>
      </c>
      <c r="AG271" s="134">
        <v>8442.0</v>
      </c>
      <c r="AH271" s="134">
        <v>4986.0</v>
      </c>
      <c r="AI271" s="134">
        <v>8618.0</v>
      </c>
      <c r="AJ271" s="134">
        <v>4184.0</v>
      </c>
      <c r="AK271" s="134">
        <v>7258.0</v>
      </c>
      <c r="AL271" s="134">
        <v>4104.0</v>
      </c>
      <c r="AM271" s="134">
        <v>8340.0</v>
      </c>
      <c r="AN271" s="134">
        <v>83038.0</v>
      </c>
    </row>
    <row r="272">
      <c r="A272" s="98"/>
      <c r="B272" s="136" t="s">
        <v>200</v>
      </c>
      <c r="C272" s="134">
        <v>83022.0</v>
      </c>
      <c r="D272" s="134">
        <v>28018.0</v>
      </c>
      <c r="E272" s="134">
        <v>55004.0</v>
      </c>
      <c r="F272" s="135">
        <v>0.0</v>
      </c>
      <c r="G272" s="135">
        <v>0.0</v>
      </c>
      <c r="H272" s="135">
        <v>0.0</v>
      </c>
      <c r="I272" s="135">
        <v>0.0</v>
      </c>
      <c r="J272" s="135">
        <v>0.0</v>
      </c>
      <c r="K272" s="135">
        <v>0.0</v>
      </c>
      <c r="L272" s="137">
        <v>28.0</v>
      </c>
      <c r="M272" s="137">
        <v>26.0</v>
      </c>
      <c r="N272" s="137">
        <v>36.0</v>
      </c>
      <c r="O272" s="137">
        <v>68.0</v>
      </c>
      <c r="P272" s="137">
        <v>72.0</v>
      </c>
      <c r="Q272" s="137">
        <v>146.0</v>
      </c>
      <c r="R272" s="137">
        <v>208.0</v>
      </c>
      <c r="S272" s="137">
        <v>366.0</v>
      </c>
      <c r="T272" s="137">
        <v>342.0</v>
      </c>
      <c r="U272" s="137">
        <v>630.0</v>
      </c>
      <c r="V272" s="137">
        <v>578.0</v>
      </c>
      <c r="W272" s="134">
        <v>1146.0</v>
      </c>
      <c r="X272" s="137">
        <v>992.0</v>
      </c>
      <c r="Y272" s="134">
        <v>2274.0</v>
      </c>
      <c r="Z272" s="134">
        <v>2026.0</v>
      </c>
      <c r="AA272" s="134">
        <v>4468.0</v>
      </c>
      <c r="AB272" s="134">
        <v>3270.0</v>
      </c>
      <c r="AC272" s="134">
        <v>6688.0</v>
      </c>
      <c r="AD272" s="134">
        <v>3926.0</v>
      </c>
      <c r="AE272" s="134">
        <v>7824.0</v>
      </c>
      <c r="AF272" s="134">
        <v>4522.0</v>
      </c>
      <c r="AG272" s="134">
        <v>8528.0</v>
      </c>
      <c r="AH272" s="134">
        <v>4684.0</v>
      </c>
      <c r="AI272" s="134">
        <v>8542.0</v>
      </c>
      <c r="AJ272" s="134">
        <v>3876.0</v>
      </c>
      <c r="AK272" s="134">
        <v>6870.0</v>
      </c>
      <c r="AL272" s="134">
        <v>3458.0</v>
      </c>
      <c r="AM272" s="134">
        <v>7428.0</v>
      </c>
      <c r="AN272" s="134">
        <v>82510.0</v>
      </c>
    </row>
    <row r="273">
      <c r="A273" s="104"/>
      <c r="B273" s="136" t="s">
        <v>201</v>
      </c>
      <c r="C273" s="137">
        <v>6.0</v>
      </c>
      <c r="D273" s="137">
        <v>2.0</v>
      </c>
      <c r="E273" s="137">
        <v>4.0</v>
      </c>
      <c r="F273" s="135">
        <v>0.0</v>
      </c>
      <c r="G273" s="135">
        <v>0.0</v>
      </c>
      <c r="H273" s="135">
        <v>0.0</v>
      </c>
      <c r="I273" s="135">
        <v>0.0</v>
      </c>
      <c r="J273" s="135">
        <v>0.0</v>
      </c>
      <c r="K273" s="135">
        <v>0.0</v>
      </c>
      <c r="L273" s="137">
        <v>0.0</v>
      </c>
      <c r="M273" s="137">
        <v>0.0</v>
      </c>
      <c r="N273" s="137">
        <v>0.0</v>
      </c>
      <c r="O273" s="137">
        <v>0.0</v>
      </c>
      <c r="P273" s="137">
        <v>0.0</v>
      </c>
      <c r="Q273" s="137">
        <v>0.0</v>
      </c>
      <c r="R273" s="137">
        <v>0.0</v>
      </c>
      <c r="S273" s="137">
        <v>0.0</v>
      </c>
      <c r="T273" s="137">
        <v>0.0</v>
      </c>
      <c r="U273" s="137">
        <v>0.0</v>
      </c>
      <c r="V273" s="137">
        <v>0.0</v>
      </c>
      <c r="W273" s="137">
        <v>0.0</v>
      </c>
      <c r="X273" s="137">
        <v>0.0</v>
      </c>
      <c r="Y273" s="137">
        <v>2.0</v>
      </c>
      <c r="Z273" s="137">
        <v>2.0</v>
      </c>
      <c r="AA273" s="137">
        <v>0.0</v>
      </c>
      <c r="AB273" s="137">
        <v>0.0</v>
      </c>
      <c r="AC273" s="137">
        <v>0.0</v>
      </c>
      <c r="AD273" s="137">
        <v>0.0</v>
      </c>
      <c r="AE273" s="137">
        <v>0.0</v>
      </c>
      <c r="AF273" s="137">
        <v>0.0</v>
      </c>
      <c r="AG273" s="137">
        <v>0.0</v>
      </c>
      <c r="AH273" s="137">
        <v>0.0</v>
      </c>
      <c r="AI273" s="137">
        <v>0.0</v>
      </c>
      <c r="AJ273" s="137">
        <v>0.0</v>
      </c>
      <c r="AK273" s="137">
        <v>2.0</v>
      </c>
      <c r="AL273" s="137">
        <v>0.0</v>
      </c>
      <c r="AM273" s="137">
        <v>0.0</v>
      </c>
      <c r="AN273" s="137">
        <v>6.0</v>
      </c>
    </row>
    <row r="274">
      <c r="A274" s="132" t="s">
        <v>202</v>
      </c>
      <c r="B274" s="136" t="s">
        <v>198</v>
      </c>
      <c r="C274" s="134">
        <v>1978.0</v>
      </c>
      <c r="D274" s="134">
        <v>1070.0</v>
      </c>
      <c r="E274" s="137">
        <v>908.0</v>
      </c>
      <c r="F274" s="137">
        <v>26.0</v>
      </c>
      <c r="G274" s="137">
        <v>20.0</v>
      </c>
      <c r="H274" s="137">
        <v>6.0</v>
      </c>
      <c r="I274" s="137">
        <v>36.0</v>
      </c>
      <c r="J274" s="137">
        <v>8.0</v>
      </c>
      <c r="K274" s="137">
        <v>8.0</v>
      </c>
      <c r="L274" s="137">
        <v>42.0</v>
      </c>
      <c r="M274" s="137">
        <v>38.0</v>
      </c>
      <c r="N274" s="137">
        <v>162.0</v>
      </c>
      <c r="O274" s="137">
        <v>92.0</v>
      </c>
      <c r="P274" s="137">
        <v>154.0</v>
      </c>
      <c r="Q274" s="137">
        <v>124.0</v>
      </c>
      <c r="R274" s="137">
        <v>88.0</v>
      </c>
      <c r="S274" s="137">
        <v>126.0</v>
      </c>
      <c r="T274" s="137">
        <v>94.0</v>
      </c>
      <c r="U274" s="137">
        <v>30.0</v>
      </c>
      <c r="V274" s="137">
        <v>102.0</v>
      </c>
      <c r="W274" s="137">
        <v>78.0</v>
      </c>
      <c r="X274" s="137">
        <v>80.0</v>
      </c>
      <c r="Y274" s="137">
        <v>42.0</v>
      </c>
      <c r="Z274" s="137">
        <v>60.0</v>
      </c>
      <c r="AA274" s="137">
        <v>58.0</v>
      </c>
      <c r="AB274" s="137">
        <v>62.0</v>
      </c>
      <c r="AC274" s="137">
        <v>60.0</v>
      </c>
      <c r="AD274" s="137">
        <v>60.0</v>
      </c>
      <c r="AE274" s="137">
        <v>42.0</v>
      </c>
      <c r="AF274" s="137">
        <v>40.0</v>
      </c>
      <c r="AG274" s="137">
        <v>46.0</v>
      </c>
      <c r="AH274" s="137">
        <v>54.0</v>
      </c>
      <c r="AI274" s="137">
        <v>46.0</v>
      </c>
      <c r="AJ274" s="137">
        <v>12.0</v>
      </c>
      <c r="AK274" s="137">
        <v>26.0</v>
      </c>
      <c r="AL274" s="137">
        <v>20.0</v>
      </c>
      <c r="AM274" s="137">
        <v>36.0</v>
      </c>
      <c r="AN274" s="134">
        <v>1880.0</v>
      </c>
    </row>
    <row r="275">
      <c r="A275" s="104"/>
      <c r="B275" s="136" t="s">
        <v>199</v>
      </c>
      <c r="C275" s="134">
        <v>1066.0</v>
      </c>
      <c r="D275" s="137">
        <v>602.0</v>
      </c>
      <c r="E275" s="137">
        <v>464.0</v>
      </c>
      <c r="F275" s="137">
        <v>22.0</v>
      </c>
      <c r="G275" s="137">
        <v>22.0</v>
      </c>
      <c r="H275" s="137">
        <v>4.0</v>
      </c>
      <c r="I275" s="137">
        <v>32.0</v>
      </c>
      <c r="J275" s="137">
        <v>16.0</v>
      </c>
      <c r="K275" s="137">
        <v>8.0</v>
      </c>
      <c r="L275" s="137">
        <v>14.0</v>
      </c>
      <c r="M275" s="137">
        <v>22.0</v>
      </c>
      <c r="N275" s="137">
        <v>76.0</v>
      </c>
      <c r="O275" s="137">
        <v>44.0</v>
      </c>
      <c r="P275" s="137">
        <v>80.0</v>
      </c>
      <c r="Q275" s="137">
        <v>54.0</v>
      </c>
      <c r="R275" s="137">
        <v>50.0</v>
      </c>
      <c r="S275" s="137">
        <v>78.0</v>
      </c>
      <c r="T275" s="137">
        <v>80.0</v>
      </c>
      <c r="U275" s="137">
        <v>14.0</v>
      </c>
      <c r="V275" s="137">
        <v>84.0</v>
      </c>
      <c r="W275" s="137">
        <v>28.0</v>
      </c>
      <c r="X275" s="137">
        <v>54.0</v>
      </c>
      <c r="Y275" s="137">
        <v>40.0</v>
      </c>
      <c r="Z275" s="137">
        <v>36.0</v>
      </c>
      <c r="AA275" s="137">
        <v>30.0</v>
      </c>
      <c r="AB275" s="137">
        <v>18.0</v>
      </c>
      <c r="AC275" s="137">
        <v>18.0</v>
      </c>
      <c r="AD275" s="137">
        <v>20.0</v>
      </c>
      <c r="AE275" s="137">
        <v>18.0</v>
      </c>
      <c r="AF275" s="137">
        <v>10.0</v>
      </c>
      <c r="AG275" s="137">
        <v>12.0</v>
      </c>
      <c r="AH275" s="137">
        <v>22.0</v>
      </c>
      <c r="AI275" s="137">
        <v>18.0</v>
      </c>
      <c r="AJ275" s="137">
        <v>8.0</v>
      </c>
      <c r="AK275" s="137">
        <v>10.0</v>
      </c>
      <c r="AL275" s="137">
        <v>8.0</v>
      </c>
      <c r="AM275" s="137">
        <v>16.0</v>
      </c>
      <c r="AN275" s="134">
        <v>1034.0</v>
      </c>
    </row>
    <row r="276">
      <c r="A276" s="132" t="s">
        <v>203</v>
      </c>
      <c r="B276" s="136" t="s">
        <v>198</v>
      </c>
      <c r="C276" s="137">
        <v>426.0</v>
      </c>
      <c r="D276" s="137">
        <v>120.0</v>
      </c>
      <c r="E276" s="137">
        <v>306.0</v>
      </c>
      <c r="F276" s="135">
        <v>0.0</v>
      </c>
      <c r="G276" s="135">
        <v>0.0</v>
      </c>
      <c r="H276" s="135">
        <v>0.0</v>
      </c>
      <c r="I276" s="135">
        <v>0.0</v>
      </c>
      <c r="J276" s="135">
        <v>0.0</v>
      </c>
      <c r="K276" s="135">
        <v>0.0</v>
      </c>
      <c r="L276" s="135">
        <v>0.0</v>
      </c>
      <c r="M276" s="135">
        <v>0.0</v>
      </c>
      <c r="N276" s="135">
        <v>0.0</v>
      </c>
      <c r="O276" s="135">
        <v>0.0</v>
      </c>
      <c r="P276" s="135">
        <v>0.0</v>
      </c>
      <c r="Q276" s="135">
        <v>0.0</v>
      </c>
      <c r="R276" s="135">
        <v>0.0</v>
      </c>
      <c r="S276" s="135">
        <v>0.0</v>
      </c>
      <c r="T276" s="135">
        <v>0.0</v>
      </c>
      <c r="U276" s="135">
        <v>0.0</v>
      </c>
      <c r="V276" s="135">
        <v>0.0</v>
      </c>
      <c r="W276" s="135">
        <v>0.0</v>
      </c>
      <c r="X276" s="135">
        <v>0.0</v>
      </c>
      <c r="Y276" s="135">
        <v>0.0</v>
      </c>
      <c r="Z276" s="135">
        <v>0.0</v>
      </c>
      <c r="AA276" s="135">
        <v>0.0</v>
      </c>
      <c r="AB276" s="135">
        <v>0.0</v>
      </c>
      <c r="AC276" s="135">
        <v>0.0</v>
      </c>
      <c r="AD276" s="135">
        <v>0.0</v>
      </c>
      <c r="AE276" s="135">
        <v>0.0</v>
      </c>
      <c r="AF276" s="137">
        <v>42.0</v>
      </c>
      <c r="AG276" s="137">
        <v>78.0</v>
      </c>
      <c r="AH276" s="137">
        <v>36.0</v>
      </c>
      <c r="AI276" s="137">
        <v>88.0</v>
      </c>
      <c r="AJ276" s="137">
        <v>22.0</v>
      </c>
      <c r="AK276" s="137">
        <v>74.0</v>
      </c>
      <c r="AL276" s="137">
        <v>20.0</v>
      </c>
      <c r="AM276" s="137">
        <v>66.0</v>
      </c>
      <c r="AN276" s="137">
        <v>426.0</v>
      </c>
    </row>
    <row r="277">
      <c r="A277" s="104"/>
      <c r="B277" s="136" t="s">
        <v>199</v>
      </c>
      <c r="C277" s="137">
        <v>704.0</v>
      </c>
      <c r="D277" s="137">
        <v>232.0</v>
      </c>
      <c r="E277" s="137">
        <v>472.0</v>
      </c>
      <c r="F277" s="135">
        <v>0.0</v>
      </c>
      <c r="G277" s="135">
        <v>0.0</v>
      </c>
      <c r="H277" s="135">
        <v>0.0</v>
      </c>
      <c r="I277" s="135">
        <v>0.0</v>
      </c>
      <c r="J277" s="135">
        <v>0.0</v>
      </c>
      <c r="K277" s="135">
        <v>0.0</v>
      </c>
      <c r="L277" s="135">
        <v>0.0</v>
      </c>
      <c r="M277" s="135">
        <v>0.0</v>
      </c>
      <c r="N277" s="135">
        <v>0.0</v>
      </c>
      <c r="O277" s="135">
        <v>0.0</v>
      </c>
      <c r="P277" s="135">
        <v>0.0</v>
      </c>
      <c r="Q277" s="135">
        <v>0.0</v>
      </c>
      <c r="R277" s="135">
        <v>0.0</v>
      </c>
      <c r="S277" s="135">
        <v>0.0</v>
      </c>
      <c r="T277" s="135">
        <v>0.0</v>
      </c>
      <c r="U277" s="135">
        <v>0.0</v>
      </c>
      <c r="V277" s="135">
        <v>0.0</v>
      </c>
      <c r="W277" s="135">
        <v>0.0</v>
      </c>
      <c r="X277" s="135">
        <v>0.0</v>
      </c>
      <c r="Y277" s="135">
        <v>0.0</v>
      </c>
      <c r="Z277" s="135">
        <v>0.0</v>
      </c>
      <c r="AA277" s="135">
        <v>0.0</v>
      </c>
      <c r="AB277" s="135">
        <v>0.0</v>
      </c>
      <c r="AC277" s="135">
        <v>0.0</v>
      </c>
      <c r="AD277" s="135">
        <v>0.0</v>
      </c>
      <c r="AE277" s="135">
        <v>0.0</v>
      </c>
      <c r="AF277" s="137">
        <v>46.0</v>
      </c>
      <c r="AG277" s="137">
        <v>120.0</v>
      </c>
      <c r="AH277" s="137">
        <v>78.0</v>
      </c>
      <c r="AI277" s="137">
        <v>104.0</v>
      </c>
      <c r="AJ277" s="137">
        <v>70.0</v>
      </c>
      <c r="AK277" s="137">
        <v>100.0</v>
      </c>
      <c r="AL277" s="137">
        <v>38.0</v>
      </c>
      <c r="AM277" s="137">
        <v>148.0</v>
      </c>
      <c r="AN277" s="137">
        <v>704.0</v>
      </c>
    </row>
    <row r="278">
      <c r="A278" s="132" t="s">
        <v>204</v>
      </c>
      <c r="B278" s="136" t="s">
        <v>198</v>
      </c>
      <c r="C278" s="137">
        <v>50.0</v>
      </c>
      <c r="D278" s="137">
        <v>24.0</v>
      </c>
      <c r="E278" s="137">
        <v>26.0</v>
      </c>
      <c r="F278" s="135">
        <v>0.0</v>
      </c>
      <c r="G278" s="135">
        <v>0.0</v>
      </c>
      <c r="H278" s="135">
        <v>0.0</v>
      </c>
      <c r="I278" s="135">
        <v>0.0</v>
      </c>
      <c r="J278" s="135">
        <v>0.0</v>
      </c>
      <c r="K278" s="135">
        <v>0.0</v>
      </c>
      <c r="L278" s="135">
        <v>0.0</v>
      </c>
      <c r="M278" s="135">
        <v>0.0</v>
      </c>
      <c r="N278" s="135">
        <v>0.0</v>
      </c>
      <c r="O278" s="135">
        <v>0.0</v>
      </c>
      <c r="P278" s="135">
        <v>0.0</v>
      </c>
      <c r="Q278" s="135">
        <v>0.0</v>
      </c>
      <c r="R278" s="135">
        <v>0.0</v>
      </c>
      <c r="S278" s="135">
        <v>0.0</v>
      </c>
      <c r="T278" s="135">
        <v>0.0</v>
      </c>
      <c r="U278" s="135">
        <v>0.0</v>
      </c>
      <c r="V278" s="135">
        <v>0.0</v>
      </c>
      <c r="W278" s="135">
        <v>0.0</v>
      </c>
      <c r="X278" s="135">
        <v>0.0</v>
      </c>
      <c r="Y278" s="135">
        <v>0.0</v>
      </c>
      <c r="Z278" s="135">
        <v>0.0</v>
      </c>
      <c r="AA278" s="135">
        <v>0.0</v>
      </c>
      <c r="AB278" s="135">
        <v>0.0</v>
      </c>
      <c r="AC278" s="135">
        <v>0.0</v>
      </c>
      <c r="AD278" s="135">
        <v>0.0</v>
      </c>
      <c r="AE278" s="135">
        <v>0.0</v>
      </c>
      <c r="AF278" s="137">
        <v>2.0</v>
      </c>
      <c r="AG278" s="137">
        <v>0.0</v>
      </c>
      <c r="AH278" s="137">
        <v>4.0</v>
      </c>
      <c r="AI278" s="137">
        <v>6.0</v>
      </c>
      <c r="AJ278" s="137">
        <v>6.0</v>
      </c>
      <c r="AK278" s="137">
        <v>2.0</v>
      </c>
      <c r="AL278" s="137">
        <v>12.0</v>
      </c>
      <c r="AM278" s="137">
        <v>18.0</v>
      </c>
      <c r="AN278" s="137">
        <v>50.0</v>
      </c>
    </row>
    <row r="279">
      <c r="A279" s="104"/>
      <c r="B279" s="136" t="s">
        <v>199</v>
      </c>
      <c r="C279" s="137">
        <v>54.0</v>
      </c>
      <c r="D279" s="137">
        <v>18.0</v>
      </c>
      <c r="E279" s="137">
        <v>36.0</v>
      </c>
      <c r="F279" s="135">
        <v>0.0</v>
      </c>
      <c r="G279" s="135">
        <v>0.0</v>
      </c>
      <c r="H279" s="135">
        <v>0.0</v>
      </c>
      <c r="I279" s="135">
        <v>0.0</v>
      </c>
      <c r="J279" s="135">
        <v>0.0</v>
      </c>
      <c r="K279" s="135">
        <v>0.0</v>
      </c>
      <c r="L279" s="135">
        <v>0.0</v>
      </c>
      <c r="M279" s="135">
        <v>0.0</v>
      </c>
      <c r="N279" s="135">
        <v>0.0</v>
      </c>
      <c r="O279" s="135">
        <v>0.0</v>
      </c>
      <c r="P279" s="135">
        <v>0.0</v>
      </c>
      <c r="Q279" s="135">
        <v>0.0</v>
      </c>
      <c r="R279" s="135">
        <v>0.0</v>
      </c>
      <c r="S279" s="135">
        <v>0.0</v>
      </c>
      <c r="T279" s="135">
        <v>0.0</v>
      </c>
      <c r="U279" s="135">
        <v>0.0</v>
      </c>
      <c r="V279" s="135">
        <v>0.0</v>
      </c>
      <c r="W279" s="135">
        <v>0.0</v>
      </c>
      <c r="X279" s="135">
        <v>0.0</v>
      </c>
      <c r="Y279" s="135">
        <v>0.0</v>
      </c>
      <c r="Z279" s="135">
        <v>0.0</v>
      </c>
      <c r="AA279" s="135">
        <v>0.0</v>
      </c>
      <c r="AB279" s="135">
        <v>0.0</v>
      </c>
      <c r="AC279" s="135">
        <v>0.0</v>
      </c>
      <c r="AD279" s="135">
        <v>0.0</v>
      </c>
      <c r="AE279" s="135">
        <v>0.0</v>
      </c>
      <c r="AF279" s="137">
        <v>0.0</v>
      </c>
      <c r="AG279" s="137">
        <v>8.0</v>
      </c>
      <c r="AH279" s="137">
        <v>4.0</v>
      </c>
      <c r="AI279" s="137">
        <v>4.0</v>
      </c>
      <c r="AJ279" s="137">
        <v>4.0</v>
      </c>
      <c r="AK279" s="137">
        <v>4.0</v>
      </c>
      <c r="AL279" s="137">
        <v>10.0</v>
      </c>
      <c r="AM279" s="137">
        <v>20.0</v>
      </c>
      <c r="AN279" s="137">
        <v>54.0</v>
      </c>
    </row>
    <row r="280">
      <c r="A280" s="132" t="s">
        <v>205</v>
      </c>
      <c r="B280" s="136" t="s">
        <v>198</v>
      </c>
      <c r="C280" s="137">
        <v>14.0</v>
      </c>
      <c r="D280" s="137">
        <v>12.0</v>
      </c>
      <c r="E280" s="137">
        <v>2.0</v>
      </c>
      <c r="F280" s="137">
        <v>0.0</v>
      </c>
      <c r="G280" s="137">
        <v>0.0</v>
      </c>
      <c r="H280" s="137">
        <v>0.0</v>
      </c>
      <c r="I280" s="137">
        <v>0.0</v>
      </c>
      <c r="J280" s="137">
        <v>0.0</v>
      </c>
      <c r="K280" s="137">
        <v>0.0</v>
      </c>
      <c r="L280" s="137">
        <v>2.0</v>
      </c>
      <c r="M280" s="137">
        <v>0.0</v>
      </c>
      <c r="N280" s="137">
        <v>4.0</v>
      </c>
      <c r="O280" s="137">
        <v>2.0</v>
      </c>
      <c r="P280" s="137">
        <v>0.0</v>
      </c>
      <c r="Q280" s="137">
        <v>0.0</v>
      </c>
      <c r="R280" s="137">
        <v>2.0</v>
      </c>
      <c r="S280" s="137">
        <v>0.0</v>
      </c>
      <c r="T280" s="137">
        <v>2.0</v>
      </c>
      <c r="U280" s="137">
        <v>0.0</v>
      </c>
      <c r="V280" s="137">
        <v>0.0</v>
      </c>
      <c r="W280" s="137">
        <v>0.0</v>
      </c>
      <c r="X280" s="137">
        <v>0.0</v>
      </c>
      <c r="Y280" s="137">
        <v>0.0</v>
      </c>
      <c r="Z280" s="137">
        <v>0.0</v>
      </c>
      <c r="AA280" s="137">
        <v>0.0</v>
      </c>
      <c r="AB280" s="137">
        <v>0.0</v>
      </c>
      <c r="AC280" s="137">
        <v>0.0</v>
      </c>
      <c r="AD280" s="137">
        <v>2.0</v>
      </c>
      <c r="AE280" s="137">
        <v>0.0</v>
      </c>
      <c r="AF280" s="137">
        <v>0.0</v>
      </c>
      <c r="AG280" s="137">
        <v>0.0</v>
      </c>
      <c r="AH280" s="137">
        <v>0.0</v>
      </c>
      <c r="AI280" s="137">
        <v>0.0</v>
      </c>
      <c r="AJ280" s="137">
        <v>0.0</v>
      </c>
      <c r="AK280" s="137">
        <v>0.0</v>
      </c>
      <c r="AL280" s="137">
        <v>0.0</v>
      </c>
      <c r="AM280" s="137">
        <v>0.0</v>
      </c>
      <c r="AN280" s="137">
        <v>14.0</v>
      </c>
    </row>
    <row r="281">
      <c r="A281" s="98"/>
      <c r="B281" s="136" t="s">
        <v>199</v>
      </c>
      <c r="C281" s="137">
        <v>12.0</v>
      </c>
      <c r="D281" s="137">
        <v>4.0</v>
      </c>
      <c r="E281" s="137">
        <v>8.0</v>
      </c>
      <c r="F281" s="137">
        <v>0.0</v>
      </c>
      <c r="G281" s="137">
        <v>0.0</v>
      </c>
      <c r="H281" s="137">
        <v>0.0</v>
      </c>
      <c r="I281" s="137">
        <v>0.0</v>
      </c>
      <c r="J281" s="137">
        <v>0.0</v>
      </c>
      <c r="K281" s="137">
        <v>2.0</v>
      </c>
      <c r="L281" s="137">
        <v>0.0</v>
      </c>
      <c r="M281" s="137">
        <v>2.0</v>
      </c>
      <c r="N281" s="137">
        <v>0.0</v>
      </c>
      <c r="O281" s="137">
        <v>0.0</v>
      </c>
      <c r="P281" s="137">
        <v>0.0</v>
      </c>
      <c r="Q281" s="137">
        <v>0.0</v>
      </c>
      <c r="R281" s="137">
        <v>0.0</v>
      </c>
      <c r="S281" s="137">
        <v>0.0</v>
      </c>
      <c r="T281" s="137">
        <v>0.0</v>
      </c>
      <c r="U281" s="137">
        <v>0.0</v>
      </c>
      <c r="V281" s="137">
        <v>0.0</v>
      </c>
      <c r="W281" s="137">
        <v>0.0</v>
      </c>
      <c r="X281" s="137">
        <v>0.0</v>
      </c>
      <c r="Y281" s="137">
        <v>0.0</v>
      </c>
      <c r="Z281" s="137">
        <v>2.0</v>
      </c>
      <c r="AA281" s="137">
        <v>0.0</v>
      </c>
      <c r="AB281" s="137">
        <v>0.0</v>
      </c>
      <c r="AC281" s="137">
        <v>2.0</v>
      </c>
      <c r="AD281" s="137">
        <v>0.0</v>
      </c>
      <c r="AE281" s="137">
        <v>0.0</v>
      </c>
      <c r="AF281" s="137">
        <v>0.0</v>
      </c>
      <c r="AG281" s="137">
        <v>2.0</v>
      </c>
      <c r="AH281" s="137">
        <v>0.0</v>
      </c>
      <c r="AI281" s="137">
        <v>0.0</v>
      </c>
      <c r="AJ281" s="137">
        <v>2.0</v>
      </c>
      <c r="AK281" s="137">
        <v>0.0</v>
      </c>
      <c r="AL281" s="137">
        <v>0.0</v>
      </c>
      <c r="AM281" s="137">
        <v>0.0</v>
      </c>
      <c r="AN281" s="137">
        <v>12.0</v>
      </c>
    </row>
    <row r="282">
      <c r="A282" s="104"/>
      <c r="B282" s="136" t="s">
        <v>206</v>
      </c>
      <c r="C282" s="137">
        <v>44.0</v>
      </c>
      <c r="D282" s="137">
        <v>8.0</v>
      </c>
      <c r="E282" s="137">
        <v>36.0</v>
      </c>
      <c r="F282" s="137">
        <v>0.0</v>
      </c>
      <c r="G282" s="137">
        <v>0.0</v>
      </c>
      <c r="H282" s="137">
        <v>0.0</v>
      </c>
      <c r="I282" s="137">
        <v>0.0</v>
      </c>
      <c r="J282" s="137">
        <v>0.0</v>
      </c>
      <c r="K282" s="137">
        <v>0.0</v>
      </c>
      <c r="L282" s="137">
        <v>0.0</v>
      </c>
      <c r="M282" s="137">
        <v>0.0</v>
      </c>
      <c r="N282" s="137">
        <v>0.0</v>
      </c>
      <c r="O282" s="137">
        <v>8.0</v>
      </c>
      <c r="P282" s="137">
        <v>6.0</v>
      </c>
      <c r="Q282" s="137">
        <v>6.0</v>
      </c>
      <c r="R282" s="137">
        <v>0.0</v>
      </c>
      <c r="S282" s="137">
        <v>6.0</v>
      </c>
      <c r="T282" s="137">
        <v>0.0</v>
      </c>
      <c r="U282" s="137">
        <v>6.0</v>
      </c>
      <c r="V282" s="137">
        <v>0.0</v>
      </c>
      <c r="W282" s="137">
        <v>4.0</v>
      </c>
      <c r="X282" s="137">
        <v>0.0</v>
      </c>
      <c r="Y282" s="137">
        <v>4.0</v>
      </c>
      <c r="Z282" s="137">
        <v>0.0</v>
      </c>
      <c r="AA282" s="137">
        <v>2.0</v>
      </c>
      <c r="AB282" s="137">
        <v>2.0</v>
      </c>
      <c r="AC282" s="137">
        <v>0.0</v>
      </c>
      <c r="AD282" s="137">
        <v>0.0</v>
      </c>
      <c r="AE282" s="137">
        <v>0.0</v>
      </c>
      <c r="AF282" s="137">
        <v>0.0</v>
      </c>
      <c r="AG282" s="137">
        <v>0.0</v>
      </c>
      <c r="AH282" s="137">
        <v>0.0</v>
      </c>
      <c r="AI282" s="137">
        <v>0.0</v>
      </c>
      <c r="AJ282" s="137">
        <v>0.0</v>
      </c>
      <c r="AK282" s="137">
        <v>0.0</v>
      </c>
      <c r="AL282" s="137">
        <v>0.0</v>
      </c>
      <c r="AM282" s="137">
        <v>0.0</v>
      </c>
      <c r="AN282" s="137">
        <v>44.0</v>
      </c>
    </row>
    <row r="283">
      <c r="A283" s="132" t="s">
        <v>207</v>
      </c>
      <c r="B283" s="136" t="s">
        <v>198</v>
      </c>
      <c r="C283" s="134">
        <v>38696.0</v>
      </c>
      <c r="D283" s="134">
        <v>7820.0</v>
      </c>
      <c r="E283" s="134">
        <v>30876.0</v>
      </c>
      <c r="F283" s="137">
        <v>558.0</v>
      </c>
      <c r="G283" s="137">
        <v>434.0</v>
      </c>
      <c r="H283" s="137">
        <v>410.0</v>
      </c>
      <c r="I283" s="137">
        <v>310.0</v>
      </c>
      <c r="J283" s="137">
        <v>288.0</v>
      </c>
      <c r="K283" s="137">
        <v>190.0</v>
      </c>
      <c r="L283" s="137">
        <v>160.0</v>
      </c>
      <c r="M283" s="137">
        <v>258.0</v>
      </c>
      <c r="N283" s="137">
        <v>152.0</v>
      </c>
      <c r="O283" s="137">
        <v>374.0</v>
      </c>
      <c r="P283" s="137">
        <v>160.0</v>
      </c>
      <c r="Q283" s="137">
        <v>500.0</v>
      </c>
      <c r="R283" s="137">
        <v>194.0</v>
      </c>
      <c r="S283" s="137">
        <v>688.0</v>
      </c>
      <c r="T283" s="137">
        <v>194.0</v>
      </c>
      <c r="U283" s="137">
        <v>836.0</v>
      </c>
      <c r="V283" s="137">
        <v>182.0</v>
      </c>
      <c r="W283" s="137">
        <v>968.0</v>
      </c>
      <c r="X283" s="137">
        <v>248.0</v>
      </c>
      <c r="Y283" s="134">
        <v>1416.0</v>
      </c>
      <c r="Z283" s="137">
        <v>424.0</v>
      </c>
      <c r="AA283" s="134">
        <v>2214.0</v>
      </c>
      <c r="AB283" s="137">
        <v>560.0</v>
      </c>
      <c r="AC283" s="134">
        <v>3484.0</v>
      </c>
      <c r="AD283" s="137">
        <v>712.0</v>
      </c>
      <c r="AE283" s="134">
        <v>3990.0</v>
      </c>
      <c r="AF283" s="137">
        <v>896.0</v>
      </c>
      <c r="AG283" s="134">
        <v>4314.0</v>
      </c>
      <c r="AH283" s="134">
        <v>1000.0</v>
      </c>
      <c r="AI283" s="134">
        <v>4272.0</v>
      </c>
      <c r="AJ283" s="137">
        <v>836.0</v>
      </c>
      <c r="AK283" s="134">
        <v>3304.0</v>
      </c>
      <c r="AL283" s="137">
        <v>846.0</v>
      </c>
      <c r="AM283" s="134">
        <v>3324.0</v>
      </c>
      <c r="AN283" s="134">
        <v>38468.0</v>
      </c>
    </row>
    <row r="284">
      <c r="A284" s="98"/>
      <c r="B284" s="136" t="s">
        <v>199</v>
      </c>
      <c r="C284" s="137">
        <v>190.0</v>
      </c>
      <c r="D284" s="137">
        <v>96.0</v>
      </c>
      <c r="E284" s="137">
        <v>94.0</v>
      </c>
      <c r="F284" s="137">
        <v>34.0</v>
      </c>
      <c r="G284" s="137">
        <v>22.0</v>
      </c>
      <c r="H284" s="137">
        <v>0.0</v>
      </c>
      <c r="I284" s="137">
        <v>0.0</v>
      </c>
      <c r="J284" s="137">
        <v>0.0</v>
      </c>
      <c r="K284" s="137">
        <v>0.0</v>
      </c>
      <c r="L284" s="137">
        <v>2.0</v>
      </c>
      <c r="M284" s="137">
        <v>2.0</v>
      </c>
      <c r="N284" s="137">
        <v>2.0</v>
      </c>
      <c r="O284" s="137">
        <v>4.0</v>
      </c>
      <c r="P284" s="137">
        <v>2.0</v>
      </c>
      <c r="Q284" s="137">
        <v>10.0</v>
      </c>
      <c r="R284" s="137">
        <v>0.0</v>
      </c>
      <c r="S284" s="137">
        <v>6.0</v>
      </c>
      <c r="T284" s="137">
        <v>2.0</v>
      </c>
      <c r="U284" s="137">
        <v>4.0</v>
      </c>
      <c r="V284" s="137">
        <v>2.0</v>
      </c>
      <c r="W284" s="137">
        <v>2.0</v>
      </c>
      <c r="X284" s="137">
        <v>12.0</v>
      </c>
      <c r="Y284" s="137">
        <v>2.0</v>
      </c>
      <c r="Z284" s="137">
        <v>6.0</v>
      </c>
      <c r="AA284" s="137">
        <v>2.0</v>
      </c>
      <c r="AB284" s="137">
        <v>12.0</v>
      </c>
      <c r="AC284" s="137">
        <v>12.0</v>
      </c>
      <c r="AD284" s="137">
        <v>8.0</v>
      </c>
      <c r="AE284" s="137">
        <v>10.0</v>
      </c>
      <c r="AF284" s="137">
        <v>4.0</v>
      </c>
      <c r="AG284" s="137">
        <v>2.0</v>
      </c>
      <c r="AH284" s="137">
        <v>6.0</v>
      </c>
      <c r="AI284" s="137">
        <v>6.0</v>
      </c>
      <c r="AJ284" s="137">
        <v>0.0</v>
      </c>
      <c r="AK284" s="137">
        <v>0.0</v>
      </c>
      <c r="AL284" s="137">
        <v>4.0</v>
      </c>
      <c r="AM284" s="137">
        <v>10.0</v>
      </c>
      <c r="AN284" s="137">
        <v>190.0</v>
      </c>
    </row>
    <row r="285">
      <c r="A285" s="98"/>
      <c r="B285" s="136" t="s">
        <v>206</v>
      </c>
      <c r="C285" s="137">
        <v>2.0</v>
      </c>
      <c r="D285" s="137">
        <v>0.0</v>
      </c>
      <c r="E285" s="137">
        <v>2.0</v>
      </c>
      <c r="F285" s="137">
        <v>0.0</v>
      </c>
      <c r="G285" s="137">
        <v>0.0</v>
      </c>
      <c r="H285" s="137">
        <v>0.0</v>
      </c>
      <c r="I285" s="137">
        <v>0.0</v>
      </c>
      <c r="J285" s="137">
        <v>0.0</v>
      </c>
      <c r="K285" s="137">
        <v>2.0</v>
      </c>
      <c r="L285" s="137">
        <v>0.0</v>
      </c>
      <c r="M285" s="137">
        <v>0.0</v>
      </c>
      <c r="N285" s="137">
        <v>0.0</v>
      </c>
      <c r="O285" s="137">
        <v>0.0</v>
      </c>
      <c r="P285" s="137">
        <v>0.0</v>
      </c>
      <c r="Q285" s="137">
        <v>0.0</v>
      </c>
      <c r="R285" s="137">
        <v>0.0</v>
      </c>
      <c r="S285" s="137">
        <v>0.0</v>
      </c>
      <c r="T285" s="137">
        <v>0.0</v>
      </c>
      <c r="U285" s="137">
        <v>0.0</v>
      </c>
      <c r="V285" s="137">
        <v>0.0</v>
      </c>
      <c r="W285" s="137">
        <v>0.0</v>
      </c>
      <c r="X285" s="137">
        <v>0.0</v>
      </c>
      <c r="Y285" s="137">
        <v>0.0</v>
      </c>
      <c r="Z285" s="137">
        <v>0.0</v>
      </c>
      <c r="AA285" s="137">
        <v>0.0</v>
      </c>
      <c r="AB285" s="137">
        <v>0.0</v>
      </c>
      <c r="AC285" s="137">
        <v>0.0</v>
      </c>
      <c r="AD285" s="137">
        <v>0.0</v>
      </c>
      <c r="AE285" s="137">
        <v>0.0</v>
      </c>
      <c r="AF285" s="137">
        <v>0.0</v>
      </c>
      <c r="AG285" s="137">
        <v>0.0</v>
      </c>
      <c r="AH285" s="137">
        <v>0.0</v>
      </c>
      <c r="AI285" s="137">
        <v>0.0</v>
      </c>
      <c r="AJ285" s="137">
        <v>0.0</v>
      </c>
      <c r="AK285" s="137">
        <v>0.0</v>
      </c>
      <c r="AL285" s="137">
        <v>0.0</v>
      </c>
      <c r="AM285" s="137">
        <v>0.0</v>
      </c>
      <c r="AN285" s="137">
        <v>2.0</v>
      </c>
    </row>
    <row r="286">
      <c r="A286" s="98"/>
      <c r="B286" s="136" t="s">
        <v>200</v>
      </c>
      <c r="C286" s="134">
        <v>1696.0</v>
      </c>
      <c r="D286" s="137">
        <v>788.0</v>
      </c>
      <c r="E286" s="137">
        <v>908.0</v>
      </c>
      <c r="F286" s="137">
        <v>736.0</v>
      </c>
      <c r="G286" s="137">
        <v>708.0</v>
      </c>
      <c r="H286" s="137">
        <v>10.0</v>
      </c>
      <c r="I286" s="137">
        <v>2.0</v>
      </c>
      <c r="J286" s="137">
        <v>0.0</v>
      </c>
      <c r="K286" s="137">
        <v>6.0</v>
      </c>
      <c r="L286" s="137">
        <v>2.0</v>
      </c>
      <c r="M286" s="137">
        <v>12.0</v>
      </c>
      <c r="N286" s="137">
        <v>4.0</v>
      </c>
      <c r="O286" s="137">
        <v>12.0</v>
      </c>
      <c r="P286" s="137">
        <v>0.0</v>
      </c>
      <c r="Q286" s="137">
        <v>8.0</v>
      </c>
      <c r="R286" s="137">
        <v>2.0</v>
      </c>
      <c r="S286" s="137">
        <v>14.0</v>
      </c>
      <c r="T286" s="137">
        <v>2.0</v>
      </c>
      <c r="U286" s="137">
        <v>18.0</v>
      </c>
      <c r="V286" s="137">
        <v>2.0</v>
      </c>
      <c r="W286" s="137">
        <v>6.0</v>
      </c>
      <c r="X286" s="137">
        <v>6.0</v>
      </c>
      <c r="Y286" s="137">
        <v>10.0</v>
      </c>
      <c r="Z286" s="137">
        <v>2.0</v>
      </c>
      <c r="AA286" s="137">
        <v>22.0</v>
      </c>
      <c r="AB286" s="137">
        <v>4.0</v>
      </c>
      <c r="AC286" s="137">
        <v>32.0</v>
      </c>
      <c r="AD286" s="137">
        <v>0.0</v>
      </c>
      <c r="AE286" s="137">
        <v>18.0</v>
      </c>
      <c r="AF286" s="137">
        <v>4.0</v>
      </c>
      <c r="AG286" s="137">
        <v>20.0</v>
      </c>
      <c r="AH286" s="137">
        <v>2.0</v>
      </c>
      <c r="AI286" s="137">
        <v>10.0</v>
      </c>
      <c r="AJ286" s="137">
        <v>6.0</v>
      </c>
      <c r="AK286" s="137">
        <v>6.0</v>
      </c>
      <c r="AL286" s="137">
        <v>6.0</v>
      </c>
      <c r="AM286" s="137">
        <v>4.0</v>
      </c>
      <c r="AN286" s="134">
        <v>1636.0</v>
      </c>
    </row>
    <row r="287">
      <c r="A287" s="104"/>
      <c r="B287" s="136" t="s">
        <v>201</v>
      </c>
      <c r="C287" s="137">
        <v>250.0</v>
      </c>
      <c r="D287" s="137">
        <v>60.0</v>
      </c>
      <c r="E287" s="137">
        <v>190.0</v>
      </c>
      <c r="F287" s="137">
        <v>0.0</v>
      </c>
      <c r="G287" s="137">
        <v>0.0</v>
      </c>
      <c r="H287" s="137">
        <v>0.0</v>
      </c>
      <c r="I287" s="137">
        <v>0.0</v>
      </c>
      <c r="J287" s="137">
        <v>0.0</v>
      </c>
      <c r="K287" s="137">
        <v>0.0</v>
      </c>
      <c r="L287" s="137">
        <v>0.0</v>
      </c>
      <c r="M287" s="137">
        <v>0.0</v>
      </c>
      <c r="N287" s="137">
        <v>12.0</v>
      </c>
      <c r="O287" s="137">
        <v>12.0</v>
      </c>
      <c r="P287" s="137">
        <v>2.0</v>
      </c>
      <c r="Q287" s="137">
        <v>34.0</v>
      </c>
      <c r="R287" s="137">
        <v>18.0</v>
      </c>
      <c r="S287" s="137">
        <v>30.0</v>
      </c>
      <c r="T287" s="137">
        <v>6.0</v>
      </c>
      <c r="U287" s="137">
        <v>22.0</v>
      </c>
      <c r="V287" s="137">
        <v>0.0</v>
      </c>
      <c r="W287" s="137">
        <v>14.0</v>
      </c>
      <c r="X287" s="137">
        <v>0.0</v>
      </c>
      <c r="Y287" s="137">
        <v>10.0</v>
      </c>
      <c r="Z287" s="137">
        <v>4.0</v>
      </c>
      <c r="AA287" s="137">
        <v>12.0</v>
      </c>
      <c r="AB287" s="137">
        <v>2.0</v>
      </c>
      <c r="AC287" s="137">
        <v>22.0</v>
      </c>
      <c r="AD287" s="137">
        <v>16.0</v>
      </c>
      <c r="AE287" s="137">
        <v>34.0</v>
      </c>
      <c r="AF287" s="137">
        <v>0.0</v>
      </c>
      <c r="AG287" s="137">
        <v>0.0</v>
      </c>
      <c r="AH287" s="137">
        <v>0.0</v>
      </c>
      <c r="AI287" s="137">
        <v>0.0</v>
      </c>
      <c r="AJ287" s="137">
        <v>0.0</v>
      </c>
      <c r="AK287" s="137">
        <v>0.0</v>
      </c>
      <c r="AL287" s="137">
        <v>0.0</v>
      </c>
      <c r="AM287" s="137">
        <v>0.0</v>
      </c>
      <c r="AN287" s="137">
        <v>250.0</v>
      </c>
    </row>
    <row r="288">
      <c r="A288" s="132" t="s">
        <v>208</v>
      </c>
      <c r="B288" s="136" t="s">
        <v>198</v>
      </c>
      <c r="C288" s="137">
        <v>0.0</v>
      </c>
      <c r="D288" s="137">
        <v>0.0</v>
      </c>
      <c r="E288" s="137">
        <v>0.0</v>
      </c>
      <c r="F288" s="137">
        <v>0.0</v>
      </c>
      <c r="G288" s="137">
        <v>0.0</v>
      </c>
      <c r="H288" s="137">
        <v>0.0</v>
      </c>
      <c r="I288" s="137">
        <v>0.0</v>
      </c>
      <c r="J288" s="137">
        <v>0.0</v>
      </c>
      <c r="K288" s="137">
        <v>0.0</v>
      </c>
      <c r="L288" s="137">
        <v>0.0</v>
      </c>
      <c r="M288" s="137">
        <v>0.0</v>
      </c>
      <c r="N288" s="137">
        <v>0.0</v>
      </c>
      <c r="O288" s="137">
        <v>0.0</v>
      </c>
      <c r="P288" s="135">
        <v>0.0</v>
      </c>
      <c r="Q288" s="135">
        <v>0.0</v>
      </c>
      <c r="R288" s="135">
        <v>0.0</v>
      </c>
      <c r="S288" s="135">
        <v>0.0</v>
      </c>
      <c r="T288" s="135">
        <v>0.0</v>
      </c>
      <c r="U288" s="135">
        <v>0.0</v>
      </c>
      <c r="V288" s="135">
        <v>0.0</v>
      </c>
      <c r="W288" s="135">
        <v>0.0</v>
      </c>
      <c r="X288" s="135">
        <v>0.0</v>
      </c>
      <c r="Y288" s="135">
        <v>0.0</v>
      </c>
      <c r="Z288" s="135">
        <v>0.0</v>
      </c>
      <c r="AA288" s="135">
        <v>0.0</v>
      </c>
      <c r="AB288" s="135">
        <v>0.0</v>
      </c>
      <c r="AC288" s="135">
        <v>0.0</v>
      </c>
      <c r="AD288" s="135">
        <v>0.0</v>
      </c>
      <c r="AE288" s="135">
        <v>0.0</v>
      </c>
      <c r="AF288" s="135">
        <v>0.0</v>
      </c>
      <c r="AG288" s="135">
        <v>0.0</v>
      </c>
      <c r="AH288" s="135">
        <v>0.0</v>
      </c>
      <c r="AI288" s="135">
        <v>0.0</v>
      </c>
      <c r="AJ288" s="135">
        <v>0.0</v>
      </c>
      <c r="AK288" s="135">
        <v>0.0</v>
      </c>
      <c r="AL288" s="135">
        <v>0.0</v>
      </c>
      <c r="AM288" s="135">
        <v>0.0</v>
      </c>
      <c r="AN288" s="137">
        <v>0.0</v>
      </c>
    </row>
    <row r="289">
      <c r="A289" s="98"/>
      <c r="B289" s="136" t="s">
        <v>199</v>
      </c>
      <c r="C289" s="137">
        <v>2.0</v>
      </c>
      <c r="D289" s="137">
        <v>0.0</v>
      </c>
      <c r="E289" s="137">
        <v>2.0</v>
      </c>
      <c r="F289" s="137">
        <v>0.0</v>
      </c>
      <c r="G289" s="137">
        <v>0.0</v>
      </c>
      <c r="H289" s="137">
        <v>0.0</v>
      </c>
      <c r="I289" s="137">
        <v>0.0</v>
      </c>
      <c r="J289" s="137">
        <v>0.0</v>
      </c>
      <c r="K289" s="137">
        <v>2.0</v>
      </c>
      <c r="L289" s="137">
        <v>0.0</v>
      </c>
      <c r="M289" s="137">
        <v>0.0</v>
      </c>
      <c r="N289" s="137">
        <v>0.0</v>
      </c>
      <c r="O289" s="137">
        <v>0.0</v>
      </c>
      <c r="P289" s="135">
        <v>0.0</v>
      </c>
      <c r="Q289" s="135">
        <v>0.0</v>
      </c>
      <c r="R289" s="135">
        <v>0.0</v>
      </c>
      <c r="S289" s="135">
        <v>0.0</v>
      </c>
      <c r="T289" s="135">
        <v>0.0</v>
      </c>
      <c r="U289" s="135">
        <v>0.0</v>
      </c>
      <c r="V289" s="135">
        <v>0.0</v>
      </c>
      <c r="W289" s="135">
        <v>0.0</v>
      </c>
      <c r="X289" s="135">
        <v>0.0</v>
      </c>
      <c r="Y289" s="135">
        <v>0.0</v>
      </c>
      <c r="Z289" s="135">
        <v>0.0</v>
      </c>
      <c r="AA289" s="135">
        <v>0.0</v>
      </c>
      <c r="AB289" s="135">
        <v>0.0</v>
      </c>
      <c r="AC289" s="135">
        <v>0.0</v>
      </c>
      <c r="AD289" s="135">
        <v>0.0</v>
      </c>
      <c r="AE289" s="135">
        <v>0.0</v>
      </c>
      <c r="AF289" s="135">
        <v>0.0</v>
      </c>
      <c r="AG289" s="135">
        <v>0.0</v>
      </c>
      <c r="AH289" s="135">
        <v>0.0</v>
      </c>
      <c r="AI289" s="135">
        <v>0.0</v>
      </c>
      <c r="AJ289" s="135">
        <v>0.0</v>
      </c>
      <c r="AK289" s="135">
        <v>0.0</v>
      </c>
      <c r="AL289" s="135">
        <v>0.0</v>
      </c>
      <c r="AM289" s="135">
        <v>0.0</v>
      </c>
      <c r="AN289" s="137">
        <v>2.0</v>
      </c>
    </row>
    <row r="290">
      <c r="A290" s="98"/>
      <c r="B290" s="136" t="s">
        <v>206</v>
      </c>
      <c r="C290" s="137">
        <v>80.0</v>
      </c>
      <c r="D290" s="137">
        <v>0.0</v>
      </c>
      <c r="E290" s="137">
        <v>80.0</v>
      </c>
      <c r="F290" s="137">
        <v>0.0</v>
      </c>
      <c r="G290" s="137">
        <v>0.0</v>
      </c>
      <c r="H290" s="137">
        <v>0.0</v>
      </c>
      <c r="I290" s="137">
        <v>0.0</v>
      </c>
      <c r="J290" s="137">
        <v>0.0</v>
      </c>
      <c r="K290" s="137">
        <v>46.0</v>
      </c>
      <c r="L290" s="137">
        <v>0.0</v>
      </c>
      <c r="M290" s="137">
        <v>34.0</v>
      </c>
      <c r="N290" s="137">
        <v>0.0</v>
      </c>
      <c r="O290" s="137">
        <v>0.0</v>
      </c>
      <c r="P290" s="135">
        <v>0.0</v>
      </c>
      <c r="Q290" s="135">
        <v>0.0</v>
      </c>
      <c r="R290" s="135">
        <v>0.0</v>
      </c>
      <c r="S290" s="135">
        <v>0.0</v>
      </c>
      <c r="T290" s="135">
        <v>0.0</v>
      </c>
      <c r="U290" s="135">
        <v>0.0</v>
      </c>
      <c r="V290" s="135">
        <v>0.0</v>
      </c>
      <c r="W290" s="135">
        <v>0.0</v>
      </c>
      <c r="X290" s="135">
        <v>0.0</v>
      </c>
      <c r="Y290" s="135">
        <v>0.0</v>
      </c>
      <c r="Z290" s="135">
        <v>0.0</v>
      </c>
      <c r="AA290" s="135">
        <v>0.0</v>
      </c>
      <c r="AB290" s="135">
        <v>0.0</v>
      </c>
      <c r="AC290" s="135">
        <v>0.0</v>
      </c>
      <c r="AD290" s="135">
        <v>0.0</v>
      </c>
      <c r="AE290" s="135">
        <v>0.0</v>
      </c>
      <c r="AF290" s="135">
        <v>0.0</v>
      </c>
      <c r="AG290" s="135">
        <v>0.0</v>
      </c>
      <c r="AH290" s="135">
        <v>0.0</v>
      </c>
      <c r="AI290" s="135">
        <v>0.0</v>
      </c>
      <c r="AJ290" s="135">
        <v>0.0</v>
      </c>
      <c r="AK290" s="135">
        <v>0.0</v>
      </c>
      <c r="AL290" s="135">
        <v>0.0</v>
      </c>
      <c r="AM290" s="135">
        <v>0.0</v>
      </c>
      <c r="AN290" s="137">
        <v>80.0</v>
      </c>
    </row>
    <row r="291">
      <c r="A291" s="98"/>
      <c r="B291" s="136" t="s">
        <v>200</v>
      </c>
      <c r="C291" s="137">
        <v>0.0</v>
      </c>
      <c r="D291" s="137">
        <v>0.0</v>
      </c>
      <c r="E291" s="137">
        <v>0.0</v>
      </c>
      <c r="F291" s="137">
        <v>0.0</v>
      </c>
      <c r="G291" s="137">
        <v>0.0</v>
      </c>
      <c r="H291" s="137">
        <v>0.0</v>
      </c>
      <c r="I291" s="137">
        <v>0.0</v>
      </c>
      <c r="J291" s="137">
        <v>0.0</v>
      </c>
      <c r="K291" s="137">
        <v>0.0</v>
      </c>
      <c r="L291" s="137">
        <v>0.0</v>
      </c>
      <c r="M291" s="137">
        <v>0.0</v>
      </c>
      <c r="N291" s="137">
        <v>0.0</v>
      </c>
      <c r="O291" s="137">
        <v>0.0</v>
      </c>
      <c r="P291" s="135">
        <v>0.0</v>
      </c>
      <c r="Q291" s="135">
        <v>0.0</v>
      </c>
      <c r="R291" s="135">
        <v>0.0</v>
      </c>
      <c r="S291" s="135">
        <v>0.0</v>
      </c>
      <c r="T291" s="135">
        <v>0.0</v>
      </c>
      <c r="U291" s="135">
        <v>0.0</v>
      </c>
      <c r="V291" s="135">
        <v>0.0</v>
      </c>
      <c r="W291" s="135">
        <v>0.0</v>
      </c>
      <c r="X291" s="135">
        <v>0.0</v>
      </c>
      <c r="Y291" s="135">
        <v>0.0</v>
      </c>
      <c r="Z291" s="135">
        <v>0.0</v>
      </c>
      <c r="AA291" s="135">
        <v>0.0</v>
      </c>
      <c r="AB291" s="135">
        <v>0.0</v>
      </c>
      <c r="AC291" s="135">
        <v>0.0</v>
      </c>
      <c r="AD291" s="135">
        <v>0.0</v>
      </c>
      <c r="AE291" s="135">
        <v>0.0</v>
      </c>
      <c r="AF291" s="135">
        <v>0.0</v>
      </c>
      <c r="AG291" s="135">
        <v>0.0</v>
      </c>
      <c r="AH291" s="135">
        <v>0.0</v>
      </c>
      <c r="AI291" s="135">
        <v>0.0</v>
      </c>
      <c r="AJ291" s="135">
        <v>0.0</v>
      </c>
      <c r="AK291" s="135">
        <v>0.0</v>
      </c>
      <c r="AL291" s="135">
        <v>0.0</v>
      </c>
      <c r="AM291" s="135">
        <v>0.0</v>
      </c>
      <c r="AN291" s="137">
        <v>0.0</v>
      </c>
    </row>
    <row r="292">
      <c r="A292" s="104"/>
      <c r="B292" s="136" t="s">
        <v>201</v>
      </c>
      <c r="C292" s="137">
        <v>0.0</v>
      </c>
      <c r="D292" s="137">
        <v>0.0</v>
      </c>
      <c r="E292" s="137">
        <v>0.0</v>
      </c>
      <c r="F292" s="137">
        <v>0.0</v>
      </c>
      <c r="G292" s="137">
        <v>0.0</v>
      </c>
      <c r="H292" s="137">
        <v>0.0</v>
      </c>
      <c r="I292" s="137">
        <v>0.0</v>
      </c>
      <c r="J292" s="137">
        <v>0.0</v>
      </c>
      <c r="K292" s="137">
        <v>0.0</v>
      </c>
      <c r="L292" s="137">
        <v>0.0</v>
      </c>
      <c r="M292" s="137">
        <v>0.0</v>
      </c>
      <c r="N292" s="137">
        <v>0.0</v>
      </c>
      <c r="O292" s="137">
        <v>0.0</v>
      </c>
      <c r="P292" s="135">
        <v>0.0</v>
      </c>
      <c r="Q292" s="135">
        <v>0.0</v>
      </c>
      <c r="R292" s="135">
        <v>0.0</v>
      </c>
      <c r="S292" s="135">
        <v>0.0</v>
      </c>
      <c r="T292" s="135">
        <v>0.0</v>
      </c>
      <c r="U292" s="135">
        <v>0.0</v>
      </c>
      <c r="V292" s="135">
        <v>0.0</v>
      </c>
      <c r="W292" s="135">
        <v>0.0</v>
      </c>
      <c r="X292" s="135">
        <v>0.0</v>
      </c>
      <c r="Y292" s="135">
        <v>0.0</v>
      </c>
      <c r="Z292" s="135">
        <v>0.0</v>
      </c>
      <c r="AA292" s="135">
        <v>0.0</v>
      </c>
      <c r="AB292" s="135">
        <v>0.0</v>
      </c>
      <c r="AC292" s="135">
        <v>0.0</v>
      </c>
      <c r="AD292" s="135">
        <v>0.0</v>
      </c>
      <c r="AE292" s="135">
        <v>0.0</v>
      </c>
      <c r="AF292" s="135">
        <v>0.0</v>
      </c>
      <c r="AG292" s="135">
        <v>0.0</v>
      </c>
      <c r="AH292" s="135">
        <v>0.0</v>
      </c>
      <c r="AI292" s="135">
        <v>0.0</v>
      </c>
      <c r="AJ292" s="135">
        <v>0.0</v>
      </c>
      <c r="AK292" s="135">
        <v>0.0</v>
      </c>
      <c r="AL292" s="135">
        <v>0.0</v>
      </c>
      <c r="AM292" s="135">
        <v>0.0</v>
      </c>
      <c r="AN292" s="137">
        <v>0.0</v>
      </c>
    </row>
    <row r="293">
      <c r="A293" s="138" t="s">
        <v>251</v>
      </c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</row>
    <row r="294">
      <c r="A294" s="132" t="s">
        <v>197</v>
      </c>
      <c r="B294" s="133" t="s">
        <v>198</v>
      </c>
      <c r="C294" s="134">
        <v>239366.0</v>
      </c>
      <c r="D294" s="134">
        <v>83664.0</v>
      </c>
      <c r="E294" s="134">
        <v>155702.0</v>
      </c>
      <c r="F294" s="135">
        <v>0.0</v>
      </c>
      <c r="G294" s="135">
        <v>0.0</v>
      </c>
      <c r="H294" s="135">
        <v>0.0</v>
      </c>
      <c r="I294" s="135">
        <v>0.0</v>
      </c>
      <c r="J294" s="135">
        <v>0.0</v>
      </c>
      <c r="K294" s="135">
        <v>0.0</v>
      </c>
      <c r="L294" s="137">
        <v>70.0</v>
      </c>
      <c r="M294" s="137">
        <v>96.0</v>
      </c>
      <c r="N294" s="137">
        <v>238.0</v>
      </c>
      <c r="O294" s="137">
        <v>298.0</v>
      </c>
      <c r="P294" s="137">
        <v>358.0</v>
      </c>
      <c r="Q294" s="137">
        <v>568.0</v>
      </c>
      <c r="R294" s="137">
        <v>648.0</v>
      </c>
      <c r="S294" s="134">
        <v>1222.0</v>
      </c>
      <c r="T294" s="134">
        <v>1166.0</v>
      </c>
      <c r="U294" s="134">
        <v>2080.0</v>
      </c>
      <c r="V294" s="134">
        <v>2158.0</v>
      </c>
      <c r="W294" s="134">
        <v>3666.0</v>
      </c>
      <c r="X294" s="134">
        <v>3724.0</v>
      </c>
      <c r="Y294" s="134">
        <v>6998.0</v>
      </c>
      <c r="Z294" s="134">
        <v>6350.0</v>
      </c>
      <c r="AA294" s="134">
        <v>12174.0</v>
      </c>
      <c r="AB294" s="134">
        <v>8848.0</v>
      </c>
      <c r="AC294" s="134">
        <v>16782.0</v>
      </c>
      <c r="AD294" s="134">
        <v>10430.0</v>
      </c>
      <c r="AE294" s="134">
        <v>19398.0</v>
      </c>
      <c r="AF294" s="134">
        <v>11644.0</v>
      </c>
      <c r="AG294" s="134">
        <v>21054.0</v>
      </c>
      <c r="AH294" s="134">
        <v>12814.0</v>
      </c>
      <c r="AI294" s="134">
        <v>22622.0</v>
      </c>
      <c r="AJ294" s="134">
        <v>11630.0</v>
      </c>
      <c r="AK294" s="134">
        <v>20242.0</v>
      </c>
      <c r="AL294" s="134">
        <v>13586.0</v>
      </c>
      <c r="AM294" s="134">
        <v>28504.0</v>
      </c>
      <c r="AN294" s="134">
        <v>237716.0</v>
      </c>
    </row>
    <row r="295">
      <c r="A295" s="98"/>
      <c r="B295" s="136" t="s">
        <v>199</v>
      </c>
      <c r="C295" s="134">
        <v>121204.0</v>
      </c>
      <c r="D295" s="134">
        <v>42960.0</v>
      </c>
      <c r="E295" s="134">
        <v>78244.0</v>
      </c>
      <c r="F295" s="135">
        <v>0.0</v>
      </c>
      <c r="G295" s="135">
        <v>0.0</v>
      </c>
      <c r="H295" s="135">
        <v>0.0</v>
      </c>
      <c r="I295" s="135">
        <v>0.0</v>
      </c>
      <c r="J295" s="135">
        <v>0.0</v>
      </c>
      <c r="K295" s="135">
        <v>0.0</v>
      </c>
      <c r="L295" s="137">
        <v>20.0</v>
      </c>
      <c r="M295" s="137">
        <v>34.0</v>
      </c>
      <c r="N295" s="137">
        <v>86.0</v>
      </c>
      <c r="O295" s="137">
        <v>104.0</v>
      </c>
      <c r="P295" s="137">
        <v>140.0</v>
      </c>
      <c r="Q295" s="137">
        <v>186.0</v>
      </c>
      <c r="R295" s="137">
        <v>288.0</v>
      </c>
      <c r="S295" s="137">
        <v>438.0</v>
      </c>
      <c r="T295" s="137">
        <v>590.0</v>
      </c>
      <c r="U295" s="137">
        <v>758.0</v>
      </c>
      <c r="V295" s="137">
        <v>942.0</v>
      </c>
      <c r="W295" s="134">
        <v>1498.0</v>
      </c>
      <c r="X295" s="134">
        <v>1862.0</v>
      </c>
      <c r="Y295" s="134">
        <v>3160.0</v>
      </c>
      <c r="Z295" s="134">
        <v>3078.0</v>
      </c>
      <c r="AA295" s="134">
        <v>5312.0</v>
      </c>
      <c r="AB295" s="134">
        <v>4294.0</v>
      </c>
      <c r="AC295" s="134">
        <v>7884.0</v>
      </c>
      <c r="AD295" s="134">
        <v>5074.0</v>
      </c>
      <c r="AE295" s="134">
        <v>9110.0</v>
      </c>
      <c r="AF295" s="134">
        <v>5830.0</v>
      </c>
      <c r="AG295" s="134">
        <v>10724.0</v>
      </c>
      <c r="AH295" s="134">
        <v>6718.0</v>
      </c>
      <c r="AI295" s="134">
        <v>12010.0</v>
      </c>
      <c r="AJ295" s="134">
        <v>6366.0</v>
      </c>
      <c r="AK295" s="134">
        <v>11124.0</v>
      </c>
      <c r="AL295" s="134">
        <v>7672.0</v>
      </c>
      <c r="AM295" s="134">
        <v>15902.0</v>
      </c>
      <c r="AN295" s="134">
        <v>119686.0</v>
      </c>
    </row>
    <row r="296">
      <c r="A296" s="98"/>
      <c r="B296" s="136" t="s">
        <v>200</v>
      </c>
      <c r="C296" s="134">
        <v>91290.0</v>
      </c>
      <c r="D296" s="134">
        <v>30576.0</v>
      </c>
      <c r="E296" s="134">
        <v>60714.0</v>
      </c>
      <c r="F296" s="135">
        <v>0.0</v>
      </c>
      <c r="G296" s="135">
        <v>0.0</v>
      </c>
      <c r="H296" s="135">
        <v>0.0</v>
      </c>
      <c r="I296" s="135">
        <v>0.0</v>
      </c>
      <c r="J296" s="135">
        <v>0.0</v>
      </c>
      <c r="K296" s="135">
        <v>0.0</v>
      </c>
      <c r="L296" s="137">
        <v>40.0</v>
      </c>
      <c r="M296" s="137">
        <v>46.0</v>
      </c>
      <c r="N296" s="137">
        <v>78.0</v>
      </c>
      <c r="O296" s="137">
        <v>146.0</v>
      </c>
      <c r="P296" s="137">
        <v>104.0</v>
      </c>
      <c r="Q296" s="137">
        <v>260.0</v>
      </c>
      <c r="R296" s="137">
        <v>208.0</v>
      </c>
      <c r="S296" s="137">
        <v>498.0</v>
      </c>
      <c r="T296" s="137">
        <v>466.0</v>
      </c>
      <c r="U296" s="137">
        <v>838.0</v>
      </c>
      <c r="V296" s="137">
        <v>778.0</v>
      </c>
      <c r="W296" s="134">
        <v>1556.0</v>
      </c>
      <c r="X296" s="134">
        <v>1368.0</v>
      </c>
      <c r="Y296" s="134">
        <v>2992.0</v>
      </c>
      <c r="Z296" s="134">
        <v>2342.0</v>
      </c>
      <c r="AA296" s="134">
        <v>5048.0</v>
      </c>
      <c r="AB296" s="134">
        <v>3280.0</v>
      </c>
      <c r="AC296" s="134">
        <v>6986.0</v>
      </c>
      <c r="AD296" s="134">
        <v>3572.0</v>
      </c>
      <c r="AE296" s="134">
        <v>7508.0</v>
      </c>
      <c r="AF296" s="134">
        <v>4394.0</v>
      </c>
      <c r="AG296" s="134">
        <v>8416.0</v>
      </c>
      <c r="AH296" s="134">
        <v>4938.0</v>
      </c>
      <c r="AI296" s="134">
        <v>8998.0</v>
      </c>
      <c r="AJ296" s="134">
        <v>4398.0</v>
      </c>
      <c r="AK296" s="134">
        <v>7784.0</v>
      </c>
      <c r="AL296" s="134">
        <v>4610.0</v>
      </c>
      <c r="AM296" s="134">
        <v>9638.0</v>
      </c>
      <c r="AN296" s="134">
        <v>90700.0</v>
      </c>
    </row>
    <row r="297">
      <c r="A297" s="104"/>
      <c r="B297" s="136" t="s">
        <v>201</v>
      </c>
      <c r="C297" s="137">
        <v>302.0</v>
      </c>
      <c r="D297" s="137">
        <v>118.0</v>
      </c>
      <c r="E297" s="137">
        <v>184.0</v>
      </c>
      <c r="F297" s="135">
        <v>0.0</v>
      </c>
      <c r="G297" s="135">
        <v>0.0</v>
      </c>
      <c r="H297" s="135">
        <v>0.0</v>
      </c>
      <c r="I297" s="135">
        <v>0.0</v>
      </c>
      <c r="J297" s="135">
        <v>0.0</v>
      </c>
      <c r="K297" s="135">
        <v>0.0</v>
      </c>
      <c r="L297" s="137">
        <v>0.0</v>
      </c>
      <c r="M297" s="137">
        <v>0.0</v>
      </c>
      <c r="N297" s="137">
        <v>0.0</v>
      </c>
      <c r="O297" s="137">
        <v>0.0</v>
      </c>
      <c r="P297" s="137">
        <v>0.0</v>
      </c>
      <c r="Q297" s="137">
        <v>4.0</v>
      </c>
      <c r="R297" s="137">
        <v>4.0</v>
      </c>
      <c r="S297" s="137">
        <v>2.0</v>
      </c>
      <c r="T297" s="137">
        <v>0.0</v>
      </c>
      <c r="U297" s="137">
        <v>0.0</v>
      </c>
      <c r="V297" s="137">
        <v>8.0</v>
      </c>
      <c r="W297" s="137">
        <v>0.0</v>
      </c>
      <c r="X297" s="137">
        <v>8.0</v>
      </c>
      <c r="Y297" s="137">
        <v>4.0</v>
      </c>
      <c r="Z297" s="137">
        <v>4.0</v>
      </c>
      <c r="AA297" s="137">
        <v>12.0</v>
      </c>
      <c r="AB297" s="137">
        <v>10.0</v>
      </c>
      <c r="AC297" s="137">
        <v>8.0</v>
      </c>
      <c r="AD297" s="137">
        <v>8.0</v>
      </c>
      <c r="AE297" s="137">
        <v>28.0</v>
      </c>
      <c r="AF297" s="137">
        <v>18.0</v>
      </c>
      <c r="AG297" s="137">
        <v>36.0</v>
      </c>
      <c r="AH297" s="137">
        <v>20.0</v>
      </c>
      <c r="AI297" s="137">
        <v>20.0</v>
      </c>
      <c r="AJ297" s="137">
        <v>22.0</v>
      </c>
      <c r="AK297" s="137">
        <v>30.0</v>
      </c>
      <c r="AL297" s="137">
        <v>16.0</v>
      </c>
      <c r="AM297" s="137">
        <v>40.0</v>
      </c>
      <c r="AN297" s="137">
        <v>302.0</v>
      </c>
    </row>
    <row r="298">
      <c r="A298" s="132" t="s">
        <v>202</v>
      </c>
      <c r="B298" s="136" t="s">
        <v>198</v>
      </c>
      <c r="C298" s="134">
        <v>1742.0</v>
      </c>
      <c r="D298" s="137">
        <v>992.0</v>
      </c>
      <c r="E298" s="137">
        <v>750.0</v>
      </c>
      <c r="F298" s="137">
        <v>10.0</v>
      </c>
      <c r="G298" s="137">
        <v>6.0</v>
      </c>
      <c r="H298" s="137">
        <v>10.0</v>
      </c>
      <c r="I298" s="137">
        <v>2.0</v>
      </c>
      <c r="J298" s="137">
        <v>18.0</v>
      </c>
      <c r="K298" s="137">
        <v>14.0</v>
      </c>
      <c r="L298" s="137">
        <v>24.0</v>
      </c>
      <c r="M298" s="137">
        <v>24.0</v>
      </c>
      <c r="N298" s="137">
        <v>94.0</v>
      </c>
      <c r="O298" s="137">
        <v>34.0</v>
      </c>
      <c r="P298" s="137">
        <v>120.0</v>
      </c>
      <c r="Q298" s="137">
        <v>76.0</v>
      </c>
      <c r="R298" s="137">
        <v>70.0</v>
      </c>
      <c r="S298" s="137">
        <v>70.0</v>
      </c>
      <c r="T298" s="137">
        <v>124.0</v>
      </c>
      <c r="U298" s="137">
        <v>70.0</v>
      </c>
      <c r="V298" s="137">
        <v>62.0</v>
      </c>
      <c r="W298" s="137">
        <v>62.0</v>
      </c>
      <c r="X298" s="137">
        <v>138.0</v>
      </c>
      <c r="Y298" s="137">
        <v>46.0</v>
      </c>
      <c r="Z298" s="137">
        <v>90.0</v>
      </c>
      <c r="AA298" s="137">
        <v>60.0</v>
      </c>
      <c r="AB298" s="137">
        <v>36.0</v>
      </c>
      <c r="AC298" s="137">
        <v>46.0</v>
      </c>
      <c r="AD298" s="137">
        <v>64.0</v>
      </c>
      <c r="AE298" s="137">
        <v>66.0</v>
      </c>
      <c r="AF298" s="137">
        <v>14.0</v>
      </c>
      <c r="AG298" s="137">
        <v>18.0</v>
      </c>
      <c r="AH298" s="137">
        <v>38.0</v>
      </c>
      <c r="AI298" s="137">
        <v>38.0</v>
      </c>
      <c r="AJ298" s="137">
        <v>38.0</v>
      </c>
      <c r="AK298" s="137">
        <v>44.0</v>
      </c>
      <c r="AL298" s="137">
        <v>42.0</v>
      </c>
      <c r="AM298" s="137">
        <v>74.0</v>
      </c>
      <c r="AN298" s="134">
        <v>1552.0</v>
      </c>
    </row>
    <row r="299">
      <c r="A299" s="104"/>
      <c r="B299" s="136" t="s">
        <v>199</v>
      </c>
      <c r="C299" s="137">
        <v>862.0</v>
      </c>
      <c r="D299" s="137">
        <v>506.0</v>
      </c>
      <c r="E299" s="137">
        <v>356.0</v>
      </c>
      <c r="F299" s="137">
        <v>6.0</v>
      </c>
      <c r="G299" s="137">
        <v>8.0</v>
      </c>
      <c r="H299" s="137">
        <v>12.0</v>
      </c>
      <c r="I299" s="137">
        <v>12.0</v>
      </c>
      <c r="J299" s="137">
        <v>4.0</v>
      </c>
      <c r="K299" s="137">
        <v>4.0</v>
      </c>
      <c r="L299" s="137">
        <v>14.0</v>
      </c>
      <c r="M299" s="137">
        <v>0.0</v>
      </c>
      <c r="N299" s="137">
        <v>52.0</v>
      </c>
      <c r="O299" s="137">
        <v>28.0</v>
      </c>
      <c r="P299" s="137">
        <v>74.0</v>
      </c>
      <c r="Q299" s="137">
        <v>20.0</v>
      </c>
      <c r="R299" s="137">
        <v>24.0</v>
      </c>
      <c r="S299" s="137">
        <v>36.0</v>
      </c>
      <c r="T299" s="137">
        <v>68.0</v>
      </c>
      <c r="U299" s="137">
        <v>40.0</v>
      </c>
      <c r="V299" s="137">
        <v>24.0</v>
      </c>
      <c r="W299" s="137">
        <v>46.0</v>
      </c>
      <c r="X299" s="137">
        <v>72.0</v>
      </c>
      <c r="Y299" s="137">
        <v>16.0</v>
      </c>
      <c r="Z299" s="137">
        <v>24.0</v>
      </c>
      <c r="AA299" s="137">
        <v>8.0</v>
      </c>
      <c r="AB299" s="137">
        <v>14.0</v>
      </c>
      <c r="AC299" s="137">
        <v>12.0</v>
      </c>
      <c r="AD299" s="137">
        <v>28.0</v>
      </c>
      <c r="AE299" s="137">
        <v>24.0</v>
      </c>
      <c r="AF299" s="137">
        <v>24.0</v>
      </c>
      <c r="AG299" s="137">
        <v>24.0</v>
      </c>
      <c r="AH299" s="137">
        <v>24.0</v>
      </c>
      <c r="AI299" s="137">
        <v>12.0</v>
      </c>
      <c r="AJ299" s="137">
        <v>20.0</v>
      </c>
      <c r="AK299" s="137">
        <v>10.0</v>
      </c>
      <c r="AL299" s="137">
        <v>22.0</v>
      </c>
      <c r="AM299" s="137">
        <v>56.0</v>
      </c>
      <c r="AN299" s="137">
        <v>736.0</v>
      </c>
    </row>
    <row r="300">
      <c r="A300" s="132" t="s">
        <v>203</v>
      </c>
      <c r="B300" s="136" t="s">
        <v>198</v>
      </c>
      <c r="C300" s="137">
        <v>6.0</v>
      </c>
      <c r="D300" s="137">
        <v>6.0</v>
      </c>
      <c r="E300" s="137">
        <v>0.0</v>
      </c>
      <c r="F300" s="135">
        <v>0.0</v>
      </c>
      <c r="G300" s="135">
        <v>0.0</v>
      </c>
      <c r="H300" s="135">
        <v>0.0</v>
      </c>
      <c r="I300" s="135">
        <v>0.0</v>
      </c>
      <c r="J300" s="135">
        <v>0.0</v>
      </c>
      <c r="K300" s="135">
        <v>0.0</v>
      </c>
      <c r="L300" s="135">
        <v>0.0</v>
      </c>
      <c r="M300" s="135">
        <v>0.0</v>
      </c>
      <c r="N300" s="135">
        <v>0.0</v>
      </c>
      <c r="O300" s="135">
        <v>0.0</v>
      </c>
      <c r="P300" s="135">
        <v>0.0</v>
      </c>
      <c r="Q300" s="135">
        <v>0.0</v>
      </c>
      <c r="R300" s="135">
        <v>0.0</v>
      </c>
      <c r="S300" s="135">
        <v>0.0</v>
      </c>
      <c r="T300" s="135">
        <v>0.0</v>
      </c>
      <c r="U300" s="135">
        <v>0.0</v>
      </c>
      <c r="V300" s="135">
        <v>0.0</v>
      </c>
      <c r="W300" s="135">
        <v>0.0</v>
      </c>
      <c r="X300" s="135">
        <v>0.0</v>
      </c>
      <c r="Y300" s="135">
        <v>0.0</v>
      </c>
      <c r="Z300" s="135">
        <v>0.0</v>
      </c>
      <c r="AA300" s="135">
        <v>0.0</v>
      </c>
      <c r="AB300" s="135">
        <v>0.0</v>
      </c>
      <c r="AC300" s="135">
        <v>0.0</v>
      </c>
      <c r="AD300" s="135">
        <v>0.0</v>
      </c>
      <c r="AE300" s="135">
        <v>0.0</v>
      </c>
      <c r="AF300" s="137">
        <v>2.0</v>
      </c>
      <c r="AG300" s="137">
        <v>0.0</v>
      </c>
      <c r="AH300" s="137">
        <v>2.0</v>
      </c>
      <c r="AI300" s="137">
        <v>0.0</v>
      </c>
      <c r="AJ300" s="137">
        <v>0.0</v>
      </c>
      <c r="AK300" s="137">
        <v>0.0</v>
      </c>
      <c r="AL300" s="137">
        <v>2.0</v>
      </c>
      <c r="AM300" s="137">
        <v>0.0</v>
      </c>
      <c r="AN300" s="137">
        <v>6.0</v>
      </c>
    </row>
    <row r="301">
      <c r="A301" s="104"/>
      <c r="B301" s="136" t="s">
        <v>199</v>
      </c>
      <c r="C301" s="134">
        <v>7260.0</v>
      </c>
      <c r="D301" s="134">
        <v>2444.0</v>
      </c>
      <c r="E301" s="134">
        <v>4816.0</v>
      </c>
      <c r="F301" s="135">
        <v>0.0</v>
      </c>
      <c r="G301" s="135">
        <v>0.0</v>
      </c>
      <c r="H301" s="135">
        <v>0.0</v>
      </c>
      <c r="I301" s="135">
        <v>0.0</v>
      </c>
      <c r="J301" s="135">
        <v>0.0</v>
      </c>
      <c r="K301" s="135">
        <v>0.0</v>
      </c>
      <c r="L301" s="135">
        <v>0.0</v>
      </c>
      <c r="M301" s="135">
        <v>0.0</v>
      </c>
      <c r="N301" s="135">
        <v>0.0</v>
      </c>
      <c r="O301" s="135">
        <v>0.0</v>
      </c>
      <c r="P301" s="135">
        <v>0.0</v>
      </c>
      <c r="Q301" s="135">
        <v>0.0</v>
      </c>
      <c r="R301" s="135">
        <v>0.0</v>
      </c>
      <c r="S301" s="135">
        <v>0.0</v>
      </c>
      <c r="T301" s="135">
        <v>0.0</v>
      </c>
      <c r="U301" s="135">
        <v>0.0</v>
      </c>
      <c r="V301" s="135">
        <v>0.0</v>
      </c>
      <c r="W301" s="135">
        <v>0.0</v>
      </c>
      <c r="X301" s="135">
        <v>0.0</v>
      </c>
      <c r="Y301" s="135">
        <v>0.0</v>
      </c>
      <c r="Z301" s="135">
        <v>0.0</v>
      </c>
      <c r="AA301" s="135">
        <v>0.0</v>
      </c>
      <c r="AB301" s="135">
        <v>0.0</v>
      </c>
      <c r="AC301" s="135">
        <v>0.0</v>
      </c>
      <c r="AD301" s="135">
        <v>0.0</v>
      </c>
      <c r="AE301" s="135">
        <v>0.0</v>
      </c>
      <c r="AF301" s="137">
        <v>538.0</v>
      </c>
      <c r="AG301" s="134">
        <v>1032.0</v>
      </c>
      <c r="AH301" s="137">
        <v>726.0</v>
      </c>
      <c r="AI301" s="134">
        <v>1456.0</v>
      </c>
      <c r="AJ301" s="137">
        <v>652.0</v>
      </c>
      <c r="AK301" s="134">
        <v>1230.0</v>
      </c>
      <c r="AL301" s="137">
        <v>528.0</v>
      </c>
      <c r="AM301" s="134">
        <v>1098.0</v>
      </c>
      <c r="AN301" s="134">
        <v>7262.0</v>
      </c>
    </row>
    <row r="302">
      <c r="A302" s="132" t="s">
        <v>204</v>
      </c>
      <c r="B302" s="136" t="s">
        <v>198</v>
      </c>
      <c r="C302" s="137">
        <v>4.0</v>
      </c>
      <c r="D302" s="137">
        <v>0.0</v>
      </c>
      <c r="E302" s="137">
        <v>4.0</v>
      </c>
      <c r="F302" s="135">
        <v>0.0</v>
      </c>
      <c r="G302" s="135">
        <v>0.0</v>
      </c>
      <c r="H302" s="135">
        <v>0.0</v>
      </c>
      <c r="I302" s="135">
        <v>0.0</v>
      </c>
      <c r="J302" s="135">
        <v>0.0</v>
      </c>
      <c r="K302" s="135">
        <v>0.0</v>
      </c>
      <c r="L302" s="135">
        <v>0.0</v>
      </c>
      <c r="M302" s="135">
        <v>0.0</v>
      </c>
      <c r="N302" s="135">
        <v>0.0</v>
      </c>
      <c r="O302" s="135">
        <v>0.0</v>
      </c>
      <c r="P302" s="135">
        <v>0.0</v>
      </c>
      <c r="Q302" s="135">
        <v>0.0</v>
      </c>
      <c r="R302" s="135">
        <v>0.0</v>
      </c>
      <c r="S302" s="135">
        <v>0.0</v>
      </c>
      <c r="T302" s="135">
        <v>0.0</v>
      </c>
      <c r="U302" s="135">
        <v>0.0</v>
      </c>
      <c r="V302" s="135">
        <v>0.0</v>
      </c>
      <c r="W302" s="135">
        <v>0.0</v>
      </c>
      <c r="X302" s="135">
        <v>0.0</v>
      </c>
      <c r="Y302" s="135">
        <v>0.0</v>
      </c>
      <c r="Z302" s="135">
        <v>0.0</v>
      </c>
      <c r="AA302" s="135">
        <v>0.0</v>
      </c>
      <c r="AB302" s="135">
        <v>0.0</v>
      </c>
      <c r="AC302" s="135">
        <v>0.0</v>
      </c>
      <c r="AD302" s="135">
        <v>0.0</v>
      </c>
      <c r="AE302" s="135">
        <v>0.0</v>
      </c>
      <c r="AF302" s="137">
        <v>0.0</v>
      </c>
      <c r="AG302" s="137">
        <v>0.0</v>
      </c>
      <c r="AH302" s="137">
        <v>0.0</v>
      </c>
      <c r="AI302" s="137">
        <v>0.0</v>
      </c>
      <c r="AJ302" s="137">
        <v>0.0</v>
      </c>
      <c r="AK302" s="137">
        <v>0.0</v>
      </c>
      <c r="AL302" s="137">
        <v>0.0</v>
      </c>
      <c r="AM302" s="137">
        <v>4.0</v>
      </c>
      <c r="AN302" s="137">
        <v>4.0</v>
      </c>
    </row>
    <row r="303">
      <c r="A303" s="104"/>
      <c r="B303" s="136" t="s">
        <v>199</v>
      </c>
      <c r="C303" s="134">
        <v>4926.0</v>
      </c>
      <c r="D303" s="134">
        <v>1534.0</v>
      </c>
      <c r="E303" s="134">
        <v>3392.0</v>
      </c>
      <c r="F303" s="135">
        <v>0.0</v>
      </c>
      <c r="G303" s="135">
        <v>0.0</v>
      </c>
      <c r="H303" s="135">
        <v>0.0</v>
      </c>
      <c r="I303" s="135">
        <v>0.0</v>
      </c>
      <c r="J303" s="135">
        <v>0.0</v>
      </c>
      <c r="K303" s="135">
        <v>0.0</v>
      </c>
      <c r="L303" s="135">
        <v>0.0</v>
      </c>
      <c r="M303" s="135">
        <v>0.0</v>
      </c>
      <c r="N303" s="135">
        <v>0.0</v>
      </c>
      <c r="O303" s="135">
        <v>0.0</v>
      </c>
      <c r="P303" s="135">
        <v>0.0</v>
      </c>
      <c r="Q303" s="135">
        <v>0.0</v>
      </c>
      <c r="R303" s="135">
        <v>0.0</v>
      </c>
      <c r="S303" s="135">
        <v>0.0</v>
      </c>
      <c r="T303" s="135">
        <v>0.0</v>
      </c>
      <c r="U303" s="135">
        <v>0.0</v>
      </c>
      <c r="V303" s="135">
        <v>0.0</v>
      </c>
      <c r="W303" s="135">
        <v>0.0</v>
      </c>
      <c r="X303" s="135">
        <v>0.0</v>
      </c>
      <c r="Y303" s="135">
        <v>0.0</v>
      </c>
      <c r="Z303" s="135">
        <v>0.0</v>
      </c>
      <c r="AA303" s="135">
        <v>0.0</v>
      </c>
      <c r="AB303" s="135">
        <v>0.0</v>
      </c>
      <c r="AC303" s="135">
        <v>0.0</v>
      </c>
      <c r="AD303" s="135">
        <v>0.0</v>
      </c>
      <c r="AE303" s="135">
        <v>0.0</v>
      </c>
      <c r="AF303" s="137">
        <v>144.0</v>
      </c>
      <c r="AG303" s="137">
        <v>306.0</v>
      </c>
      <c r="AH303" s="137">
        <v>258.0</v>
      </c>
      <c r="AI303" s="137">
        <v>594.0</v>
      </c>
      <c r="AJ303" s="137">
        <v>374.0</v>
      </c>
      <c r="AK303" s="137">
        <v>792.0</v>
      </c>
      <c r="AL303" s="137">
        <v>758.0</v>
      </c>
      <c r="AM303" s="134">
        <v>1700.0</v>
      </c>
      <c r="AN303" s="134">
        <v>4926.0</v>
      </c>
    </row>
    <row r="304">
      <c r="A304" s="132" t="s">
        <v>205</v>
      </c>
      <c r="B304" s="136" t="s">
        <v>198</v>
      </c>
      <c r="C304" s="137">
        <v>18.0</v>
      </c>
      <c r="D304" s="137">
        <v>2.0</v>
      </c>
      <c r="E304" s="137">
        <v>16.0</v>
      </c>
      <c r="F304" s="137">
        <v>0.0</v>
      </c>
      <c r="G304" s="137">
        <v>0.0</v>
      </c>
      <c r="H304" s="137">
        <v>0.0</v>
      </c>
      <c r="I304" s="137">
        <v>0.0</v>
      </c>
      <c r="J304" s="137">
        <v>0.0</v>
      </c>
      <c r="K304" s="137">
        <v>0.0</v>
      </c>
      <c r="L304" s="137">
        <v>0.0</v>
      </c>
      <c r="M304" s="137">
        <v>0.0</v>
      </c>
      <c r="N304" s="137">
        <v>0.0</v>
      </c>
      <c r="O304" s="137">
        <v>2.0</v>
      </c>
      <c r="P304" s="137">
        <v>2.0</v>
      </c>
      <c r="Q304" s="137">
        <v>0.0</v>
      </c>
      <c r="R304" s="137">
        <v>0.0</v>
      </c>
      <c r="S304" s="137">
        <v>0.0</v>
      </c>
      <c r="T304" s="137">
        <v>0.0</v>
      </c>
      <c r="U304" s="137">
        <v>6.0</v>
      </c>
      <c r="V304" s="137">
        <v>0.0</v>
      </c>
      <c r="W304" s="137">
        <v>2.0</v>
      </c>
      <c r="X304" s="137">
        <v>0.0</v>
      </c>
      <c r="Y304" s="137">
        <v>0.0</v>
      </c>
      <c r="Z304" s="137">
        <v>0.0</v>
      </c>
      <c r="AA304" s="137">
        <v>2.0</v>
      </c>
      <c r="AB304" s="137">
        <v>0.0</v>
      </c>
      <c r="AC304" s="137">
        <v>2.0</v>
      </c>
      <c r="AD304" s="137">
        <v>0.0</v>
      </c>
      <c r="AE304" s="137">
        <v>2.0</v>
      </c>
      <c r="AF304" s="137">
        <v>0.0</v>
      </c>
      <c r="AG304" s="137">
        <v>0.0</v>
      </c>
      <c r="AH304" s="137">
        <v>0.0</v>
      </c>
      <c r="AI304" s="137">
        <v>0.0</v>
      </c>
      <c r="AJ304" s="137">
        <v>0.0</v>
      </c>
      <c r="AK304" s="137">
        <v>0.0</v>
      </c>
      <c r="AL304" s="137">
        <v>0.0</v>
      </c>
      <c r="AM304" s="137">
        <v>0.0</v>
      </c>
      <c r="AN304" s="137">
        <v>18.0</v>
      </c>
    </row>
    <row r="305">
      <c r="A305" s="98"/>
      <c r="B305" s="136" t="s">
        <v>199</v>
      </c>
      <c r="C305" s="137">
        <v>18.0</v>
      </c>
      <c r="D305" s="137">
        <v>12.0</v>
      </c>
      <c r="E305" s="137">
        <v>6.0</v>
      </c>
      <c r="F305" s="137">
        <v>2.0</v>
      </c>
      <c r="G305" s="137">
        <v>0.0</v>
      </c>
      <c r="H305" s="137">
        <v>0.0</v>
      </c>
      <c r="I305" s="137">
        <v>0.0</v>
      </c>
      <c r="J305" s="137">
        <v>0.0</v>
      </c>
      <c r="K305" s="137">
        <v>0.0</v>
      </c>
      <c r="L305" s="137">
        <v>6.0</v>
      </c>
      <c r="M305" s="137">
        <v>6.0</v>
      </c>
      <c r="N305" s="137">
        <v>0.0</v>
      </c>
      <c r="O305" s="137">
        <v>0.0</v>
      </c>
      <c r="P305" s="137">
        <v>0.0</v>
      </c>
      <c r="Q305" s="137">
        <v>0.0</v>
      </c>
      <c r="R305" s="137">
        <v>0.0</v>
      </c>
      <c r="S305" s="137">
        <v>0.0</v>
      </c>
      <c r="T305" s="137">
        <v>0.0</v>
      </c>
      <c r="U305" s="137">
        <v>0.0</v>
      </c>
      <c r="V305" s="137">
        <v>2.0</v>
      </c>
      <c r="W305" s="137">
        <v>0.0</v>
      </c>
      <c r="X305" s="137">
        <v>0.0</v>
      </c>
      <c r="Y305" s="137">
        <v>0.0</v>
      </c>
      <c r="Z305" s="137">
        <v>0.0</v>
      </c>
      <c r="AA305" s="137">
        <v>0.0</v>
      </c>
      <c r="AB305" s="137">
        <v>0.0</v>
      </c>
      <c r="AC305" s="137">
        <v>0.0</v>
      </c>
      <c r="AD305" s="137">
        <v>0.0</v>
      </c>
      <c r="AE305" s="137">
        <v>0.0</v>
      </c>
      <c r="AF305" s="137">
        <v>0.0</v>
      </c>
      <c r="AG305" s="137">
        <v>0.0</v>
      </c>
      <c r="AH305" s="137">
        <v>0.0</v>
      </c>
      <c r="AI305" s="137">
        <v>0.0</v>
      </c>
      <c r="AJ305" s="137">
        <v>0.0</v>
      </c>
      <c r="AK305" s="137">
        <v>0.0</v>
      </c>
      <c r="AL305" s="137">
        <v>2.0</v>
      </c>
      <c r="AM305" s="137">
        <v>0.0</v>
      </c>
      <c r="AN305" s="137">
        <v>18.0</v>
      </c>
    </row>
    <row r="306">
      <c r="A306" s="104"/>
      <c r="B306" s="136" t="s">
        <v>206</v>
      </c>
      <c r="C306" s="137">
        <v>106.0</v>
      </c>
      <c r="D306" s="137">
        <v>6.0</v>
      </c>
      <c r="E306" s="137">
        <v>100.0</v>
      </c>
      <c r="F306" s="137">
        <v>0.0</v>
      </c>
      <c r="G306" s="137">
        <v>0.0</v>
      </c>
      <c r="H306" s="137">
        <v>2.0</v>
      </c>
      <c r="I306" s="137">
        <v>0.0</v>
      </c>
      <c r="J306" s="137">
        <v>0.0</v>
      </c>
      <c r="K306" s="137">
        <v>0.0</v>
      </c>
      <c r="L306" s="137">
        <v>0.0</v>
      </c>
      <c r="M306" s="137">
        <v>4.0</v>
      </c>
      <c r="N306" s="137">
        <v>2.0</v>
      </c>
      <c r="O306" s="137">
        <v>20.0</v>
      </c>
      <c r="P306" s="137">
        <v>0.0</v>
      </c>
      <c r="Q306" s="137">
        <v>18.0</v>
      </c>
      <c r="R306" s="137">
        <v>0.0</v>
      </c>
      <c r="S306" s="137">
        <v>6.0</v>
      </c>
      <c r="T306" s="137">
        <v>0.0</v>
      </c>
      <c r="U306" s="137">
        <v>24.0</v>
      </c>
      <c r="V306" s="137">
        <v>0.0</v>
      </c>
      <c r="W306" s="137">
        <v>4.0</v>
      </c>
      <c r="X306" s="137">
        <v>0.0</v>
      </c>
      <c r="Y306" s="137">
        <v>10.0</v>
      </c>
      <c r="Z306" s="137">
        <v>0.0</v>
      </c>
      <c r="AA306" s="137">
        <v>6.0</v>
      </c>
      <c r="AB306" s="137">
        <v>0.0</v>
      </c>
      <c r="AC306" s="137">
        <v>4.0</v>
      </c>
      <c r="AD306" s="137">
        <v>0.0</v>
      </c>
      <c r="AE306" s="137">
        <v>0.0</v>
      </c>
      <c r="AF306" s="137">
        <v>0.0</v>
      </c>
      <c r="AG306" s="137">
        <v>2.0</v>
      </c>
      <c r="AH306" s="137">
        <v>0.0</v>
      </c>
      <c r="AI306" s="137">
        <v>0.0</v>
      </c>
      <c r="AJ306" s="137">
        <v>0.0</v>
      </c>
      <c r="AK306" s="137">
        <v>2.0</v>
      </c>
      <c r="AL306" s="137">
        <v>2.0</v>
      </c>
      <c r="AM306" s="137">
        <v>0.0</v>
      </c>
      <c r="AN306" s="137">
        <v>106.0</v>
      </c>
    </row>
    <row r="307">
      <c r="A307" s="132" t="s">
        <v>207</v>
      </c>
      <c r="B307" s="136" t="s">
        <v>198</v>
      </c>
      <c r="C307" s="134">
        <v>25854.0</v>
      </c>
      <c r="D307" s="134">
        <v>5484.0</v>
      </c>
      <c r="E307" s="134">
        <v>20370.0</v>
      </c>
      <c r="F307" s="137">
        <v>412.0</v>
      </c>
      <c r="G307" s="137">
        <v>402.0</v>
      </c>
      <c r="H307" s="137">
        <v>72.0</v>
      </c>
      <c r="I307" s="137">
        <v>96.0</v>
      </c>
      <c r="J307" s="137">
        <v>142.0</v>
      </c>
      <c r="K307" s="137">
        <v>80.0</v>
      </c>
      <c r="L307" s="137">
        <v>94.0</v>
      </c>
      <c r="M307" s="137">
        <v>186.0</v>
      </c>
      <c r="N307" s="137">
        <v>112.0</v>
      </c>
      <c r="O307" s="137">
        <v>336.0</v>
      </c>
      <c r="P307" s="137">
        <v>164.0</v>
      </c>
      <c r="Q307" s="137">
        <v>476.0</v>
      </c>
      <c r="R307" s="137">
        <v>132.0</v>
      </c>
      <c r="S307" s="137">
        <v>610.0</v>
      </c>
      <c r="T307" s="137">
        <v>142.0</v>
      </c>
      <c r="U307" s="137">
        <v>622.0</v>
      </c>
      <c r="V307" s="137">
        <v>158.0</v>
      </c>
      <c r="W307" s="137">
        <v>752.0</v>
      </c>
      <c r="X307" s="137">
        <v>166.0</v>
      </c>
      <c r="Y307" s="134">
        <v>1248.0</v>
      </c>
      <c r="Z307" s="137">
        <v>368.0</v>
      </c>
      <c r="AA307" s="134">
        <v>1938.0</v>
      </c>
      <c r="AB307" s="137">
        <v>438.0</v>
      </c>
      <c r="AC307" s="134">
        <v>2308.0</v>
      </c>
      <c r="AD307" s="137">
        <v>564.0</v>
      </c>
      <c r="AE307" s="134">
        <v>2360.0</v>
      </c>
      <c r="AF307" s="137">
        <v>596.0</v>
      </c>
      <c r="AG307" s="134">
        <v>2458.0</v>
      </c>
      <c r="AH307" s="137">
        <v>608.0</v>
      </c>
      <c r="AI307" s="134">
        <v>2208.0</v>
      </c>
      <c r="AJ307" s="137">
        <v>610.0</v>
      </c>
      <c r="AK307" s="134">
        <v>1966.0</v>
      </c>
      <c r="AL307" s="137">
        <v>706.0</v>
      </c>
      <c r="AM307" s="134">
        <v>2324.0</v>
      </c>
      <c r="AN307" s="134">
        <v>25762.0</v>
      </c>
    </row>
    <row r="308">
      <c r="A308" s="98"/>
      <c r="B308" s="136" t="s">
        <v>199</v>
      </c>
      <c r="C308" s="134">
        <v>6450.0</v>
      </c>
      <c r="D308" s="134">
        <v>2654.0</v>
      </c>
      <c r="E308" s="134">
        <v>3796.0</v>
      </c>
      <c r="F308" s="137">
        <v>220.0</v>
      </c>
      <c r="G308" s="137">
        <v>94.0</v>
      </c>
      <c r="H308" s="137">
        <v>100.0</v>
      </c>
      <c r="I308" s="137">
        <v>112.0</v>
      </c>
      <c r="J308" s="137">
        <v>0.0</v>
      </c>
      <c r="K308" s="137">
        <v>4.0</v>
      </c>
      <c r="L308" s="137">
        <v>8.0</v>
      </c>
      <c r="M308" s="137">
        <v>10.0</v>
      </c>
      <c r="N308" s="137">
        <v>52.0</v>
      </c>
      <c r="O308" s="137">
        <v>66.0</v>
      </c>
      <c r="P308" s="137">
        <v>72.0</v>
      </c>
      <c r="Q308" s="137">
        <v>74.0</v>
      </c>
      <c r="R308" s="137">
        <v>102.0</v>
      </c>
      <c r="S308" s="137">
        <v>92.0</v>
      </c>
      <c r="T308" s="137">
        <v>114.0</v>
      </c>
      <c r="U308" s="137">
        <v>244.0</v>
      </c>
      <c r="V308" s="137">
        <v>186.0</v>
      </c>
      <c r="W308" s="137">
        <v>212.0</v>
      </c>
      <c r="X308" s="137">
        <v>242.0</v>
      </c>
      <c r="Y308" s="137">
        <v>354.0</v>
      </c>
      <c r="Z308" s="137">
        <v>462.0</v>
      </c>
      <c r="AA308" s="137">
        <v>302.0</v>
      </c>
      <c r="AB308" s="137">
        <v>174.0</v>
      </c>
      <c r="AC308" s="137">
        <v>392.0</v>
      </c>
      <c r="AD308" s="137">
        <v>208.0</v>
      </c>
      <c r="AE308" s="137">
        <v>432.0</v>
      </c>
      <c r="AF308" s="137">
        <v>170.0</v>
      </c>
      <c r="AG308" s="137">
        <v>326.0</v>
      </c>
      <c r="AH308" s="137">
        <v>166.0</v>
      </c>
      <c r="AI308" s="137">
        <v>302.0</v>
      </c>
      <c r="AJ308" s="137">
        <v>114.0</v>
      </c>
      <c r="AK308" s="137">
        <v>244.0</v>
      </c>
      <c r="AL308" s="137">
        <v>264.0</v>
      </c>
      <c r="AM308" s="137">
        <v>536.0</v>
      </c>
      <c r="AN308" s="134">
        <v>5636.0</v>
      </c>
    </row>
    <row r="309">
      <c r="A309" s="98"/>
      <c r="B309" s="136" t="s">
        <v>206</v>
      </c>
      <c r="C309" s="137">
        <v>300.0</v>
      </c>
      <c r="D309" s="137">
        <v>76.0</v>
      </c>
      <c r="E309" s="137">
        <v>224.0</v>
      </c>
      <c r="F309" s="137">
        <v>62.0</v>
      </c>
      <c r="G309" s="137">
        <v>66.0</v>
      </c>
      <c r="H309" s="137">
        <v>12.0</v>
      </c>
      <c r="I309" s="137">
        <v>22.0</v>
      </c>
      <c r="J309" s="137">
        <v>2.0</v>
      </c>
      <c r="K309" s="137">
        <v>6.0</v>
      </c>
      <c r="L309" s="137">
        <v>0.0</v>
      </c>
      <c r="M309" s="137">
        <v>30.0</v>
      </c>
      <c r="N309" s="137">
        <v>0.0</v>
      </c>
      <c r="O309" s="137">
        <v>42.0</v>
      </c>
      <c r="P309" s="137">
        <v>0.0</v>
      </c>
      <c r="Q309" s="137">
        <v>26.0</v>
      </c>
      <c r="R309" s="137">
        <v>0.0</v>
      </c>
      <c r="S309" s="137">
        <v>10.0</v>
      </c>
      <c r="T309" s="137">
        <v>0.0</v>
      </c>
      <c r="U309" s="137">
        <v>10.0</v>
      </c>
      <c r="V309" s="137">
        <v>0.0</v>
      </c>
      <c r="W309" s="137">
        <v>8.0</v>
      </c>
      <c r="X309" s="137">
        <v>0.0</v>
      </c>
      <c r="Y309" s="137">
        <v>4.0</v>
      </c>
      <c r="Z309" s="137">
        <v>0.0</v>
      </c>
      <c r="AA309" s="137">
        <v>0.0</v>
      </c>
      <c r="AB309" s="137">
        <v>0.0</v>
      </c>
      <c r="AC309" s="137">
        <v>0.0</v>
      </c>
      <c r="AD309" s="137">
        <v>0.0</v>
      </c>
      <c r="AE309" s="137">
        <v>0.0</v>
      </c>
      <c r="AF309" s="137">
        <v>0.0</v>
      </c>
      <c r="AG309" s="137">
        <v>0.0</v>
      </c>
      <c r="AH309" s="137">
        <v>0.0</v>
      </c>
      <c r="AI309" s="137">
        <v>0.0</v>
      </c>
      <c r="AJ309" s="137">
        <v>0.0</v>
      </c>
      <c r="AK309" s="137">
        <v>0.0</v>
      </c>
      <c r="AL309" s="137">
        <v>0.0</v>
      </c>
      <c r="AM309" s="137">
        <v>0.0</v>
      </c>
      <c r="AN309" s="137">
        <v>300.0</v>
      </c>
    </row>
    <row r="310">
      <c r="A310" s="98"/>
      <c r="B310" s="136" t="s">
        <v>200</v>
      </c>
      <c r="C310" s="134">
        <v>3378.0</v>
      </c>
      <c r="D310" s="134">
        <v>1222.0</v>
      </c>
      <c r="E310" s="134">
        <v>2156.0</v>
      </c>
      <c r="F310" s="137">
        <v>348.0</v>
      </c>
      <c r="G310" s="137">
        <v>338.0</v>
      </c>
      <c r="H310" s="137">
        <v>92.0</v>
      </c>
      <c r="I310" s="137">
        <v>108.0</v>
      </c>
      <c r="J310" s="137">
        <v>28.0</v>
      </c>
      <c r="K310" s="137">
        <v>30.0</v>
      </c>
      <c r="L310" s="137">
        <v>22.0</v>
      </c>
      <c r="M310" s="137">
        <v>30.0</v>
      </c>
      <c r="N310" s="137">
        <v>74.0</v>
      </c>
      <c r="O310" s="137">
        <v>158.0</v>
      </c>
      <c r="P310" s="137">
        <v>110.0</v>
      </c>
      <c r="Q310" s="137">
        <v>268.0</v>
      </c>
      <c r="R310" s="137">
        <v>134.0</v>
      </c>
      <c r="S310" s="137">
        <v>196.0</v>
      </c>
      <c r="T310" s="137">
        <v>72.0</v>
      </c>
      <c r="U310" s="137">
        <v>170.0</v>
      </c>
      <c r="V310" s="137">
        <v>56.0</v>
      </c>
      <c r="W310" s="137">
        <v>178.0</v>
      </c>
      <c r="X310" s="137">
        <v>50.0</v>
      </c>
      <c r="Y310" s="137">
        <v>158.0</v>
      </c>
      <c r="Z310" s="137">
        <v>60.0</v>
      </c>
      <c r="AA310" s="137">
        <v>166.0</v>
      </c>
      <c r="AB310" s="137">
        <v>48.0</v>
      </c>
      <c r="AC310" s="137">
        <v>116.0</v>
      </c>
      <c r="AD310" s="137">
        <v>26.0</v>
      </c>
      <c r="AE310" s="137">
        <v>62.0</v>
      </c>
      <c r="AF310" s="137">
        <v>14.0</v>
      </c>
      <c r="AG310" s="137">
        <v>46.0</v>
      </c>
      <c r="AH310" s="137">
        <v>40.0</v>
      </c>
      <c r="AI310" s="137">
        <v>34.0</v>
      </c>
      <c r="AJ310" s="137">
        <v>22.0</v>
      </c>
      <c r="AK310" s="137">
        <v>42.0</v>
      </c>
      <c r="AL310" s="137">
        <v>26.0</v>
      </c>
      <c r="AM310" s="137">
        <v>56.0</v>
      </c>
      <c r="AN310" s="134">
        <v>2880.0</v>
      </c>
    </row>
    <row r="311">
      <c r="A311" s="104"/>
      <c r="B311" s="136" t="s">
        <v>201</v>
      </c>
      <c r="C311" s="137">
        <v>26.0</v>
      </c>
      <c r="D311" s="137">
        <v>8.0</v>
      </c>
      <c r="E311" s="137">
        <v>18.0</v>
      </c>
      <c r="F311" s="137">
        <v>0.0</v>
      </c>
      <c r="G311" s="137">
        <v>0.0</v>
      </c>
      <c r="H311" s="137">
        <v>0.0</v>
      </c>
      <c r="I311" s="137">
        <v>0.0</v>
      </c>
      <c r="J311" s="137">
        <v>0.0</v>
      </c>
      <c r="K311" s="137">
        <v>0.0</v>
      </c>
      <c r="L311" s="137">
        <v>0.0</v>
      </c>
      <c r="M311" s="137">
        <v>0.0</v>
      </c>
      <c r="N311" s="137">
        <v>2.0</v>
      </c>
      <c r="O311" s="137">
        <v>0.0</v>
      </c>
      <c r="P311" s="137">
        <v>2.0</v>
      </c>
      <c r="Q311" s="137">
        <v>0.0</v>
      </c>
      <c r="R311" s="137">
        <v>0.0</v>
      </c>
      <c r="S311" s="137">
        <v>0.0</v>
      </c>
      <c r="T311" s="137">
        <v>0.0</v>
      </c>
      <c r="U311" s="137">
        <v>0.0</v>
      </c>
      <c r="V311" s="137">
        <v>0.0</v>
      </c>
      <c r="W311" s="137">
        <v>2.0</v>
      </c>
      <c r="X311" s="137">
        <v>0.0</v>
      </c>
      <c r="Y311" s="137">
        <v>0.0</v>
      </c>
      <c r="Z311" s="137">
        <v>0.0</v>
      </c>
      <c r="AA311" s="137">
        <v>2.0</v>
      </c>
      <c r="AB311" s="137">
        <v>0.0</v>
      </c>
      <c r="AC311" s="137">
        <v>2.0</v>
      </c>
      <c r="AD311" s="137">
        <v>0.0</v>
      </c>
      <c r="AE311" s="137">
        <v>4.0</v>
      </c>
      <c r="AF311" s="137">
        <v>2.0</v>
      </c>
      <c r="AG311" s="137">
        <v>2.0</v>
      </c>
      <c r="AH311" s="137">
        <v>0.0</v>
      </c>
      <c r="AI311" s="137">
        <v>2.0</v>
      </c>
      <c r="AJ311" s="137">
        <v>2.0</v>
      </c>
      <c r="AK311" s="137">
        <v>2.0</v>
      </c>
      <c r="AL311" s="137">
        <v>0.0</v>
      </c>
      <c r="AM311" s="137">
        <v>2.0</v>
      </c>
      <c r="AN311" s="137">
        <v>24.0</v>
      </c>
    </row>
    <row r="312">
      <c r="A312" s="132" t="s">
        <v>208</v>
      </c>
      <c r="B312" s="136" t="s">
        <v>198</v>
      </c>
      <c r="C312" s="137">
        <v>110.0</v>
      </c>
      <c r="D312" s="137">
        <v>50.0</v>
      </c>
      <c r="E312" s="137">
        <v>60.0</v>
      </c>
      <c r="F312" s="137">
        <v>26.0</v>
      </c>
      <c r="G312" s="137">
        <v>42.0</v>
      </c>
      <c r="H312" s="137">
        <v>12.0</v>
      </c>
      <c r="I312" s="137">
        <v>4.0</v>
      </c>
      <c r="J312" s="137">
        <v>12.0</v>
      </c>
      <c r="K312" s="137">
        <v>12.0</v>
      </c>
      <c r="L312" s="137">
        <v>0.0</v>
      </c>
      <c r="M312" s="137">
        <v>2.0</v>
      </c>
      <c r="N312" s="137">
        <v>0.0</v>
      </c>
      <c r="O312" s="137">
        <v>0.0</v>
      </c>
      <c r="P312" s="135">
        <v>0.0</v>
      </c>
      <c r="Q312" s="135">
        <v>0.0</v>
      </c>
      <c r="R312" s="135">
        <v>0.0</v>
      </c>
      <c r="S312" s="135">
        <v>0.0</v>
      </c>
      <c r="T312" s="135">
        <v>0.0</v>
      </c>
      <c r="U312" s="135">
        <v>0.0</v>
      </c>
      <c r="V312" s="135">
        <v>0.0</v>
      </c>
      <c r="W312" s="135">
        <v>0.0</v>
      </c>
      <c r="X312" s="135">
        <v>0.0</v>
      </c>
      <c r="Y312" s="135">
        <v>0.0</v>
      </c>
      <c r="Z312" s="135">
        <v>0.0</v>
      </c>
      <c r="AA312" s="135">
        <v>0.0</v>
      </c>
      <c r="AB312" s="135">
        <v>0.0</v>
      </c>
      <c r="AC312" s="135">
        <v>0.0</v>
      </c>
      <c r="AD312" s="135">
        <v>0.0</v>
      </c>
      <c r="AE312" s="135">
        <v>0.0</v>
      </c>
      <c r="AF312" s="135">
        <v>0.0</v>
      </c>
      <c r="AG312" s="135">
        <v>0.0</v>
      </c>
      <c r="AH312" s="135">
        <v>0.0</v>
      </c>
      <c r="AI312" s="135">
        <v>0.0</v>
      </c>
      <c r="AJ312" s="135">
        <v>0.0</v>
      </c>
      <c r="AK312" s="135">
        <v>0.0</v>
      </c>
      <c r="AL312" s="135">
        <v>0.0</v>
      </c>
      <c r="AM312" s="135">
        <v>0.0</v>
      </c>
      <c r="AN312" s="137">
        <v>110.0</v>
      </c>
    </row>
    <row r="313">
      <c r="A313" s="98"/>
      <c r="B313" s="136" t="s">
        <v>199</v>
      </c>
      <c r="C313" s="137">
        <v>418.0</v>
      </c>
      <c r="D313" s="137">
        <v>222.0</v>
      </c>
      <c r="E313" s="137">
        <v>196.0</v>
      </c>
      <c r="F313" s="137">
        <v>198.0</v>
      </c>
      <c r="G313" s="137">
        <v>178.0</v>
      </c>
      <c r="H313" s="137">
        <v>20.0</v>
      </c>
      <c r="I313" s="137">
        <v>14.0</v>
      </c>
      <c r="J313" s="137">
        <v>4.0</v>
      </c>
      <c r="K313" s="137">
        <v>4.0</v>
      </c>
      <c r="L313" s="137">
        <v>0.0</v>
      </c>
      <c r="M313" s="137">
        <v>0.0</v>
      </c>
      <c r="N313" s="137">
        <v>0.0</v>
      </c>
      <c r="O313" s="137">
        <v>0.0</v>
      </c>
      <c r="P313" s="135">
        <v>0.0</v>
      </c>
      <c r="Q313" s="135">
        <v>0.0</v>
      </c>
      <c r="R313" s="135">
        <v>0.0</v>
      </c>
      <c r="S313" s="135">
        <v>0.0</v>
      </c>
      <c r="T313" s="135">
        <v>0.0</v>
      </c>
      <c r="U313" s="135">
        <v>0.0</v>
      </c>
      <c r="V313" s="135">
        <v>0.0</v>
      </c>
      <c r="W313" s="135">
        <v>0.0</v>
      </c>
      <c r="X313" s="135">
        <v>0.0</v>
      </c>
      <c r="Y313" s="135">
        <v>0.0</v>
      </c>
      <c r="Z313" s="135">
        <v>0.0</v>
      </c>
      <c r="AA313" s="135">
        <v>0.0</v>
      </c>
      <c r="AB313" s="135">
        <v>0.0</v>
      </c>
      <c r="AC313" s="135">
        <v>0.0</v>
      </c>
      <c r="AD313" s="135">
        <v>0.0</v>
      </c>
      <c r="AE313" s="135">
        <v>0.0</v>
      </c>
      <c r="AF313" s="135">
        <v>0.0</v>
      </c>
      <c r="AG313" s="135">
        <v>0.0</v>
      </c>
      <c r="AH313" s="135">
        <v>0.0</v>
      </c>
      <c r="AI313" s="135">
        <v>0.0</v>
      </c>
      <c r="AJ313" s="135">
        <v>0.0</v>
      </c>
      <c r="AK313" s="135">
        <v>0.0</v>
      </c>
      <c r="AL313" s="135">
        <v>0.0</v>
      </c>
      <c r="AM313" s="135">
        <v>0.0</v>
      </c>
      <c r="AN313" s="137">
        <v>388.0</v>
      </c>
    </row>
    <row r="314">
      <c r="A314" s="98"/>
      <c r="B314" s="136" t="s">
        <v>206</v>
      </c>
      <c r="C314" s="137">
        <v>2.0</v>
      </c>
      <c r="D314" s="137">
        <v>2.0</v>
      </c>
      <c r="E314" s="137">
        <v>0.0</v>
      </c>
      <c r="F314" s="137">
        <v>2.0</v>
      </c>
      <c r="G314" s="137">
        <v>0.0</v>
      </c>
      <c r="H314" s="137">
        <v>0.0</v>
      </c>
      <c r="I314" s="137">
        <v>0.0</v>
      </c>
      <c r="J314" s="137">
        <v>0.0</v>
      </c>
      <c r="K314" s="137">
        <v>0.0</v>
      </c>
      <c r="L314" s="137">
        <v>0.0</v>
      </c>
      <c r="M314" s="137">
        <v>0.0</v>
      </c>
      <c r="N314" s="137">
        <v>0.0</v>
      </c>
      <c r="O314" s="137">
        <v>0.0</v>
      </c>
      <c r="P314" s="135">
        <v>0.0</v>
      </c>
      <c r="Q314" s="135">
        <v>0.0</v>
      </c>
      <c r="R314" s="135">
        <v>0.0</v>
      </c>
      <c r="S314" s="135">
        <v>0.0</v>
      </c>
      <c r="T314" s="135">
        <v>0.0</v>
      </c>
      <c r="U314" s="135">
        <v>0.0</v>
      </c>
      <c r="V314" s="135">
        <v>0.0</v>
      </c>
      <c r="W314" s="135">
        <v>0.0</v>
      </c>
      <c r="X314" s="135">
        <v>0.0</v>
      </c>
      <c r="Y314" s="135">
        <v>0.0</v>
      </c>
      <c r="Z314" s="135">
        <v>0.0</v>
      </c>
      <c r="AA314" s="135">
        <v>0.0</v>
      </c>
      <c r="AB314" s="135">
        <v>0.0</v>
      </c>
      <c r="AC314" s="135">
        <v>0.0</v>
      </c>
      <c r="AD314" s="135">
        <v>0.0</v>
      </c>
      <c r="AE314" s="135">
        <v>0.0</v>
      </c>
      <c r="AF314" s="135">
        <v>0.0</v>
      </c>
      <c r="AG314" s="135">
        <v>0.0</v>
      </c>
      <c r="AH314" s="135">
        <v>0.0</v>
      </c>
      <c r="AI314" s="135">
        <v>0.0</v>
      </c>
      <c r="AJ314" s="135">
        <v>0.0</v>
      </c>
      <c r="AK314" s="135">
        <v>0.0</v>
      </c>
      <c r="AL314" s="135">
        <v>0.0</v>
      </c>
      <c r="AM314" s="135">
        <v>0.0</v>
      </c>
      <c r="AN314" s="137">
        <v>2.0</v>
      </c>
    </row>
    <row r="315">
      <c r="A315" s="98"/>
      <c r="B315" s="136" t="s">
        <v>200</v>
      </c>
      <c r="C315" s="137">
        <v>36.0</v>
      </c>
      <c r="D315" s="137">
        <v>16.0</v>
      </c>
      <c r="E315" s="137">
        <v>20.0</v>
      </c>
      <c r="F315" s="137">
        <v>10.0</v>
      </c>
      <c r="G315" s="137">
        <v>14.0</v>
      </c>
      <c r="H315" s="137">
        <v>2.0</v>
      </c>
      <c r="I315" s="137">
        <v>4.0</v>
      </c>
      <c r="J315" s="137">
        <v>4.0</v>
      </c>
      <c r="K315" s="137">
        <v>0.0</v>
      </c>
      <c r="L315" s="137">
        <v>0.0</v>
      </c>
      <c r="M315" s="137">
        <v>0.0</v>
      </c>
      <c r="N315" s="137">
        <v>0.0</v>
      </c>
      <c r="O315" s="137">
        <v>2.0</v>
      </c>
      <c r="P315" s="135">
        <v>0.0</v>
      </c>
      <c r="Q315" s="135">
        <v>0.0</v>
      </c>
      <c r="R315" s="135">
        <v>0.0</v>
      </c>
      <c r="S315" s="135">
        <v>0.0</v>
      </c>
      <c r="T315" s="135">
        <v>0.0</v>
      </c>
      <c r="U315" s="135">
        <v>0.0</v>
      </c>
      <c r="V315" s="135">
        <v>0.0</v>
      </c>
      <c r="W315" s="135">
        <v>0.0</v>
      </c>
      <c r="X315" s="135">
        <v>0.0</v>
      </c>
      <c r="Y315" s="135">
        <v>0.0</v>
      </c>
      <c r="Z315" s="135">
        <v>0.0</v>
      </c>
      <c r="AA315" s="135">
        <v>0.0</v>
      </c>
      <c r="AB315" s="135">
        <v>0.0</v>
      </c>
      <c r="AC315" s="135">
        <v>0.0</v>
      </c>
      <c r="AD315" s="135">
        <v>0.0</v>
      </c>
      <c r="AE315" s="135">
        <v>0.0</v>
      </c>
      <c r="AF315" s="135">
        <v>0.0</v>
      </c>
      <c r="AG315" s="135">
        <v>0.0</v>
      </c>
      <c r="AH315" s="135">
        <v>0.0</v>
      </c>
      <c r="AI315" s="135">
        <v>0.0</v>
      </c>
      <c r="AJ315" s="135">
        <v>0.0</v>
      </c>
      <c r="AK315" s="135">
        <v>0.0</v>
      </c>
      <c r="AL315" s="135">
        <v>0.0</v>
      </c>
      <c r="AM315" s="135">
        <v>0.0</v>
      </c>
      <c r="AN315" s="137">
        <v>36.0</v>
      </c>
    </row>
    <row r="316">
      <c r="A316" s="104"/>
      <c r="B316" s="136" t="s">
        <v>201</v>
      </c>
      <c r="C316" s="137">
        <v>0.0</v>
      </c>
      <c r="D316" s="137">
        <v>0.0</v>
      </c>
      <c r="E316" s="137">
        <v>0.0</v>
      </c>
      <c r="F316" s="137">
        <v>0.0</v>
      </c>
      <c r="G316" s="137">
        <v>0.0</v>
      </c>
      <c r="H316" s="137">
        <v>0.0</v>
      </c>
      <c r="I316" s="137">
        <v>0.0</v>
      </c>
      <c r="J316" s="137">
        <v>0.0</v>
      </c>
      <c r="K316" s="137">
        <v>0.0</v>
      </c>
      <c r="L316" s="137">
        <v>0.0</v>
      </c>
      <c r="M316" s="137">
        <v>0.0</v>
      </c>
      <c r="N316" s="137">
        <v>0.0</v>
      </c>
      <c r="O316" s="137">
        <v>0.0</v>
      </c>
      <c r="P316" s="135">
        <v>0.0</v>
      </c>
      <c r="Q316" s="135">
        <v>0.0</v>
      </c>
      <c r="R316" s="135">
        <v>0.0</v>
      </c>
      <c r="S316" s="135">
        <v>0.0</v>
      </c>
      <c r="T316" s="135">
        <v>0.0</v>
      </c>
      <c r="U316" s="135">
        <v>0.0</v>
      </c>
      <c r="V316" s="135">
        <v>0.0</v>
      </c>
      <c r="W316" s="135">
        <v>0.0</v>
      </c>
      <c r="X316" s="135">
        <v>0.0</v>
      </c>
      <c r="Y316" s="135">
        <v>0.0</v>
      </c>
      <c r="Z316" s="135">
        <v>0.0</v>
      </c>
      <c r="AA316" s="135">
        <v>0.0</v>
      </c>
      <c r="AB316" s="135">
        <v>0.0</v>
      </c>
      <c r="AC316" s="135">
        <v>0.0</v>
      </c>
      <c r="AD316" s="135">
        <v>0.0</v>
      </c>
      <c r="AE316" s="135">
        <v>0.0</v>
      </c>
      <c r="AF316" s="135">
        <v>0.0</v>
      </c>
      <c r="AG316" s="135">
        <v>0.0</v>
      </c>
      <c r="AH316" s="135">
        <v>0.0</v>
      </c>
      <c r="AI316" s="135">
        <v>0.0</v>
      </c>
      <c r="AJ316" s="135">
        <v>0.0</v>
      </c>
      <c r="AK316" s="135">
        <v>0.0</v>
      </c>
      <c r="AL316" s="135">
        <v>0.0</v>
      </c>
      <c r="AM316" s="135">
        <v>0.0</v>
      </c>
      <c r="AN316" s="137">
        <v>0.0</v>
      </c>
    </row>
    <row r="317">
      <c r="A317" s="138" t="s">
        <v>252</v>
      </c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</row>
    <row r="318">
      <c r="A318" s="132" t="s">
        <v>197</v>
      </c>
      <c r="B318" s="133" t="s">
        <v>198</v>
      </c>
      <c r="C318" s="134">
        <v>348768.0</v>
      </c>
      <c r="D318" s="134">
        <v>128458.0</v>
      </c>
      <c r="E318" s="134">
        <v>220310.0</v>
      </c>
      <c r="F318" s="135">
        <v>0.0</v>
      </c>
      <c r="G318" s="135">
        <v>0.0</v>
      </c>
      <c r="H318" s="135">
        <v>0.0</v>
      </c>
      <c r="I318" s="135">
        <v>0.0</v>
      </c>
      <c r="J318" s="135">
        <v>0.0</v>
      </c>
      <c r="K318" s="135">
        <v>0.0</v>
      </c>
      <c r="L318" s="137">
        <v>332.0</v>
      </c>
      <c r="M318" s="137">
        <v>438.0</v>
      </c>
      <c r="N318" s="137">
        <v>522.0</v>
      </c>
      <c r="O318" s="137">
        <v>884.0</v>
      </c>
      <c r="P318" s="137">
        <v>978.0</v>
      </c>
      <c r="Q318" s="134">
        <v>1848.0</v>
      </c>
      <c r="R318" s="134">
        <v>1694.0</v>
      </c>
      <c r="S318" s="134">
        <v>2942.0</v>
      </c>
      <c r="T318" s="134">
        <v>2724.0</v>
      </c>
      <c r="U318" s="134">
        <v>4804.0</v>
      </c>
      <c r="V318" s="134">
        <v>4590.0</v>
      </c>
      <c r="W318" s="134">
        <v>7842.0</v>
      </c>
      <c r="X318" s="134">
        <v>6736.0</v>
      </c>
      <c r="Y318" s="134">
        <v>13140.0</v>
      </c>
      <c r="Z318" s="134">
        <v>10942.0</v>
      </c>
      <c r="AA318" s="134">
        <v>21080.0</v>
      </c>
      <c r="AB318" s="134">
        <v>15864.0</v>
      </c>
      <c r="AC318" s="134">
        <v>28650.0</v>
      </c>
      <c r="AD318" s="134">
        <v>18326.0</v>
      </c>
      <c r="AE318" s="134">
        <v>30562.0</v>
      </c>
      <c r="AF318" s="134">
        <v>18558.0</v>
      </c>
      <c r="AG318" s="134">
        <v>29734.0</v>
      </c>
      <c r="AH318" s="134">
        <v>18824.0</v>
      </c>
      <c r="AI318" s="134">
        <v>28176.0</v>
      </c>
      <c r="AJ318" s="134">
        <v>13978.0</v>
      </c>
      <c r="AK318" s="134">
        <v>22656.0</v>
      </c>
      <c r="AL318" s="134">
        <v>14390.0</v>
      </c>
      <c r="AM318" s="134">
        <v>27554.0</v>
      </c>
      <c r="AN318" s="134">
        <v>347818.0</v>
      </c>
    </row>
    <row r="319">
      <c r="A319" s="98"/>
      <c r="B319" s="136" t="s">
        <v>199</v>
      </c>
      <c r="C319" s="134">
        <v>126520.0</v>
      </c>
      <c r="D319" s="134">
        <v>45938.0</v>
      </c>
      <c r="E319" s="134">
        <v>80582.0</v>
      </c>
      <c r="F319" s="135">
        <v>0.0</v>
      </c>
      <c r="G319" s="135">
        <v>0.0</v>
      </c>
      <c r="H319" s="135">
        <v>0.0</v>
      </c>
      <c r="I319" s="135">
        <v>0.0</v>
      </c>
      <c r="J319" s="135">
        <v>0.0</v>
      </c>
      <c r="K319" s="135">
        <v>0.0</v>
      </c>
      <c r="L319" s="137">
        <v>94.0</v>
      </c>
      <c r="M319" s="137">
        <v>60.0</v>
      </c>
      <c r="N319" s="137">
        <v>80.0</v>
      </c>
      <c r="O319" s="137">
        <v>134.0</v>
      </c>
      <c r="P319" s="137">
        <v>176.0</v>
      </c>
      <c r="Q319" s="137">
        <v>356.0</v>
      </c>
      <c r="R319" s="137">
        <v>350.0</v>
      </c>
      <c r="S319" s="137">
        <v>574.0</v>
      </c>
      <c r="T319" s="137">
        <v>550.0</v>
      </c>
      <c r="U319" s="134">
        <v>1096.0</v>
      </c>
      <c r="V319" s="134">
        <v>1042.0</v>
      </c>
      <c r="W319" s="134">
        <v>1876.0</v>
      </c>
      <c r="X319" s="134">
        <v>1706.0</v>
      </c>
      <c r="Y319" s="134">
        <v>3518.0</v>
      </c>
      <c r="Z319" s="134">
        <v>3062.0</v>
      </c>
      <c r="AA319" s="134">
        <v>6210.0</v>
      </c>
      <c r="AB319" s="134">
        <v>4816.0</v>
      </c>
      <c r="AC319" s="134">
        <v>9144.0</v>
      </c>
      <c r="AD319" s="134">
        <v>6020.0</v>
      </c>
      <c r="AE319" s="134">
        <v>10516.0</v>
      </c>
      <c r="AF319" s="134">
        <v>7320.0</v>
      </c>
      <c r="AG319" s="134">
        <v>12302.0</v>
      </c>
      <c r="AH319" s="134">
        <v>7696.0</v>
      </c>
      <c r="AI319" s="134">
        <v>12190.0</v>
      </c>
      <c r="AJ319" s="134">
        <v>6216.0</v>
      </c>
      <c r="AK319" s="134">
        <v>9928.0</v>
      </c>
      <c r="AL319" s="134">
        <v>6810.0</v>
      </c>
      <c r="AM319" s="134">
        <v>12678.0</v>
      </c>
      <c r="AN319" s="134">
        <v>124830.0</v>
      </c>
    </row>
    <row r="320">
      <c r="A320" s="98"/>
      <c r="B320" s="136" t="s">
        <v>200</v>
      </c>
      <c r="C320" s="134">
        <v>138270.0</v>
      </c>
      <c r="D320" s="134">
        <v>47738.0</v>
      </c>
      <c r="E320" s="134">
        <v>90532.0</v>
      </c>
      <c r="F320" s="135">
        <v>0.0</v>
      </c>
      <c r="G320" s="135">
        <v>0.0</v>
      </c>
      <c r="H320" s="135">
        <v>0.0</v>
      </c>
      <c r="I320" s="135">
        <v>0.0</v>
      </c>
      <c r="J320" s="135">
        <v>0.0</v>
      </c>
      <c r="K320" s="135">
        <v>0.0</v>
      </c>
      <c r="L320" s="137">
        <v>98.0</v>
      </c>
      <c r="M320" s="137">
        <v>134.0</v>
      </c>
      <c r="N320" s="137">
        <v>172.0</v>
      </c>
      <c r="O320" s="137">
        <v>374.0</v>
      </c>
      <c r="P320" s="137">
        <v>326.0</v>
      </c>
      <c r="Q320" s="137">
        <v>728.0</v>
      </c>
      <c r="R320" s="137">
        <v>556.0</v>
      </c>
      <c r="S320" s="134">
        <v>1102.0</v>
      </c>
      <c r="T320" s="137">
        <v>962.0</v>
      </c>
      <c r="U320" s="134">
        <v>1878.0</v>
      </c>
      <c r="V320" s="134">
        <v>1654.0</v>
      </c>
      <c r="W320" s="134">
        <v>3134.0</v>
      </c>
      <c r="X320" s="134">
        <v>2414.0</v>
      </c>
      <c r="Y320" s="134">
        <v>5576.0</v>
      </c>
      <c r="Z320" s="134">
        <v>3884.0</v>
      </c>
      <c r="AA320" s="134">
        <v>8668.0</v>
      </c>
      <c r="AB320" s="134">
        <v>5736.0</v>
      </c>
      <c r="AC320" s="134">
        <v>11952.0</v>
      </c>
      <c r="AD320" s="134">
        <v>6634.0</v>
      </c>
      <c r="AE320" s="134">
        <v>12482.0</v>
      </c>
      <c r="AF320" s="134">
        <v>6916.0</v>
      </c>
      <c r="AG320" s="134">
        <v>12746.0</v>
      </c>
      <c r="AH320" s="134">
        <v>7254.0</v>
      </c>
      <c r="AI320" s="134">
        <v>11958.0</v>
      </c>
      <c r="AJ320" s="134">
        <v>5518.0</v>
      </c>
      <c r="AK320" s="134">
        <v>9226.0</v>
      </c>
      <c r="AL320" s="134">
        <v>5614.0</v>
      </c>
      <c r="AM320" s="134">
        <v>10574.0</v>
      </c>
      <c r="AN320" s="134">
        <v>136478.0</v>
      </c>
    </row>
    <row r="321">
      <c r="A321" s="104"/>
      <c r="B321" s="136" t="s">
        <v>201</v>
      </c>
      <c r="C321" s="134">
        <v>7914.0</v>
      </c>
      <c r="D321" s="134">
        <v>3244.0</v>
      </c>
      <c r="E321" s="134">
        <v>4670.0</v>
      </c>
      <c r="F321" s="135">
        <v>0.0</v>
      </c>
      <c r="G321" s="135">
        <v>0.0</v>
      </c>
      <c r="H321" s="135">
        <v>0.0</v>
      </c>
      <c r="I321" s="135">
        <v>0.0</v>
      </c>
      <c r="J321" s="135">
        <v>0.0</v>
      </c>
      <c r="K321" s="135">
        <v>0.0</v>
      </c>
      <c r="L321" s="137">
        <v>76.0</v>
      </c>
      <c r="M321" s="137">
        <v>76.0</v>
      </c>
      <c r="N321" s="137">
        <v>54.0</v>
      </c>
      <c r="O321" s="137">
        <v>106.0</v>
      </c>
      <c r="P321" s="137">
        <v>72.0</v>
      </c>
      <c r="Q321" s="137">
        <v>132.0</v>
      </c>
      <c r="R321" s="137">
        <v>88.0</v>
      </c>
      <c r="S321" s="137">
        <v>204.0</v>
      </c>
      <c r="T321" s="137">
        <v>110.0</v>
      </c>
      <c r="U321" s="137">
        <v>306.0</v>
      </c>
      <c r="V321" s="137">
        <v>154.0</v>
      </c>
      <c r="W321" s="137">
        <v>388.0</v>
      </c>
      <c r="X321" s="137">
        <v>282.0</v>
      </c>
      <c r="Y321" s="137">
        <v>476.0</v>
      </c>
      <c r="Z321" s="137">
        <v>310.0</v>
      </c>
      <c r="AA321" s="137">
        <v>418.0</v>
      </c>
      <c r="AB321" s="137">
        <v>348.0</v>
      </c>
      <c r="AC321" s="137">
        <v>470.0</v>
      </c>
      <c r="AD321" s="137">
        <v>428.0</v>
      </c>
      <c r="AE321" s="137">
        <v>548.0</v>
      </c>
      <c r="AF321" s="137">
        <v>488.0</v>
      </c>
      <c r="AG321" s="137">
        <v>562.0</v>
      </c>
      <c r="AH321" s="137">
        <v>402.0</v>
      </c>
      <c r="AI321" s="137">
        <v>450.0</v>
      </c>
      <c r="AJ321" s="137">
        <v>268.0</v>
      </c>
      <c r="AK321" s="137">
        <v>276.0</v>
      </c>
      <c r="AL321" s="137">
        <v>164.0</v>
      </c>
      <c r="AM321" s="137">
        <v>258.0</v>
      </c>
      <c r="AN321" s="134">
        <v>7844.0</v>
      </c>
    </row>
    <row r="322">
      <c r="A322" s="132" t="s">
        <v>202</v>
      </c>
      <c r="B322" s="136" t="s">
        <v>198</v>
      </c>
      <c r="C322" s="134">
        <v>2512.0</v>
      </c>
      <c r="D322" s="134">
        <v>1300.0</v>
      </c>
      <c r="E322" s="134">
        <v>1212.0</v>
      </c>
      <c r="F322" s="137">
        <v>42.0</v>
      </c>
      <c r="G322" s="137">
        <v>66.0</v>
      </c>
      <c r="H322" s="137">
        <v>26.0</v>
      </c>
      <c r="I322" s="137">
        <v>52.0</v>
      </c>
      <c r="J322" s="137">
        <v>26.0</v>
      </c>
      <c r="K322" s="137">
        <v>44.0</v>
      </c>
      <c r="L322" s="137">
        <v>14.0</v>
      </c>
      <c r="M322" s="137">
        <v>38.0</v>
      </c>
      <c r="N322" s="137">
        <v>92.0</v>
      </c>
      <c r="O322" s="137">
        <v>80.0</v>
      </c>
      <c r="P322" s="137">
        <v>102.0</v>
      </c>
      <c r="Q322" s="137">
        <v>78.0</v>
      </c>
      <c r="R322" s="137">
        <v>156.0</v>
      </c>
      <c r="S322" s="137">
        <v>126.0</v>
      </c>
      <c r="T322" s="137">
        <v>86.0</v>
      </c>
      <c r="U322" s="137">
        <v>90.0</v>
      </c>
      <c r="V322" s="137">
        <v>134.0</v>
      </c>
      <c r="W322" s="137">
        <v>56.0</v>
      </c>
      <c r="X322" s="137">
        <v>74.0</v>
      </c>
      <c r="Y322" s="137">
        <v>62.0</v>
      </c>
      <c r="Z322" s="137">
        <v>168.0</v>
      </c>
      <c r="AA322" s="137">
        <v>64.0</v>
      </c>
      <c r="AB322" s="137">
        <v>96.0</v>
      </c>
      <c r="AC322" s="137">
        <v>78.0</v>
      </c>
      <c r="AD322" s="137">
        <v>80.0</v>
      </c>
      <c r="AE322" s="137">
        <v>100.0</v>
      </c>
      <c r="AF322" s="137">
        <v>84.0</v>
      </c>
      <c r="AG322" s="137">
        <v>84.0</v>
      </c>
      <c r="AH322" s="137">
        <v>50.0</v>
      </c>
      <c r="AI322" s="137">
        <v>52.0</v>
      </c>
      <c r="AJ322" s="137">
        <v>48.0</v>
      </c>
      <c r="AK322" s="137">
        <v>80.0</v>
      </c>
      <c r="AL322" s="137">
        <v>22.0</v>
      </c>
      <c r="AM322" s="137">
        <v>62.0</v>
      </c>
      <c r="AN322" s="134">
        <v>2424.0</v>
      </c>
    </row>
    <row r="323">
      <c r="A323" s="104"/>
      <c r="B323" s="136" t="s">
        <v>199</v>
      </c>
      <c r="C323" s="134">
        <v>1854.0</v>
      </c>
      <c r="D323" s="137">
        <v>920.0</v>
      </c>
      <c r="E323" s="137">
        <v>934.0</v>
      </c>
      <c r="F323" s="137">
        <v>42.0</v>
      </c>
      <c r="G323" s="137">
        <v>72.0</v>
      </c>
      <c r="H323" s="137">
        <v>62.0</v>
      </c>
      <c r="I323" s="137">
        <v>48.0</v>
      </c>
      <c r="J323" s="137">
        <v>14.0</v>
      </c>
      <c r="K323" s="137">
        <v>56.0</v>
      </c>
      <c r="L323" s="137">
        <v>8.0</v>
      </c>
      <c r="M323" s="137">
        <v>34.0</v>
      </c>
      <c r="N323" s="137">
        <v>62.0</v>
      </c>
      <c r="O323" s="137">
        <v>46.0</v>
      </c>
      <c r="P323" s="137">
        <v>126.0</v>
      </c>
      <c r="Q323" s="137">
        <v>96.0</v>
      </c>
      <c r="R323" s="137">
        <v>128.0</v>
      </c>
      <c r="S323" s="137">
        <v>84.0</v>
      </c>
      <c r="T323" s="137">
        <v>108.0</v>
      </c>
      <c r="U323" s="137">
        <v>72.0</v>
      </c>
      <c r="V323" s="137">
        <v>78.0</v>
      </c>
      <c r="W323" s="137">
        <v>34.0</v>
      </c>
      <c r="X323" s="137">
        <v>30.0</v>
      </c>
      <c r="Y323" s="137">
        <v>18.0</v>
      </c>
      <c r="Z323" s="137">
        <v>66.0</v>
      </c>
      <c r="AA323" s="137">
        <v>80.0</v>
      </c>
      <c r="AB323" s="137">
        <v>80.0</v>
      </c>
      <c r="AC323" s="137">
        <v>116.0</v>
      </c>
      <c r="AD323" s="137">
        <v>42.0</v>
      </c>
      <c r="AE323" s="137">
        <v>34.0</v>
      </c>
      <c r="AF323" s="137">
        <v>28.0</v>
      </c>
      <c r="AG323" s="137">
        <v>40.0</v>
      </c>
      <c r="AH323" s="137">
        <v>26.0</v>
      </c>
      <c r="AI323" s="137">
        <v>32.0</v>
      </c>
      <c r="AJ323" s="137">
        <v>16.0</v>
      </c>
      <c r="AK323" s="137">
        <v>34.0</v>
      </c>
      <c r="AL323" s="137">
        <v>4.0</v>
      </c>
      <c r="AM323" s="137">
        <v>38.0</v>
      </c>
      <c r="AN323" s="134">
        <v>1780.0</v>
      </c>
    </row>
    <row r="324">
      <c r="A324" s="132" t="s">
        <v>203</v>
      </c>
      <c r="B324" s="136" t="s">
        <v>198</v>
      </c>
      <c r="C324" s="137">
        <v>378.0</v>
      </c>
      <c r="D324" s="137">
        <v>116.0</v>
      </c>
      <c r="E324" s="137">
        <v>262.0</v>
      </c>
      <c r="F324" s="135">
        <v>0.0</v>
      </c>
      <c r="G324" s="135">
        <v>0.0</v>
      </c>
      <c r="H324" s="135">
        <v>0.0</v>
      </c>
      <c r="I324" s="135">
        <v>0.0</v>
      </c>
      <c r="J324" s="135">
        <v>0.0</v>
      </c>
      <c r="K324" s="135">
        <v>0.0</v>
      </c>
      <c r="L324" s="135">
        <v>0.0</v>
      </c>
      <c r="M324" s="135">
        <v>0.0</v>
      </c>
      <c r="N324" s="135">
        <v>0.0</v>
      </c>
      <c r="O324" s="135">
        <v>0.0</v>
      </c>
      <c r="P324" s="135">
        <v>0.0</v>
      </c>
      <c r="Q324" s="135">
        <v>0.0</v>
      </c>
      <c r="R324" s="135">
        <v>0.0</v>
      </c>
      <c r="S324" s="135">
        <v>0.0</v>
      </c>
      <c r="T324" s="135">
        <v>0.0</v>
      </c>
      <c r="U324" s="135">
        <v>0.0</v>
      </c>
      <c r="V324" s="135">
        <v>0.0</v>
      </c>
      <c r="W324" s="135">
        <v>0.0</v>
      </c>
      <c r="X324" s="135">
        <v>0.0</v>
      </c>
      <c r="Y324" s="135">
        <v>0.0</v>
      </c>
      <c r="Z324" s="135">
        <v>0.0</v>
      </c>
      <c r="AA324" s="135">
        <v>0.0</v>
      </c>
      <c r="AB324" s="135">
        <v>0.0</v>
      </c>
      <c r="AC324" s="135">
        <v>0.0</v>
      </c>
      <c r="AD324" s="135">
        <v>0.0</v>
      </c>
      <c r="AE324" s="135">
        <v>0.0</v>
      </c>
      <c r="AF324" s="137">
        <v>38.0</v>
      </c>
      <c r="AG324" s="137">
        <v>74.0</v>
      </c>
      <c r="AH324" s="137">
        <v>26.0</v>
      </c>
      <c r="AI324" s="137">
        <v>68.0</v>
      </c>
      <c r="AJ324" s="137">
        <v>22.0</v>
      </c>
      <c r="AK324" s="137">
        <v>48.0</v>
      </c>
      <c r="AL324" s="137">
        <v>30.0</v>
      </c>
      <c r="AM324" s="137">
        <v>72.0</v>
      </c>
      <c r="AN324" s="137">
        <v>378.0</v>
      </c>
    </row>
    <row r="325">
      <c r="A325" s="104"/>
      <c r="B325" s="136" t="s">
        <v>199</v>
      </c>
      <c r="C325" s="134">
        <v>3100.0</v>
      </c>
      <c r="D325" s="134">
        <v>1128.0</v>
      </c>
      <c r="E325" s="134">
        <v>1972.0</v>
      </c>
      <c r="F325" s="135">
        <v>0.0</v>
      </c>
      <c r="G325" s="135">
        <v>0.0</v>
      </c>
      <c r="H325" s="135">
        <v>0.0</v>
      </c>
      <c r="I325" s="135">
        <v>0.0</v>
      </c>
      <c r="J325" s="135">
        <v>0.0</v>
      </c>
      <c r="K325" s="135">
        <v>0.0</v>
      </c>
      <c r="L325" s="135">
        <v>0.0</v>
      </c>
      <c r="M325" s="135">
        <v>0.0</v>
      </c>
      <c r="N325" s="135">
        <v>0.0</v>
      </c>
      <c r="O325" s="135">
        <v>0.0</v>
      </c>
      <c r="P325" s="135">
        <v>0.0</v>
      </c>
      <c r="Q325" s="135">
        <v>0.0</v>
      </c>
      <c r="R325" s="135">
        <v>0.0</v>
      </c>
      <c r="S325" s="135">
        <v>0.0</v>
      </c>
      <c r="T325" s="135">
        <v>0.0</v>
      </c>
      <c r="U325" s="135">
        <v>0.0</v>
      </c>
      <c r="V325" s="135">
        <v>0.0</v>
      </c>
      <c r="W325" s="135">
        <v>0.0</v>
      </c>
      <c r="X325" s="135">
        <v>0.0</v>
      </c>
      <c r="Y325" s="135">
        <v>0.0</v>
      </c>
      <c r="Z325" s="135">
        <v>0.0</v>
      </c>
      <c r="AA325" s="135">
        <v>0.0</v>
      </c>
      <c r="AB325" s="135">
        <v>0.0</v>
      </c>
      <c r="AC325" s="135">
        <v>0.0</v>
      </c>
      <c r="AD325" s="135">
        <v>0.0</v>
      </c>
      <c r="AE325" s="135">
        <v>0.0</v>
      </c>
      <c r="AF325" s="137">
        <v>298.0</v>
      </c>
      <c r="AG325" s="137">
        <v>574.0</v>
      </c>
      <c r="AH325" s="137">
        <v>306.0</v>
      </c>
      <c r="AI325" s="137">
        <v>530.0</v>
      </c>
      <c r="AJ325" s="137">
        <v>270.0</v>
      </c>
      <c r="AK325" s="137">
        <v>472.0</v>
      </c>
      <c r="AL325" s="137">
        <v>254.0</v>
      </c>
      <c r="AM325" s="137">
        <v>396.0</v>
      </c>
      <c r="AN325" s="134">
        <v>3024.0</v>
      </c>
    </row>
    <row r="326">
      <c r="A326" s="132" t="s">
        <v>204</v>
      </c>
      <c r="B326" s="136" t="s">
        <v>198</v>
      </c>
      <c r="C326" s="137">
        <v>264.0</v>
      </c>
      <c r="D326" s="137">
        <v>74.0</v>
      </c>
      <c r="E326" s="137">
        <v>190.0</v>
      </c>
      <c r="F326" s="135">
        <v>0.0</v>
      </c>
      <c r="G326" s="135">
        <v>0.0</v>
      </c>
      <c r="H326" s="135">
        <v>0.0</v>
      </c>
      <c r="I326" s="135">
        <v>0.0</v>
      </c>
      <c r="J326" s="135">
        <v>0.0</v>
      </c>
      <c r="K326" s="135">
        <v>0.0</v>
      </c>
      <c r="L326" s="135">
        <v>0.0</v>
      </c>
      <c r="M326" s="135">
        <v>0.0</v>
      </c>
      <c r="N326" s="135">
        <v>0.0</v>
      </c>
      <c r="O326" s="135">
        <v>0.0</v>
      </c>
      <c r="P326" s="135">
        <v>0.0</v>
      </c>
      <c r="Q326" s="135">
        <v>0.0</v>
      </c>
      <c r="R326" s="135">
        <v>0.0</v>
      </c>
      <c r="S326" s="135">
        <v>0.0</v>
      </c>
      <c r="T326" s="135">
        <v>0.0</v>
      </c>
      <c r="U326" s="135">
        <v>0.0</v>
      </c>
      <c r="V326" s="135">
        <v>0.0</v>
      </c>
      <c r="W326" s="135">
        <v>0.0</v>
      </c>
      <c r="X326" s="135">
        <v>0.0</v>
      </c>
      <c r="Y326" s="135">
        <v>0.0</v>
      </c>
      <c r="Z326" s="135">
        <v>0.0</v>
      </c>
      <c r="AA326" s="135">
        <v>0.0</v>
      </c>
      <c r="AB326" s="135">
        <v>0.0</v>
      </c>
      <c r="AC326" s="135">
        <v>0.0</v>
      </c>
      <c r="AD326" s="135">
        <v>0.0</v>
      </c>
      <c r="AE326" s="135">
        <v>0.0</v>
      </c>
      <c r="AF326" s="137">
        <v>10.0</v>
      </c>
      <c r="AG326" s="137">
        <v>28.0</v>
      </c>
      <c r="AH326" s="137">
        <v>14.0</v>
      </c>
      <c r="AI326" s="137">
        <v>16.0</v>
      </c>
      <c r="AJ326" s="137">
        <v>4.0</v>
      </c>
      <c r="AK326" s="137">
        <v>14.0</v>
      </c>
      <c r="AL326" s="137">
        <v>46.0</v>
      </c>
      <c r="AM326" s="137">
        <v>132.0</v>
      </c>
      <c r="AN326" s="137">
        <v>264.0</v>
      </c>
    </row>
    <row r="327">
      <c r="A327" s="104"/>
      <c r="B327" s="136" t="s">
        <v>199</v>
      </c>
      <c r="C327" s="134">
        <v>1448.0</v>
      </c>
      <c r="D327" s="137">
        <v>476.0</v>
      </c>
      <c r="E327" s="137">
        <v>972.0</v>
      </c>
      <c r="F327" s="135">
        <v>0.0</v>
      </c>
      <c r="G327" s="135">
        <v>0.0</v>
      </c>
      <c r="H327" s="135">
        <v>0.0</v>
      </c>
      <c r="I327" s="135">
        <v>0.0</v>
      </c>
      <c r="J327" s="135">
        <v>0.0</v>
      </c>
      <c r="K327" s="135">
        <v>0.0</v>
      </c>
      <c r="L327" s="135">
        <v>0.0</v>
      </c>
      <c r="M327" s="135">
        <v>0.0</v>
      </c>
      <c r="N327" s="135">
        <v>0.0</v>
      </c>
      <c r="O327" s="135">
        <v>0.0</v>
      </c>
      <c r="P327" s="135">
        <v>0.0</v>
      </c>
      <c r="Q327" s="135">
        <v>0.0</v>
      </c>
      <c r="R327" s="135">
        <v>0.0</v>
      </c>
      <c r="S327" s="135">
        <v>0.0</v>
      </c>
      <c r="T327" s="135">
        <v>0.0</v>
      </c>
      <c r="U327" s="135">
        <v>0.0</v>
      </c>
      <c r="V327" s="135">
        <v>0.0</v>
      </c>
      <c r="W327" s="135">
        <v>0.0</v>
      </c>
      <c r="X327" s="135">
        <v>0.0</v>
      </c>
      <c r="Y327" s="135">
        <v>0.0</v>
      </c>
      <c r="Z327" s="135">
        <v>0.0</v>
      </c>
      <c r="AA327" s="135">
        <v>0.0</v>
      </c>
      <c r="AB327" s="135">
        <v>0.0</v>
      </c>
      <c r="AC327" s="135">
        <v>0.0</v>
      </c>
      <c r="AD327" s="135">
        <v>0.0</v>
      </c>
      <c r="AE327" s="135">
        <v>0.0</v>
      </c>
      <c r="AF327" s="137">
        <v>50.0</v>
      </c>
      <c r="AG327" s="137">
        <v>94.0</v>
      </c>
      <c r="AH327" s="137">
        <v>86.0</v>
      </c>
      <c r="AI327" s="137">
        <v>152.0</v>
      </c>
      <c r="AJ327" s="137">
        <v>120.0</v>
      </c>
      <c r="AK327" s="137">
        <v>220.0</v>
      </c>
      <c r="AL327" s="137">
        <v>220.0</v>
      </c>
      <c r="AM327" s="137">
        <v>506.0</v>
      </c>
      <c r="AN327" s="134">
        <v>1418.0</v>
      </c>
    </row>
    <row r="328">
      <c r="A328" s="132" t="s">
        <v>205</v>
      </c>
      <c r="B328" s="136" t="s">
        <v>198</v>
      </c>
      <c r="C328" s="137">
        <v>54.0</v>
      </c>
      <c r="D328" s="137">
        <v>22.0</v>
      </c>
      <c r="E328" s="137">
        <v>32.0</v>
      </c>
      <c r="F328" s="137">
        <v>0.0</v>
      </c>
      <c r="G328" s="137">
        <v>4.0</v>
      </c>
      <c r="H328" s="137">
        <v>0.0</v>
      </c>
      <c r="I328" s="137">
        <v>0.0</v>
      </c>
      <c r="J328" s="137">
        <v>0.0</v>
      </c>
      <c r="K328" s="137">
        <v>0.0</v>
      </c>
      <c r="L328" s="137">
        <v>2.0</v>
      </c>
      <c r="M328" s="137">
        <v>2.0</v>
      </c>
      <c r="N328" s="137">
        <v>2.0</v>
      </c>
      <c r="O328" s="137">
        <v>0.0</v>
      </c>
      <c r="P328" s="137">
        <v>6.0</v>
      </c>
      <c r="Q328" s="137">
        <v>0.0</v>
      </c>
      <c r="R328" s="137">
        <v>2.0</v>
      </c>
      <c r="S328" s="137">
        <v>0.0</v>
      </c>
      <c r="T328" s="137">
        <v>0.0</v>
      </c>
      <c r="U328" s="137">
        <v>6.0</v>
      </c>
      <c r="V328" s="137">
        <v>0.0</v>
      </c>
      <c r="W328" s="137">
        <v>2.0</v>
      </c>
      <c r="X328" s="137">
        <v>0.0</v>
      </c>
      <c r="Y328" s="137">
        <v>0.0</v>
      </c>
      <c r="Z328" s="137">
        <v>2.0</v>
      </c>
      <c r="AA328" s="137">
        <v>2.0</v>
      </c>
      <c r="AB328" s="137">
        <v>2.0</v>
      </c>
      <c r="AC328" s="137">
        <v>2.0</v>
      </c>
      <c r="AD328" s="137">
        <v>0.0</v>
      </c>
      <c r="AE328" s="137">
        <v>0.0</v>
      </c>
      <c r="AF328" s="137">
        <v>0.0</v>
      </c>
      <c r="AG328" s="137">
        <v>2.0</v>
      </c>
      <c r="AH328" s="137">
        <v>2.0</v>
      </c>
      <c r="AI328" s="137">
        <v>0.0</v>
      </c>
      <c r="AJ328" s="137">
        <v>4.0</v>
      </c>
      <c r="AK328" s="137">
        <v>0.0</v>
      </c>
      <c r="AL328" s="137">
        <v>0.0</v>
      </c>
      <c r="AM328" s="137">
        <v>12.0</v>
      </c>
      <c r="AN328" s="137">
        <v>54.0</v>
      </c>
    </row>
    <row r="329">
      <c r="A329" s="98"/>
      <c r="B329" s="136" t="s">
        <v>199</v>
      </c>
      <c r="C329" s="137">
        <v>32.0</v>
      </c>
      <c r="D329" s="137">
        <v>10.0</v>
      </c>
      <c r="E329" s="137">
        <v>22.0</v>
      </c>
      <c r="F329" s="137">
        <v>4.0</v>
      </c>
      <c r="G329" s="137">
        <v>0.0</v>
      </c>
      <c r="H329" s="137">
        <v>0.0</v>
      </c>
      <c r="I329" s="137">
        <v>2.0</v>
      </c>
      <c r="J329" s="137">
        <v>4.0</v>
      </c>
      <c r="K329" s="137">
        <v>2.0</v>
      </c>
      <c r="L329" s="137">
        <v>0.0</v>
      </c>
      <c r="M329" s="137">
        <v>0.0</v>
      </c>
      <c r="N329" s="137">
        <v>0.0</v>
      </c>
      <c r="O329" s="137">
        <v>0.0</v>
      </c>
      <c r="P329" s="137">
        <v>2.0</v>
      </c>
      <c r="Q329" s="137">
        <v>4.0</v>
      </c>
      <c r="R329" s="137">
        <v>0.0</v>
      </c>
      <c r="S329" s="137">
        <v>0.0</v>
      </c>
      <c r="T329" s="137">
        <v>0.0</v>
      </c>
      <c r="U329" s="137">
        <v>0.0</v>
      </c>
      <c r="V329" s="137">
        <v>0.0</v>
      </c>
      <c r="W329" s="137">
        <v>2.0</v>
      </c>
      <c r="X329" s="137">
        <v>0.0</v>
      </c>
      <c r="Y329" s="137">
        <v>2.0</v>
      </c>
      <c r="Z329" s="137">
        <v>0.0</v>
      </c>
      <c r="AA329" s="137">
        <v>4.0</v>
      </c>
      <c r="AB329" s="137">
        <v>0.0</v>
      </c>
      <c r="AC329" s="137">
        <v>2.0</v>
      </c>
      <c r="AD329" s="137">
        <v>0.0</v>
      </c>
      <c r="AE329" s="137">
        <v>0.0</v>
      </c>
      <c r="AF329" s="137">
        <v>0.0</v>
      </c>
      <c r="AG329" s="137">
        <v>2.0</v>
      </c>
      <c r="AH329" s="137">
        <v>0.0</v>
      </c>
      <c r="AI329" s="137">
        <v>0.0</v>
      </c>
      <c r="AJ329" s="137">
        <v>0.0</v>
      </c>
      <c r="AK329" s="137">
        <v>0.0</v>
      </c>
      <c r="AL329" s="137">
        <v>0.0</v>
      </c>
      <c r="AM329" s="137">
        <v>2.0</v>
      </c>
      <c r="AN329" s="137">
        <v>32.0</v>
      </c>
    </row>
    <row r="330">
      <c r="A330" s="104"/>
      <c r="B330" s="136" t="s">
        <v>206</v>
      </c>
      <c r="C330" s="134">
        <v>1200.0</v>
      </c>
      <c r="D330" s="137">
        <v>474.0</v>
      </c>
      <c r="E330" s="137">
        <v>726.0</v>
      </c>
      <c r="F330" s="137">
        <v>0.0</v>
      </c>
      <c r="G330" s="137">
        <v>0.0</v>
      </c>
      <c r="H330" s="137">
        <v>0.0</v>
      </c>
      <c r="I330" s="137">
        <v>0.0</v>
      </c>
      <c r="J330" s="137">
        <v>2.0</v>
      </c>
      <c r="K330" s="137">
        <v>12.0</v>
      </c>
      <c r="L330" s="137">
        <v>58.0</v>
      </c>
      <c r="M330" s="137">
        <v>106.0</v>
      </c>
      <c r="N330" s="137">
        <v>108.0</v>
      </c>
      <c r="O330" s="137">
        <v>100.0</v>
      </c>
      <c r="P330" s="137">
        <v>84.0</v>
      </c>
      <c r="Q330" s="137">
        <v>128.0</v>
      </c>
      <c r="R330" s="137">
        <v>46.0</v>
      </c>
      <c r="S330" s="137">
        <v>78.0</v>
      </c>
      <c r="T330" s="137">
        <v>16.0</v>
      </c>
      <c r="U330" s="137">
        <v>88.0</v>
      </c>
      <c r="V330" s="137">
        <v>44.0</v>
      </c>
      <c r="W330" s="137">
        <v>54.0</v>
      </c>
      <c r="X330" s="137">
        <v>32.0</v>
      </c>
      <c r="Y330" s="137">
        <v>60.0</v>
      </c>
      <c r="Z330" s="137">
        <v>28.0</v>
      </c>
      <c r="AA330" s="137">
        <v>42.0</v>
      </c>
      <c r="AB330" s="137">
        <v>6.0</v>
      </c>
      <c r="AC330" s="137">
        <v>16.0</v>
      </c>
      <c r="AD330" s="137">
        <v>16.0</v>
      </c>
      <c r="AE330" s="137">
        <v>16.0</v>
      </c>
      <c r="AF330" s="137">
        <v>20.0</v>
      </c>
      <c r="AG330" s="137">
        <v>10.0</v>
      </c>
      <c r="AH330" s="137">
        <v>8.0</v>
      </c>
      <c r="AI330" s="137">
        <v>4.0</v>
      </c>
      <c r="AJ330" s="137">
        <v>4.0</v>
      </c>
      <c r="AK330" s="137">
        <v>4.0</v>
      </c>
      <c r="AL330" s="137">
        <v>2.0</v>
      </c>
      <c r="AM330" s="137">
        <v>8.0</v>
      </c>
      <c r="AN330" s="134">
        <v>1194.0</v>
      </c>
    </row>
    <row r="331">
      <c r="A331" s="132" t="s">
        <v>207</v>
      </c>
      <c r="B331" s="136" t="s">
        <v>198</v>
      </c>
      <c r="C331" s="134">
        <v>108140.0</v>
      </c>
      <c r="D331" s="134">
        <v>26352.0</v>
      </c>
      <c r="E331" s="134">
        <v>81788.0</v>
      </c>
      <c r="F331" s="134">
        <v>1560.0</v>
      </c>
      <c r="G331" s="134">
        <v>1200.0</v>
      </c>
      <c r="H331" s="134">
        <v>1366.0</v>
      </c>
      <c r="I331" s="134">
        <v>1052.0</v>
      </c>
      <c r="J331" s="134">
        <v>1226.0</v>
      </c>
      <c r="K331" s="137">
        <v>802.0</v>
      </c>
      <c r="L331" s="137">
        <v>726.0</v>
      </c>
      <c r="M331" s="134">
        <v>1108.0</v>
      </c>
      <c r="N331" s="137">
        <v>514.0</v>
      </c>
      <c r="O331" s="134">
        <v>1512.0</v>
      </c>
      <c r="P331" s="137">
        <v>554.0</v>
      </c>
      <c r="Q331" s="134">
        <v>1914.0</v>
      </c>
      <c r="R331" s="137">
        <v>570.0</v>
      </c>
      <c r="S331" s="134">
        <v>2196.0</v>
      </c>
      <c r="T331" s="137">
        <v>652.0</v>
      </c>
      <c r="U331" s="134">
        <v>2700.0</v>
      </c>
      <c r="V331" s="137">
        <v>670.0</v>
      </c>
      <c r="W331" s="134">
        <v>3214.0</v>
      </c>
      <c r="X331" s="137">
        <v>890.0</v>
      </c>
      <c r="Y331" s="134">
        <v>4416.0</v>
      </c>
      <c r="Z331" s="134">
        <v>1262.0</v>
      </c>
      <c r="AA331" s="134">
        <v>6404.0</v>
      </c>
      <c r="AB331" s="134">
        <v>2228.0</v>
      </c>
      <c r="AC331" s="134">
        <v>9528.0</v>
      </c>
      <c r="AD331" s="134">
        <v>2446.0</v>
      </c>
      <c r="AE331" s="134">
        <v>10188.0</v>
      </c>
      <c r="AF331" s="134">
        <v>2930.0</v>
      </c>
      <c r="AG331" s="134">
        <v>9786.0</v>
      </c>
      <c r="AH331" s="134">
        <v>3142.0</v>
      </c>
      <c r="AI331" s="134">
        <v>9638.0</v>
      </c>
      <c r="AJ331" s="134">
        <v>2518.0</v>
      </c>
      <c r="AK331" s="134">
        <v>7338.0</v>
      </c>
      <c r="AL331" s="134">
        <v>3098.0</v>
      </c>
      <c r="AM331" s="134">
        <v>8792.0</v>
      </c>
      <c r="AN331" s="134">
        <v>107452.0</v>
      </c>
    </row>
    <row r="332">
      <c r="A332" s="98"/>
      <c r="B332" s="136" t="s">
        <v>199</v>
      </c>
      <c r="C332" s="134">
        <v>10330.0</v>
      </c>
      <c r="D332" s="134">
        <v>4066.0</v>
      </c>
      <c r="E332" s="134">
        <v>6264.0</v>
      </c>
      <c r="F332" s="137">
        <v>316.0</v>
      </c>
      <c r="G332" s="137">
        <v>298.0</v>
      </c>
      <c r="H332" s="137">
        <v>346.0</v>
      </c>
      <c r="I332" s="137">
        <v>312.0</v>
      </c>
      <c r="J332" s="137">
        <v>120.0</v>
      </c>
      <c r="K332" s="137">
        <v>144.0</v>
      </c>
      <c r="L332" s="137">
        <v>62.0</v>
      </c>
      <c r="M332" s="137">
        <v>66.0</v>
      </c>
      <c r="N332" s="137">
        <v>66.0</v>
      </c>
      <c r="O332" s="137">
        <v>118.0</v>
      </c>
      <c r="P332" s="137">
        <v>110.0</v>
      </c>
      <c r="Q332" s="137">
        <v>160.0</v>
      </c>
      <c r="R332" s="137">
        <v>88.0</v>
      </c>
      <c r="S332" s="137">
        <v>140.0</v>
      </c>
      <c r="T332" s="137">
        <v>112.0</v>
      </c>
      <c r="U332" s="137">
        <v>106.0</v>
      </c>
      <c r="V332" s="137">
        <v>138.0</v>
      </c>
      <c r="W332" s="137">
        <v>242.0</v>
      </c>
      <c r="X332" s="137">
        <v>138.0</v>
      </c>
      <c r="Y332" s="137">
        <v>302.0</v>
      </c>
      <c r="Z332" s="137">
        <v>240.0</v>
      </c>
      <c r="AA332" s="137">
        <v>378.0</v>
      </c>
      <c r="AB332" s="137">
        <v>246.0</v>
      </c>
      <c r="AC332" s="137">
        <v>372.0</v>
      </c>
      <c r="AD332" s="137">
        <v>280.0</v>
      </c>
      <c r="AE332" s="137">
        <v>570.0</v>
      </c>
      <c r="AF332" s="137">
        <v>504.0</v>
      </c>
      <c r="AG332" s="137">
        <v>760.0</v>
      </c>
      <c r="AH332" s="137">
        <v>530.0</v>
      </c>
      <c r="AI332" s="137">
        <v>462.0</v>
      </c>
      <c r="AJ332" s="137">
        <v>404.0</v>
      </c>
      <c r="AK332" s="137">
        <v>524.0</v>
      </c>
      <c r="AL332" s="137">
        <v>366.0</v>
      </c>
      <c r="AM332" s="134">
        <v>1310.0</v>
      </c>
      <c r="AN332" s="134">
        <v>10272.0</v>
      </c>
    </row>
    <row r="333">
      <c r="A333" s="98"/>
      <c r="B333" s="136" t="s">
        <v>206</v>
      </c>
      <c r="C333" s="137">
        <v>542.0</v>
      </c>
      <c r="D333" s="137">
        <v>100.0</v>
      </c>
      <c r="E333" s="137">
        <v>442.0</v>
      </c>
      <c r="F333" s="137">
        <v>18.0</v>
      </c>
      <c r="G333" s="137">
        <v>28.0</v>
      </c>
      <c r="H333" s="137">
        <v>4.0</v>
      </c>
      <c r="I333" s="137">
        <v>16.0</v>
      </c>
      <c r="J333" s="137">
        <v>6.0</v>
      </c>
      <c r="K333" s="137">
        <v>2.0</v>
      </c>
      <c r="L333" s="137">
        <v>14.0</v>
      </c>
      <c r="M333" s="137">
        <v>36.0</v>
      </c>
      <c r="N333" s="137">
        <v>4.0</v>
      </c>
      <c r="O333" s="137">
        <v>68.0</v>
      </c>
      <c r="P333" s="137">
        <v>10.0</v>
      </c>
      <c r="Q333" s="137">
        <v>66.0</v>
      </c>
      <c r="R333" s="137">
        <v>12.0</v>
      </c>
      <c r="S333" s="137">
        <v>52.0</v>
      </c>
      <c r="T333" s="137">
        <v>10.0</v>
      </c>
      <c r="U333" s="137">
        <v>32.0</v>
      </c>
      <c r="V333" s="137">
        <v>4.0</v>
      </c>
      <c r="W333" s="137">
        <v>22.0</v>
      </c>
      <c r="X333" s="137">
        <v>4.0</v>
      </c>
      <c r="Y333" s="137">
        <v>46.0</v>
      </c>
      <c r="Z333" s="137">
        <v>4.0</v>
      </c>
      <c r="AA333" s="137">
        <v>24.0</v>
      </c>
      <c r="AB333" s="137">
        <v>4.0</v>
      </c>
      <c r="AC333" s="137">
        <v>20.0</v>
      </c>
      <c r="AD333" s="137">
        <v>4.0</v>
      </c>
      <c r="AE333" s="137">
        <v>16.0</v>
      </c>
      <c r="AF333" s="137">
        <v>0.0</v>
      </c>
      <c r="AG333" s="137">
        <v>8.0</v>
      </c>
      <c r="AH333" s="137">
        <v>2.0</v>
      </c>
      <c r="AI333" s="137">
        <v>2.0</v>
      </c>
      <c r="AJ333" s="137">
        <v>0.0</v>
      </c>
      <c r="AK333" s="137">
        <v>2.0</v>
      </c>
      <c r="AL333" s="137">
        <v>0.0</v>
      </c>
      <c r="AM333" s="137">
        <v>2.0</v>
      </c>
      <c r="AN333" s="137">
        <v>542.0</v>
      </c>
    </row>
    <row r="334">
      <c r="A334" s="98"/>
      <c r="B334" s="136" t="s">
        <v>200</v>
      </c>
      <c r="C334" s="134">
        <v>12670.0</v>
      </c>
      <c r="D334" s="134">
        <v>4742.0</v>
      </c>
      <c r="E334" s="134">
        <v>7928.0</v>
      </c>
      <c r="F334" s="134">
        <v>2222.0</v>
      </c>
      <c r="G334" s="134">
        <v>2160.0</v>
      </c>
      <c r="H334" s="137">
        <v>392.0</v>
      </c>
      <c r="I334" s="137">
        <v>420.0</v>
      </c>
      <c r="J334" s="137">
        <v>416.0</v>
      </c>
      <c r="K334" s="137">
        <v>450.0</v>
      </c>
      <c r="L334" s="137">
        <v>254.0</v>
      </c>
      <c r="M334" s="137">
        <v>868.0</v>
      </c>
      <c r="N334" s="137">
        <v>52.0</v>
      </c>
      <c r="O334" s="137">
        <v>420.0</v>
      </c>
      <c r="P334" s="137">
        <v>64.0</v>
      </c>
      <c r="Q334" s="137">
        <v>430.0</v>
      </c>
      <c r="R334" s="137">
        <v>62.0</v>
      </c>
      <c r="S334" s="137">
        <v>388.0</v>
      </c>
      <c r="T334" s="137">
        <v>58.0</v>
      </c>
      <c r="U334" s="137">
        <v>288.0</v>
      </c>
      <c r="V334" s="137">
        <v>58.0</v>
      </c>
      <c r="W334" s="137">
        <v>256.0</v>
      </c>
      <c r="X334" s="137">
        <v>62.0</v>
      </c>
      <c r="Y334" s="137">
        <v>274.0</v>
      </c>
      <c r="Z334" s="137">
        <v>84.0</v>
      </c>
      <c r="AA334" s="137">
        <v>214.0</v>
      </c>
      <c r="AB334" s="137">
        <v>92.0</v>
      </c>
      <c r="AC334" s="137">
        <v>296.0</v>
      </c>
      <c r="AD334" s="137">
        <v>86.0</v>
      </c>
      <c r="AE334" s="137">
        <v>202.0</v>
      </c>
      <c r="AF334" s="137">
        <v>202.0</v>
      </c>
      <c r="AG334" s="137">
        <v>408.0</v>
      </c>
      <c r="AH334" s="137">
        <v>266.0</v>
      </c>
      <c r="AI334" s="137">
        <v>322.0</v>
      </c>
      <c r="AJ334" s="137">
        <v>194.0</v>
      </c>
      <c r="AK334" s="137">
        <v>244.0</v>
      </c>
      <c r="AL334" s="137">
        <v>178.0</v>
      </c>
      <c r="AM334" s="137">
        <v>288.0</v>
      </c>
      <c r="AN334" s="134">
        <v>12470.0</v>
      </c>
    </row>
    <row r="335">
      <c r="A335" s="104"/>
      <c r="B335" s="136" t="s">
        <v>201</v>
      </c>
      <c r="C335" s="134">
        <v>4860.0</v>
      </c>
      <c r="D335" s="134">
        <v>1986.0</v>
      </c>
      <c r="E335" s="134">
        <v>2874.0</v>
      </c>
      <c r="F335" s="137">
        <v>58.0</v>
      </c>
      <c r="G335" s="137">
        <v>52.0</v>
      </c>
      <c r="H335" s="137">
        <v>46.0</v>
      </c>
      <c r="I335" s="137">
        <v>34.0</v>
      </c>
      <c r="J335" s="137">
        <v>58.0</v>
      </c>
      <c r="K335" s="137">
        <v>54.0</v>
      </c>
      <c r="L335" s="137">
        <v>16.0</v>
      </c>
      <c r="M335" s="137">
        <v>8.0</v>
      </c>
      <c r="N335" s="137">
        <v>202.0</v>
      </c>
      <c r="O335" s="137">
        <v>212.0</v>
      </c>
      <c r="P335" s="137">
        <v>266.0</v>
      </c>
      <c r="Q335" s="137">
        <v>272.0</v>
      </c>
      <c r="R335" s="137">
        <v>186.0</v>
      </c>
      <c r="S335" s="137">
        <v>334.0</v>
      </c>
      <c r="T335" s="137">
        <v>196.0</v>
      </c>
      <c r="U335" s="137">
        <v>300.0</v>
      </c>
      <c r="V335" s="137">
        <v>154.0</v>
      </c>
      <c r="W335" s="137">
        <v>286.0</v>
      </c>
      <c r="X335" s="137">
        <v>170.0</v>
      </c>
      <c r="Y335" s="137">
        <v>290.0</v>
      </c>
      <c r="Z335" s="137">
        <v>152.0</v>
      </c>
      <c r="AA335" s="137">
        <v>324.0</v>
      </c>
      <c r="AB335" s="137">
        <v>180.0</v>
      </c>
      <c r="AC335" s="137">
        <v>240.0</v>
      </c>
      <c r="AD335" s="137">
        <v>102.0</v>
      </c>
      <c r="AE335" s="137">
        <v>174.0</v>
      </c>
      <c r="AF335" s="137">
        <v>68.0</v>
      </c>
      <c r="AG335" s="137">
        <v>132.0</v>
      </c>
      <c r="AH335" s="137">
        <v>74.0</v>
      </c>
      <c r="AI335" s="137">
        <v>56.0</v>
      </c>
      <c r="AJ335" s="137">
        <v>34.0</v>
      </c>
      <c r="AK335" s="137">
        <v>62.0</v>
      </c>
      <c r="AL335" s="137">
        <v>24.0</v>
      </c>
      <c r="AM335" s="137">
        <v>44.0</v>
      </c>
      <c r="AN335" s="134">
        <v>4774.0</v>
      </c>
    </row>
    <row r="336">
      <c r="A336" s="132" t="s">
        <v>208</v>
      </c>
      <c r="B336" s="136" t="s">
        <v>198</v>
      </c>
      <c r="C336" s="137">
        <v>224.0</v>
      </c>
      <c r="D336" s="137">
        <v>108.0</v>
      </c>
      <c r="E336" s="137">
        <v>116.0</v>
      </c>
      <c r="F336" s="137">
        <v>66.0</v>
      </c>
      <c r="G336" s="137">
        <v>80.0</v>
      </c>
      <c r="H336" s="137">
        <v>26.0</v>
      </c>
      <c r="I336" s="137">
        <v>24.0</v>
      </c>
      <c r="J336" s="137">
        <v>10.0</v>
      </c>
      <c r="K336" s="137">
        <v>10.0</v>
      </c>
      <c r="L336" s="137">
        <v>4.0</v>
      </c>
      <c r="M336" s="137">
        <v>2.0</v>
      </c>
      <c r="N336" s="137">
        <v>2.0</v>
      </c>
      <c r="O336" s="137">
        <v>0.0</v>
      </c>
      <c r="P336" s="135">
        <v>0.0</v>
      </c>
      <c r="Q336" s="135">
        <v>0.0</v>
      </c>
      <c r="R336" s="135">
        <v>0.0</v>
      </c>
      <c r="S336" s="135">
        <v>0.0</v>
      </c>
      <c r="T336" s="135">
        <v>0.0</v>
      </c>
      <c r="U336" s="135">
        <v>0.0</v>
      </c>
      <c r="V336" s="135">
        <v>0.0</v>
      </c>
      <c r="W336" s="135">
        <v>0.0</v>
      </c>
      <c r="X336" s="135">
        <v>0.0</v>
      </c>
      <c r="Y336" s="135">
        <v>0.0</v>
      </c>
      <c r="Z336" s="135">
        <v>0.0</v>
      </c>
      <c r="AA336" s="135">
        <v>0.0</v>
      </c>
      <c r="AB336" s="135">
        <v>0.0</v>
      </c>
      <c r="AC336" s="135">
        <v>0.0</v>
      </c>
      <c r="AD336" s="135">
        <v>0.0</v>
      </c>
      <c r="AE336" s="135">
        <v>0.0</v>
      </c>
      <c r="AF336" s="135">
        <v>0.0</v>
      </c>
      <c r="AG336" s="135">
        <v>0.0</v>
      </c>
      <c r="AH336" s="135">
        <v>0.0</v>
      </c>
      <c r="AI336" s="135">
        <v>0.0</v>
      </c>
      <c r="AJ336" s="135">
        <v>0.0</v>
      </c>
      <c r="AK336" s="135">
        <v>0.0</v>
      </c>
      <c r="AL336" s="135">
        <v>0.0</v>
      </c>
      <c r="AM336" s="135">
        <v>0.0</v>
      </c>
      <c r="AN336" s="137">
        <v>180.0</v>
      </c>
    </row>
    <row r="337">
      <c r="A337" s="98"/>
      <c r="B337" s="136" t="s">
        <v>199</v>
      </c>
      <c r="C337" s="137">
        <v>78.0</v>
      </c>
      <c r="D337" s="137">
        <v>44.0</v>
      </c>
      <c r="E337" s="137">
        <v>34.0</v>
      </c>
      <c r="F337" s="137">
        <v>36.0</v>
      </c>
      <c r="G337" s="137">
        <v>26.0</v>
      </c>
      <c r="H337" s="137">
        <v>8.0</v>
      </c>
      <c r="I337" s="137">
        <v>6.0</v>
      </c>
      <c r="J337" s="137">
        <v>0.0</v>
      </c>
      <c r="K337" s="137">
        <v>2.0</v>
      </c>
      <c r="L337" s="137">
        <v>0.0</v>
      </c>
      <c r="M337" s="137">
        <v>0.0</v>
      </c>
      <c r="N337" s="137">
        <v>0.0</v>
      </c>
      <c r="O337" s="137">
        <v>0.0</v>
      </c>
      <c r="P337" s="135">
        <v>0.0</v>
      </c>
      <c r="Q337" s="135">
        <v>0.0</v>
      </c>
      <c r="R337" s="135">
        <v>0.0</v>
      </c>
      <c r="S337" s="135">
        <v>0.0</v>
      </c>
      <c r="T337" s="135">
        <v>0.0</v>
      </c>
      <c r="U337" s="135">
        <v>0.0</v>
      </c>
      <c r="V337" s="135">
        <v>0.0</v>
      </c>
      <c r="W337" s="135">
        <v>0.0</v>
      </c>
      <c r="X337" s="135">
        <v>0.0</v>
      </c>
      <c r="Y337" s="135">
        <v>0.0</v>
      </c>
      <c r="Z337" s="135">
        <v>0.0</v>
      </c>
      <c r="AA337" s="135">
        <v>0.0</v>
      </c>
      <c r="AB337" s="135">
        <v>0.0</v>
      </c>
      <c r="AC337" s="135">
        <v>0.0</v>
      </c>
      <c r="AD337" s="135">
        <v>0.0</v>
      </c>
      <c r="AE337" s="135">
        <v>0.0</v>
      </c>
      <c r="AF337" s="135">
        <v>0.0</v>
      </c>
      <c r="AG337" s="135">
        <v>0.0</v>
      </c>
      <c r="AH337" s="135">
        <v>0.0</v>
      </c>
      <c r="AI337" s="135">
        <v>0.0</v>
      </c>
      <c r="AJ337" s="135">
        <v>0.0</v>
      </c>
      <c r="AK337" s="135">
        <v>0.0</v>
      </c>
      <c r="AL337" s="135">
        <v>0.0</v>
      </c>
      <c r="AM337" s="135">
        <v>0.0</v>
      </c>
      <c r="AN337" s="137">
        <v>74.0</v>
      </c>
    </row>
    <row r="338">
      <c r="A338" s="98"/>
      <c r="B338" s="136" t="s">
        <v>206</v>
      </c>
      <c r="C338" s="137">
        <v>12.0</v>
      </c>
      <c r="D338" s="137">
        <v>6.0</v>
      </c>
      <c r="E338" s="137">
        <v>6.0</v>
      </c>
      <c r="F338" s="137">
        <v>4.0</v>
      </c>
      <c r="G338" s="137">
        <v>4.0</v>
      </c>
      <c r="H338" s="137">
        <v>0.0</v>
      </c>
      <c r="I338" s="137">
        <v>0.0</v>
      </c>
      <c r="J338" s="137">
        <v>2.0</v>
      </c>
      <c r="K338" s="137">
        <v>2.0</v>
      </c>
      <c r="L338" s="137">
        <v>0.0</v>
      </c>
      <c r="M338" s="137">
        <v>0.0</v>
      </c>
      <c r="N338" s="137">
        <v>0.0</v>
      </c>
      <c r="O338" s="137">
        <v>0.0</v>
      </c>
      <c r="P338" s="135">
        <v>0.0</v>
      </c>
      <c r="Q338" s="135">
        <v>0.0</v>
      </c>
      <c r="R338" s="135">
        <v>0.0</v>
      </c>
      <c r="S338" s="135">
        <v>0.0</v>
      </c>
      <c r="T338" s="135">
        <v>0.0</v>
      </c>
      <c r="U338" s="135">
        <v>0.0</v>
      </c>
      <c r="V338" s="135">
        <v>0.0</v>
      </c>
      <c r="W338" s="135">
        <v>0.0</v>
      </c>
      <c r="X338" s="135">
        <v>0.0</v>
      </c>
      <c r="Y338" s="135">
        <v>0.0</v>
      </c>
      <c r="Z338" s="135">
        <v>0.0</v>
      </c>
      <c r="AA338" s="135">
        <v>0.0</v>
      </c>
      <c r="AB338" s="135">
        <v>0.0</v>
      </c>
      <c r="AC338" s="135">
        <v>0.0</v>
      </c>
      <c r="AD338" s="135">
        <v>0.0</v>
      </c>
      <c r="AE338" s="135">
        <v>0.0</v>
      </c>
      <c r="AF338" s="135">
        <v>0.0</v>
      </c>
      <c r="AG338" s="135">
        <v>0.0</v>
      </c>
      <c r="AH338" s="135">
        <v>0.0</v>
      </c>
      <c r="AI338" s="135">
        <v>0.0</v>
      </c>
      <c r="AJ338" s="135">
        <v>0.0</v>
      </c>
      <c r="AK338" s="135">
        <v>0.0</v>
      </c>
      <c r="AL338" s="135">
        <v>0.0</v>
      </c>
      <c r="AM338" s="135">
        <v>0.0</v>
      </c>
      <c r="AN338" s="137">
        <v>12.0</v>
      </c>
    </row>
    <row r="339">
      <c r="A339" s="98"/>
      <c r="B339" s="136" t="s">
        <v>200</v>
      </c>
      <c r="C339" s="137">
        <v>112.0</v>
      </c>
      <c r="D339" s="137">
        <v>60.0</v>
      </c>
      <c r="E339" s="137">
        <v>52.0</v>
      </c>
      <c r="F339" s="137">
        <v>50.0</v>
      </c>
      <c r="G339" s="137">
        <v>38.0</v>
      </c>
      <c r="H339" s="137">
        <v>4.0</v>
      </c>
      <c r="I339" s="137">
        <v>12.0</v>
      </c>
      <c r="J339" s="137">
        <v>2.0</v>
      </c>
      <c r="K339" s="137">
        <v>2.0</v>
      </c>
      <c r="L339" s="137">
        <v>4.0</v>
      </c>
      <c r="M339" s="137">
        <v>0.0</v>
      </c>
      <c r="N339" s="137">
        <v>0.0</v>
      </c>
      <c r="O339" s="137">
        <v>0.0</v>
      </c>
      <c r="P339" s="135">
        <v>0.0</v>
      </c>
      <c r="Q339" s="135">
        <v>0.0</v>
      </c>
      <c r="R339" s="135">
        <v>0.0</v>
      </c>
      <c r="S339" s="135">
        <v>0.0</v>
      </c>
      <c r="T339" s="135">
        <v>0.0</v>
      </c>
      <c r="U339" s="135">
        <v>0.0</v>
      </c>
      <c r="V339" s="135">
        <v>0.0</v>
      </c>
      <c r="W339" s="135">
        <v>0.0</v>
      </c>
      <c r="X339" s="135">
        <v>0.0</v>
      </c>
      <c r="Y339" s="135">
        <v>0.0</v>
      </c>
      <c r="Z339" s="135">
        <v>0.0</v>
      </c>
      <c r="AA339" s="135">
        <v>0.0</v>
      </c>
      <c r="AB339" s="135">
        <v>0.0</v>
      </c>
      <c r="AC339" s="135">
        <v>0.0</v>
      </c>
      <c r="AD339" s="135">
        <v>0.0</v>
      </c>
      <c r="AE339" s="135">
        <v>0.0</v>
      </c>
      <c r="AF339" s="135">
        <v>0.0</v>
      </c>
      <c r="AG339" s="135">
        <v>0.0</v>
      </c>
      <c r="AH339" s="135">
        <v>0.0</v>
      </c>
      <c r="AI339" s="135">
        <v>0.0</v>
      </c>
      <c r="AJ339" s="135">
        <v>0.0</v>
      </c>
      <c r="AK339" s="135">
        <v>0.0</v>
      </c>
      <c r="AL339" s="135">
        <v>0.0</v>
      </c>
      <c r="AM339" s="135">
        <v>0.0</v>
      </c>
      <c r="AN339" s="137">
        <v>112.0</v>
      </c>
    </row>
    <row r="340">
      <c r="A340" s="104"/>
      <c r="B340" s="136" t="s">
        <v>201</v>
      </c>
      <c r="C340" s="137">
        <v>0.0</v>
      </c>
      <c r="D340" s="137">
        <v>0.0</v>
      </c>
      <c r="E340" s="137">
        <v>0.0</v>
      </c>
      <c r="F340" s="137">
        <v>0.0</v>
      </c>
      <c r="G340" s="137">
        <v>0.0</v>
      </c>
      <c r="H340" s="137">
        <v>0.0</v>
      </c>
      <c r="I340" s="137">
        <v>0.0</v>
      </c>
      <c r="J340" s="137">
        <v>0.0</v>
      </c>
      <c r="K340" s="137">
        <v>0.0</v>
      </c>
      <c r="L340" s="137">
        <v>0.0</v>
      </c>
      <c r="M340" s="137">
        <v>0.0</v>
      </c>
      <c r="N340" s="137">
        <v>0.0</v>
      </c>
      <c r="O340" s="137">
        <v>0.0</v>
      </c>
      <c r="P340" s="135">
        <v>0.0</v>
      </c>
      <c r="Q340" s="135">
        <v>0.0</v>
      </c>
      <c r="R340" s="135">
        <v>0.0</v>
      </c>
      <c r="S340" s="135">
        <v>0.0</v>
      </c>
      <c r="T340" s="135">
        <v>0.0</v>
      </c>
      <c r="U340" s="135">
        <v>0.0</v>
      </c>
      <c r="V340" s="135">
        <v>0.0</v>
      </c>
      <c r="W340" s="135">
        <v>0.0</v>
      </c>
      <c r="X340" s="135">
        <v>0.0</v>
      </c>
      <c r="Y340" s="135">
        <v>0.0</v>
      </c>
      <c r="Z340" s="135">
        <v>0.0</v>
      </c>
      <c r="AA340" s="135">
        <v>0.0</v>
      </c>
      <c r="AB340" s="135">
        <v>0.0</v>
      </c>
      <c r="AC340" s="135">
        <v>0.0</v>
      </c>
      <c r="AD340" s="135">
        <v>0.0</v>
      </c>
      <c r="AE340" s="135">
        <v>0.0</v>
      </c>
      <c r="AF340" s="135">
        <v>0.0</v>
      </c>
      <c r="AG340" s="135">
        <v>0.0</v>
      </c>
      <c r="AH340" s="135">
        <v>0.0</v>
      </c>
      <c r="AI340" s="135">
        <v>0.0</v>
      </c>
      <c r="AJ340" s="135">
        <v>0.0</v>
      </c>
      <c r="AK340" s="135">
        <v>0.0</v>
      </c>
      <c r="AL340" s="135">
        <v>0.0</v>
      </c>
      <c r="AM340" s="135">
        <v>0.0</v>
      </c>
      <c r="AN340" s="137">
        <v>0.0</v>
      </c>
    </row>
    <row r="341">
      <c r="A341" s="138" t="s">
        <v>253</v>
      </c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</row>
    <row r="342">
      <c r="A342" s="132" t="s">
        <v>197</v>
      </c>
      <c r="B342" s="133" t="s">
        <v>198</v>
      </c>
      <c r="C342" s="134">
        <v>323150.0</v>
      </c>
      <c r="D342" s="134">
        <v>118348.0</v>
      </c>
      <c r="E342" s="134">
        <v>204802.0</v>
      </c>
      <c r="F342" s="135">
        <v>0.0</v>
      </c>
      <c r="G342" s="135">
        <v>0.0</v>
      </c>
      <c r="H342" s="135">
        <v>0.0</v>
      </c>
      <c r="I342" s="135">
        <v>0.0</v>
      </c>
      <c r="J342" s="135">
        <v>0.0</v>
      </c>
      <c r="K342" s="135">
        <v>0.0</v>
      </c>
      <c r="L342" s="137">
        <v>162.0</v>
      </c>
      <c r="M342" s="137">
        <v>252.0</v>
      </c>
      <c r="N342" s="137">
        <v>310.0</v>
      </c>
      <c r="O342" s="137">
        <v>584.0</v>
      </c>
      <c r="P342" s="137">
        <v>642.0</v>
      </c>
      <c r="Q342" s="134">
        <v>1340.0</v>
      </c>
      <c r="R342" s="134">
        <v>1040.0</v>
      </c>
      <c r="S342" s="134">
        <v>2344.0</v>
      </c>
      <c r="T342" s="134">
        <v>2046.0</v>
      </c>
      <c r="U342" s="134">
        <v>4052.0</v>
      </c>
      <c r="V342" s="134">
        <v>3554.0</v>
      </c>
      <c r="W342" s="134">
        <v>6792.0</v>
      </c>
      <c r="X342" s="134">
        <v>5850.0</v>
      </c>
      <c r="Y342" s="134">
        <v>11928.0</v>
      </c>
      <c r="Z342" s="134">
        <v>10244.0</v>
      </c>
      <c r="AA342" s="134">
        <v>20094.0</v>
      </c>
      <c r="AB342" s="134">
        <v>15854.0</v>
      </c>
      <c r="AC342" s="134">
        <v>28214.0</v>
      </c>
      <c r="AD342" s="134">
        <v>18370.0</v>
      </c>
      <c r="AE342" s="134">
        <v>31008.0</v>
      </c>
      <c r="AF342" s="134">
        <v>18834.0</v>
      </c>
      <c r="AG342" s="134">
        <v>28836.0</v>
      </c>
      <c r="AH342" s="134">
        <v>17344.0</v>
      </c>
      <c r="AI342" s="134">
        <v>27200.0</v>
      </c>
      <c r="AJ342" s="134">
        <v>12956.0</v>
      </c>
      <c r="AK342" s="134">
        <v>20382.0</v>
      </c>
      <c r="AL342" s="134">
        <v>11142.0</v>
      </c>
      <c r="AM342" s="134">
        <v>21776.0</v>
      </c>
      <c r="AN342" s="134">
        <v>323142.0</v>
      </c>
    </row>
    <row r="343">
      <c r="A343" s="98"/>
      <c r="B343" s="136" t="s">
        <v>199</v>
      </c>
      <c r="C343" s="134">
        <v>144984.0</v>
      </c>
      <c r="D343" s="134">
        <v>52988.0</v>
      </c>
      <c r="E343" s="134">
        <v>91996.0</v>
      </c>
      <c r="F343" s="135">
        <v>0.0</v>
      </c>
      <c r="G343" s="135">
        <v>0.0</v>
      </c>
      <c r="H343" s="135">
        <v>0.0</v>
      </c>
      <c r="I343" s="135">
        <v>0.0</v>
      </c>
      <c r="J343" s="135">
        <v>0.0</v>
      </c>
      <c r="K343" s="135">
        <v>0.0</v>
      </c>
      <c r="L343" s="137">
        <v>44.0</v>
      </c>
      <c r="M343" s="137">
        <v>56.0</v>
      </c>
      <c r="N343" s="137">
        <v>70.0</v>
      </c>
      <c r="O343" s="137">
        <v>160.0</v>
      </c>
      <c r="P343" s="137">
        <v>188.0</v>
      </c>
      <c r="Q343" s="137">
        <v>400.0</v>
      </c>
      <c r="R343" s="137">
        <v>348.0</v>
      </c>
      <c r="S343" s="137">
        <v>750.0</v>
      </c>
      <c r="T343" s="137">
        <v>910.0</v>
      </c>
      <c r="U343" s="134">
        <v>1506.0</v>
      </c>
      <c r="V343" s="134">
        <v>1266.0</v>
      </c>
      <c r="W343" s="134">
        <v>2620.0</v>
      </c>
      <c r="X343" s="134">
        <v>2404.0</v>
      </c>
      <c r="Y343" s="134">
        <v>4640.0</v>
      </c>
      <c r="Z343" s="134">
        <v>4268.0</v>
      </c>
      <c r="AA343" s="134">
        <v>8472.0</v>
      </c>
      <c r="AB343" s="134">
        <v>6740.0</v>
      </c>
      <c r="AC343" s="134">
        <v>12714.0</v>
      </c>
      <c r="AD343" s="134">
        <v>8376.0</v>
      </c>
      <c r="AE343" s="134">
        <v>15050.0</v>
      </c>
      <c r="AF343" s="134">
        <v>8508.0</v>
      </c>
      <c r="AG343" s="134">
        <v>13402.0</v>
      </c>
      <c r="AH343" s="134">
        <v>8264.0</v>
      </c>
      <c r="AI343" s="134">
        <v>12748.0</v>
      </c>
      <c r="AJ343" s="134">
        <v>6122.0</v>
      </c>
      <c r="AK343" s="134">
        <v>9386.0</v>
      </c>
      <c r="AL343" s="134">
        <v>5480.0</v>
      </c>
      <c r="AM343" s="134">
        <v>10092.0</v>
      </c>
      <c r="AN343" s="134">
        <v>144854.0</v>
      </c>
    </row>
    <row r="344">
      <c r="A344" s="98"/>
      <c r="B344" s="136" t="s">
        <v>200</v>
      </c>
      <c r="C344" s="134">
        <v>159750.0</v>
      </c>
      <c r="D344" s="134">
        <v>56558.0</v>
      </c>
      <c r="E344" s="134">
        <v>103192.0</v>
      </c>
      <c r="F344" s="135">
        <v>0.0</v>
      </c>
      <c r="G344" s="135">
        <v>0.0</v>
      </c>
      <c r="H344" s="135">
        <v>0.0</v>
      </c>
      <c r="I344" s="135">
        <v>0.0</v>
      </c>
      <c r="J344" s="135">
        <v>0.0</v>
      </c>
      <c r="K344" s="135">
        <v>0.0</v>
      </c>
      <c r="L344" s="137">
        <v>88.0</v>
      </c>
      <c r="M344" s="137">
        <v>110.0</v>
      </c>
      <c r="N344" s="137">
        <v>162.0</v>
      </c>
      <c r="O344" s="137">
        <v>368.0</v>
      </c>
      <c r="P344" s="137">
        <v>322.0</v>
      </c>
      <c r="Q344" s="137">
        <v>684.0</v>
      </c>
      <c r="R344" s="137">
        <v>536.0</v>
      </c>
      <c r="S344" s="134">
        <v>1230.0</v>
      </c>
      <c r="T344" s="137">
        <v>962.0</v>
      </c>
      <c r="U344" s="134">
        <v>2028.0</v>
      </c>
      <c r="V344" s="134">
        <v>1706.0</v>
      </c>
      <c r="W344" s="134">
        <v>3550.0</v>
      </c>
      <c r="X344" s="134">
        <v>2770.0</v>
      </c>
      <c r="Y344" s="134">
        <v>5906.0</v>
      </c>
      <c r="Z344" s="134">
        <v>4834.0</v>
      </c>
      <c r="AA344" s="134">
        <v>10342.0</v>
      </c>
      <c r="AB344" s="134">
        <v>7436.0</v>
      </c>
      <c r="AC344" s="134">
        <v>14558.0</v>
      </c>
      <c r="AD344" s="134">
        <v>8884.0</v>
      </c>
      <c r="AE344" s="134">
        <v>15792.0</v>
      </c>
      <c r="AF344" s="134">
        <v>9028.0</v>
      </c>
      <c r="AG344" s="134">
        <v>14546.0</v>
      </c>
      <c r="AH344" s="134">
        <v>8432.0</v>
      </c>
      <c r="AI344" s="134">
        <v>13718.0</v>
      </c>
      <c r="AJ344" s="134">
        <v>6100.0</v>
      </c>
      <c r="AK344" s="134">
        <v>9944.0</v>
      </c>
      <c r="AL344" s="134">
        <v>5298.0</v>
      </c>
      <c r="AM344" s="134">
        <v>10416.0</v>
      </c>
      <c r="AN344" s="134">
        <v>159446.0</v>
      </c>
    </row>
    <row r="345">
      <c r="A345" s="104"/>
      <c r="B345" s="136" t="s">
        <v>201</v>
      </c>
      <c r="C345" s="137">
        <v>146.0</v>
      </c>
      <c r="D345" s="137">
        <v>42.0</v>
      </c>
      <c r="E345" s="137">
        <v>104.0</v>
      </c>
      <c r="F345" s="135">
        <v>0.0</v>
      </c>
      <c r="G345" s="135">
        <v>0.0</v>
      </c>
      <c r="H345" s="135">
        <v>0.0</v>
      </c>
      <c r="I345" s="135">
        <v>0.0</v>
      </c>
      <c r="J345" s="135">
        <v>0.0</v>
      </c>
      <c r="K345" s="135">
        <v>0.0</v>
      </c>
      <c r="L345" s="137">
        <v>0.0</v>
      </c>
      <c r="M345" s="137">
        <v>0.0</v>
      </c>
      <c r="N345" s="137">
        <v>0.0</v>
      </c>
      <c r="O345" s="137">
        <v>28.0</v>
      </c>
      <c r="P345" s="137">
        <v>2.0</v>
      </c>
      <c r="Q345" s="137">
        <v>0.0</v>
      </c>
      <c r="R345" s="137">
        <v>0.0</v>
      </c>
      <c r="S345" s="137">
        <v>0.0</v>
      </c>
      <c r="T345" s="137">
        <v>0.0</v>
      </c>
      <c r="U345" s="137">
        <v>4.0</v>
      </c>
      <c r="V345" s="137">
        <v>14.0</v>
      </c>
      <c r="W345" s="137">
        <v>4.0</v>
      </c>
      <c r="X345" s="137">
        <v>2.0</v>
      </c>
      <c r="Y345" s="137">
        <v>10.0</v>
      </c>
      <c r="Z345" s="137">
        <v>2.0</v>
      </c>
      <c r="AA345" s="137">
        <v>8.0</v>
      </c>
      <c r="AB345" s="137">
        <v>6.0</v>
      </c>
      <c r="AC345" s="137">
        <v>12.0</v>
      </c>
      <c r="AD345" s="137">
        <v>6.0</v>
      </c>
      <c r="AE345" s="137">
        <v>8.0</v>
      </c>
      <c r="AF345" s="137">
        <v>8.0</v>
      </c>
      <c r="AG345" s="137">
        <v>4.0</v>
      </c>
      <c r="AH345" s="137">
        <v>2.0</v>
      </c>
      <c r="AI345" s="137">
        <v>0.0</v>
      </c>
      <c r="AJ345" s="137">
        <v>0.0</v>
      </c>
      <c r="AK345" s="137">
        <v>22.0</v>
      </c>
      <c r="AL345" s="137">
        <v>0.0</v>
      </c>
      <c r="AM345" s="137">
        <v>4.0</v>
      </c>
      <c r="AN345" s="137">
        <v>146.0</v>
      </c>
    </row>
    <row r="346">
      <c r="A346" s="132" t="s">
        <v>202</v>
      </c>
      <c r="B346" s="136" t="s">
        <v>198</v>
      </c>
      <c r="C346" s="134">
        <v>1208.0</v>
      </c>
      <c r="D346" s="137">
        <v>654.0</v>
      </c>
      <c r="E346" s="137">
        <v>554.0</v>
      </c>
      <c r="F346" s="137">
        <v>30.0</v>
      </c>
      <c r="G346" s="137">
        <v>20.0</v>
      </c>
      <c r="H346" s="137">
        <v>22.0</v>
      </c>
      <c r="I346" s="137">
        <v>10.0</v>
      </c>
      <c r="J346" s="137">
        <v>32.0</v>
      </c>
      <c r="K346" s="137">
        <v>38.0</v>
      </c>
      <c r="L346" s="137">
        <v>24.0</v>
      </c>
      <c r="M346" s="137">
        <v>14.0</v>
      </c>
      <c r="N346" s="137">
        <v>32.0</v>
      </c>
      <c r="O346" s="137">
        <v>20.0</v>
      </c>
      <c r="P346" s="137">
        <v>54.0</v>
      </c>
      <c r="Q346" s="137">
        <v>22.0</v>
      </c>
      <c r="R346" s="137">
        <v>30.0</v>
      </c>
      <c r="S346" s="137">
        <v>68.0</v>
      </c>
      <c r="T346" s="137">
        <v>42.0</v>
      </c>
      <c r="U346" s="137">
        <v>24.0</v>
      </c>
      <c r="V346" s="137">
        <v>42.0</v>
      </c>
      <c r="W346" s="137">
        <v>32.0</v>
      </c>
      <c r="X346" s="137">
        <v>54.0</v>
      </c>
      <c r="Y346" s="137">
        <v>26.0</v>
      </c>
      <c r="Z346" s="137">
        <v>92.0</v>
      </c>
      <c r="AA346" s="137">
        <v>54.0</v>
      </c>
      <c r="AB346" s="137">
        <v>72.0</v>
      </c>
      <c r="AC346" s="137">
        <v>56.0</v>
      </c>
      <c r="AD346" s="137">
        <v>44.0</v>
      </c>
      <c r="AE346" s="137">
        <v>44.0</v>
      </c>
      <c r="AF346" s="137">
        <v>36.0</v>
      </c>
      <c r="AG346" s="137">
        <v>30.0</v>
      </c>
      <c r="AH346" s="137">
        <v>18.0</v>
      </c>
      <c r="AI346" s="137">
        <v>50.0</v>
      </c>
      <c r="AJ346" s="137">
        <v>6.0</v>
      </c>
      <c r="AK346" s="137">
        <v>16.0</v>
      </c>
      <c r="AL346" s="137">
        <v>24.0</v>
      </c>
      <c r="AM346" s="137">
        <v>30.0</v>
      </c>
      <c r="AN346" s="134">
        <v>1208.0</v>
      </c>
    </row>
    <row r="347">
      <c r="A347" s="104"/>
      <c r="B347" s="136" t="s">
        <v>199</v>
      </c>
      <c r="C347" s="134">
        <v>1364.0</v>
      </c>
      <c r="D347" s="137">
        <v>858.0</v>
      </c>
      <c r="E347" s="137">
        <v>506.0</v>
      </c>
      <c r="F347" s="137">
        <v>24.0</v>
      </c>
      <c r="G347" s="137">
        <v>6.0</v>
      </c>
      <c r="H347" s="137">
        <v>12.0</v>
      </c>
      <c r="I347" s="137">
        <v>2.0</v>
      </c>
      <c r="J347" s="137">
        <v>78.0</v>
      </c>
      <c r="K347" s="137">
        <v>98.0</v>
      </c>
      <c r="L347" s="137">
        <v>16.0</v>
      </c>
      <c r="M347" s="137">
        <v>14.0</v>
      </c>
      <c r="N347" s="137">
        <v>14.0</v>
      </c>
      <c r="O347" s="137">
        <v>20.0</v>
      </c>
      <c r="P347" s="137">
        <v>56.0</v>
      </c>
      <c r="Q347" s="137">
        <v>28.0</v>
      </c>
      <c r="R347" s="137">
        <v>26.0</v>
      </c>
      <c r="S347" s="137">
        <v>42.0</v>
      </c>
      <c r="T347" s="137">
        <v>48.0</v>
      </c>
      <c r="U347" s="137">
        <v>16.0</v>
      </c>
      <c r="V347" s="137">
        <v>160.0</v>
      </c>
      <c r="W347" s="137">
        <v>34.0</v>
      </c>
      <c r="X347" s="137">
        <v>130.0</v>
      </c>
      <c r="Y347" s="137">
        <v>10.0</v>
      </c>
      <c r="Z347" s="137">
        <v>82.0</v>
      </c>
      <c r="AA347" s="137">
        <v>30.0</v>
      </c>
      <c r="AB347" s="137">
        <v>104.0</v>
      </c>
      <c r="AC347" s="137">
        <v>52.0</v>
      </c>
      <c r="AD347" s="137">
        <v>60.0</v>
      </c>
      <c r="AE347" s="137">
        <v>18.0</v>
      </c>
      <c r="AF347" s="137">
        <v>26.0</v>
      </c>
      <c r="AG347" s="137">
        <v>44.0</v>
      </c>
      <c r="AH347" s="137">
        <v>16.0</v>
      </c>
      <c r="AI347" s="137">
        <v>68.0</v>
      </c>
      <c r="AJ347" s="137">
        <v>0.0</v>
      </c>
      <c r="AK347" s="137">
        <v>6.0</v>
      </c>
      <c r="AL347" s="137">
        <v>6.0</v>
      </c>
      <c r="AM347" s="137">
        <v>18.0</v>
      </c>
      <c r="AN347" s="134">
        <v>1364.0</v>
      </c>
    </row>
    <row r="348">
      <c r="A348" s="132" t="s">
        <v>203</v>
      </c>
      <c r="B348" s="136" t="s">
        <v>198</v>
      </c>
      <c r="C348" s="137">
        <v>4.0</v>
      </c>
      <c r="D348" s="137">
        <v>0.0</v>
      </c>
      <c r="E348" s="137">
        <v>4.0</v>
      </c>
      <c r="F348" s="135">
        <v>0.0</v>
      </c>
      <c r="G348" s="135">
        <v>0.0</v>
      </c>
      <c r="H348" s="135">
        <v>0.0</v>
      </c>
      <c r="I348" s="135">
        <v>0.0</v>
      </c>
      <c r="J348" s="135">
        <v>0.0</v>
      </c>
      <c r="K348" s="135">
        <v>0.0</v>
      </c>
      <c r="L348" s="135">
        <v>0.0</v>
      </c>
      <c r="M348" s="135">
        <v>0.0</v>
      </c>
      <c r="N348" s="135">
        <v>0.0</v>
      </c>
      <c r="O348" s="135">
        <v>0.0</v>
      </c>
      <c r="P348" s="135">
        <v>0.0</v>
      </c>
      <c r="Q348" s="135">
        <v>0.0</v>
      </c>
      <c r="R348" s="135">
        <v>0.0</v>
      </c>
      <c r="S348" s="135">
        <v>0.0</v>
      </c>
      <c r="T348" s="135">
        <v>0.0</v>
      </c>
      <c r="U348" s="135">
        <v>0.0</v>
      </c>
      <c r="V348" s="135">
        <v>0.0</v>
      </c>
      <c r="W348" s="135">
        <v>0.0</v>
      </c>
      <c r="X348" s="135">
        <v>0.0</v>
      </c>
      <c r="Y348" s="135">
        <v>0.0</v>
      </c>
      <c r="Z348" s="135">
        <v>0.0</v>
      </c>
      <c r="AA348" s="135">
        <v>0.0</v>
      </c>
      <c r="AB348" s="135">
        <v>0.0</v>
      </c>
      <c r="AC348" s="135">
        <v>0.0</v>
      </c>
      <c r="AD348" s="135">
        <v>0.0</v>
      </c>
      <c r="AE348" s="135">
        <v>0.0</v>
      </c>
      <c r="AF348" s="137">
        <v>0.0</v>
      </c>
      <c r="AG348" s="137">
        <v>0.0</v>
      </c>
      <c r="AH348" s="137">
        <v>0.0</v>
      </c>
      <c r="AI348" s="137">
        <v>2.0</v>
      </c>
      <c r="AJ348" s="137">
        <v>0.0</v>
      </c>
      <c r="AK348" s="137">
        <v>2.0</v>
      </c>
      <c r="AL348" s="137">
        <v>0.0</v>
      </c>
      <c r="AM348" s="137">
        <v>0.0</v>
      </c>
      <c r="AN348" s="137">
        <v>4.0</v>
      </c>
    </row>
    <row r="349">
      <c r="A349" s="104"/>
      <c r="B349" s="136" t="s">
        <v>199</v>
      </c>
      <c r="C349" s="134">
        <v>1008.0</v>
      </c>
      <c r="D349" s="137">
        <v>326.0</v>
      </c>
      <c r="E349" s="137">
        <v>682.0</v>
      </c>
      <c r="F349" s="135">
        <v>0.0</v>
      </c>
      <c r="G349" s="135">
        <v>0.0</v>
      </c>
      <c r="H349" s="135">
        <v>0.0</v>
      </c>
      <c r="I349" s="135">
        <v>0.0</v>
      </c>
      <c r="J349" s="135">
        <v>0.0</v>
      </c>
      <c r="K349" s="135">
        <v>0.0</v>
      </c>
      <c r="L349" s="135">
        <v>0.0</v>
      </c>
      <c r="M349" s="135">
        <v>0.0</v>
      </c>
      <c r="N349" s="135">
        <v>0.0</v>
      </c>
      <c r="O349" s="135">
        <v>0.0</v>
      </c>
      <c r="P349" s="135">
        <v>0.0</v>
      </c>
      <c r="Q349" s="135">
        <v>0.0</v>
      </c>
      <c r="R349" s="135">
        <v>0.0</v>
      </c>
      <c r="S349" s="135">
        <v>0.0</v>
      </c>
      <c r="T349" s="135">
        <v>0.0</v>
      </c>
      <c r="U349" s="135">
        <v>0.0</v>
      </c>
      <c r="V349" s="135">
        <v>0.0</v>
      </c>
      <c r="W349" s="135">
        <v>0.0</v>
      </c>
      <c r="X349" s="135">
        <v>0.0</v>
      </c>
      <c r="Y349" s="135">
        <v>0.0</v>
      </c>
      <c r="Z349" s="135">
        <v>0.0</v>
      </c>
      <c r="AA349" s="135">
        <v>0.0</v>
      </c>
      <c r="AB349" s="135">
        <v>0.0</v>
      </c>
      <c r="AC349" s="135">
        <v>0.0</v>
      </c>
      <c r="AD349" s="135">
        <v>0.0</v>
      </c>
      <c r="AE349" s="135">
        <v>0.0</v>
      </c>
      <c r="AF349" s="137">
        <v>86.0</v>
      </c>
      <c r="AG349" s="137">
        <v>210.0</v>
      </c>
      <c r="AH349" s="137">
        <v>120.0</v>
      </c>
      <c r="AI349" s="137">
        <v>180.0</v>
      </c>
      <c r="AJ349" s="137">
        <v>74.0</v>
      </c>
      <c r="AK349" s="137">
        <v>168.0</v>
      </c>
      <c r="AL349" s="137">
        <v>46.0</v>
      </c>
      <c r="AM349" s="137">
        <v>124.0</v>
      </c>
      <c r="AN349" s="134">
        <v>1006.0</v>
      </c>
    </row>
    <row r="350">
      <c r="A350" s="132" t="s">
        <v>204</v>
      </c>
      <c r="B350" s="136" t="s">
        <v>198</v>
      </c>
      <c r="C350" s="137">
        <v>68.0</v>
      </c>
      <c r="D350" s="137">
        <v>12.0</v>
      </c>
      <c r="E350" s="137">
        <v>56.0</v>
      </c>
      <c r="F350" s="135">
        <v>0.0</v>
      </c>
      <c r="G350" s="135">
        <v>0.0</v>
      </c>
      <c r="H350" s="135">
        <v>0.0</v>
      </c>
      <c r="I350" s="135">
        <v>0.0</v>
      </c>
      <c r="J350" s="135">
        <v>0.0</v>
      </c>
      <c r="K350" s="135">
        <v>0.0</v>
      </c>
      <c r="L350" s="135">
        <v>0.0</v>
      </c>
      <c r="M350" s="135">
        <v>0.0</v>
      </c>
      <c r="N350" s="135">
        <v>0.0</v>
      </c>
      <c r="O350" s="135">
        <v>0.0</v>
      </c>
      <c r="P350" s="135">
        <v>0.0</v>
      </c>
      <c r="Q350" s="135">
        <v>0.0</v>
      </c>
      <c r="R350" s="135">
        <v>0.0</v>
      </c>
      <c r="S350" s="135">
        <v>0.0</v>
      </c>
      <c r="T350" s="135">
        <v>0.0</v>
      </c>
      <c r="U350" s="135">
        <v>0.0</v>
      </c>
      <c r="V350" s="135">
        <v>0.0</v>
      </c>
      <c r="W350" s="135">
        <v>0.0</v>
      </c>
      <c r="X350" s="135">
        <v>0.0</v>
      </c>
      <c r="Y350" s="135">
        <v>0.0</v>
      </c>
      <c r="Z350" s="135">
        <v>0.0</v>
      </c>
      <c r="AA350" s="135">
        <v>0.0</v>
      </c>
      <c r="AB350" s="135">
        <v>0.0</v>
      </c>
      <c r="AC350" s="135">
        <v>0.0</v>
      </c>
      <c r="AD350" s="135">
        <v>0.0</v>
      </c>
      <c r="AE350" s="135">
        <v>0.0</v>
      </c>
      <c r="AF350" s="137">
        <v>0.0</v>
      </c>
      <c r="AG350" s="137">
        <v>0.0</v>
      </c>
      <c r="AH350" s="137">
        <v>0.0</v>
      </c>
      <c r="AI350" s="137">
        <v>0.0</v>
      </c>
      <c r="AJ350" s="137">
        <v>0.0</v>
      </c>
      <c r="AK350" s="137">
        <v>12.0</v>
      </c>
      <c r="AL350" s="137">
        <v>12.0</v>
      </c>
      <c r="AM350" s="137">
        <v>44.0</v>
      </c>
      <c r="AN350" s="137">
        <v>68.0</v>
      </c>
    </row>
    <row r="351">
      <c r="A351" s="104"/>
      <c r="B351" s="136" t="s">
        <v>199</v>
      </c>
      <c r="C351" s="137">
        <v>480.0</v>
      </c>
      <c r="D351" s="137">
        <v>142.0</v>
      </c>
      <c r="E351" s="137">
        <v>338.0</v>
      </c>
      <c r="F351" s="135">
        <v>0.0</v>
      </c>
      <c r="G351" s="135">
        <v>0.0</v>
      </c>
      <c r="H351" s="135">
        <v>0.0</v>
      </c>
      <c r="I351" s="135">
        <v>0.0</v>
      </c>
      <c r="J351" s="135">
        <v>0.0</v>
      </c>
      <c r="K351" s="135">
        <v>0.0</v>
      </c>
      <c r="L351" s="135">
        <v>0.0</v>
      </c>
      <c r="M351" s="135">
        <v>0.0</v>
      </c>
      <c r="N351" s="135">
        <v>0.0</v>
      </c>
      <c r="O351" s="135">
        <v>0.0</v>
      </c>
      <c r="P351" s="135">
        <v>0.0</v>
      </c>
      <c r="Q351" s="135">
        <v>0.0</v>
      </c>
      <c r="R351" s="135">
        <v>0.0</v>
      </c>
      <c r="S351" s="135">
        <v>0.0</v>
      </c>
      <c r="T351" s="135">
        <v>0.0</v>
      </c>
      <c r="U351" s="135">
        <v>0.0</v>
      </c>
      <c r="V351" s="135">
        <v>0.0</v>
      </c>
      <c r="W351" s="135">
        <v>0.0</v>
      </c>
      <c r="X351" s="135">
        <v>0.0</v>
      </c>
      <c r="Y351" s="135">
        <v>0.0</v>
      </c>
      <c r="Z351" s="135">
        <v>0.0</v>
      </c>
      <c r="AA351" s="135">
        <v>0.0</v>
      </c>
      <c r="AB351" s="135">
        <v>0.0</v>
      </c>
      <c r="AC351" s="135">
        <v>0.0</v>
      </c>
      <c r="AD351" s="135">
        <v>0.0</v>
      </c>
      <c r="AE351" s="135">
        <v>0.0</v>
      </c>
      <c r="AF351" s="137">
        <v>20.0</v>
      </c>
      <c r="AG351" s="137">
        <v>32.0</v>
      </c>
      <c r="AH351" s="137">
        <v>40.0</v>
      </c>
      <c r="AI351" s="137">
        <v>64.0</v>
      </c>
      <c r="AJ351" s="137">
        <v>36.0</v>
      </c>
      <c r="AK351" s="137">
        <v>68.0</v>
      </c>
      <c r="AL351" s="137">
        <v>46.0</v>
      </c>
      <c r="AM351" s="137">
        <v>174.0</v>
      </c>
      <c r="AN351" s="137">
        <v>480.0</v>
      </c>
    </row>
    <row r="352">
      <c r="A352" s="132" t="s">
        <v>205</v>
      </c>
      <c r="B352" s="136" t="s">
        <v>198</v>
      </c>
      <c r="C352" s="137">
        <v>456.0</v>
      </c>
      <c r="D352" s="137">
        <v>184.0</v>
      </c>
      <c r="E352" s="137">
        <v>272.0</v>
      </c>
      <c r="F352" s="137">
        <v>20.0</v>
      </c>
      <c r="G352" s="137">
        <v>18.0</v>
      </c>
      <c r="H352" s="137">
        <v>8.0</v>
      </c>
      <c r="I352" s="137">
        <v>12.0</v>
      </c>
      <c r="J352" s="137">
        <v>2.0</v>
      </c>
      <c r="K352" s="137">
        <v>2.0</v>
      </c>
      <c r="L352" s="137">
        <v>6.0</v>
      </c>
      <c r="M352" s="137">
        <v>4.0</v>
      </c>
      <c r="N352" s="137">
        <v>2.0</v>
      </c>
      <c r="O352" s="137">
        <v>0.0</v>
      </c>
      <c r="P352" s="137">
        <v>4.0</v>
      </c>
      <c r="Q352" s="137">
        <v>4.0</v>
      </c>
      <c r="R352" s="137">
        <v>0.0</v>
      </c>
      <c r="S352" s="137">
        <v>6.0</v>
      </c>
      <c r="T352" s="137">
        <v>4.0</v>
      </c>
      <c r="U352" s="137">
        <v>8.0</v>
      </c>
      <c r="V352" s="137">
        <v>6.0</v>
      </c>
      <c r="W352" s="137">
        <v>14.0</v>
      </c>
      <c r="X352" s="137">
        <v>6.0</v>
      </c>
      <c r="Y352" s="137">
        <v>16.0</v>
      </c>
      <c r="Z352" s="137">
        <v>14.0</v>
      </c>
      <c r="AA352" s="137">
        <v>16.0</v>
      </c>
      <c r="AB352" s="137">
        <v>16.0</v>
      </c>
      <c r="AC352" s="137">
        <v>46.0</v>
      </c>
      <c r="AD352" s="137">
        <v>42.0</v>
      </c>
      <c r="AE352" s="137">
        <v>48.0</v>
      </c>
      <c r="AF352" s="137">
        <v>24.0</v>
      </c>
      <c r="AG352" s="137">
        <v>44.0</v>
      </c>
      <c r="AH352" s="137">
        <v>16.0</v>
      </c>
      <c r="AI352" s="137">
        <v>18.0</v>
      </c>
      <c r="AJ352" s="137">
        <v>10.0</v>
      </c>
      <c r="AK352" s="137">
        <v>6.0</v>
      </c>
      <c r="AL352" s="137">
        <v>4.0</v>
      </c>
      <c r="AM352" s="137">
        <v>10.0</v>
      </c>
      <c r="AN352" s="137">
        <v>456.0</v>
      </c>
    </row>
    <row r="353">
      <c r="A353" s="98"/>
      <c r="B353" s="136" t="s">
        <v>199</v>
      </c>
      <c r="C353" s="137">
        <v>306.0</v>
      </c>
      <c r="D353" s="137">
        <v>100.0</v>
      </c>
      <c r="E353" s="137">
        <v>206.0</v>
      </c>
      <c r="F353" s="137">
        <v>2.0</v>
      </c>
      <c r="G353" s="137">
        <v>0.0</v>
      </c>
      <c r="H353" s="137">
        <v>0.0</v>
      </c>
      <c r="I353" s="137">
        <v>0.0</v>
      </c>
      <c r="J353" s="137">
        <v>0.0</v>
      </c>
      <c r="K353" s="137">
        <v>0.0</v>
      </c>
      <c r="L353" s="137">
        <v>6.0</v>
      </c>
      <c r="M353" s="137">
        <v>4.0</v>
      </c>
      <c r="N353" s="137">
        <v>0.0</v>
      </c>
      <c r="O353" s="137">
        <v>2.0</v>
      </c>
      <c r="P353" s="137">
        <v>4.0</v>
      </c>
      <c r="Q353" s="137">
        <v>2.0</v>
      </c>
      <c r="R353" s="137">
        <v>0.0</v>
      </c>
      <c r="S353" s="137">
        <v>4.0</v>
      </c>
      <c r="T353" s="137">
        <v>0.0</v>
      </c>
      <c r="U353" s="137">
        <v>10.0</v>
      </c>
      <c r="V353" s="137">
        <v>6.0</v>
      </c>
      <c r="W353" s="137">
        <v>6.0</v>
      </c>
      <c r="X353" s="137">
        <v>4.0</v>
      </c>
      <c r="Y353" s="137">
        <v>6.0</v>
      </c>
      <c r="Z353" s="137">
        <v>8.0</v>
      </c>
      <c r="AA353" s="137">
        <v>22.0</v>
      </c>
      <c r="AB353" s="137">
        <v>14.0</v>
      </c>
      <c r="AC353" s="137">
        <v>40.0</v>
      </c>
      <c r="AD353" s="137">
        <v>10.0</v>
      </c>
      <c r="AE353" s="137">
        <v>46.0</v>
      </c>
      <c r="AF353" s="137">
        <v>24.0</v>
      </c>
      <c r="AG353" s="137">
        <v>28.0</v>
      </c>
      <c r="AH353" s="137">
        <v>14.0</v>
      </c>
      <c r="AI353" s="137">
        <v>14.0</v>
      </c>
      <c r="AJ353" s="137">
        <v>4.0</v>
      </c>
      <c r="AK353" s="137">
        <v>14.0</v>
      </c>
      <c r="AL353" s="137">
        <v>4.0</v>
      </c>
      <c r="AM353" s="137">
        <v>8.0</v>
      </c>
      <c r="AN353" s="137">
        <v>306.0</v>
      </c>
    </row>
    <row r="354">
      <c r="A354" s="104"/>
      <c r="B354" s="136" t="s">
        <v>206</v>
      </c>
      <c r="C354" s="137">
        <v>482.0</v>
      </c>
      <c r="D354" s="137">
        <v>100.0</v>
      </c>
      <c r="E354" s="137">
        <v>382.0</v>
      </c>
      <c r="F354" s="137">
        <v>0.0</v>
      </c>
      <c r="G354" s="137">
        <v>0.0</v>
      </c>
      <c r="H354" s="137">
        <v>0.0</v>
      </c>
      <c r="I354" s="137">
        <v>0.0</v>
      </c>
      <c r="J354" s="137">
        <v>0.0</v>
      </c>
      <c r="K354" s="137">
        <v>4.0</v>
      </c>
      <c r="L354" s="137">
        <v>4.0</v>
      </c>
      <c r="M354" s="137">
        <v>32.0</v>
      </c>
      <c r="N354" s="137">
        <v>18.0</v>
      </c>
      <c r="O354" s="137">
        <v>70.0</v>
      </c>
      <c r="P354" s="137">
        <v>20.0</v>
      </c>
      <c r="Q354" s="137">
        <v>86.0</v>
      </c>
      <c r="R354" s="137">
        <v>16.0</v>
      </c>
      <c r="S354" s="137">
        <v>50.0</v>
      </c>
      <c r="T354" s="137">
        <v>10.0</v>
      </c>
      <c r="U354" s="137">
        <v>44.0</v>
      </c>
      <c r="V354" s="137">
        <v>4.0</v>
      </c>
      <c r="W354" s="137">
        <v>12.0</v>
      </c>
      <c r="X354" s="137">
        <v>4.0</v>
      </c>
      <c r="Y354" s="137">
        <v>38.0</v>
      </c>
      <c r="Z354" s="137">
        <v>6.0</v>
      </c>
      <c r="AA354" s="137">
        <v>22.0</v>
      </c>
      <c r="AB354" s="137">
        <v>4.0</v>
      </c>
      <c r="AC354" s="137">
        <v>14.0</v>
      </c>
      <c r="AD354" s="137">
        <v>10.0</v>
      </c>
      <c r="AE354" s="137">
        <v>6.0</v>
      </c>
      <c r="AF354" s="137">
        <v>0.0</v>
      </c>
      <c r="AG354" s="137">
        <v>2.0</v>
      </c>
      <c r="AH354" s="137">
        <v>4.0</v>
      </c>
      <c r="AI354" s="137">
        <v>0.0</v>
      </c>
      <c r="AJ354" s="137">
        <v>0.0</v>
      </c>
      <c r="AK354" s="137">
        <v>2.0</v>
      </c>
      <c r="AL354" s="137">
        <v>0.0</v>
      </c>
      <c r="AM354" s="137">
        <v>0.0</v>
      </c>
      <c r="AN354" s="137">
        <v>480.0</v>
      </c>
    </row>
    <row r="355">
      <c r="A355" s="132" t="s">
        <v>207</v>
      </c>
      <c r="B355" s="136" t="s">
        <v>198</v>
      </c>
      <c r="C355" s="134">
        <v>76496.0</v>
      </c>
      <c r="D355" s="134">
        <v>16054.0</v>
      </c>
      <c r="E355" s="134">
        <v>60442.0</v>
      </c>
      <c r="F355" s="137">
        <v>966.0</v>
      </c>
      <c r="G355" s="137">
        <v>692.0</v>
      </c>
      <c r="H355" s="137">
        <v>780.0</v>
      </c>
      <c r="I355" s="137">
        <v>680.0</v>
      </c>
      <c r="J355" s="137">
        <v>524.0</v>
      </c>
      <c r="K355" s="137">
        <v>372.0</v>
      </c>
      <c r="L355" s="137">
        <v>314.0</v>
      </c>
      <c r="M355" s="137">
        <v>678.0</v>
      </c>
      <c r="N355" s="137">
        <v>294.0</v>
      </c>
      <c r="O355" s="137">
        <v>918.0</v>
      </c>
      <c r="P355" s="137">
        <v>326.0</v>
      </c>
      <c r="Q355" s="134">
        <v>1354.0</v>
      </c>
      <c r="R355" s="137">
        <v>342.0</v>
      </c>
      <c r="S355" s="134">
        <v>1576.0</v>
      </c>
      <c r="T355" s="137">
        <v>398.0</v>
      </c>
      <c r="U355" s="134">
        <v>1878.0</v>
      </c>
      <c r="V355" s="137">
        <v>458.0</v>
      </c>
      <c r="W355" s="134">
        <v>2220.0</v>
      </c>
      <c r="X355" s="137">
        <v>606.0</v>
      </c>
      <c r="Y355" s="134">
        <v>2618.0</v>
      </c>
      <c r="Z355" s="137">
        <v>858.0</v>
      </c>
      <c r="AA355" s="134">
        <v>4260.0</v>
      </c>
      <c r="AB355" s="134">
        <v>1218.0</v>
      </c>
      <c r="AC355" s="134">
        <v>6896.0</v>
      </c>
      <c r="AD355" s="134">
        <v>1394.0</v>
      </c>
      <c r="AE355" s="134">
        <v>8176.0</v>
      </c>
      <c r="AF355" s="134">
        <v>1964.0</v>
      </c>
      <c r="AG355" s="134">
        <v>8412.0</v>
      </c>
      <c r="AH355" s="134">
        <v>2014.0</v>
      </c>
      <c r="AI355" s="134">
        <v>8054.0</v>
      </c>
      <c r="AJ355" s="134">
        <v>1834.0</v>
      </c>
      <c r="AK355" s="134">
        <v>5672.0</v>
      </c>
      <c r="AL355" s="134">
        <v>1764.0</v>
      </c>
      <c r="AM355" s="134">
        <v>5986.0</v>
      </c>
      <c r="AN355" s="134">
        <v>76488.0</v>
      </c>
    </row>
    <row r="356">
      <c r="A356" s="98"/>
      <c r="B356" s="136" t="s">
        <v>199</v>
      </c>
      <c r="C356" s="134">
        <v>7584.0</v>
      </c>
      <c r="D356" s="134">
        <v>2662.0</v>
      </c>
      <c r="E356" s="134">
        <v>4922.0</v>
      </c>
      <c r="F356" s="137">
        <v>276.0</v>
      </c>
      <c r="G356" s="137">
        <v>244.0</v>
      </c>
      <c r="H356" s="137">
        <v>30.0</v>
      </c>
      <c r="I356" s="137">
        <v>16.0</v>
      </c>
      <c r="J356" s="137">
        <v>6.0</v>
      </c>
      <c r="K356" s="137">
        <v>18.0</v>
      </c>
      <c r="L356" s="137">
        <v>20.0</v>
      </c>
      <c r="M356" s="137">
        <v>14.0</v>
      </c>
      <c r="N356" s="137">
        <v>26.0</v>
      </c>
      <c r="O356" s="137">
        <v>36.0</v>
      </c>
      <c r="P356" s="137">
        <v>28.0</v>
      </c>
      <c r="Q356" s="137">
        <v>52.0</v>
      </c>
      <c r="R356" s="137">
        <v>24.0</v>
      </c>
      <c r="S356" s="137">
        <v>76.0</v>
      </c>
      <c r="T356" s="137">
        <v>38.0</v>
      </c>
      <c r="U356" s="137">
        <v>86.0</v>
      </c>
      <c r="V356" s="137">
        <v>72.0</v>
      </c>
      <c r="W356" s="137">
        <v>140.0</v>
      </c>
      <c r="X356" s="137">
        <v>54.0</v>
      </c>
      <c r="Y356" s="137">
        <v>194.0</v>
      </c>
      <c r="Z356" s="137">
        <v>130.0</v>
      </c>
      <c r="AA356" s="137">
        <v>288.0</v>
      </c>
      <c r="AB356" s="137">
        <v>130.0</v>
      </c>
      <c r="AC356" s="137">
        <v>346.0</v>
      </c>
      <c r="AD356" s="137">
        <v>206.0</v>
      </c>
      <c r="AE356" s="137">
        <v>414.0</v>
      </c>
      <c r="AF356" s="137">
        <v>386.0</v>
      </c>
      <c r="AG356" s="137">
        <v>756.0</v>
      </c>
      <c r="AH356" s="137">
        <v>456.0</v>
      </c>
      <c r="AI356" s="137">
        <v>778.0</v>
      </c>
      <c r="AJ356" s="137">
        <v>312.0</v>
      </c>
      <c r="AK356" s="137">
        <v>650.0</v>
      </c>
      <c r="AL356" s="137">
        <v>468.0</v>
      </c>
      <c r="AM356" s="137">
        <v>814.0</v>
      </c>
      <c r="AN356" s="134">
        <v>7584.0</v>
      </c>
    </row>
    <row r="357">
      <c r="A357" s="98"/>
      <c r="B357" s="136" t="s">
        <v>206</v>
      </c>
      <c r="C357" s="134">
        <v>15324.0</v>
      </c>
      <c r="D357" s="137">
        <v>252.0</v>
      </c>
      <c r="E357" s="134">
        <v>15072.0</v>
      </c>
      <c r="F357" s="137">
        <v>18.0</v>
      </c>
      <c r="G357" s="137">
        <v>20.0</v>
      </c>
      <c r="H357" s="137">
        <v>0.0</v>
      </c>
      <c r="I357" s="137">
        <v>2.0</v>
      </c>
      <c r="J357" s="137">
        <v>8.0</v>
      </c>
      <c r="K357" s="137">
        <v>62.0</v>
      </c>
      <c r="L357" s="137">
        <v>36.0</v>
      </c>
      <c r="M357" s="137">
        <v>418.0</v>
      </c>
      <c r="N357" s="137">
        <v>14.0</v>
      </c>
      <c r="O357" s="137">
        <v>670.0</v>
      </c>
      <c r="P357" s="137">
        <v>6.0</v>
      </c>
      <c r="Q357" s="134">
        <v>1008.0</v>
      </c>
      <c r="R357" s="137">
        <v>8.0</v>
      </c>
      <c r="S357" s="137">
        <v>882.0</v>
      </c>
      <c r="T357" s="137">
        <v>40.0</v>
      </c>
      <c r="U357" s="137">
        <v>912.0</v>
      </c>
      <c r="V357" s="137">
        <v>16.0</v>
      </c>
      <c r="W357" s="134">
        <v>1070.0</v>
      </c>
      <c r="X357" s="137">
        <v>22.0</v>
      </c>
      <c r="Y357" s="134">
        <v>1298.0</v>
      </c>
      <c r="Z357" s="137">
        <v>24.0</v>
      </c>
      <c r="AA357" s="134">
        <v>1474.0</v>
      </c>
      <c r="AB357" s="137">
        <v>14.0</v>
      </c>
      <c r="AC357" s="134">
        <v>1818.0</v>
      </c>
      <c r="AD357" s="137">
        <v>30.0</v>
      </c>
      <c r="AE357" s="134">
        <v>1996.0</v>
      </c>
      <c r="AF357" s="137">
        <v>12.0</v>
      </c>
      <c r="AG357" s="134">
        <v>1396.0</v>
      </c>
      <c r="AH357" s="137">
        <v>0.0</v>
      </c>
      <c r="AI357" s="134">
        <v>1128.0</v>
      </c>
      <c r="AJ357" s="137">
        <v>2.0</v>
      </c>
      <c r="AK357" s="137">
        <v>606.0</v>
      </c>
      <c r="AL357" s="137">
        <v>2.0</v>
      </c>
      <c r="AM357" s="137">
        <v>312.0</v>
      </c>
      <c r="AN357" s="134">
        <v>15324.0</v>
      </c>
    </row>
    <row r="358">
      <c r="A358" s="98"/>
      <c r="B358" s="136" t="s">
        <v>200</v>
      </c>
      <c r="C358" s="137">
        <v>834.0</v>
      </c>
      <c r="D358" s="137">
        <v>220.0</v>
      </c>
      <c r="E358" s="137">
        <v>614.0</v>
      </c>
      <c r="F358" s="137">
        <v>4.0</v>
      </c>
      <c r="G358" s="137">
        <v>4.0</v>
      </c>
      <c r="H358" s="137">
        <v>2.0</v>
      </c>
      <c r="I358" s="137">
        <v>0.0</v>
      </c>
      <c r="J358" s="137">
        <v>0.0</v>
      </c>
      <c r="K358" s="137">
        <v>2.0</v>
      </c>
      <c r="L358" s="137">
        <v>6.0</v>
      </c>
      <c r="M358" s="137">
        <v>8.0</v>
      </c>
      <c r="N358" s="137">
        <v>2.0</v>
      </c>
      <c r="O358" s="137">
        <v>22.0</v>
      </c>
      <c r="P358" s="137">
        <v>4.0</v>
      </c>
      <c r="Q358" s="137">
        <v>26.0</v>
      </c>
      <c r="R358" s="137">
        <v>6.0</v>
      </c>
      <c r="S358" s="137">
        <v>32.0</v>
      </c>
      <c r="T358" s="137">
        <v>2.0</v>
      </c>
      <c r="U358" s="137">
        <v>20.0</v>
      </c>
      <c r="V358" s="137">
        <v>10.0</v>
      </c>
      <c r="W358" s="137">
        <v>40.0</v>
      </c>
      <c r="X358" s="137">
        <v>8.0</v>
      </c>
      <c r="Y358" s="137">
        <v>42.0</v>
      </c>
      <c r="Z358" s="137">
        <v>32.0</v>
      </c>
      <c r="AA358" s="137">
        <v>56.0</v>
      </c>
      <c r="AB358" s="137">
        <v>42.0</v>
      </c>
      <c r="AC358" s="137">
        <v>88.0</v>
      </c>
      <c r="AD358" s="137">
        <v>18.0</v>
      </c>
      <c r="AE358" s="137">
        <v>90.0</v>
      </c>
      <c r="AF358" s="137">
        <v>30.0</v>
      </c>
      <c r="AG358" s="137">
        <v>52.0</v>
      </c>
      <c r="AH358" s="137">
        <v>36.0</v>
      </c>
      <c r="AI358" s="137">
        <v>64.0</v>
      </c>
      <c r="AJ358" s="137">
        <v>14.0</v>
      </c>
      <c r="AK358" s="137">
        <v>34.0</v>
      </c>
      <c r="AL358" s="137">
        <v>4.0</v>
      </c>
      <c r="AM358" s="137">
        <v>34.0</v>
      </c>
      <c r="AN358" s="137">
        <v>834.0</v>
      </c>
    </row>
    <row r="359">
      <c r="A359" s="104"/>
      <c r="B359" s="136" t="s">
        <v>201</v>
      </c>
      <c r="C359" s="137">
        <v>512.0</v>
      </c>
      <c r="D359" s="137">
        <v>280.0</v>
      </c>
      <c r="E359" s="137">
        <v>232.0</v>
      </c>
      <c r="F359" s="137">
        <v>2.0</v>
      </c>
      <c r="G359" s="137">
        <v>0.0</v>
      </c>
      <c r="H359" s="137">
        <v>42.0</v>
      </c>
      <c r="I359" s="137">
        <v>0.0</v>
      </c>
      <c r="J359" s="137">
        <v>0.0</v>
      </c>
      <c r="K359" s="137">
        <v>0.0</v>
      </c>
      <c r="L359" s="137">
        <v>6.0</v>
      </c>
      <c r="M359" s="137">
        <v>0.0</v>
      </c>
      <c r="N359" s="137">
        <v>8.0</v>
      </c>
      <c r="O359" s="137">
        <v>28.0</v>
      </c>
      <c r="P359" s="137">
        <v>54.0</v>
      </c>
      <c r="Q359" s="137">
        <v>2.0</v>
      </c>
      <c r="R359" s="137">
        <v>2.0</v>
      </c>
      <c r="S359" s="137">
        <v>22.0</v>
      </c>
      <c r="T359" s="137">
        <v>0.0</v>
      </c>
      <c r="U359" s="137">
        <v>8.0</v>
      </c>
      <c r="V359" s="137">
        <v>42.0</v>
      </c>
      <c r="W359" s="137">
        <v>8.0</v>
      </c>
      <c r="X359" s="137">
        <v>2.0</v>
      </c>
      <c r="Y359" s="137">
        <v>10.0</v>
      </c>
      <c r="Z359" s="137">
        <v>18.0</v>
      </c>
      <c r="AA359" s="137">
        <v>14.0</v>
      </c>
      <c r="AB359" s="137">
        <v>38.0</v>
      </c>
      <c r="AC359" s="137">
        <v>16.0</v>
      </c>
      <c r="AD359" s="137">
        <v>12.0</v>
      </c>
      <c r="AE359" s="137">
        <v>86.0</v>
      </c>
      <c r="AF359" s="137">
        <v>38.0</v>
      </c>
      <c r="AG359" s="137">
        <v>20.0</v>
      </c>
      <c r="AH359" s="137">
        <v>8.0</v>
      </c>
      <c r="AI359" s="137">
        <v>6.0</v>
      </c>
      <c r="AJ359" s="137">
        <v>2.0</v>
      </c>
      <c r="AK359" s="137">
        <v>8.0</v>
      </c>
      <c r="AL359" s="137">
        <v>6.0</v>
      </c>
      <c r="AM359" s="137">
        <v>4.0</v>
      </c>
      <c r="AN359" s="137">
        <v>512.0</v>
      </c>
    </row>
    <row r="360">
      <c r="A360" s="132" t="s">
        <v>208</v>
      </c>
      <c r="B360" s="136" t="s">
        <v>198</v>
      </c>
      <c r="C360" s="137">
        <v>868.0</v>
      </c>
      <c r="D360" s="137">
        <v>476.0</v>
      </c>
      <c r="E360" s="137">
        <v>392.0</v>
      </c>
      <c r="F360" s="137">
        <v>178.0</v>
      </c>
      <c r="G360" s="137">
        <v>190.0</v>
      </c>
      <c r="H360" s="137">
        <v>174.0</v>
      </c>
      <c r="I360" s="137">
        <v>110.0</v>
      </c>
      <c r="J360" s="137">
        <v>96.0</v>
      </c>
      <c r="K360" s="137">
        <v>70.0</v>
      </c>
      <c r="L360" s="137">
        <v>24.0</v>
      </c>
      <c r="M360" s="137">
        <v>18.0</v>
      </c>
      <c r="N360" s="137">
        <v>4.0</v>
      </c>
      <c r="O360" s="137">
        <v>4.0</v>
      </c>
      <c r="P360" s="135">
        <v>0.0</v>
      </c>
      <c r="Q360" s="135">
        <v>0.0</v>
      </c>
      <c r="R360" s="135">
        <v>0.0</v>
      </c>
      <c r="S360" s="135">
        <v>0.0</v>
      </c>
      <c r="T360" s="135">
        <v>0.0</v>
      </c>
      <c r="U360" s="135">
        <v>0.0</v>
      </c>
      <c r="V360" s="135">
        <v>0.0</v>
      </c>
      <c r="W360" s="135">
        <v>0.0</v>
      </c>
      <c r="X360" s="135">
        <v>0.0</v>
      </c>
      <c r="Y360" s="135">
        <v>0.0</v>
      </c>
      <c r="Z360" s="135">
        <v>0.0</v>
      </c>
      <c r="AA360" s="135">
        <v>0.0</v>
      </c>
      <c r="AB360" s="135">
        <v>0.0</v>
      </c>
      <c r="AC360" s="135">
        <v>0.0</v>
      </c>
      <c r="AD360" s="135">
        <v>0.0</v>
      </c>
      <c r="AE360" s="135">
        <v>0.0</v>
      </c>
      <c r="AF360" s="135">
        <v>0.0</v>
      </c>
      <c r="AG360" s="135">
        <v>0.0</v>
      </c>
      <c r="AH360" s="135">
        <v>0.0</v>
      </c>
      <c r="AI360" s="135">
        <v>0.0</v>
      </c>
      <c r="AJ360" s="135">
        <v>0.0</v>
      </c>
      <c r="AK360" s="135">
        <v>0.0</v>
      </c>
      <c r="AL360" s="135">
        <v>0.0</v>
      </c>
      <c r="AM360" s="135">
        <v>0.0</v>
      </c>
      <c r="AN360" s="137">
        <v>868.0</v>
      </c>
    </row>
    <row r="361">
      <c r="A361" s="98"/>
      <c r="B361" s="136" t="s">
        <v>199</v>
      </c>
      <c r="C361" s="137">
        <v>90.0</v>
      </c>
      <c r="D361" s="137">
        <v>34.0</v>
      </c>
      <c r="E361" s="137">
        <v>56.0</v>
      </c>
      <c r="F361" s="137">
        <v>6.0</v>
      </c>
      <c r="G361" s="137">
        <v>22.0</v>
      </c>
      <c r="H361" s="137">
        <v>12.0</v>
      </c>
      <c r="I361" s="137">
        <v>30.0</v>
      </c>
      <c r="J361" s="137">
        <v>14.0</v>
      </c>
      <c r="K361" s="137">
        <v>0.0</v>
      </c>
      <c r="L361" s="137">
        <v>0.0</v>
      </c>
      <c r="M361" s="137">
        <v>2.0</v>
      </c>
      <c r="N361" s="137">
        <v>2.0</v>
      </c>
      <c r="O361" s="137">
        <v>2.0</v>
      </c>
      <c r="P361" s="135">
        <v>0.0</v>
      </c>
      <c r="Q361" s="135">
        <v>0.0</v>
      </c>
      <c r="R361" s="135">
        <v>0.0</v>
      </c>
      <c r="S361" s="135">
        <v>0.0</v>
      </c>
      <c r="T361" s="135">
        <v>0.0</v>
      </c>
      <c r="U361" s="135">
        <v>0.0</v>
      </c>
      <c r="V361" s="135">
        <v>0.0</v>
      </c>
      <c r="W361" s="135">
        <v>0.0</v>
      </c>
      <c r="X361" s="135">
        <v>0.0</v>
      </c>
      <c r="Y361" s="135">
        <v>0.0</v>
      </c>
      <c r="Z361" s="135">
        <v>0.0</v>
      </c>
      <c r="AA361" s="135">
        <v>0.0</v>
      </c>
      <c r="AB361" s="135">
        <v>0.0</v>
      </c>
      <c r="AC361" s="135">
        <v>0.0</v>
      </c>
      <c r="AD361" s="135">
        <v>0.0</v>
      </c>
      <c r="AE361" s="135">
        <v>0.0</v>
      </c>
      <c r="AF361" s="135">
        <v>0.0</v>
      </c>
      <c r="AG361" s="135">
        <v>0.0</v>
      </c>
      <c r="AH361" s="135">
        <v>0.0</v>
      </c>
      <c r="AI361" s="135">
        <v>0.0</v>
      </c>
      <c r="AJ361" s="135">
        <v>0.0</v>
      </c>
      <c r="AK361" s="135">
        <v>0.0</v>
      </c>
      <c r="AL361" s="135">
        <v>0.0</v>
      </c>
      <c r="AM361" s="135">
        <v>0.0</v>
      </c>
      <c r="AN361" s="137">
        <v>90.0</v>
      </c>
    </row>
    <row r="362">
      <c r="A362" s="98"/>
      <c r="B362" s="136" t="s">
        <v>206</v>
      </c>
      <c r="C362" s="137">
        <v>134.0</v>
      </c>
      <c r="D362" s="137">
        <v>20.0</v>
      </c>
      <c r="E362" s="137">
        <v>114.0</v>
      </c>
      <c r="F362" s="137">
        <v>0.0</v>
      </c>
      <c r="G362" s="137">
        <v>2.0</v>
      </c>
      <c r="H362" s="137">
        <v>0.0</v>
      </c>
      <c r="I362" s="137">
        <v>0.0</v>
      </c>
      <c r="J362" s="137">
        <v>2.0</v>
      </c>
      <c r="K362" s="137">
        <v>12.0</v>
      </c>
      <c r="L362" s="137">
        <v>8.0</v>
      </c>
      <c r="M362" s="137">
        <v>34.0</v>
      </c>
      <c r="N362" s="137">
        <v>10.0</v>
      </c>
      <c r="O362" s="137">
        <v>66.0</v>
      </c>
      <c r="P362" s="135">
        <v>0.0</v>
      </c>
      <c r="Q362" s="135">
        <v>0.0</v>
      </c>
      <c r="R362" s="135">
        <v>0.0</v>
      </c>
      <c r="S362" s="135">
        <v>0.0</v>
      </c>
      <c r="T362" s="135">
        <v>0.0</v>
      </c>
      <c r="U362" s="135">
        <v>0.0</v>
      </c>
      <c r="V362" s="135">
        <v>0.0</v>
      </c>
      <c r="W362" s="135">
        <v>0.0</v>
      </c>
      <c r="X362" s="135">
        <v>0.0</v>
      </c>
      <c r="Y362" s="135">
        <v>0.0</v>
      </c>
      <c r="Z362" s="135">
        <v>0.0</v>
      </c>
      <c r="AA362" s="135">
        <v>0.0</v>
      </c>
      <c r="AB362" s="135">
        <v>0.0</v>
      </c>
      <c r="AC362" s="135">
        <v>0.0</v>
      </c>
      <c r="AD362" s="135">
        <v>0.0</v>
      </c>
      <c r="AE362" s="135">
        <v>0.0</v>
      </c>
      <c r="AF362" s="135">
        <v>0.0</v>
      </c>
      <c r="AG362" s="135">
        <v>0.0</v>
      </c>
      <c r="AH362" s="135">
        <v>0.0</v>
      </c>
      <c r="AI362" s="135">
        <v>0.0</v>
      </c>
      <c r="AJ362" s="135">
        <v>0.0</v>
      </c>
      <c r="AK362" s="135">
        <v>0.0</v>
      </c>
      <c r="AL362" s="135">
        <v>0.0</v>
      </c>
      <c r="AM362" s="135">
        <v>0.0</v>
      </c>
      <c r="AN362" s="137">
        <v>134.0</v>
      </c>
    </row>
    <row r="363">
      <c r="A363" s="98"/>
      <c r="B363" s="136" t="s">
        <v>200</v>
      </c>
      <c r="C363" s="137">
        <v>76.0</v>
      </c>
      <c r="D363" s="137">
        <v>40.0</v>
      </c>
      <c r="E363" s="137">
        <v>36.0</v>
      </c>
      <c r="F363" s="137">
        <v>8.0</v>
      </c>
      <c r="G363" s="137">
        <v>22.0</v>
      </c>
      <c r="H363" s="137">
        <v>26.0</v>
      </c>
      <c r="I363" s="137">
        <v>12.0</v>
      </c>
      <c r="J363" s="137">
        <v>6.0</v>
      </c>
      <c r="K363" s="137">
        <v>0.0</v>
      </c>
      <c r="L363" s="137">
        <v>0.0</v>
      </c>
      <c r="M363" s="137">
        <v>0.0</v>
      </c>
      <c r="N363" s="137">
        <v>0.0</v>
      </c>
      <c r="O363" s="137">
        <v>2.0</v>
      </c>
      <c r="P363" s="135">
        <v>0.0</v>
      </c>
      <c r="Q363" s="135">
        <v>0.0</v>
      </c>
      <c r="R363" s="135">
        <v>0.0</v>
      </c>
      <c r="S363" s="135">
        <v>0.0</v>
      </c>
      <c r="T363" s="135">
        <v>0.0</v>
      </c>
      <c r="U363" s="135">
        <v>0.0</v>
      </c>
      <c r="V363" s="135">
        <v>0.0</v>
      </c>
      <c r="W363" s="135">
        <v>0.0</v>
      </c>
      <c r="X363" s="135">
        <v>0.0</v>
      </c>
      <c r="Y363" s="135">
        <v>0.0</v>
      </c>
      <c r="Z363" s="135">
        <v>0.0</v>
      </c>
      <c r="AA363" s="135">
        <v>0.0</v>
      </c>
      <c r="AB363" s="135">
        <v>0.0</v>
      </c>
      <c r="AC363" s="135">
        <v>0.0</v>
      </c>
      <c r="AD363" s="135">
        <v>0.0</v>
      </c>
      <c r="AE363" s="135">
        <v>0.0</v>
      </c>
      <c r="AF363" s="135">
        <v>0.0</v>
      </c>
      <c r="AG363" s="135">
        <v>0.0</v>
      </c>
      <c r="AH363" s="135">
        <v>0.0</v>
      </c>
      <c r="AI363" s="135">
        <v>0.0</v>
      </c>
      <c r="AJ363" s="135">
        <v>0.0</v>
      </c>
      <c r="AK363" s="135">
        <v>0.0</v>
      </c>
      <c r="AL363" s="135">
        <v>0.0</v>
      </c>
      <c r="AM363" s="135">
        <v>0.0</v>
      </c>
      <c r="AN363" s="137">
        <v>76.0</v>
      </c>
    </row>
    <row r="364">
      <c r="A364" s="104"/>
      <c r="B364" s="136" t="s">
        <v>201</v>
      </c>
      <c r="C364" s="137">
        <v>0.0</v>
      </c>
      <c r="D364" s="137">
        <v>0.0</v>
      </c>
      <c r="E364" s="137">
        <v>0.0</v>
      </c>
      <c r="F364" s="137">
        <v>0.0</v>
      </c>
      <c r="G364" s="137">
        <v>0.0</v>
      </c>
      <c r="H364" s="137">
        <v>0.0</v>
      </c>
      <c r="I364" s="137">
        <v>0.0</v>
      </c>
      <c r="J364" s="137">
        <v>0.0</v>
      </c>
      <c r="K364" s="137">
        <v>0.0</v>
      </c>
      <c r="L364" s="137">
        <v>0.0</v>
      </c>
      <c r="M364" s="137">
        <v>0.0</v>
      </c>
      <c r="N364" s="137">
        <v>0.0</v>
      </c>
      <c r="O364" s="137">
        <v>0.0</v>
      </c>
      <c r="P364" s="135">
        <v>0.0</v>
      </c>
      <c r="Q364" s="135">
        <v>0.0</v>
      </c>
      <c r="R364" s="135">
        <v>0.0</v>
      </c>
      <c r="S364" s="135">
        <v>0.0</v>
      </c>
      <c r="T364" s="135">
        <v>0.0</v>
      </c>
      <c r="U364" s="135">
        <v>0.0</v>
      </c>
      <c r="V364" s="135">
        <v>0.0</v>
      </c>
      <c r="W364" s="135">
        <v>0.0</v>
      </c>
      <c r="X364" s="135">
        <v>0.0</v>
      </c>
      <c r="Y364" s="135">
        <v>0.0</v>
      </c>
      <c r="Z364" s="135">
        <v>0.0</v>
      </c>
      <c r="AA364" s="135">
        <v>0.0</v>
      </c>
      <c r="AB364" s="135">
        <v>0.0</v>
      </c>
      <c r="AC364" s="135">
        <v>0.0</v>
      </c>
      <c r="AD364" s="135">
        <v>0.0</v>
      </c>
      <c r="AE364" s="135">
        <v>0.0</v>
      </c>
      <c r="AF364" s="135">
        <v>0.0</v>
      </c>
      <c r="AG364" s="135">
        <v>0.0</v>
      </c>
      <c r="AH364" s="135">
        <v>0.0</v>
      </c>
      <c r="AI364" s="135">
        <v>0.0</v>
      </c>
      <c r="AJ364" s="135">
        <v>0.0</v>
      </c>
      <c r="AK364" s="135">
        <v>0.0</v>
      </c>
      <c r="AL364" s="135">
        <v>0.0</v>
      </c>
      <c r="AM364" s="135">
        <v>0.0</v>
      </c>
      <c r="AN364" s="137">
        <v>0.0</v>
      </c>
    </row>
    <row r="365">
      <c r="A365" s="138" t="s">
        <v>254</v>
      </c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</row>
    <row r="366">
      <c r="A366" s="132" t="s">
        <v>197</v>
      </c>
      <c r="B366" s="133" t="s">
        <v>198</v>
      </c>
      <c r="C366" s="134">
        <v>429524.0</v>
      </c>
      <c r="D366" s="134">
        <v>160178.0</v>
      </c>
      <c r="E366" s="134">
        <v>269346.0</v>
      </c>
      <c r="F366" s="135">
        <v>0.0</v>
      </c>
      <c r="G366" s="135">
        <v>0.0</v>
      </c>
      <c r="H366" s="135">
        <v>0.0</v>
      </c>
      <c r="I366" s="135">
        <v>0.0</v>
      </c>
      <c r="J366" s="135">
        <v>0.0</v>
      </c>
      <c r="K366" s="135">
        <v>0.0</v>
      </c>
      <c r="L366" s="137">
        <v>252.0</v>
      </c>
      <c r="M366" s="137">
        <v>428.0</v>
      </c>
      <c r="N366" s="137">
        <v>374.0</v>
      </c>
      <c r="O366" s="137">
        <v>904.0</v>
      </c>
      <c r="P366" s="137">
        <v>886.0</v>
      </c>
      <c r="Q366" s="134">
        <v>2016.0</v>
      </c>
      <c r="R366" s="134">
        <v>1550.0</v>
      </c>
      <c r="S366" s="134">
        <v>3776.0</v>
      </c>
      <c r="T366" s="134">
        <v>2918.0</v>
      </c>
      <c r="U366" s="134">
        <v>5772.0</v>
      </c>
      <c r="V366" s="134">
        <v>4452.0</v>
      </c>
      <c r="W366" s="134">
        <v>10522.0</v>
      </c>
      <c r="X366" s="134">
        <v>7914.0</v>
      </c>
      <c r="Y366" s="134">
        <v>17888.0</v>
      </c>
      <c r="Z366" s="134">
        <v>14068.0</v>
      </c>
      <c r="AA366" s="134">
        <v>29590.0</v>
      </c>
      <c r="AB366" s="134">
        <v>19364.0</v>
      </c>
      <c r="AC366" s="134">
        <v>36422.0</v>
      </c>
      <c r="AD366" s="134">
        <v>22292.0</v>
      </c>
      <c r="AE366" s="134">
        <v>37660.0</v>
      </c>
      <c r="AF366" s="134">
        <v>24128.0</v>
      </c>
      <c r="AG366" s="134">
        <v>36636.0</v>
      </c>
      <c r="AH366" s="134">
        <v>23694.0</v>
      </c>
      <c r="AI366" s="134">
        <v>33504.0</v>
      </c>
      <c r="AJ366" s="134">
        <v>18194.0</v>
      </c>
      <c r="AK366" s="134">
        <v>24992.0</v>
      </c>
      <c r="AL366" s="134">
        <v>20092.0</v>
      </c>
      <c r="AM366" s="134">
        <v>29236.0</v>
      </c>
      <c r="AN366" s="134">
        <v>426904.0</v>
      </c>
    </row>
    <row r="367">
      <c r="A367" s="98"/>
      <c r="B367" s="136" t="s">
        <v>199</v>
      </c>
      <c r="C367" s="134">
        <v>145652.0</v>
      </c>
      <c r="D367" s="134">
        <v>54500.0</v>
      </c>
      <c r="E367" s="134">
        <v>91152.0</v>
      </c>
      <c r="F367" s="135">
        <v>0.0</v>
      </c>
      <c r="G367" s="135">
        <v>0.0</v>
      </c>
      <c r="H367" s="135">
        <v>0.0</v>
      </c>
      <c r="I367" s="135">
        <v>0.0</v>
      </c>
      <c r="J367" s="135">
        <v>0.0</v>
      </c>
      <c r="K367" s="135">
        <v>0.0</v>
      </c>
      <c r="L367" s="137">
        <v>52.0</v>
      </c>
      <c r="M367" s="137">
        <v>102.0</v>
      </c>
      <c r="N367" s="137">
        <v>64.0</v>
      </c>
      <c r="O367" s="137">
        <v>214.0</v>
      </c>
      <c r="P367" s="137">
        <v>186.0</v>
      </c>
      <c r="Q367" s="137">
        <v>478.0</v>
      </c>
      <c r="R367" s="137">
        <v>422.0</v>
      </c>
      <c r="S367" s="137">
        <v>940.0</v>
      </c>
      <c r="T367" s="137">
        <v>772.0</v>
      </c>
      <c r="U367" s="134">
        <v>1634.0</v>
      </c>
      <c r="V367" s="134">
        <v>1368.0</v>
      </c>
      <c r="W367" s="134">
        <v>3222.0</v>
      </c>
      <c r="X367" s="134">
        <v>2296.0</v>
      </c>
      <c r="Y367" s="134">
        <v>5504.0</v>
      </c>
      <c r="Z367" s="134">
        <v>4314.0</v>
      </c>
      <c r="AA367" s="134">
        <v>9076.0</v>
      </c>
      <c r="AB367" s="134">
        <v>5872.0</v>
      </c>
      <c r="AC367" s="134">
        <v>11442.0</v>
      </c>
      <c r="AD367" s="134">
        <v>7290.0</v>
      </c>
      <c r="AE367" s="134">
        <v>12560.0</v>
      </c>
      <c r="AF367" s="134">
        <v>9028.0</v>
      </c>
      <c r="AG367" s="134">
        <v>13778.0</v>
      </c>
      <c r="AH367" s="134">
        <v>8754.0</v>
      </c>
      <c r="AI367" s="134">
        <v>12686.0</v>
      </c>
      <c r="AJ367" s="134">
        <v>6856.0</v>
      </c>
      <c r="AK367" s="134">
        <v>8912.0</v>
      </c>
      <c r="AL367" s="134">
        <v>7226.0</v>
      </c>
      <c r="AM367" s="134">
        <v>10604.0</v>
      </c>
      <c r="AN367" s="134">
        <v>141542.0</v>
      </c>
    </row>
    <row r="368">
      <c r="A368" s="98"/>
      <c r="B368" s="136" t="s">
        <v>200</v>
      </c>
      <c r="C368" s="134">
        <v>118160.0</v>
      </c>
      <c r="D368" s="134">
        <v>40060.0</v>
      </c>
      <c r="E368" s="134">
        <v>78100.0</v>
      </c>
      <c r="F368" s="135">
        <v>0.0</v>
      </c>
      <c r="G368" s="135">
        <v>0.0</v>
      </c>
      <c r="H368" s="135">
        <v>0.0</v>
      </c>
      <c r="I368" s="135">
        <v>0.0</v>
      </c>
      <c r="J368" s="135">
        <v>0.0</v>
      </c>
      <c r="K368" s="135">
        <v>0.0</v>
      </c>
      <c r="L368" s="137">
        <v>196.0</v>
      </c>
      <c r="M368" s="137">
        <v>356.0</v>
      </c>
      <c r="N368" s="137">
        <v>280.0</v>
      </c>
      <c r="O368" s="137">
        <v>588.0</v>
      </c>
      <c r="P368" s="137">
        <v>438.0</v>
      </c>
      <c r="Q368" s="134">
        <v>1030.0</v>
      </c>
      <c r="R368" s="137">
        <v>606.0</v>
      </c>
      <c r="S368" s="134">
        <v>1672.0</v>
      </c>
      <c r="T368" s="137">
        <v>882.0</v>
      </c>
      <c r="U368" s="134">
        <v>2336.0</v>
      </c>
      <c r="V368" s="134">
        <v>1472.0</v>
      </c>
      <c r="W368" s="134">
        <v>3840.0</v>
      </c>
      <c r="X368" s="134">
        <v>2118.0</v>
      </c>
      <c r="Y368" s="134">
        <v>6060.0</v>
      </c>
      <c r="Z368" s="134">
        <v>3714.0</v>
      </c>
      <c r="AA368" s="134">
        <v>9256.0</v>
      </c>
      <c r="AB368" s="134">
        <v>4930.0</v>
      </c>
      <c r="AC368" s="134">
        <v>10610.0</v>
      </c>
      <c r="AD368" s="134">
        <v>5378.0</v>
      </c>
      <c r="AE368" s="134">
        <v>10676.0</v>
      </c>
      <c r="AF368" s="134">
        <v>5948.0</v>
      </c>
      <c r="AG368" s="134">
        <v>10230.0</v>
      </c>
      <c r="AH368" s="134">
        <v>5632.0</v>
      </c>
      <c r="AI368" s="134">
        <v>8984.0</v>
      </c>
      <c r="AJ368" s="134">
        <v>4292.0</v>
      </c>
      <c r="AK368" s="134">
        <v>6196.0</v>
      </c>
      <c r="AL368" s="134">
        <v>4174.0</v>
      </c>
      <c r="AM368" s="134">
        <v>6266.0</v>
      </c>
      <c r="AN368" s="134">
        <v>116490.0</v>
      </c>
    </row>
    <row r="369">
      <c r="A369" s="104"/>
      <c r="B369" s="136" t="s">
        <v>201</v>
      </c>
      <c r="C369" s="134">
        <v>89496.0</v>
      </c>
      <c r="D369" s="134">
        <v>30562.0</v>
      </c>
      <c r="E369" s="134">
        <v>58934.0</v>
      </c>
      <c r="F369" s="135">
        <v>0.0</v>
      </c>
      <c r="G369" s="135">
        <v>0.0</v>
      </c>
      <c r="H369" s="135">
        <v>0.0</v>
      </c>
      <c r="I369" s="135">
        <v>0.0</v>
      </c>
      <c r="J369" s="135">
        <v>0.0</v>
      </c>
      <c r="K369" s="135">
        <v>0.0</v>
      </c>
      <c r="L369" s="137">
        <v>4.0</v>
      </c>
      <c r="M369" s="137">
        <v>26.0</v>
      </c>
      <c r="N369" s="137">
        <v>20.0</v>
      </c>
      <c r="O369" s="137">
        <v>78.0</v>
      </c>
      <c r="P369" s="137">
        <v>152.0</v>
      </c>
      <c r="Q369" s="137">
        <v>392.0</v>
      </c>
      <c r="R369" s="137">
        <v>170.0</v>
      </c>
      <c r="S369" s="137">
        <v>528.0</v>
      </c>
      <c r="T369" s="137">
        <v>492.0</v>
      </c>
      <c r="U369" s="134">
        <v>1020.0</v>
      </c>
      <c r="V369" s="137">
        <v>626.0</v>
      </c>
      <c r="W369" s="134">
        <v>1818.0</v>
      </c>
      <c r="X369" s="134">
        <v>1242.0</v>
      </c>
      <c r="Y369" s="134">
        <v>3588.0</v>
      </c>
      <c r="Z369" s="134">
        <v>2640.0</v>
      </c>
      <c r="AA369" s="134">
        <v>6678.0</v>
      </c>
      <c r="AB369" s="134">
        <v>3470.0</v>
      </c>
      <c r="AC369" s="134">
        <v>8472.0</v>
      </c>
      <c r="AD369" s="134">
        <v>4266.0</v>
      </c>
      <c r="AE369" s="134">
        <v>8460.0</v>
      </c>
      <c r="AF369" s="134">
        <v>4348.0</v>
      </c>
      <c r="AG369" s="134">
        <v>8700.0</v>
      </c>
      <c r="AH369" s="134">
        <v>5158.0</v>
      </c>
      <c r="AI369" s="134">
        <v>7576.0</v>
      </c>
      <c r="AJ369" s="134">
        <v>3644.0</v>
      </c>
      <c r="AK369" s="134">
        <v>4934.0</v>
      </c>
      <c r="AL369" s="134">
        <v>4330.0</v>
      </c>
      <c r="AM369" s="134">
        <v>6664.0</v>
      </c>
      <c r="AN369" s="134">
        <v>89138.0</v>
      </c>
    </row>
    <row r="370">
      <c r="A370" s="132" t="s">
        <v>202</v>
      </c>
      <c r="B370" s="136" t="s">
        <v>198</v>
      </c>
      <c r="C370" s="134">
        <v>1106.0</v>
      </c>
      <c r="D370" s="137">
        <v>618.0</v>
      </c>
      <c r="E370" s="137">
        <v>488.0</v>
      </c>
      <c r="F370" s="137">
        <v>8.0</v>
      </c>
      <c r="G370" s="137">
        <v>6.0</v>
      </c>
      <c r="H370" s="137">
        <v>4.0</v>
      </c>
      <c r="I370" s="137">
        <v>2.0</v>
      </c>
      <c r="J370" s="137">
        <v>2.0</v>
      </c>
      <c r="K370" s="137">
        <v>2.0</v>
      </c>
      <c r="L370" s="137">
        <v>2.0</v>
      </c>
      <c r="M370" s="137">
        <v>18.0</v>
      </c>
      <c r="N370" s="137">
        <v>34.0</v>
      </c>
      <c r="O370" s="137">
        <v>14.0</v>
      </c>
      <c r="P370" s="137">
        <v>42.0</v>
      </c>
      <c r="Q370" s="137">
        <v>14.0</v>
      </c>
      <c r="R370" s="137">
        <v>28.0</v>
      </c>
      <c r="S370" s="137">
        <v>2.0</v>
      </c>
      <c r="T370" s="137">
        <v>22.0</v>
      </c>
      <c r="U370" s="137">
        <v>38.0</v>
      </c>
      <c r="V370" s="137">
        <v>40.0</v>
      </c>
      <c r="W370" s="137">
        <v>20.0</v>
      </c>
      <c r="X370" s="137">
        <v>22.0</v>
      </c>
      <c r="Y370" s="137">
        <v>40.0</v>
      </c>
      <c r="Z370" s="137">
        <v>54.0</v>
      </c>
      <c r="AA370" s="137">
        <v>46.0</v>
      </c>
      <c r="AB370" s="137">
        <v>62.0</v>
      </c>
      <c r="AC370" s="137">
        <v>50.0</v>
      </c>
      <c r="AD370" s="137">
        <v>74.0</v>
      </c>
      <c r="AE370" s="137">
        <v>54.0</v>
      </c>
      <c r="AF370" s="137">
        <v>72.0</v>
      </c>
      <c r="AG370" s="137">
        <v>68.0</v>
      </c>
      <c r="AH370" s="137">
        <v>56.0</v>
      </c>
      <c r="AI370" s="137">
        <v>44.0</v>
      </c>
      <c r="AJ370" s="137">
        <v>48.0</v>
      </c>
      <c r="AK370" s="137">
        <v>28.0</v>
      </c>
      <c r="AL370" s="137">
        <v>48.0</v>
      </c>
      <c r="AM370" s="137">
        <v>42.0</v>
      </c>
      <c r="AN370" s="137">
        <v>998.0</v>
      </c>
    </row>
    <row r="371">
      <c r="A371" s="104"/>
      <c r="B371" s="136" t="s">
        <v>199</v>
      </c>
      <c r="C371" s="137">
        <v>360.0</v>
      </c>
      <c r="D371" s="137">
        <v>230.0</v>
      </c>
      <c r="E371" s="137">
        <v>130.0</v>
      </c>
      <c r="F371" s="137">
        <v>2.0</v>
      </c>
      <c r="G371" s="137">
        <v>4.0</v>
      </c>
      <c r="H371" s="137">
        <v>0.0</v>
      </c>
      <c r="I371" s="137">
        <v>0.0</v>
      </c>
      <c r="J371" s="137">
        <v>0.0</v>
      </c>
      <c r="K371" s="137">
        <v>0.0</v>
      </c>
      <c r="L371" s="137">
        <v>8.0</v>
      </c>
      <c r="M371" s="137">
        <v>0.0</v>
      </c>
      <c r="N371" s="137">
        <v>14.0</v>
      </c>
      <c r="O371" s="137">
        <v>6.0</v>
      </c>
      <c r="P371" s="137">
        <v>18.0</v>
      </c>
      <c r="Q371" s="137">
        <v>12.0</v>
      </c>
      <c r="R371" s="137">
        <v>8.0</v>
      </c>
      <c r="S371" s="137">
        <v>2.0</v>
      </c>
      <c r="T371" s="137">
        <v>10.0</v>
      </c>
      <c r="U371" s="137">
        <v>18.0</v>
      </c>
      <c r="V371" s="137">
        <v>12.0</v>
      </c>
      <c r="W371" s="137">
        <v>8.0</v>
      </c>
      <c r="X371" s="137">
        <v>16.0</v>
      </c>
      <c r="Y371" s="137">
        <v>28.0</v>
      </c>
      <c r="Z371" s="137">
        <v>40.0</v>
      </c>
      <c r="AA371" s="137">
        <v>16.0</v>
      </c>
      <c r="AB371" s="137">
        <v>32.0</v>
      </c>
      <c r="AC371" s="137">
        <v>10.0</v>
      </c>
      <c r="AD371" s="137">
        <v>32.0</v>
      </c>
      <c r="AE371" s="137">
        <v>6.0</v>
      </c>
      <c r="AF371" s="137">
        <v>8.0</v>
      </c>
      <c r="AG371" s="137">
        <v>2.0</v>
      </c>
      <c r="AH371" s="137">
        <v>14.0</v>
      </c>
      <c r="AI371" s="137">
        <v>8.0</v>
      </c>
      <c r="AJ371" s="137">
        <v>12.0</v>
      </c>
      <c r="AK371" s="137">
        <v>8.0</v>
      </c>
      <c r="AL371" s="137">
        <v>4.0</v>
      </c>
      <c r="AM371" s="137">
        <v>2.0</v>
      </c>
      <c r="AN371" s="137">
        <v>332.0</v>
      </c>
    </row>
    <row r="372">
      <c r="A372" s="132" t="s">
        <v>203</v>
      </c>
      <c r="B372" s="136" t="s">
        <v>198</v>
      </c>
      <c r="C372" s="137">
        <v>30.0</v>
      </c>
      <c r="D372" s="137">
        <v>24.0</v>
      </c>
      <c r="E372" s="137">
        <v>6.0</v>
      </c>
      <c r="F372" s="135">
        <v>0.0</v>
      </c>
      <c r="G372" s="135">
        <v>0.0</v>
      </c>
      <c r="H372" s="135">
        <v>0.0</v>
      </c>
      <c r="I372" s="135">
        <v>0.0</v>
      </c>
      <c r="J372" s="135">
        <v>0.0</v>
      </c>
      <c r="K372" s="135">
        <v>0.0</v>
      </c>
      <c r="L372" s="135">
        <v>0.0</v>
      </c>
      <c r="M372" s="135">
        <v>0.0</v>
      </c>
      <c r="N372" s="135">
        <v>0.0</v>
      </c>
      <c r="O372" s="135">
        <v>0.0</v>
      </c>
      <c r="P372" s="135">
        <v>0.0</v>
      </c>
      <c r="Q372" s="135">
        <v>0.0</v>
      </c>
      <c r="R372" s="135">
        <v>0.0</v>
      </c>
      <c r="S372" s="135">
        <v>0.0</v>
      </c>
      <c r="T372" s="135">
        <v>0.0</v>
      </c>
      <c r="U372" s="135">
        <v>0.0</v>
      </c>
      <c r="V372" s="135">
        <v>0.0</v>
      </c>
      <c r="W372" s="135">
        <v>0.0</v>
      </c>
      <c r="X372" s="135">
        <v>0.0</v>
      </c>
      <c r="Y372" s="135">
        <v>0.0</v>
      </c>
      <c r="Z372" s="135">
        <v>0.0</v>
      </c>
      <c r="AA372" s="135">
        <v>0.0</v>
      </c>
      <c r="AB372" s="135">
        <v>0.0</v>
      </c>
      <c r="AC372" s="135">
        <v>0.0</v>
      </c>
      <c r="AD372" s="135">
        <v>0.0</v>
      </c>
      <c r="AE372" s="135">
        <v>0.0</v>
      </c>
      <c r="AF372" s="137">
        <v>8.0</v>
      </c>
      <c r="AG372" s="137">
        <v>4.0</v>
      </c>
      <c r="AH372" s="137">
        <v>4.0</v>
      </c>
      <c r="AI372" s="137">
        <v>0.0</v>
      </c>
      <c r="AJ372" s="137">
        <v>2.0</v>
      </c>
      <c r="AK372" s="137">
        <v>0.0</v>
      </c>
      <c r="AL372" s="137">
        <v>10.0</v>
      </c>
      <c r="AM372" s="137">
        <v>2.0</v>
      </c>
      <c r="AN372" s="137">
        <v>26.0</v>
      </c>
    </row>
    <row r="373">
      <c r="A373" s="104"/>
      <c r="B373" s="136" t="s">
        <v>199</v>
      </c>
      <c r="C373" s="134">
        <v>1444.0</v>
      </c>
      <c r="D373" s="137">
        <v>560.0</v>
      </c>
      <c r="E373" s="137">
        <v>884.0</v>
      </c>
      <c r="F373" s="135">
        <v>0.0</v>
      </c>
      <c r="G373" s="135">
        <v>0.0</v>
      </c>
      <c r="H373" s="135">
        <v>0.0</v>
      </c>
      <c r="I373" s="135">
        <v>0.0</v>
      </c>
      <c r="J373" s="135">
        <v>0.0</v>
      </c>
      <c r="K373" s="135">
        <v>0.0</v>
      </c>
      <c r="L373" s="135">
        <v>0.0</v>
      </c>
      <c r="M373" s="135">
        <v>0.0</v>
      </c>
      <c r="N373" s="135">
        <v>0.0</v>
      </c>
      <c r="O373" s="135">
        <v>0.0</v>
      </c>
      <c r="P373" s="135">
        <v>0.0</v>
      </c>
      <c r="Q373" s="135">
        <v>0.0</v>
      </c>
      <c r="R373" s="135">
        <v>0.0</v>
      </c>
      <c r="S373" s="135">
        <v>0.0</v>
      </c>
      <c r="T373" s="135">
        <v>0.0</v>
      </c>
      <c r="U373" s="135">
        <v>0.0</v>
      </c>
      <c r="V373" s="135">
        <v>0.0</v>
      </c>
      <c r="W373" s="135">
        <v>0.0</v>
      </c>
      <c r="X373" s="135">
        <v>0.0</v>
      </c>
      <c r="Y373" s="135">
        <v>0.0</v>
      </c>
      <c r="Z373" s="135">
        <v>0.0</v>
      </c>
      <c r="AA373" s="135">
        <v>0.0</v>
      </c>
      <c r="AB373" s="135">
        <v>0.0</v>
      </c>
      <c r="AC373" s="135">
        <v>0.0</v>
      </c>
      <c r="AD373" s="135">
        <v>0.0</v>
      </c>
      <c r="AE373" s="135">
        <v>0.0</v>
      </c>
      <c r="AF373" s="137">
        <v>152.0</v>
      </c>
      <c r="AG373" s="137">
        <v>266.0</v>
      </c>
      <c r="AH373" s="137">
        <v>176.0</v>
      </c>
      <c r="AI373" s="137">
        <v>248.0</v>
      </c>
      <c r="AJ373" s="137">
        <v>136.0</v>
      </c>
      <c r="AK373" s="137">
        <v>176.0</v>
      </c>
      <c r="AL373" s="137">
        <v>96.0</v>
      </c>
      <c r="AM373" s="137">
        <v>194.0</v>
      </c>
      <c r="AN373" s="134">
        <v>1436.0</v>
      </c>
    </row>
    <row r="374">
      <c r="A374" s="132" t="s">
        <v>204</v>
      </c>
      <c r="B374" s="136" t="s">
        <v>198</v>
      </c>
      <c r="C374" s="137">
        <v>72.0</v>
      </c>
      <c r="D374" s="137">
        <v>32.0</v>
      </c>
      <c r="E374" s="137">
        <v>40.0</v>
      </c>
      <c r="F374" s="135">
        <v>0.0</v>
      </c>
      <c r="G374" s="135">
        <v>0.0</v>
      </c>
      <c r="H374" s="135">
        <v>0.0</v>
      </c>
      <c r="I374" s="135">
        <v>0.0</v>
      </c>
      <c r="J374" s="135">
        <v>0.0</v>
      </c>
      <c r="K374" s="135">
        <v>0.0</v>
      </c>
      <c r="L374" s="135">
        <v>0.0</v>
      </c>
      <c r="M374" s="135">
        <v>0.0</v>
      </c>
      <c r="N374" s="135">
        <v>0.0</v>
      </c>
      <c r="O374" s="135">
        <v>0.0</v>
      </c>
      <c r="P374" s="135">
        <v>0.0</v>
      </c>
      <c r="Q374" s="135">
        <v>0.0</v>
      </c>
      <c r="R374" s="135">
        <v>0.0</v>
      </c>
      <c r="S374" s="135">
        <v>0.0</v>
      </c>
      <c r="T374" s="135">
        <v>0.0</v>
      </c>
      <c r="U374" s="135">
        <v>0.0</v>
      </c>
      <c r="V374" s="135">
        <v>0.0</v>
      </c>
      <c r="W374" s="135">
        <v>0.0</v>
      </c>
      <c r="X374" s="135">
        <v>0.0</v>
      </c>
      <c r="Y374" s="135">
        <v>0.0</v>
      </c>
      <c r="Z374" s="135">
        <v>0.0</v>
      </c>
      <c r="AA374" s="135">
        <v>0.0</v>
      </c>
      <c r="AB374" s="135">
        <v>0.0</v>
      </c>
      <c r="AC374" s="135">
        <v>0.0</v>
      </c>
      <c r="AD374" s="135">
        <v>0.0</v>
      </c>
      <c r="AE374" s="135">
        <v>0.0</v>
      </c>
      <c r="AF374" s="137">
        <v>10.0</v>
      </c>
      <c r="AG374" s="137">
        <v>10.0</v>
      </c>
      <c r="AH374" s="137">
        <v>2.0</v>
      </c>
      <c r="AI374" s="137">
        <v>8.0</v>
      </c>
      <c r="AJ374" s="137">
        <v>8.0</v>
      </c>
      <c r="AK374" s="137">
        <v>4.0</v>
      </c>
      <c r="AL374" s="137">
        <v>12.0</v>
      </c>
      <c r="AM374" s="137">
        <v>18.0</v>
      </c>
      <c r="AN374" s="137">
        <v>72.0</v>
      </c>
    </row>
    <row r="375">
      <c r="A375" s="104"/>
      <c r="B375" s="136" t="s">
        <v>199</v>
      </c>
      <c r="C375" s="134">
        <v>1060.0</v>
      </c>
      <c r="D375" s="137">
        <v>440.0</v>
      </c>
      <c r="E375" s="137">
        <v>620.0</v>
      </c>
      <c r="F375" s="135">
        <v>0.0</v>
      </c>
      <c r="G375" s="135">
        <v>0.0</v>
      </c>
      <c r="H375" s="135">
        <v>0.0</v>
      </c>
      <c r="I375" s="135">
        <v>0.0</v>
      </c>
      <c r="J375" s="135">
        <v>0.0</v>
      </c>
      <c r="K375" s="135">
        <v>0.0</v>
      </c>
      <c r="L375" s="135">
        <v>0.0</v>
      </c>
      <c r="M375" s="135">
        <v>0.0</v>
      </c>
      <c r="N375" s="135">
        <v>0.0</v>
      </c>
      <c r="O375" s="135">
        <v>0.0</v>
      </c>
      <c r="P375" s="135">
        <v>0.0</v>
      </c>
      <c r="Q375" s="135">
        <v>0.0</v>
      </c>
      <c r="R375" s="135">
        <v>0.0</v>
      </c>
      <c r="S375" s="135">
        <v>0.0</v>
      </c>
      <c r="T375" s="135">
        <v>0.0</v>
      </c>
      <c r="U375" s="135">
        <v>0.0</v>
      </c>
      <c r="V375" s="135">
        <v>0.0</v>
      </c>
      <c r="W375" s="135">
        <v>0.0</v>
      </c>
      <c r="X375" s="135">
        <v>0.0</v>
      </c>
      <c r="Y375" s="135">
        <v>0.0</v>
      </c>
      <c r="Z375" s="135">
        <v>0.0</v>
      </c>
      <c r="AA375" s="135">
        <v>0.0</v>
      </c>
      <c r="AB375" s="135">
        <v>0.0</v>
      </c>
      <c r="AC375" s="135">
        <v>0.0</v>
      </c>
      <c r="AD375" s="135">
        <v>0.0</v>
      </c>
      <c r="AE375" s="135">
        <v>0.0</v>
      </c>
      <c r="AF375" s="137">
        <v>62.0</v>
      </c>
      <c r="AG375" s="137">
        <v>78.0</v>
      </c>
      <c r="AH375" s="137">
        <v>90.0</v>
      </c>
      <c r="AI375" s="137">
        <v>120.0</v>
      </c>
      <c r="AJ375" s="137">
        <v>130.0</v>
      </c>
      <c r="AK375" s="137">
        <v>138.0</v>
      </c>
      <c r="AL375" s="137">
        <v>158.0</v>
      </c>
      <c r="AM375" s="137">
        <v>284.0</v>
      </c>
      <c r="AN375" s="134">
        <v>1052.0</v>
      </c>
    </row>
    <row r="376">
      <c r="A376" s="132" t="s">
        <v>205</v>
      </c>
      <c r="B376" s="136" t="s">
        <v>198</v>
      </c>
      <c r="C376" s="137">
        <v>106.0</v>
      </c>
      <c r="D376" s="137">
        <v>34.0</v>
      </c>
      <c r="E376" s="137">
        <v>72.0</v>
      </c>
      <c r="F376" s="137">
        <v>8.0</v>
      </c>
      <c r="G376" s="137">
        <v>8.0</v>
      </c>
      <c r="H376" s="137">
        <v>0.0</v>
      </c>
      <c r="I376" s="137">
        <v>2.0</v>
      </c>
      <c r="J376" s="137">
        <v>2.0</v>
      </c>
      <c r="K376" s="137">
        <v>2.0</v>
      </c>
      <c r="L376" s="137">
        <v>0.0</v>
      </c>
      <c r="M376" s="137">
        <v>8.0</v>
      </c>
      <c r="N376" s="137">
        <v>2.0</v>
      </c>
      <c r="O376" s="137">
        <v>2.0</v>
      </c>
      <c r="P376" s="137">
        <v>2.0</v>
      </c>
      <c r="Q376" s="137">
        <v>8.0</v>
      </c>
      <c r="R376" s="137">
        <v>2.0</v>
      </c>
      <c r="S376" s="137">
        <v>2.0</v>
      </c>
      <c r="T376" s="137">
        <v>0.0</v>
      </c>
      <c r="U376" s="137">
        <v>0.0</v>
      </c>
      <c r="V376" s="137">
        <v>0.0</v>
      </c>
      <c r="W376" s="137">
        <v>4.0</v>
      </c>
      <c r="X376" s="137">
        <v>0.0</v>
      </c>
      <c r="Y376" s="137">
        <v>8.0</v>
      </c>
      <c r="Z376" s="137">
        <v>2.0</v>
      </c>
      <c r="AA376" s="137">
        <v>4.0</v>
      </c>
      <c r="AB376" s="137">
        <v>2.0</v>
      </c>
      <c r="AC376" s="137">
        <v>8.0</v>
      </c>
      <c r="AD376" s="137">
        <v>4.0</v>
      </c>
      <c r="AE376" s="137">
        <v>4.0</v>
      </c>
      <c r="AF376" s="137">
        <v>2.0</v>
      </c>
      <c r="AG376" s="137">
        <v>2.0</v>
      </c>
      <c r="AH376" s="137">
        <v>2.0</v>
      </c>
      <c r="AI376" s="137">
        <v>2.0</v>
      </c>
      <c r="AJ376" s="137">
        <v>4.0</v>
      </c>
      <c r="AK376" s="137">
        <v>4.0</v>
      </c>
      <c r="AL376" s="137">
        <v>2.0</v>
      </c>
      <c r="AM376" s="137">
        <v>4.0</v>
      </c>
      <c r="AN376" s="137">
        <v>106.0</v>
      </c>
    </row>
    <row r="377">
      <c r="A377" s="98"/>
      <c r="B377" s="136" t="s">
        <v>199</v>
      </c>
      <c r="C377" s="137">
        <v>10.0</v>
      </c>
      <c r="D377" s="137">
        <v>2.0</v>
      </c>
      <c r="E377" s="137">
        <v>8.0</v>
      </c>
      <c r="F377" s="137">
        <v>2.0</v>
      </c>
      <c r="G377" s="137">
        <v>2.0</v>
      </c>
      <c r="H377" s="137">
        <v>0.0</v>
      </c>
      <c r="I377" s="137">
        <v>0.0</v>
      </c>
      <c r="J377" s="137">
        <v>0.0</v>
      </c>
      <c r="K377" s="137">
        <v>0.0</v>
      </c>
      <c r="L377" s="137">
        <v>0.0</v>
      </c>
      <c r="M377" s="137">
        <v>0.0</v>
      </c>
      <c r="N377" s="137">
        <v>0.0</v>
      </c>
      <c r="O377" s="137">
        <v>0.0</v>
      </c>
      <c r="P377" s="137">
        <v>0.0</v>
      </c>
      <c r="Q377" s="137">
        <v>0.0</v>
      </c>
      <c r="R377" s="137">
        <v>0.0</v>
      </c>
      <c r="S377" s="137">
        <v>0.0</v>
      </c>
      <c r="T377" s="137">
        <v>0.0</v>
      </c>
      <c r="U377" s="137">
        <v>0.0</v>
      </c>
      <c r="V377" s="137">
        <v>0.0</v>
      </c>
      <c r="W377" s="137">
        <v>0.0</v>
      </c>
      <c r="X377" s="137">
        <v>0.0</v>
      </c>
      <c r="Y377" s="137">
        <v>0.0</v>
      </c>
      <c r="Z377" s="137">
        <v>0.0</v>
      </c>
      <c r="AA377" s="137">
        <v>4.0</v>
      </c>
      <c r="AB377" s="137">
        <v>0.0</v>
      </c>
      <c r="AC377" s="137">
        <v>0.0</v>
      </c>
      <c r="AD377" s="137">
        <v>0.0</v>
      </c>
      <c r="AE377" s="137">
        <v>2.0</v>
      </c>
      <c r="AF377" s="137">
        <v>0.0</v>
      </c>
      <c r="AG377" s="137">
        <v>0.0</v>
      </c>
      <c r="AH377" s="137">
        <v>0.0</v>
      </c>
      <c r="AI377" s="137">
        <v>0.0</v>
      </c>
      <c r="AJ377" s="137">
        <v>0.0</v>
      </c>
      <c r="AK377" s="137">
        <v>0.0</v>
      </c>
      <c r="AL377" s="137">
        <v>0.0</v>
      </c>
      <c r="AM377" s="137">
        <v>0.0</v>
      </c>
      <c r="AN377" s="137">
        <v>4.0</v>
      </c>
    </row>
    <row r="378">
      <c r="A378" s="104"/>
      <c r="B378" s="136" t="s">
        <v>206</v>
      </c>
      <c r="C378" s="137">
        <v>932.0</v>
      </c>
      <c r="D378" s="137">
        <v>230.0</v>
      </c>
      <c r="E378" s="137">
        <v>702.0</v>
      </c>
      <c r="F378" s="137">
        <v>0.0</v>
      </c>
      <c r="G378" s="137">
        <v>0.0</v>
      </c>
      <c r="H378" s="137">
        <v>2.0</v>
      </c>
      <c r="I378" s="137">
        <v>2.0</v>
      </c>
      <c r="J378" s="137">
        <v>0.0</v>
      </c>
      <c r="K378" s="137">
        <v>4.0</v>
      </c>
      <c r="L378" s="137">
        <v>26.0</v>
      </c>
      <c r="M378" s="137">
        <v>66.0</v>
      </c>
      <c r="N378" s="137">
        <v>46.0</v>
      </c>
      <c r="O378" s="137">
        <v>90.0</v>
      </c>
      <c r="P378" s="137">
        <v>54.0</v>
      </c>
      <c r="Q378" s="137">
        <v>108.0</v>
      </c>
      <c r="R378" s="137">
        <v>22.0</v>
      </c>
      <c r="S378" s="137">
        <v>80.0</v>
      </c>
      <c r="T378" s="137">
        <v>16.0</v>
      </c>
      <c r="U378" s="137">
        <v>104.0</v>
      </c>
      <c r="V378" s="137">
        <v>16.0</v>
      </c>
      <c r="W378" s="137">
        <v>50.0</v>
      </c>
      <c r="X378" s="137">
        <v>10.0</v>
      </c>
      <c r="Y378" s="137">
        <v>40.0</v>
      </c>
      <c r="Z378" s="137">
        <v>22.0</v>
      </c>
      <c r="AA378" s="137">
        <v>66.0</v>
      </c>
      <c r="AB378" s="137">
        <v>2.0</v>
      </c>
      <c r="AC378" s="137">
        <v>70.0</v>
      </c>
      <c r="AD378" s="137">
        <v>2.0</v>
      </c>
      <c r="AE378" s="137">
        <v>8.0</v>
      </c>
      <c r="AF378" s="137">
        <v>0.0</v>
      </c>
      <c r="AG378" s="137">
        <v>0.0</v>
      </c>
      <c r="AH378" s="137">
        <v>10.0</v>
      </c>
      <c r="AI378" s="137">
        <v>8.0</v>
      </c>
      <c r="AJ378" s="137">
        <v>0.0</v>
      </c>
      <c r="AK378" s="137">
        <v>4.0</v>
      </c>
      <c r="AL378" s="137">
        <v>2.0</v>
      </c>
      <c r="AM378" s="137">
        <v>2.0</v>
      </c>
      <c r="AN378" s="137">
        <v>904.0</v>
      </c>
    </row>
    <row r="379">
      <c r="A379" s="132" t="s">
        <v>207</v>
      </c>
      <c r="B379" s="136" t="s">
        <v>198</v>
      </c>
      <c r="C379" s="134">
        <v>81352.0</v>
      </c>
      <c r="D379" s="134">
        <v>21036.0</v>
      </c>
      <c r="E379" s="134">
        <v>60316.0</v>
      </c>
      <c r="F379" s="137">
        <v>872.0</v>
      </c>
      <c r="G379" s="137">
        <v>706.0</v>
      </c>
      <c r="H379" s="137">
        <v>758.0</v>
      </c>
      <c r="I379" s="137">
        <v>674.0</v>
      </c>
      <c r="J379" s="137">
        <v>710.0</v>
      </c>
      <c r="K379" s="137">
        <v>606.0</v>
      </c>
      <c r="L379" s="137">
        <v>662.0</v>
      </c>
      <c r="M379" s="134">
        <v>1234.0</v>
      </c>
      <c r="N379" s="137">
        <v>476.0</v>
      </c>
      <c r="O379" s="134">
        <v>1580.0</v>
      </c>
      <c r="P379" s="137">
        <v>552.0</v>
      </c>
      <c r="Q379" s="134">
        <v>2378.0</v>
      </c>
      <c r="R379" s="137">
        <v>646.0</v>
      </c>
      <c r="S379" s="134">
        <v>2838.0</v>
      </c>
      <c r="T379" s="137">
        <v>694.0</v>
      </c>
      <c r="U379" s="134">
        <v>3404.0</v>
      </c>
      <c r="V379" s="137">
        <v>876.0</v>
      </c>
      <c r="W379" s="134">
        <v>4090.0</v>
      </c>
      <c r="X379" s="134">
        <v>1172.0</v>
      </c>
      <c r="Y379" s="134">
        <v>5130.0</v>
      </c>
      <c r="Z379" s="134">
        <v>1632.0</v>
      </c>
      <c r="AA379" s="134">
        <v>6614.0</v>
      </c>
      <c r="AB379" s="134">
        <v>1934.0</v>
      </c>
      <c r="AC379" s="134">
        <v>7420.0</v>
      </c>
      <c r="AD379" s="134">
        <v>2154.0</v>
      </c>
      <c r="AE379" s="134">
        <v>6618.0</v>
      </c>
      <c r="AF379" s="134">
        <v>2254.0</v>
      </c>
      <c r="AG379" s="134">
        <v>5510.0</v>
      </c>
      <c r="AH379" s="134">
        <v>2082.0</v>
      </c>
      <c r="AI379" s="134">
        <v>4612.0</v>
      </c>
      <c r="AJ379" s="134">
        <v>1742.0</v>
      </c>
      <c r="AK379" s="134">
        <v>3174.0</v>
      </c>
      <c r="AL379" s="134">
        <v>1820.0</v>
      </c>
      <c r="AM379" s="134">
        <v>3728.0</v>
      </c>
      <c r="AN379" s="134">
        <v>78904.0</v>
      </c>
    </row>
    <row r="380">
      <c r="A380" s="98"/>
      <c r="B380" s="136" t="s">
        <v>199</v>
      </c>
      <c r="C380" s="134">
        <v>8642.0</v>
      </c>
      <c r="D380" s="134">
        <v>2980.0</v>
      </c>
      <c r="E380" s="134">
        <v>5662.0</v>
      </c>
      <c r="F380" s="137">
        <v>36.0</v>
      </c>
      <c r="G380" s="137">
        <v>34.0</v>
      </c>
      <c r="H380" s="137">
        <v>10.0</v>
      </c>
      <c r="I380" s="137">
        <v>6.0</v>
      </c>
      <c r="J380" s="137">
        <v>18.0</v>
      </c>
      <c r="K380" s="137">
        <v>12.0</v>
      </c>
      <c r="L380" s="137">
        <v>14.0</v>
      </c>
      <c r="M380" s="137">
        <v>20.0</v>
      </c>
      <c r="N380" s="137">
        <v>88.0</v>
      </c>
      <c r="O380" s="137">
        <v>46.0</v>
      </c>
      <c r="P380" s="137">
        <v>40.0</v>
      </c>
      <c r="Q380" s="137">
        <v>36.0</v>
      </c>
      <c r="R380" s="137">
        <v>12.0</v>
      </c>
      <c r="S380" s="137">
        <v>70.0</v>
      </c>
      <c r="T380" s="137">
        <v>36.0</v>
      </c>
      <c r="U380" s="137">
        <v>100.0</v>
      </c>
      <c r="V380" s="137">
        <v>32.0</v>
      </c>
      <c r="W380" s="137">
        <v>120.0</v>
      </c>
      <c r="X380" s="137">
        <v>132.0</v>
      </c>
      <c r="Y380" s="137">
        <v>680.0</v>
      </c>
      <c r="Z380" s="137">
        <v>460.0</v>
      </c>
      <c r="AA380" s="137">
        <v>818.0</v>
      </c>
      <c r="AB380" s="137">
        <v>270.0</v>
      </c>
      <c r="AC380" s="137">
        <v>372.0</v>
      </c>
      <c r="AD380" s="137">
        <v>244.0</v>
      </c>
      <c r="AE380" s="137">
        <v>472.0</v>
      </c>
      <c r="AF380" s="137">
        <v>572.0</v>
      </c>
      <c r="AG380" s="137">
        <v>820.0</v>
      </c>
      <c r="AH380" s="137">
        <v>432.0</v>
      </c>
      <c r="AI380" s="134">
        <v>1076.0</v>
      </c>
      <c r="AJ380" s="137">
        <v>308.0</v>
      </c>
      <c r="AK380" s="137">
        <v>376.0</v>
      </c>
      <c r="AL380" s="137">
        <v>276.0</v>
      </c>
      <c r="AM380" s="137">
        <v>604.0</v>
      </c>
      <c r="AN380" s="134">
        <v>8258.0</v>
      </c>
    </row>
    <row r="381">
      <c r="A381" s="98"/>
      <c r="B381" s="136" t="s">
        <v>206</v>
      </c>
      <c r="C381" s="137">
        <v>250.0</v>
      </c>
      <c r="D381" s="137">
        <v>30.0</v>
      </c>
      <c r="E381" s="137">
        <v>220.0</v>
      </c>
      <c r="F381" s="137">
        <v>6.0</v>
      </c>
      <c r="G381" s="137">
        <v>14.0</v>
      </c>
      <c r="H381" s="137">
        <v>6.0</v>
      </c>
      <c r="I381" s="137">
        <v>0.0</v>
      </c>
      <c r="J381" s="137">
        <v>0.0</v>
      </c>
      <c r="K381" s="137">
        <v>4.0</v>
      </c>
      <c r="L381" s="137">
        <v>0.0</v>
      </c>
      <c r="M381" s="137">
        <v>16.0</v>
      </c>
      <c r="N381" s="137">
        <v>0.0</v>
      </c>
      <c r="O381" s="137">
        <v>24.0</v>
      </c>
      <c r="P381" s="137">
        <v>0.0</v>
      </c>
      <c r="Q381" s="137">
        <v>14.0</v>
      </c>
      <c r="R381" s="137">
        <v>0.0</v>
      </c>
      <c r="S381" s="137">
        <v>22.0</v>
      </c>
      <c r="T381" s="137">
        <v>0.0</v>
      </c>
      <c r="U381" s="137">
        <v>12.0</v>
      </c>
      <c r="V381" s="137">
        <v>0.0</v>
      </c>
      <c r="W381" s="137">
        <v>14.0</v>
      </c>
      <c r="X381" s="137">
        <v>0.0</v>
      </c>
      <c r="Y381" s="137">
        <v>16.0</v>
      </c>
      <c r="Z381" s="137">
        <v>4.0</v>
      </c>
      <c r="AA381" s="137">
        <v>14.0</v>
      </c>
      <c r="AB381" s="137">
        <v>0.0</v>
      </c>
      <c r="AC381" s="137">
        <v>18.0</v>
      </c>
      <c r="AD381" s="137">
        <v>2.0</v>
      </c>
      <c r="AE381" s="137">
        <v>12.0</v>
      </c>
      <c r="AF381" s="137">
        <v>6.0</v>
      </c>
      <c r="AG381" s="137">
        <v>18.0</v>
      </c>
      <c r="AH381" s="137">
        <v>4.0</v>
      </c>
      <c r="AI381" s="137">
        <v>10.0</v>
      </c>
      <c r="AJ381" s="137">
        <v>0.0</v>
      </c>
      <c r="AK381" s="137">
        <v>8.0</v>
      </c>
      <c r="AL381" s="137">
        <v>2.0</v>
      </c>
      <c r="AM381" s="137">
        <v>4.0</v>
      </c>
      <c r="AN381" s="137">
        <v>248.0</v>
      </c>
    </row>
    <row r="382">
      <c r="A382" s="98"/>
      <c r="B382" s="136" t="s">
        <v>200</v>
      </c>
      <c r="C382" s="134">
        <v>30168.0</v>
      </c>
      <c r="D382" s="134">
        <v>10596.0</v>
      </c>
      <c r="E382" s="134">
        <v>19572.0</v>
      </c>
      <c r="F382" s="134">
        <v>5012.0</v>
      </c>
      <c r="G382" s="134">
        <v>5074.0</v>
      </c>
      <c r="H382" s="134">
        <v>2030.0</v>
      </c>
      <c r="I382" s="134">
        <v>2150.0</v>
      </c>
      <c r="J382" s="137">
        <v>820.0</v>
      </c>
      <c r="K382" s="137">
        <v>916.0</v>
      </c>
      <c r="L382" s="137">
        <v>332.0</v>
      </c>
      <c r="M382" s="134">
        <v>1060.0</v>
      </c>
      <c r="N382" s="137">
        <v>150.0</v>
      </c>
      <c r="O382" s="134">
        <v>1312.0</v>
      </c>
      <c r="P382" s="137">
        <v>146.0</v>
      </c>
      <c r="Q382" s="134">
        <v>1520.0</v>
      </c>
      <c r="R382" s="137">
        <v>150.0</v>
      </c>
      <c r="S382" s="134">
        <v>1332.0</v>
      </c>
      <c r="T382" s="137">
        <v>128.0</v>
      </c>
      <c r="U382" s="134">
        <v>1050.0</v>
      </c>
      <c r="V382" s="137">
        <v>148.0</v>
      </c>
      <c r="W382" s="137">
        <v>844.0</v>
      </c>
      <c r="X382" s="137">
        <v>152.0</v>
      </c>
      <c r="Y382" s="137">
        <v>732.0</v>
      </c>
      <c r="Z382" s="137">
        <v>162.0</v>
      </c>
      <c r="AA382" s="137">
        <v>850.0</v>
      </c>
      <c r="AB382" s="137">
        <v>188.0</v>
      </c>
      <c r="AC382" s="137">
        <v>706.0</v>
      </c>
      <c r="AD382" s="137">
        <v>186.0</v>
      </c>
      <c r="AE382" s="137">
        <v>512.0</v>
      </c>
      <c r="AF382" s="137">
        <v>254.0</v>
      </c>
      <c r="AG382" s="137">
        <v>408.0</v>
      </c>
      <c r="AH382" s="137">
        <v>222.0</v>
      </c>
      <c r="AI382" s="137">
        <v>396.0</v>
      </c>
      <c r="AJ382" s="137">
        <v>190.0</v>
      </c>
      <c r="AK382" s="137">
        <v>334.0</v>
      </c>
      <c r="AL382" s="137">
        <v>326.0</v>
      </c>
      <c r="AM382" s="137">
        <v>376.0</v>
      </c>
      <c r="AN382" s="134">
        <v>29240.0</v>
      </c>
    </row>
    <row r="383">
      <c r="A383" s="104"/>
      <c r="B383" s="136" t="s">
        <v>201</v>
      </c>
      <c r="C383" s="134">
        <v>3254.0</v>
      </c>
      <c r="D383" s="134">
        <v>1054.0</v>
      </c>
      <c r="E383" s="134">
        <v>2200.0</v>
      </c>
      <c r="F383" s="137">
        <v>54.0</v>
      </c>
      <c r="G383" s="137">
        <v>72.0</v>
      </c>
      <c r="H383" s="137">
        <v>104.0</v>
      </c>
      <c r="I383" s="137">
        <v>114.0</v>
      </c>
      <c r="J383" s="137">
        <v>90.0</v>
      </c>
      <c r="K383" s="137">
        <v>110.0</v>
      </c>
      <c r="L383" s="137">
        <v>50.0</v>
      </c>
      <c r="M383" s="137">
        <v>120.0</v>
      </c>
      <c r="N383" s="137">
        <v>34.0</v>
      </c>
      <c r="O383" s="137">
        <v>72.0</v>
      </c>
      <c r="P383" s="137">
        <v>58.0</v>
      </c>
      <c r="Q383" s="137">
        <v>110.0</v>
      </c>
      <c r="R383" s="137">
        <v>34.0</v>
      </c>
      <c r="S383" s="137">
        <v>98.0</v>
      </c>
      <c r="T383" s="137">
        <v>42.0</v>
      </c>
      <c r="U383" s="137">
        <v>132.0</v>
      </c>
      <c r="V383" s="137">
        <v>58.0</v>
      </c>
      <c r="W383" s="137">
        <v>168.0</v>
      </c>
      <c r="X383" s="137">
        <v>72.0</v>
      </c>
      <c r="Y383" s="137">
        <v>188.0</v>
      </c>
      <c r="Z383" s="137">
        <v>68.0</v>
      </c>
      <c r="AA383" s="137">
        <v>276.0</v>
      </c>
      <c r="AB383" s="137">
        <v>64.0</v>
      </c>
      <c r="AC383" s="137">
        <v>202.0</v>
      </c>
      <c r="AD383" s="137">
        <v>80.0</v>
      </c>
      <c r="AE383" s="137">
        <v>170.0</v>
      </c>
      <c r="AF383" s="137">
        <v>84.0</v>
      </c>
      <c r="AG383" s="137">
        <v>126.0</v>
      </c>
      <c r="AH383" s="137">
        <v>52.0</v>
      </c>
      <c r="AI383" s="137">
        <v>88.0</v>
      </c>
      <c r="AJ383" s="137">
        <v>64.0</v>
      </c>
      <c r="AK383" s="137">
        <v>76.0</v>
      </c>
      <c r="AL383" s="137">
        <v>46.0</v>
      </c>
      <c r="AM383" s="137">
        <v>78.0</v>
      </c>
      <c r="AN383" s="134">
        <v>2794.0</v>
      </c>
    </row>
    <row r="384">
      <c r="A384" s="132" t="s">
        <v>208</v>
      </c>
      <c r="B384" s="136" t="s">
        <v>198</v>
      </c>
      <c r="C384" s="137">
        <v>298.0</v>
      </c>
      <c r="D384" s="137">
        <v>188.0</v>
      </c>
      <c r="E384" s="137">
        <v>110.0</v>
      </c>
      <c r="F384" s="137">
        <v>176.0</v>
      </c>
      <c r="G384" s="137">
        <v>108.0</v>
      </c>
      <c r="H384" s="137">
        <v>8.0</v>
      </c>
      <c r="I384" s="137">
        <v>2.0</v>
      </c>
      <c r="J384" s="137">
        <v>0.0</v>
      </c>
      <c r="K384" s="137">
        <v>0.0</v>
      </c>
      <c r="L384" s="137">
        <v>0.0</v>
      </c>
      <c r="M384" s="137">
        <v>0.0</v>
      </c>
      <c r="N384" s="137">
        <v>4.0</v>
      </c>
      <c r="O384" s="137">
        <v>0.0</v>
      </c>
      <c r="P384" s="135">
        <v>0.0</v>
      </c>
      <c r="Q384" s="135">
        <v>0.0</v>
      </c>
      <c r="R384" s="135">
        <v>0.0</v>
      </c>
      <c r="S384" s="135">
        <v>0.0</v>
      </c>
      <c r="T384" s="135">
        <v>0.0</v>
      </c>
      <c r="U384" s="135">
        <v>0.0</v>
      </c>
      <c r="V384" s="135">
        <v>0.0</v>
      </c>
      <c r="W384" s="135">
        <v>0.0</v>
      </c>
      <c r="X384" s="135">
        <v>0.0</v>
      </c>
      <c r="Y384" s="135">
        <v>0.0</v>
      </c>
      <c r="Z384" s="135">
        <v>0.0</v>
      </c>
      <c r="AA384" s="135">
        <v>0.0</v>
      </c>
      <c r="AB384" s="135">
        <v>0.0</v>
      </c>
      <c r="AC384" s="135">
        <v>0.0</v>
      </c>
      <c r="AD384" s="135">
        <v>0.0</v>
      </c>
      <c r="AE384" s="135">
        <v>0.0</v>
      </c>
      <c r="AF384" s="135">
        <v>0.0</v>
      </c>
      <c r="AG384" s="135">
        <v>0.0</v>
      </c>
      <c r="AH384" s="135">
        <v>0.0</v>
      </c>
      <c r="AI384" s="135">
        <v>0.0</v>
      </c>
      <c r="AJ384" s="135">
        <v>0.0</v>
      </c>
      <c r="AK384" s="135">
        <v>0.0</v>
      </c>
      <c r="AL384" s="135">
        <v>0.0</v>
      </c>
      <c r="AM384" s="135">
        <v>0.0</v>
      </c>
      <c r="AN384" s="137">
        <v>262.0</v>
      </c>
    </row>
    <row r="385">
      <c r="A385" s="98"/>
      <c r="B385" s="136" t="s">
        <v>199</v>
      </c>
      <c r="C385" s="134">
        <v>1046.0</v>
      </c>
      <c r="D385" s="137">
        <v>652.0</v>
      </c>
      <c r="E385" s="137">
        <v>394.0</v>
      </c>
      <c r="F385" s="137">
        <v>516.0</v>
      </c>
      <c r="G385" s="137">
        <v>344.0</v>
      </c>
      <c r="H385" s="137">
        <v>130.0</v>
      </c>
      <c r="I385" s="137">
        <v>46.0</v>
      </c>
      <c r="J385" s="137">
        <v>0.0</v>
      </c>
      <c r="K385" s="137">
        <v>0.0</v>
      </c>
      <c r="L385" s="137">
        <v>2.0</v>
      </c>
      <c r="M385" s="137">
        <v>0.0</v>
      </c>
      <c r="N385" s="137">
        <v>4.0</v>
      </c>
      <c r="O385" s="137">
        <v>4.0</v>
      </c>
      <c r="P385" s="135">
        <v>0.0</v>
      </c>
      <c r="Q385" s="135">
        <v>0.0</v>
      </c>
      <c r="R385" s="135">
        <v>0.0</v>
      </c>
      <c r="S385" s="135">
        <v>0.0</v>
      </c>
      <c r="T385" s="135">
        <v>0.0</v>
      </c>
      <c r="U385" s="135">
        <v>0.0</v>
      </c>
      <c r="V385" s="135">
        <v>0.0</v>
      </c>
      <c r="W385" s="135">
        <v>0.0</v>
      </c>
      <c r="X385" s="135">
        <v>0.0</v>
      </c>
      <c r="Y385" s="135">
        <v>0.0</v>
      </c>
      <c r="Z385" s="135">
        <v>0.0</v>
      </c>
      <c r="AA385" s="135">
        <v>0.0</v>
      </c>
      <c r="AB385" s="135">
        <v>0.0</v>
      </c>
      <c r="AC385" s="135">
        <v>0.0</v>
      </c>
      <c r="AD385" s="135">
        <v>0.0</v>
      </c>
      <c r="AE385" s="135">
        <v>0.0</v>
      </c>
      <c r="AF385" s="135">
        <v>0.0</v>
      </c>
      <c r="AG385" s="135">
        <v>0.0</v>
      </c>
      <c r="AH385" s="135">
        <v>0.0</v>
      </c>
      <c r="AI385" s="135">
        <v>0.0</v>
      </c>
      <c r="AJ385" s="135">
        <v>0.0</v>
      </c>
      <c r="AK385" s="135">
        <v>0.0</v>
      </c>
      <c r="AL385" s="135">
        <v>0.0</v>
      </c>
      <c r="AM385" s="135">
        <v>0.0</v>
      </c>
      <c r="AN385" s="134">
        <v>1020.0</v>
      </c>
    </row>
    <row r="386">
      <c r="A386" s="98"/>
      <c r="B386" s="136" t="s">
        <v>206</v>
      </c>
      <c r="C386" s="137">
        <v>22.0</v>
      </c>
      <c r="D386" s="137">
        <v>10.0</v>
      </c>
      <c r="E386" s="137">
        <v>12.0</v>
      </c>
      <c r="F386" s="137">
        <v>6.0</v>
      </c>
      <c r="G386" s="137">
        <v>10.0</v>
      </c>
      <c r="H386" s="137">
        <v>4.0</v>
      </c>
      <c r="I386" s="137">
        <v>0.0</v>
      </c>
      <c r="J386" s="137">
        <v>0.0</v>
      </c>
      <c r="K386" s="137">
        <v>0.0</v>
      </c>
      <c r="L386" s="137">
        <v>0.0</v>
      </c>
      <c r="M386" s="137">
        <v>0.0</v>
      </c>
      <c r="N386" s="137">
        <v>0.0</v>
      </c>
      <c r="O386" s="137">
        <v>2.0</v>
      </c>
      <c r="P386" s="135">
        <v>0.0</v>
      </c>
      <c r="Q386" s="135">
        <v>0.0</v>
      </c>
      <c r="R386" s="135">
        <v>0.0</v>
      </c>
      <c r="S386" s="135">
        <v>0.0</v>
      </c>
      <c r="T386" s="135">
        <v>0.0</v>
      </c>
      <c r="U386" s="135">
        <v>0.0</v>
      </c>
      <c r="V386" s="135">
        <v>0.0</v>
      </c>
      <c r="W386" s="135">
        <v>0.0</v>
      </c>
      <c r="X386" s="135">
        <v>0.0</v>
      </c>
      <c r="Y386" s="135">
        <v>0.0</v>
      </c>
      <c r="Z386" s="135">
        <v>0.0</v>
      </c>
      <c r="AA386" s="135">
        <v>0.0</v>
      </c>
      <c r="AB386" s="135">
        <v>0.0</v>
      </c>
      <c r="AC386" s="135">
        <v>0.0</v>
      </c>
      <c r="AD386" s="135">
        <v>0.0</v>
      </c>
      <c r="AE386" s="135">
        <v>0.0</v>
      </c>
      <c r="AF386" s="135">
        <v>0.0</v>
      </c>
      <c r="AG386" s="135">
        <v>0.0</v>
      </c>
      <c r="AH386" s="135">
        <v>0.0</v>
      </c>
      <c r="AI386" s="135">
        <v>0.0</v>
      </c>
      <c r="AJ386" s="135">
        <v>0.0</v>
      </c>
      <c r="AK386" s="135">
        <v>0.0</v>
      </c>
      <c r="AL386" s="135">
        <v>0.0</v>
      </c>
      <c r="AM386" s="135">
        <v>0.0</v>
      </c>
      <c r="AN386" s="137">
        <v>22.0</v>
      </c>
    </row>
    <row r="387">
      <c r="A387" s="98"/>
      <c r="B387" s="136" t="s">
        <v>200</v>
      </c>
      <c r="C387" s="137">
        <v>816.0</v>
      </c>
      <c r="D387" s="137">
        <v>446.0</v>
      </c>
      <c r="E387" s="137">
        <v>370.0</v>
      </c>
      <c r="F387" s="137">
        <v>342.0</v>
      </c>
      <c r="G387" s="137">
        <v>272.0</v>
      </c>
      <c r="H387" s="137">
        <v>70.0</v>
      </c>
      <c r="I387" s="137">
        <v>42.0</v>
      </c>
      <c r="J387" s="137">
        <v>26.0</v>
      </c>
      <c r="K387" s="137">
        <v>26.0</v>
      </c>
      <c r="L387" s="137">
        <v>8.0</v>
      </c>
      <c r="M387" s="137">
        <v>24.0</v>
      </c>
      <c r="N387" s="137">
        <v>0.0</v>
      </c>
      <c r="O387" s="137">
        <v>6.0</v>
      </c>
      <c r="P387" s="135">
        <v>0.0</v>
      </c>
      <c r="Q387" s="135">
        <v>0.0</v>
      </c>
      <c r="R387" s="135">
        <v>0.0</v>
      </c>
      <c r="S387" s="135">
        <v>0.0</v>
      </c>
      <c r="T387" s="135">
        <v>0.0</v>
      </c>
      <c r="U387" s="135">
        <v>0.0</v>
      </c>
      <c r="V387" s="135">
        <v>0.0</v>
      </c>
      <c r="W387" s="135">
        <v>0.0</v>
      </c>
      <c r="X387" s="135">
        <v>0.0</v>
      </c>
      <c r="Y387" s="135">
        <v>0.0</v>
      </c>
      <c r="Z387" s="135">
        <v>0.0</v>
      </c>
      <c r="AA387" s="135">
        <v>0.0</v>
      </c>
      <c r="AB387" s="135">
        <v>0.0</v>
      </c>
      <c r="AC387" s="135">
        <v>0.0</v>
      </c>
      <c r="AD387" s="135">
        <v>0.0</v>
      </c>
      <c r="AE387" s="135">
        <v>0.0</v>
      </c>
      <c r="AF387" s="135">
        <v>0.0</v>
      </c>
      <c r="AG387" s="135">
        <v>0.0</v>
      </c>
      <c r="AH387" s="135">
        <v>0.0</v>
      </c>
      <c r="AI387" s="135">
        <v>0.0</v>
      </c>
      <c r="AJ387" s="135">
        <v>0.0</v>
      </c>
      <c r="AK387" s="135">
        <v>0.0</v>
      </c>
      <c r="AL387" s="135">
        <v>0.0</v>
      </c>
      <c r="AM387" s="135">
        <v>0.0</v>
      </c>
      <c r="AN387" s="137">
        <v>808.0</v>
      </c>
    </row>
    <row r="388">
      <c r="A388" s="104"/>
      <c r="B388" s="136" t="s">
        <v>201</v>
      </c>
      <c r="C388" s="137">
        <v>52.0</v>
      </c>
      <c r="D388" s="137">
        <v>28.0</v>
      </c>
      <c r="E388" s="137">
        <v>24.0</v>
      </c>
      <c r="F388" s="137">
        <v>22.0</v>
      </c>
      <c r="G388" s="137">
        <v>14.0</v>
      </c>
      <c r="H388" s="137">
        <v>4.0</v>
      </c>
      <c r="I388" s="137">
        <v>6.0</v>
      </c>
      <c r="J388" s="137">
        <v>2.0</v>
      </c>
      <c r="K388" s="137">
        <v>2.0</v>
      </c>
      <c r="L388" s="137">
        <v>0.0</v>
      </c>
      <c r="M388" s="137">
        <v>2.0</v>
      </c>
      <c r="N388" s="137">
        <v>0.0</v>
      </c>
      <c r="O388" s="137">
        <v>0.0</v>
      </c>
      <c r="P388" s="135">
        <v>0.0</v>
      </c>
      <c r="Q388" s="135">
        <v>0.0</v>
      </c>
      <c r="R388" s="135">
        <v>0.0</v>
      </c>
      <c r="S388" s="135">
        <v>0.0</v>
      </c>
      <c r="T388" s="135">
        <v>0.0</v>
      </c>
      <c r="U388" s="135">
        <v>0.0</v>
      </c>
      <c r="V388" s="135">
        <v>0.0</v>
      </c>
      <c r="W388" s="135">
        <v>0.0</v>
      </c>
      <c r="X388" s="135">
        <v>0.0</v>
      </c>
      <c r="Y388" s="135">
        <v>0.0</v>
      </c>
      <c r="Z388" s="135">
        <v>0.0</v>
      </c>
      <c r="AA388" s="135">
        <v>0.0</v>
      </c>
      <c r="AB388" s="135">
        <v>0.0</v>
      </c>
      <c r="AC388" s="135">
        <v>0.0</v>
      </c>
      <c r="AD388" s="135">
        <v>0.0</v>
      </c>
      <c r="AE388" s="135">
        <v>0.0</v>
      </c>
      <c r="AF388" s="135">
        <v>0.0</v>
      </c>
      <c r="AG388" s="135">
        <v>0.0</v>
      </c>
      <c r="AH388" s="135">
        <v>0.0</v>
      </c>
      <c r="AI388" s="135">
        <v>0.0</v>
      </c>
      <c r="AJ388" s="135">
        <v>0.0</v>
      </c>
      <c r="AK388" s="135">
        <v>0.0</v>
      </c>
      <c r="AL388" s="135">
        <v>0.0</v>
      </c>
      <c r="AM388" s="135">
        <v>0.0</v>
      </c>
      <c r="AN388" s="137">
        <v>52.0</v>
      </c>
    </row>
    <row r="389">
      <c r="A389" s="138" t="s">
        <v>255</v>
      </c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</row>
    <row r="390">
      <c r="A390" s="132" t="s">
        <v>197</v>
      </c>
      <c r="B390" s="133" t="s">
        <v>198</v>
      </c>
      <c r="C390" s="134">
        <v>481880.0</v>
      </c>
      <c r="D390" s="134">
        <v>182412.0</v>
      </c>
      <c r="E390" s="134">
        <v>299468.0</v>
      </c>
      <c r="F390" s="135">
        <v>0.0</v>
      </c>
      <c r="G390" s="135">
        <v>0.0</v>
      </c>
      <c r="H390" s="135">
        <v>0.0</v>
      </c>
      <c r="I390" s="135">
        <v>0.0</v>
      </c>
      <c r="J390" s="135">
        <v>0.0</v>
      </c>
      <c r="K390" s="135">
        <v>0.0</v>
      </c>
      <c r="L390" s="137">
        <v>200.0</v>
      </c>
      <c r="M390" s="137">
        <v>342.0</v>
      </c>
      <c r="N390" s="137">
        <v>406.0</v>
      </c>
      <c r="O390" s="137">
        <v>736.0</v>
      </c>
      <c r="P390" s="137">
        <v>844.0</v>
      </c>
      <c r="Q390" s="134">
        <v>1624.0</v>
      </c>
      <c r="R390" s="134">
        <v>1752.0</v>
      </c>
      <c r="S390" s="134">
        <v>3376.0</v>
      </c>
      <c r="T390" s="134">
        <v>2900.0</v>
      </c>
      <c r="U390" s="134">
        <v>6204.0</v>
      </c>
      <c r="V390" s="134">
        <v>5370.0</v>
      </c>
      <c r="W390" s="134">
        <v>11636.0</v>
      </c>
      <c r="X390" s="134">
        <v>8904.0</v>
      </c>
      <c r="Y390" s="134">
        <v>19820.0</v>
      </c>
      <c r="Z390" s="134">
        <v>15668.0</v>
      </c>
      <c r="AA390" s="134">
        <v>33188.0</v>
      </c>
      <c r="AB390" s="134">
        <v>21906.0</v>
      </c>
      <c r="AC390" s="134">
        <v>40206.0</v>
      </c>
      <c r="AD390" s="134">
        <v>24634.0</v>
      </c>
      <c r="AE390" s="134">
        <v>42728.0</v>
      </c>
      <c r="AF390" s="134">
        <v>28604.0</v>
      </c>
      <c r="AG390" s="134">
        <v>42098.0</v>
      </c>
      <c r="AH390" s="134">
        <v>28146.0</v>
      </c>
      <c r="AI390" s="134">
        <v>37620.0</v>
      </c>
      <c r="AJ390" s="134">
        <v>21382.0</v>
      </c>
      <c r="AK390" s="134">
        <v>28590.0</v>
      </c>
      <c r="AL390" s="134">
        <v>21686.0</v>
      </c>
      <c r="AM390" s="134">
        <v>31300.0</v>
      </c>
      <c r="AN390" s="134">
        <v>476868.0</v>
      </c>
    </row>
    <row r="391">
      <c r="A391" s="98"/>
      <c r="B391" s="136" t="s">
        <v>199</v>
      </c>
      <c r="C391" s="134">
        <v>211242.0</v>
      </c>
      <c r="D391" s="134">
        <v>80492.0</v>
      </c>
      <c r="E391" s="134">
        <v>130750.0</v>
      </c>
      <c r="F391" s="135">
        <v>0.0</v>
      </c>
      <c r="G391" s="135">
        <v>0.0</v>
      </c>
      <c r="H391" s="135">
        <v>0.0</v>
      </c>
      <c r="I391" s="135">
        <v>0.0</v>
      </c>
      <c r="J391" s="135">
        <v>0.0</v>
      </c>
      <c r="K391" s="135">
        <v>0.0</v>
      </c>
      <c r="L391" s="137">
        <v>54.0</v>
      </c>
      <c r="M391" s="137">
        <v>64.0</v>
      </c>
      <c r="N391" s="137">
        <v>130.0</v>
      </c>
      <c r="O391" s="137">
        <v>224.0</v>
      </c>
      <c r="P391" s="137">
        <v>244.0</v>
      </c>
      <c r="Q391" s="137">
        <v>586.0</v>
      </c>
      <c r="R391" s="137">
        <v>550.0</v>
      </c>
      <c r="S391" s="134">
        <v>1208.0</v>
      </c>
      <c r="T391" s="134">
        <v>1002.0</v>
      </c>
      <c r="U391" s="134">
        <v>2322.0</v>
      </c>
      <c r="V391" s="134">
        <v>1976.0</v>
      </c>
      <c r="W391" s="134">
        <v>4338.0</v>
      </c>
      <c r="X391" s="134">
        <v>3374.0</v>
      </c>
      <c r="Y391" s="134">
        <v>7700.0</v>
      </c>
      <c r="Z391" s="134">
        <v>5924.0</v>
      </c>
      <c r="AA391" s="134">
        <v>13182.0</v>
      </c>
      <c r="AB391" s="134">
        <v>8308.0</v>
      </c>
      <c r="AC391" s="134">
        <v>15916.0</v>
      </c>
      <c r="AD391" s="134">
        <v>9808.0</v>
      </c>
      <c r="AE391" s="134">
        <v>17172.0</v>
      </c>
      <c r="AF391" s="134">
        <v>13322.0</v>
      </c>
      <c r="AG391" s="134">
        <v>20468.0</v>
      </c>
      <c r="AH391" s="134">
        <v>14024.0</v>
      </c>
      <c r="AI391" s="134">
        <v>18262.0</v>
      </c>
      <c r="AJ391" s="134">
        <v>10774.0</v>
      </c>
      <c r="AK391" s="134">
        <v>14148.0</v>
      </c>
      <c r="AL391" s="134">
        <v>10996.0</v>
      </c>
      <c r="AM391" s="134">
        <v>15156.0</v>
      </c>
      <c r="AN391" s="134">
        <v>209424.0</v>
      </c>
    </row>
    <row r="392">
      <c r="A392" s="98"/>
      <c r="B392" s="136" t="s">
        <v>200</v>
      </c>
      <c r="C392" s="134">
        <v>183248.0</v>
      </c>
      <c r="D392" s="134">
        <v>64888.0</v>
      </c>
      <c r="E392" s="134">
        <v>118360.0</v>
      </c>
      <c r="F392" s="135">
        <v>0.0</v>
      </c>
      <c r="G392" s="135">
        <v>0.0</v>
      </c>
      <c r="H392" s="135">
        <v>0.0</v>
      </c>
      <c r="I392" s="135">
        <v>0.0</v>
      </c>
      <c r="J392" s="135">
        <v>0.0</v>
      </c>
      <c r="K392" s="135">
        <v>0.0</v>
      </c>
      <c r="L392" s="137">
        <v>94.0</v>
      </c>
      <c r="M392" s="137">
        <v>134.0</v>
      </c>
      <c r="N392" s="137">
        <v>170.0</v>
      </c>
      <c r="O392" s="137">
        <v>378.0</v>
      </c>
      <c r="P392" s="137">
        <v>352.0</v>
      </c>
      <c r="Q392" s="137">
        <v>830.0</v>
      </c>
      <c r="R392" s="137">
        <v>654.0</v>
      </c>
      <c r="S392" s="134">
        <v>1648.0</v>
      </c>
      <c r="T392" s="134">
        <v>1068.0</v>
      </c>
      <c r="U392" s="134">
        <v>2702.0</v>
      </c>
      <c r="V392" s="134">
        <v>1934.0</v>
      </c>
      <c r="W392" s="134">
        <v>4808.0</v>
      </c>
      <c r="X392" s="134">
        <v>3258.0</v>
      </c>
      <c r="Y392" s="134">
        <v>8250.0</v>
      </c>
      <c r="Z392" s="134">
        <v>5658.0</v>
      </c>
      <c r="AA392" s="134">
        <v>13920.0</v>
      </c>
      <c r="AB392" s="134">
        <v>7374.0</v>
      </c>
      <c r="AC392" s="134">
        <v>16024.0</v>
      </c>
      <c r="AD392" s="134">
        <v>8504.0</v>
      </c>
      <c r="AE392" s="134">
        <v>16762.0</v>
      </c>
      <c r="AF392" s="134">
        <v>10200.0</v>
      </c>
      <c r="AG392" s="134">
        <v>16868.0</v>
      </c>
      <c r="AH392" s="134">
        <v>10146.0</v>
      </c>
      <c r="AI392" s="134">
        <v>14504.0</v>
      </c>
      <c r="AJ392" s="134">
        <v>7836.0</v>
      </c>
      <c r="AK392" s="134">
        <v>10736.0</v>
      </c>
      <c r="AL392" s="134">
        <v>7634.0</v>
      </c>
      <c r="AM392" s="134">
        <v>10788.0</v>
      </c>
      <c r="AN392" s="134">
        <v>181504.0</v>
      </c>
    </row>
    <row r="393">
      <c r="A393" s="104"/>
      <c r="B393" s="136" t="s">
        <v>201</v>
      </c>
      <c r="C393" s="134">
        <v>3260.0</v>
      </c>
      <c r="D393" s="134">
        <v>1266.0</v>
      </c>
      <c r="E393" s="134">
        <v>1994.0</v>
      </c>
      <c r="F393" s="135">
        <v>0.0</v>
      </c>
      <c r="G393" s="135">
        <v>0.0</v>
      </c>
      <c r="H393" s="135">
        <v>0.0</v>
      </c>
      <c r="I393" s="135">
        <v>0.0</v>
      </c>
      <c r="J393" s="135">
        <v>0.0</v>
      </c>
      <c r="K393" s="135">
        <v>0.0</v>
      </c>
      <c r="L393" s="137">
        <v>0.0</v>
      </c>
      <c r="M393" s="137">
        <v>2.0</v>
      </c>
      <c r="N393" s="137">
        <v>0.0</v>
      </c>
      <c r="O393" s="137">
        <v>4.0</v>
      </c>
      <c r="P393" s="137">
        <v>2.0</v>
      </c>
      <c r="Q393" s="137">
        <v>6.0</v>
      </c>
      <c r="R393" s="137">
        <v>6.0</v>
      </c>
      <c r="S393" s="137">
        <v>14.0</v>
      </c>
      <c r="T393" s="137">
        <v>18.0</v>
      </c>
      <c r="U393" s="137">
        <v>50.0</v>
      </c>
      <c r="V393" s="137">
        <v>22.0</v>
      </c>
      <c r="W393" s="137">
        <v>74.0</v>
      </c>
      <c r="X393" s="137">
        <v>64.0</v>
      </c>
      <c r="Y393" s="137">
        <v>110.0</v>
      </c>
      <c r="Z393" s="137">
        <v>118.0</v>
      </c>
      <c r="AA393" s="137">
        <v>220.0</v>
      </c>
      <c r="AB393" s="137">
        <v>124.0</v>
      </c>
      <c r="AC393" s="137">
        <v>306.0</v>
      </c>
      <c r="AD393" s="137">
        <v>214.0</v>
      </c>
      <c r="AE393" s="137">
        <v>300.0</v>
      </c>
      <c r="AF393" s="137">
        <v>212.0</v>
      </c>
      <c r="AG393" s="137">
        <v>270.0</v>
      </c>
      <c r="AH393" s="137">
        <v>204.0</v>
      </c>
      <c r="AI393" s="137">
        <v>268.0</v>
      </c>
      <c r="AJ393" s="137">
        <v>172.0</v>
      </c>
      <c r="AK393" s="137">
        <v>152.0</v>
      </c>
      <c r="AL393" s="137">
        <v>110.0</v>
      </c>
      <c r="AM393" s="137">
        <v>218.0</v>
      </c>
      <c r="AN393" s="134">
        <v>3248.0</v>
      </c>
    </row>
    <row r="394">
      <c r="A394" s="132" t="s">
        <v>202</v>
      </c>
      <c r="B394" s="136" t="s">
        <v>198</v>
      </c>
      <c r="C394" s="137">
        <v>596.0</v>
      </c>
      <c r="D394" s="137">
        <v>378.0</v>
      </c>
      <c r="E394" s="137">
        <v>218.0</v>
      </c>
      <c r="F394" s="137">
        <v>4.0</v>
      </c>
      <c r="G394" s="137">
        <v>0.0</v>
      </c>
      <c r="H394" s="137">
        <v>4.0</v>
      </c>
      <c r="I394" s="137">
        <v>2.0</v>
      </c>
      <c r="J394" s="137">
        <v>4.0</v>
      </c>
      <c r="K394" s="137">
        <v>0.0</v>
      </c>
      <c r="L394" s="137">
        <v>6.0</v>
      </c>
      <c r="M394" s="137">
        <v>6.0</v>
      </c>
      <c r="N394" s="137">
        <v>14.0</v>
      </c>
      <c r="O394" s="137">
        <v>10.0</v>
      </c>
      <c r="P394" s="137">
        <v>50.0</v>
      </c>
      <c r="Q394" s="137">
        <v>12.0</v>
      </c>
      <c r="R394" s="137">
        <v>40.0</v>
      </c>
      <c r="S394" s="137">
        <v>14.0</v>
      </c>
      <c r="T394" s="137">
        <v>8.0</v>
      </c>
      <c r="U394" s="137">
        <v>6.0</v>
      </c>
      <c r="V394" s="137">
        <v>32.0</v>
      </c>
      <c r="W394" s="137">
        <v>6.0</v>
      </c>
      <c r="X394" s="137">
        <v>26.0</v>
      </c>
      <c r="Y394" s="137">
        <v>46.0</v>
      </c>
      <c r="Z394" s="137">
        <v>56.0</v>
      </c>
      <c r="AA394" s="137">
        <v>20.0</v>
      </c>
      <c r="AB394" s="137">
        <v>36.0</v>
      </c>
      <c r="AC394" s="137">
        <v>14.0</v>
      </c>
      <c r="AD394" s="137">
        <v>24.0</v>
      </c>
      <c r="AE394" s="137">
        <v>16.0</v>
      </c>
      <c r="AF394" s="137">
        <v>12.0</v>
      </c>
      <c r="AG394" s="137">
        <v>18.0</v>
      </c>
      <c r="AH394" s="137">
        <v>10.0</v>
      </c>
      <c r="AI394" s="137">
        <v>20.0</v>
      </c>
      <c r="AJ394" s="137">
        <v>28.0</v>
      </c>
      <c r="AK394" s="137">
        <v>0.0</v>
      </c>
      <c r="AL394" s="137">
        <v>24.0</v>
      </c>
      <c r="AM394" s="137">
        <v>28.0</v>
      </c>
      <c r="AN394" s="137">
        <v>586.0</v>
      </c>
    </row>
    <row r="395">
      <c r="A395" s="104"/>
      <c r="B395" s="136" t="s">
        <v>199</v>
      </c>
      <c r="C395" s="137">
        <v>654.0</v>
      </c>
      <c r="D395" s="137">
        <v>476.0</v>
      </c>
      <c r="E395" s="137">
        <v>178.0</v>
      </c>
      <c r="F395" s="137">
        <v>0.0</v>
      </c>
      <c r="G395" s="137">
        <v>0.0</v>
      </c>
      <c r="H395" s="137">
        <v>0.0</v>
      </c>
      <c r="I395" s="137">
        <v>0.0</v>
      </c>
      <c r="J395" s="137">
        <v>0.0</v>
      </c>
      <c r="K395" s="137">
        <v>0.0</v>
      </c>
      <c r="L395" s="137">
        <v>0.0</v>
      </c>
      <c r="M395" s="137">
        <v>0.0</v>
      </c>
      <c r="N395" s="137">
        <v>14.0</v>
      </c>
      <c r="O395" s="137">
        <v>10.0</v>
      </c>
      <c r="P395" s="137">
        <v>2.0</v>
      </c>
      <c r="Q395" s="137">
        <v>0.0</v>
      </c>
      <c r="R395" s="137">
        <v>150.0</v>
      </c>
      <c r="S395" s="137">
        <v>84.0</v>
      </c>
      <c r="T395" s="137">
        <v>12.0</v>
      </c>
      <c r="U395" s="137">
        <v>2.0</v>
      </c>
      <c r="V395" s="137">
        <v>40.0</v>
      </c>
      <c r="W395" s="137">
        <v>0.0</v>
      </c>
      <c r="X395" s="137">
        <v>6.0</v>
      </c>
      <c r="Y395" s="137">
        <v>6.0</v>
      </c>
      <c r="Z395" s="137">
        <v>102.0</v>
      </c>
      <c r="AA395" s="137">
        <v>46.0</v>
      </c>
      <c r="AB395" s="137">
        <v>106.0</v>
      </c>
      <c r="AC395" s="137">
        <v>12.0</v>
      </c>
      <c r="AD395" s="137">
        <v>6.0</v>
      </c>
      <c r="AE395" s="137">
        <v>2.0</v>
      </c>
      <c r="AF395" s="137">
        <v>16.0</v>
      </c>
      <c r="AG395" s="137">
        <v>4.0</v>
      </c>
      <c r="AH395" s="137">
        <v>4.0</v>
      </c>
      <c r="AI395" s="137">
        <v>2.0</v>
      </c>
      <c r="AJ395" s="137">
        <v>8.0</v>
      </c>
      <c r="AK395" s="137">
        <v>4.0</v>
      </c>
      <c r="AL395" s="137">
        <v>10.0</v>
      </c>
      <c r="AM395" s="137">
        <v>6.0</v>
      </c>
      <c r="AN395" s="137">
        <v>652.0</v>
      </c>
    </row>
    <row r="396">
      <c r="A396" s="132" t="s">
        <v>203</v>
      </c>
      <c r="B396" s="136" t="s">
        <v>198</v>
      </c>
      <c r="C396" s="137">
        <v>282.0</v>
      </c>
      <c r="D396" s="137">
        <v>116.0</v>
      </c>
      <c r="E396" s="137">
        <v>166.0</v>
      </c>
      <c r="F396" s="135">
        <v>0.0</v>
      </c>
      <c r="G396" s="135">
        <v>0.0</v>
      </c>
      <c r="H396" s="135">
        <v>0.0</v>
      </c>
      <c r="I396" s="135">
        <v>0.0</v>
      </c>
      <c r="J396" s="135">
        <v>0.0</v>
      </c>
      <c r="K396" s="135">
        <v>0.0</v>
      </c>
      <c r="L396" s="135">
        <v>0.0</v>
      </c>
      <c r="M396" s="135">
        <v>0.0</v>
      </c>
      <c r="N396" s="135">
        <v>0.0</v>
      </c>
      <c r="O396" s="135">
        <v>0.0</v>
      </c>
      <c r="P396" s="135">
        <v>0.0</v>
      </c>
      <c r="Q396" s="135">
        <v>0.0</v>
      </c>
      <c r="R396" s="135">
        <v>0.0</v>
      </c>
      <c r="S396" s="135">
        <v>0.0</v>
      </c>
      <c r="T396" s="135">
        <v>0.0</v>
      </c>
      <c r="U396" s="135">
        <v>0.0</v>
      </c>
      <c r="V396" s="135">
        <v>0.0</v>
      </c>
      <c r="W396" s="135">
        <v>0.0</v>
      </c>
      <c r="X396" s="135">
        <v>0.0</v>
      </c>
      <c r="Y396" s="135">
        <v>0.0</v>
      </c>
      <c r="Z396" s="135">
        <v>0.0</v>
      </c>
      <c r="AA396" s="135">
        <v>0.0</v>
      </c>
      <c r="AB396" s="135">
        <v>0.0</v>
      </c>
      <c r="AC396" s="135">
        <v>0.0</v>
      </c>
      <c r="AD396" s="135">
        <v>0.0</v>
      </c>
      <c r="AE396" s="135">
        <v>0.0</v>
      </c>
      <c r="AF396" s="137">
        <v>48.0</v>
      </c>
      <c r="AG396" s="137">
        <v>62.0</v>
      </c>
      <c r="AH396" s="137">
        <v>30.0</v>
      </c>
      <c r="AI396" s="137">
        <v>50.0</v>
      </c>
      <c r="AJ396" s="137">
        <v>12.0</v>
      </c>
      <c r="AK396" s="137">
        <v>24.0</v>
      </c>
      <c r="AL396" s="137">
        <v>26.0</v>
      </c>
      <c r="AM396" s="137">
        <v>30.0</v>
      </c>
      <c r="AN396" s="137">
        <v>272.0</v>
      </c>
    </row>
    <row r="397">
      <c r="A397" s="104"/>
      <c r="B397" s="136" t="s">
        <v>199</v>
      </c>
      <c r="C397" s="134">
        <v>3860.0</v>
      </c>
      <c r="D397" s="134">
        <v>1720.0</v>
      </c>
      <c r="E397" s="134">
        <v>2140.0</v>
      </c>
      <c r="F397" s="135">
        <v>0.0</v>
      </c>
      <c r="G397" s="135">
        <v>0.0</v>
      </c>
      <c r="H397" s="135">
        <v>0.0</v>
      </c>
      <c r="I397" s="135">
        <v>0.0</v>
      </c>
      <c r="J397" s="135">
        <v>0.0</v>
      </c>
      <c r="K397" s="135">
        <v>0.0</v>
      </c>
      <c r="L397" s="135">
        <v>0.0</v>
      </c>
      <c r="M397" s="135">
        <v>0.0</v>
      </c>
      <c r="N397" s="135">
        <v>0.0</v>
      </c>
      <c r="O397" s="135">
        <v>0.0</v>
      </c>
      <c r="P397" s="135">
        <v>0.0</v>
      </c>
      <c r="Q397" s="135">
        <v>0.0</v>
      </c>
      <c r="R397" s="135">
        <v>0.0</v>
      </c>
      <c r="S397" s="135">
        <v>0.0</v>
      </c>
      <c r="T397" s="135">
        <v>0.0</v>
      </c>
      <c r="U397" s="135">
        <v>0.0</v>
      </c>
      <c r="V397" s="135">
        <v>0.0</v>
      </c>
      <c r="W397" s="135">
        <v>0.0</v>
      </c>
      <c r="X397" s="135">
        <v>0.0</v>
      </c>
      <c r="Y397" s="135">
        <v>0.0</v>
      </c>
      <c r="Z397" s="135">
        <v>0.0</v>
      </c>
      <c r="AA397" s="135">
        <v>0.0</v>
      </c>
      <c r="AB397" s="135">
        <v>0.0</v>
      </c>
      <c r="AC397" s="135">
        <v>0.0</v>
      </c>
      <c r="AD397" s="135">
        <v>0.0</v>
      </c>
      <c r="AE397" s="135">
        <v>0.0</v>
      </c>
      <c r="AF397" s="137">
        <v>498.0</v>
      </c>
      <c r="AG397" s="137">
        <v>794.0</v>
      </c>
      <c r="AH397" s="137">
        <v>594.0</v>
      </c>
      <c r="AI397" s="137">
        <v>644.0</v>
      </c>
      <c r="AJ397" s="137">
        <v>382.0</v>
      </c>
      <c r="AK397" s="137">
        <v>454.0</v>
      </c>
      <c r="AL397" s="137">
        <v>246.0</v>
      </c>
      <c r="AM397" s="137">
        <v>248.0</v>
      </c>
      <c r="AN397" s="134">
        <v>3846.0</v>
      </c>
    </row>
    <row r="398">
      <c r="A398" s="132" t="s">
        <v>204</v>
      </c>
      <c r="B398" s="136" t="s">
        <v>198</v>
      </c>
      <c r="C398" s="137">
        <v>96.0</v>
      </c>
      <c r="D398" s="137">
        <v>52.0</v>
      </c>
      <c r="E398" s="137">
        <v>44.0</v>
      </c>
      <c r="F398" s="135">
        <v>0.0</v>
      </c>
      <c r="G398" s="135">
        <v>0.0</v>
      </c>
      <c r="H398" s="135">
        <v>0.0</v>
      </c>
      <c r="I398" s="135">
        <v>0.0</v>
      </c>
      <c r="J398" s="135">
        <v>0.0</v>
      </c>
      <c r="K398" s="135">
        <v>0.0</v>
      </c>
      <c r="L398" s="135">
        <v>0.0</v>
      </c>
      <c r="M398" s="135">
        <v>0.0</v>
      </c>
      <c r="N398" s="135">
        <v>0.0</v>
      </c>
      <c r="O398" s="135">
        <v>0.0</v>
      </c>
      <c r="P398" s="135">
        <v>0.0</v>
      </c>
      <c r="Q398" s="135">
        <v>0.0</v>
      </c>
      <c r="R398" s="135">
        <v>0.0</v>
      </c>
      <c r="S398" s="135">
        <v>0.0</v>
      </c>
      <c r="T398" s="135">
        <v>0.0</v>
      </c>
      <c r="U398" s="135">
        <v>0.0</v>
      </c>
      <c r="V398" s="135">
        <v>0.0</v>
      </c>
      <c r="W398" s="135">
        <v>0.0</v>
      </c>
      <c r="X398" s="135">
        <v>0.0</v>
      </c>
      <c r="Y398" s="135">
        <v>0.0</v>
      </c>
      <c r="Z398" s="135">
        <v>0.0</v>
      </c>
      <c r="AA398" s="135">
        <v>0.0</v>
      </c>
      <c r="AB398" s="135">
        <v>0.0</v>
      </c>
      <c r="AC398" s="135">
        <v>0.0</v>
      </c>
      <c r="AD398" s="135">
        <v>0.0</v>
      </c>
      <c r="AE398" s="135">
        <v>0.0</v>
      </c>
      <c r="AF398" s="137">
        <v>12.0</v>
      </c>
      <c r="AG398" s="137">
        <v>6.0</v>
      </c>
      <c r="AH398" s="137">
        <v>16.0</v>
      </c>
      <c r="AI398" s="137">
        <v>6.0</v>
      </c>
      <c r="AJ398" s="137">
        <v>4.0</v>
      </c>
      <c r="AK398" s="137">
        <v>14.0</v>
      </c>
      <c r="AL398" s="137">
        <v>20.0</v>
      </c>
      <c r="AM398" s="137">
        <v>18.0</v>
      </c>
      <c r="AN398" s="137">
        <v>96.0</v>
      </c>
    </row>
    <row r="399">
      <c r="A399" s="104"/>
      <c r="B399" s="136" t="s">
        <v>199</v>
      </c>
      <c r="C399" s="134">
        <v>2180.0</v>
      </c>
      <c r="D399" s="137">
        <v>964.0</v>
      </c>
      <c r="E399" s="134">
        <v>1216.0</v>
      </c>
      <c r="F399" s="135">
        <v>0.0</v>
      </c>
      <c r="G399" s="135">
        <v>0.0</v>
      </c>
      <c r="H399" s="135">
        <v>0.0</v>
      </c>
      <c r="I399" s="135">
        <v>0.0</v>
      </c>
      <c r="J399" s="135">
        <v>0.0</v>
      </c>
      <c r="K399" s="135">
        <v>0.0</v>
      </c>
      <c r="L399" s="135">
        <v>0.0</v>
      </c>
      <c r="M399" s="135">
        <v>0.0</v>
      </c>
      <c r="N399" s="135">
        <v>0.0</v>
      </c>
      <c r="O399" s="135">
        <v>0.0</v>
      </c>
      <c r="P399" s="135">
        <v>0.0</v>
      </c>
      <c r="Q399" s="135">
        <v>0.0</v>
      </c>
      <c r="R399" s="135">
        <v>0.0</v>
      </c>
      <c r="S399" s="135">
        <v>0.0</v>
      </c>
      <c r="T399" s="135">
        <v>0.0</v>
      </c>
      <c r="U399" s="135">
        <v>0.0</v>
      </c>
      <c r="V399" s="135">
        <v>0.0</v>
      </c>
      <c r="W399" s="135">
        <v>0.0</v>
      </c>
      <c r="X399" s="135">
        <v>0.0</v>
      </c>
      <c r="Y399" s="135">
        <v>0.0</v>
      </c>
      <c r="Z399" s="135">
        <v>0.0</v>
      </c>
      <c r="AA399" s="135">
        <v>0.0</v>
      </c>
      <c r="AB399" s="135">
        <v>0.0</v>
      </c>
      <c r="AC399" s="135">
        <v>0.0</v>
      </c>
      <c r="AD399" s="135">
        <v>0.0</v>
      </c>
      <c r="AE399" s="135">
        <v>0.0</v>
      </c>
      <c r="AF399" s="137">
        <v>142.0</v>
      </c>
      <c r="AG399" s="137">
        <v>232.0</v>
      </c>
      <c r="AH399" s="137">
        <v>238.0</v>
      </c>
      <c r="AI399" s="137">
        <v>296.0</v>
      </c>
      <c r="AJ399" s="137">
        <v>246.0</v>
      </c>
      <c r="AK399" s="137">
        <v>324.0</v>
      </c>
      <c r="AL399" s="137">
        <v>338.0</v>
      </c>
      <c r="AM399" s="137">
        <v>364.0</v>
      </c>
      <c r="AN399" s="134">
        <v>2172.0</v>
      </c>
    </row>
    <row r="400">
      <c r="A400" s="132" t="s">
        <v>205</v>
      </c>
      <c r="B400" s="136" t="s">
        <v>198</v>
      </c>
      <c r="C400" s="134">
        <v>1376.0</v>
      </c>
      <c r="D400" s="137">
        <v>380.0</v>
      </c>
      <c r="E400" s="137">
        <v>996.0</v>
      </c>
      <c r="F400" s="137">
        <v>18.0</v>
      </c>
      <c r="G400" s="137">
        <v>16.0</v>
      </c>
      <c r="H400" s="137">
        <v>20.0</v>
      </c>
      <c r="I400" s="137">
        <v>16.0</v>
      </c>
      <c r="J400" s="137">
        <v>14.0</v>
      </c>
      <c r="K400" s="137">
        <v>6.0</v>
      </c>
      <c r="L400" s="137">
        <v>6.0</v>
      </c>
      <c r="M400" s="137">
        <v>20.0</v>
      </c>
      <c r="N400" s="137">
        <v>14.0</v>
      </c>
      <c r="O400" s="137">
        <v>24.0</v>
      </c>
      <c r="P400" s="137">
        <v>16.0</v>
      </c>
      <c r="Q400" s="137">
        <v>38.0</v>
      </c>
      <c r="R400" s="137">
        <v>6.0</v>
      </c>
      <c r="S400" s="137">
        <v>28.0</v>
      </c>
      <c r="T400" s="137">
        <v>8.0</v>
      </c>
      <c r="U400" s="137">
        <v>20.0</v>
      </c>
      <c r="V400" s="137">
        <v>16.0</v>
      </c>
      <c r="W400" s="137">
        <v>44.0</v>
      </c>
      <c r="X400" s="137">
        <v>20.0</v>
      </c>
      <c r="Y400" s="137">
        <v>46.0</v>
      </c>
      <c r="Z400" s="137">
        <v>12.0</v>
      </c>
      <c r="AA400" s="137">
        <v>64.0</v>
      </c>
      <c r="AB400" s="137">
        <v>12.0</v>
      </c>
      <c r="AC400" s="137">
        <v>122.0</v>
      </c>
      <c r="AD400" s="137">
        <v>36.0</v>
      </c>
      <c r="AE400" s="137">
        <v>118.0</v>
      </c>
      <c r="AF400" s="137">
        <v>36.0</v>
      </c>
      <c r="AG400" s="137">
        <v>132.0</v>
      </c>
      <c r="AH400" s="137">
        <v>52.0</v>
      </c>
      <c r="AI400" s="137">
        <v>144.0</v>
      </c>
      <c r="AJ400" s="137">
        <v>50.0</v>
      </c>
      <c r="AK400" s="137">
        <v>82.0</v>
      </c>
      <c r="AL400" s="137">
        <v>44.0</v>
      </c>
      <c r="AM400" s="137">
        <v>76.0</v>
      </c>
      <c r="AN400" s="134">
        <v>1376.0</v>
      </c>
    </row>
    <row r="401">
      <c r="A401" s="98"/>
      <c r="B401" s="136" t="s">
        <v>199</v>
      </c>
      <c r="C401" s="137">
        <v>78.0</v>
      </c>
      <c r="D401" s="137">
        <v>42.0</v>
      </c>
      <c r="E401" s="137">
        <v>36.0</v>
      </c>
      <c r="F401" s="137">
        <v>0.0</v>
      </c>
      <c r="G401" s="137">
        <v>0.0</v>
      </c>
      <c r="H401" s="137">
        <v>0.0</v>
      </c>
      <c r="I401" s="137">
        <v>0.0</v>
      </c>
      <c r="J401" s="137">
        <v>0.0</v>
      </c>
      <c r="K401" s="137">
        <v>0.0</v>
      </c>
      <c r="L401" s="137">
        <v>0.0</v>
      </c>
      <c r="M401" s="137">
        <v>2.0</v>
      </c>
      <c r="N401" s="137">
        <v>0.0</v>
      </c>
      <c r="O401" s="137">
        <v>0.0</v>
      </c>
      <c r="P401" s="137">
        <v>0.0</v>
      </c>
      <c r="Q401" s="137">
        <v>0.0</v>
      </c>
      <c r="R401" s="137">
        <v>8.0</v>
      </c>
      <c r="S401" s="137">
        <v>6.0</v>
      </c>
      <c r="T401" s="137">
        <v>0.0</v>
      </c>
      <c r="U401" s="137">
        <v>2.0</v>
      </c>
      <c r="V401" s="137">
        <v>0.0</v>
      </c>
      <c r="W401" s="137">
        <v>6.0</v>
      </c>
      <c r="X401" s="137">
        <v>0.0</v>
      </c>
      <c r="Y401" s="137">
        <v>0.0</v>
      </c>
      <c r="Z401" s="137">
        <v>0.0</v>
      </c>
      <c r="AA401" s="137">
        <v>0.0</v>
      </c>
      <c r="AB401" s="137">
        <v>14.0</v>
      </c>
      <c r="AC401" s="137">
        <v>0.0</v>
      </c>
      <c r="AD401" s="137">
        <v>2.0</v>
      </c>
      <c r="AE401" s="137">
        <v>2.0</v>
      </c>
      <c r="AF401" s="137">
        <v>4.0</v>
      </c>
      <c r="AG401" s="137">
        <v>6.0</v>
      </c>
      <c r="AH401" s="137">
        <v>4.0</v>
      </c>
      <c r="AI401" s="137">
        <v>2.0</v>
      </c>
      <c r="AJ401" s="137">
        <v>4.0</v>
      </c>
      <c r="AK401" s="137">
        <v>6.0</v>
      </c>
      <c r="AL401" s="137">
        <v>6.0</v>
      </c>
      <c r="AM401" s="137">
        <v>4.0</v>
      </c>
      <c r="AN401" s="137">
        <v>78.0</v>
      </c>
    </row>
    <row r="402">
      <c r="A402" s="104"/>
      <c r="B402" s="136" t="s">
        <v>206</v>
      </c>
      <c r="C402" s="134">
        <v>1238.0</v>
      </c>
      <c r="D402" s="137">
        <v>260.0</v>
      </c>
      <c r="E402" s="137">
        <v>978.0</v>
      </c>
      <c r="F402" s="137">
        <v>0.0</v>
      </c>
      <c r="G402" s="137">
        <v>0.0</v>
      </c>
      <c r="H402" s="137">
        <v>0.0</v>
      </c>
      <c r="I402" s="137">
        <v>2.0</v>
      </c>
      <c r="J402" s="137">
        <v>0.0</v>
      </c>
      <c r="K402" s="137">
        <v>6.0</v>
      </c>
      <c r="L402" s="137">
        <v>26.0</v>
      </c>
      <c r="M402" s="137">
        <v>46.0</v>
      </c>
      <c r="N402" s="137">
        <v>48.0</v>
      </c>
      <c r="O402" s="137">
        <v>142.0</v>
      </c>
      <c r="P402" s="137">
        <v>50.0</v>
      </c>
      <c r="Q402" s="137">
        <v>178.0</v>
      </c>
      <c r="R402" s="137">
        <v>34.0</v>
      </c>
      <c r="S402" s="137">
        <v>154.0</v>
      </c>
      <c r="T402" s="137">
        <v>32.0</v>
      </c>
      <c r="U402" s="137">
        <v>136.0</v>
      </c>
      <c r="V402" s="137">
        <v>12.0</v>
      </c>
      <c r="W402" s="137">
        <v>150.0</v>
      </c>
      <c r="X402" s="137">
        <v>8.0</v>
      </c>
      <c r="Y402" s="137">
        <v>70.0</v>
      </c>
      <c r="Z402" s="137">
        <v>10.0</v>
      </c>
      <c r="AA402" s="137">
        <v>46.0</v>
      </c>
      <c r="AB402" s="137">
        <v>12.0</v>
      </c>
      <c r="AC402" s="137">
        <v>18.0</v>
      </c>
      <c r="AD402" s="137">
        <v>10.0</v>
      </c>
      <c r="AE402" s="137">
        <v>14.0</v>
      </c>
      <c r="AF402" s="137">
        <v>14.0</v>
      </c>
      <c r="AG402" s="137">
        <v>8.0</v>
      </c>
      <c r="AH402" s="137">
        <v>0.0</v>
      </c>
      <c r="AI402" s="137">
        <v>6.0</v>
      </c>
      <c r="AJ402" s="137">
        <v>2.0</v>
      </c>
      <c r="AK402" s="137">
        <v>2.0</v>
      </c>
      <c r="AL402" s="137">
        <v>2.0</v>
      </c>
      <c r="AM402" s="137">
        <v>0.0</v>
      </c>
      <c r="AN402" s="134">
        <v>1236.0</v>
      </c>
    </row>
    <row r="403">
      <c r="A403" s="132" t="s">
        <v>207</v>
      </c>
      <c r="B403" s="136" t="s">
        <v>198</v>
      </c>
      <c r="C403" s="134">
        <v>188726.0</v>
      </c>
      <c r="D403" s="134">
        <v>55380.0</v>
      </c>
      <c r="E403" s="134">
        <v>133346.0</v>
      </c>
      <c r="F403" s="134">
        <v>1466.0</v>
      </c>
      <c r="G403" s="137">
        <v>990.0</v>
      </c>
      <c r="H403" s="134">
        <v>1042.0</v>
      </c>
      <c r="I403" s="137">
        <v>780.0</v>
      </c>
      <c r="J403" s="134">
        <v>1348.0</v>
      </c>
      <c r="K403" s="134">
        <v>1230.0</v>
      </c>
      <c r="L403" s="134">
        <v>1332.0</v>
      </c>
      <c r="M403" s="134">
        <v>2372.0</v>
      </c>
      <c r="N403" s="137">
        <v>738.0</v>
      </c>
      <c r="O403" s="134">
        <v>2170.0</v>
      </c>
      <c r="P403" s="137">
        <v>842.0</v>
      </c>
      <c r="Q403" s="134">
        <v>3176.0</v>
      </c>
      <c r="R403" s="137">
        <v>986.0</v>
      </c>
      <c r="S403" s="134">
        <v>4088.0</v>
      </c>
      <c r="T403" s="134">
        <v>1154.0</v>
      </c>
      <c r="U403" s="134">
        <v>4836.0</v>
      </c>
      <c r="V403" s="134">
        <v>1574.0</v>
      </c>
      <c r="W403" s="134">
        <v>6510.0</v>
      </c>
      <c r="X403" s="134">
        <v>2350.0</v>
      </c>
      <c r="Y403" s="134">
        <v>9394.0</v>
      </c>
      <c r="Z403" s="134">
        <v>3850.0</v>
      </c>
      <c r="AA403" s="134">
        <v>14126.0</v>
      </c>
      <c r="AB403" s="134">
        <v>5012.0</v>
      </c>
      <c r="AC403" s="134">
        <v>16158.0</v>
      </c>
      <c r="AD403" s="134">
        <v>6250.0</v>
      </c>
      <c r="AE403" s="134">
        <v>16658.0</v>
      </c>
      <c r="AF403" s="134">
        <v>7414.0</v>
      </c>
      <c r="AG403" s="134">
        <v>16126.0</v>
      </c>
      <c r="AH403" s="134">
        <v>7498.0</v>
      </c>
      <c r="AI403" s="134">
        <v>13578.0</v>
      </c>
      <c r="AJ403" s="134">
        <v>6234.0</v>
      </c>
      <c r="AK403" s="134">
        <v>10068.0</v>
      </c>
      <c r="AL403" s="134">
        <v>6290.0</v>
      </c>
      <c r="AM403" s="134">
        <v>11086.0</v>
      </c>
      <c r="AN403" s="134">
        <v>186804.0</v>
      </c>
    </row>
    <row r="404">
      <c r="A404" s="98"/>
      <c r="B404" s="136" t="s">
        <v>199</v>
      </c>
      <c r="C404" s="134">
        <v>20264.0</v>
      </c>
      <c r="D404" s="134">
        <v>7210.0</v>
      </c>
      <c r="E404" s="134">
        <v>13054.0</v>
      </c>
      <c r="F404" s="137">
        <v>470.0</v>
      </c>
      <c r="G404" s="137">
        <v>400.0</v>
      </c>
      <c r="H404" s="137">
        <v>30.0</v>
      </c>
      <c r="I404" s="137">
        <v>16.0</v>
      </c>
      <c r="J404" s="137">
        <v>6.0</v>
      </c>
      <c r="K404" s="137">
        <v>8.0</v>
      </c>
      <c r="L404" s="137">
        <v>16.0</v>
      </c>
      <c r="M404" s="137">
        <v>20.0</v>
      </c>
      <c r="N404" s="137">
        <v>48.0</v>
      </c>
      <c r="O404" s="137">
        <v>66.0</v>
      </c>
      <c r="P404" s="137">
        <v>42.0</v>
      </c>
      <c r="Q404" s="137">
        <v>80.0</v>
      </c>
      <c r="R404" s="137">
        <v>66.0</v>
      </c>
      <c r="S404" s="137">
        <v>134.0</v>
      </c>
      <c r="T404" s="137">
        <v>72.0</v>
      </c>
      <c r="U404" s="137">
        <v>196.0</v>
      </c>
      <c r="V404" s="137">
        <v>158.0</v>
      </c>
      <c r="W404" s="137">
        <v>442.0</v>
      </c>
      <c r="X404" s="137">
        <v>270.0</v>
      </c>
      <c r="Y404" s="137">
        <v>696.0</v>
      </c>
      <c r="Z404" s="137">
        <v>410.0</v>
      </c>
      <c r="AA404" s="134">
        <v>1284.0</v>
      </c>
      <c r="AB404" s="137">
        <v>604.0</v>
      </c>
      <c r="AC404" s="134">
        <v>1488.0</v>
      </c>
      <c r="AD404" s="137">
        <v>822.0</v>
      </c>
      <c r="AE404" s="134">
        <v>1622.0</v>
      </c>
      <c r="AF404" s="134">
        <v>1124.0</v>
      </c>
      <c r="AG404" s="134">
        <v>2030.0</v>
      </c>
      <c r="AH404" s="134">
        <v>1176.0</v>
      </c>
      <c r="AI404" s="134">
        <v>1670.0</v>
      </c>
      <c r="AJ404" s="137">
        <v>824.0</v>
      </c>
      <c r="AK404" s="134">
        <v>1296.0</v>
      </c>
      <c r="AL404" s="134">
        <v>1072.0</v>
      </c>
      <c r="AM404" s="134">
        <v>1606.0</v>
      </c>
      <c r="AN404" s="134">
        <v>20190.0</v>
      </c>
    </row>
    <row r="405">
      <c r="A405" s="98"/>
      <c r="B405" s="136" t="s">
        <v>206</v>
      </c>
      <c r="C405" s="137">
        <v>226.0</v>
      </c>
      <c r="D405" s="137">
        <v>52.0</v>
      </c>
      <c r="E405" s="137">
        <v>174.0</v>
      </c>
      <c r="F405" s="137">
        <v>4.0</v>
      </c>
      <c r="G405" s="137">
        <v>2.0</v>
      </c>
      <c r="H405" s="137">
        <v>0.0</v>
      </c>
      <c r="I405" s="137">
        <v>2.0</v>
      </c>
      <c r="J405" s="137">
        <v>6.0</v>
      </c>
      <c r="K405" s="137">
        <v>22.0</v>
      </c>
      <c r="L405" s="137">
        <v>10.0</v>
      </c>
      <c r="M405" s="137">
        <v>20.0</v>
      </c>
      <c r="N405" s="137">
        <v>4.0</v>
      </c>
      <c r="O405" s="137">
        <v>18.0</v>
      </c>
      <c r="P405" s="137">
        <v>0.0</v>
      </c>
      <c r="Q405" s="137">
        <v>22.0</v>
      </c>
      <c r="R405" s="137">
        <v>0.0</v>
      </c>
      <c r="S405" s="137">
        <v>22.0</v>
      </c>
      <c r="T405" s="137">
        <v>0.0</v>
      </c>
      <c r="U405" s="137">
        <v>8.0</v>
      </c>
      <c r="V405" s="137">
        <v>0.0</v>
      </c>
      <c r="W405" s="137">
        <v>2.0</v>
      </c>
      <c r="X405" s="137">
        <v>0.0</v>
      </c>
      <c r="Y405" s="137">
        <v>0.0</v>
      </c>
      <c r="Z405" s="137">
        <v>0.0</v>
      </c>
      <c r="AA405" s="137">
        <v>2.0</v>
      </c>
      <c r="AB405" s="137">
        <v>0.0</v>
      </c>
      <c r="AC405" s="137">
        <v>4.0</v>
      </c>
      <c r="AD405" s="137">
        <v>0.0</v>
      </c>
      <c r="AE405" s="137">
        <v>6.0</v>
      </c>
      <c r="AF405" s="137">
        <v>16.0</v>
      </c>
      <c r="AG405" s="137">
        <v>10.0</v>
      </c>
      <c r="AH405" s="137">
        <v>2.0</v>
      </c>
      <c r="AI405" s="137">
        <v>16.0</v>
      </c>
      <c r="AJ405" s="137">
        <v>2.0</v>
      </c>
      <c r="AK405" s="137">
        <v>12.0</v>
      </c>
      <c r="AL405" s="137">
        <v>8.0</v>
      </c>
      <c r="AM405" s="137">
        <v>6.0</v>
      </c>
      <c r="AN405" s="137">
        <v>218.0</v>
      </c>
    </row>
    <row r="406">
      <c r="A406" s="98"/>
      <c r="B406" s="136" t="s">
        <v>200</v>
      </c>
      <c r="C406" s="134">
        <v>23772.0</v>
      </c>
      <c r="D406" s="134">
        <v>7582.0</v>
      </c>
      <c r="E406" s="134">
        <v>16190.0</v>
      </c>
      <c r="F406" s="137">
        <v>598.0</v>
      </c>
      <c r="G406" s="137">
        <v>548.0</v>
      </c>
      <c r="H406" s="137">
        <v>190.0</v>
      </c>
      <c r="I406" s="137">
        <v>214.0</v>
      </c>
      <c r="J406" s="137">
        <v>52.0</v>
      </c>
      <c r="K406" s="137">
        <v>106.0</v>
      </c>
      <c r="L406" s="137">
        <v>34.0</v>
      </c>
      <c r="M406" s="137">
        <v>144.0</v>
      </c>
      <c r="N406" s="137">
        <v>40.0</v>
      </c>
      <c r="O406" s="137">
        <v>158.0</v>
      </c>
      <c r="P406" s="137">
        <v>58.0</v>
      </c>
      <c r="Q406" s="137">
        <v>284.0</v>
      </c>
      <c r="R406" s="137">
        <v>58.0</v>
      </c>
      <c r="S406" s="137">
        <v>404.0</v>
      </c>
      <c r="T406" s="137">
        <v>116.0</v>
      </c>
      <c r="U406" s="137">
        <v>460.0</v>
      </c>
      <c r="V406" s="137">
        <v>194.0</v>
      </c>
      <c r="W406" s="137">
        <v>810.0</v>
      </c>
      <c r="X406" s="137">
        <v>352.0</v>
      </c>
      <c r="Y406" s="134">
        <v>1116.0</v>
      </c>
      <c r="Z406" s="137">
        <v>534.0</v>
      </c>
      <c r="AA406" s="134">
        <v>1838.0</v>
      </c>
      <c r="AB406" s="137">
        <v>738.0</v>
      </c>
      <c r="AC406" s="134">
        <v>1934.0</v>
      </c>
      <c r="AD406" s="137">
        <v>876.0</v>
      </c>
      <c r="AE406" s="134">
        <v>2090.0</v>
      </c>
      <c r="AF406" s="134">
        <v>1122.0</v>
      </c>
      <c r="AG406" s="134">
        <v>1958.0</v>
      </c>
      <c r="AH406" s="134">
        <v>1032.0</v>
      </c>
      <c r="AI406" s="134">
        <v>1590.0</v>
      </c>
      <c r="AJ406" s="137">
        <v>750.0</v>
      </c>
      <c r="AK406" s="134">
        <v>1248.0</v>
      </c>
      <c r="AL406" s="137">
        <v>838.0</v>
      </c>
      <c r="AM406" s="134">
        <v>1288.0</v>
      </c>
      <c r="AN406" s="134">
        <v>23750.0</v>
      </c>
    </row>
    <row r="407">
      <c r="A407" s="104"/>
      <c r="B407" s="136" t="s">
        <v>201</v>
      </c>
      <c r="C407" s="134">
        <v>9022.0</v>
      </c>
      <c r="D407" s="134">
        <v>4034.0</v>
      </c>
      <c r="E407" s="134">
        <v>4988.0</v>
      </c>
      <c r="F407" s="137">
        <v>634.0</v>
      </c>
      <c r="G407" s="137">
        <v>780.0</v>
      </c>
      <c r="H407" s="137">
        <v>210.0</v>
      </c>
      <c r="I407" s="137">
        <v>146.0</v>
      </c>
      <c r="J407" s="137">
        <v>118.0</v>
      </c>
      <c r="K407" s="137">
        <v>64.0</v>
      </c>
      <c r="L407" s="137">
        <v>22.0</v>
      </c>
      <c r="M407" s="137">
        <v>168.0</v>
      </c>
      <c r="N407" s="137">
        <v>78.0</v>
      </c>
      <c r="O407" s="137">
        <v>224.0</v>
      </c>
      <c r="P407" s="137">
        <v>64.0</v>
      </c>
      <c r="Q407" s="137">
        <v>202.0</v>
      </c>
      <c r="R407" s="137">
        <v>92.0</v>
      </c>
      <c r="S407" s="137">
        <v>328.0</v>
      </c>
      <c r="T407" s="137">
        <v>108.0</v>
      </c>
      <c r="U407" s="137">
        <v>232.0</v>
      </c>
      <c r="V407" s="137">
        <v>70.0</v>
      </c>
      <c r="W407" s="137">
        <v>322.0</v>
      </c>
      <c r="X407" s="137">
        <v>176.0</v>
      </c>
      <c r="Y407" s="137">
        <v>236.0</v>
      </c>
      <c r="Z407" s="137">
        <v>200.0</v>
      </c>
      <c r="AA407" s="137">
        <v>246.0</v>
      </c>
      <c r="AB407" s="137">
        <v>178.0</v>
      </c>
      <c r="AC407" s="137">
        <v>394.0</v>
      </c>
      <c r="AD407" s="137">
        <v>256.0</v>
      </c>
      <c r="AE407" s="137">
        <v>322.0</v>
      </c>
      <c r="AF407" s="137">
        <v>382.0</v>
      </c>
      <c r="AG407" s="137">
        <v>384.0</v>
      </c>
      <c r="AH407" s="137">
        <v>552.0</v>
      </c>
      <c r="AI407" s="137">
        <v>186.0</v>
      </c>
      <c r="AJ407" s="137">
        <v>384.0</v>
      </c>
      <c r="AK407" s="137">
        <v>360.0</v>
      </c>
      <c r="AL407" s="137">
        <v>510.0</v>
      </c>
      <c r="AM407" s="137">
        <v>394.0</v>
      </c>
      <c r="AN407" s="134">
        <v>9010.0</v>
      </c>
    </row>
    <row r="408">
      <c r="A408" s="132" t="s">
        <v>208</v>
      </c>
      <c r="B408" s="136" t="s">
        <v>198</v>
      </c>
      <c r="C408" s="137">
        <v>420.0</v>
      </c>
      <c r="D408" s="137">
        <v>248.0</v>
      </c>
      <c r="E408" s="137">
        <v>172.0</v>
      </c>
      <c r="F408" s="137">
        <v>182.0</v>
      </c>
      <c r="G408" s="137">
        <v>122.0</v>
      </c>
      <c r="H408" s="137">
        <v>26.0</v>
      </c>
      <c r="I408" s="137">
        <v>20.0</v>
      </c>
      <c r="J408" s="137">
        <v>30.0</v>
      </c>
      <c r="K408" s="137">
        <v>20.0</v>
      </c>
      <c r="L408" s="137">
        <v>8.0</v>
      </c>
      <c r="M408" s="137">
        <v>6.0</v>
      </c>
      <c r="N408" s="137">
        <v>2.0</v>
      </c>
      <c r="O408" s="137">
        <v>4.0</v>
      </c>
      <c r="P408" s="135">
        <v>0.0</v>
      </c>
      <c r="Q408" s="135">
        <v>0.0</v>
      </c>
      <c r="R408" s="135">
        <v>0.0</v>
      </c>
      <c r="S408" s="135">
        <v>0.0</v>
      </c>
      <c r="T408" s="135">
        <v>0.0</v>
      </c>
      <c r="U408" s="135">
        <v>0.0</v>
      </c>
      <c r="V408" s="135">
        <v>0.0</v>
      </c>
      <c r="W408" s="135">
        <v>0.0</v>
      </c>
      <c r="X408" s="135">
        <v>0.0</v>
      </c>
      <c r="Y408" s="135">
        <v>0.0</v>
      </c>
      <c r="Z408" s="135">
        <v>0.0</v>
      </c>
      <c r="AA408" s="135">
        <v>0.0</v>
      </c>
      <c r="AB408" s="135">
        <v>0.0</v>
      </c>
      <c r="AC408" s="135">
        <v>0.0</v>
      </c>
      <c r="AD408" s="135">
        <v>0.0</v>
      </c>
      <c r="AE408" s="135">
        <v>0.0</v>
      </c>
      <c r="AF408" s="135">
        <v>0.0</v>
      </c>
      <c r="AG408" s="135">
        <v>0.0</v>
      </c>
      <c r="AH408" s="135">
        <v>0.0</v>
      </c>
      <c r="AI408" s="135">
        <v>0.0</v>
      </c>
      <c r="AJ408" s="135">
        <v>0.0</v>
      </c>
      <c r="AK408" s="135">
        <v>0.0</v>
      </c>
      <c r="AL408" s="135">
        <v>0.0</v>
      </c>
      <c r="AM408" s="135">
        <v>0.0</v>
      </c>
      <c r="AN408" s="137">
        <v>416.0</v>
      </c>
    </row>
    <row r="409">
      <c r="A409" s="98"/>
      <c r="B409" s="136" t="s">
        <v>199</v>
      </c>
      <c r="C409" s="134">
        <v>1926.0</v>
      </c>
      <c r="D409" s="134">
        <v>1040.0</v>
      </c>
      <c r="E409" s="137">
        <v>886.0</v>
      </c>
      <c r="F409" s="137">
        <v>828.0</v>
      </c>
      <c r="G409" s="137">
        <v>720.0</v>
      </c>
      <c r="H409" s="137">
        <v>186.0</v>
      </c>
      <c r="I409" s="137">
        <v>116.0</v>
      </c>
      <c r="J409" s="137">
        <v>14.0</v>
      </c>
      <c r="K409" s="137">
        <v>22.0</v>
      </c>
      <c r="L409" s="137">
        <v>8.0</v>
      </c>
      <c r="M409" s="137">
        <v>26.0</v>
      </c>
      <c r="N409" s="137">
        <v>4.0</v>
      </c>
      <c r="O409" s="137">
        <v>2.0</v>
      </c>
      <c r="P409" s="135">
        <v>0.0</v>
      </c>
      <c r="Q409" s="135">
        <v>0.0</v>
      </c>
      <c r="R409" s="135">
        <v>0.0</v>
      </c>
      <c r="S409" s="135">
        <v>0.0</v>
      </c>
      <c r="T409" s="135">
        <v>0.0</v>
      </c>
      <c r="U409" s="135">
        <v>0.0</v>
      </c>
      <c r="V409" s="135">
        <v>0.0</v>
      </c>
      <c r="W409" s="135">
        <v>0.0</v>
      </c>
      <c r="X409" s="135">
        <v>0.0</v>
      </c>
      <c r="Y409" s="135">
        <v>0.0</v>
      </c>
      <c r="Z409" s="135">
        <v>0.0</v>
      </c>
      <c r="AA409" s="135">
        <v>0.0</v>
      </c>
      <c r="AB409" s="135">
        <v>0.0</v>
      </c>
      <c r="AC409" s="135">
        <v>0.0</v>
      </c>
      <c r="AD409" s="135">
        <v>0.0</v>
      </c>
      <c r="AE409" s="135">
        <v>0.0</v>
      </c>
      <c r="AF409" s="135">
        <v>0.0</v>
      </c>
      <c r="AG409" s="135">
        <v>0.0</v>
      </c>
      <c r="AH409" s="135">
        <v>0.0</v>
      </c>
      <c r="AI409" s="135">
        <v>0.0</v>
      </c>
      <c r="AJ409" s="135">
        <v>0.0</v>
      </c>
      <c r="AK409" s="135">
        <v>0.0</v>
      </c>
      <c r="AL409" s="135">
        <v>0.0</v>
      </c>
      <c r="AM409" s="135">
        <v>0.0</v>
      </c>
      <c r="AN409" s="134">
        <v>1870.0</v>
      </c>
    </row>
    <row r="410">
      <c r="A410" s="98"/>
      <c r="B410" s="136" t="s">
        <v>206</v>
      </c>
      <c r="C410" s="137">
        <v>150.0</v>
      </c>
      <c r="D410" s="137">
        <v>68.0</v>
      </c>
      <c r="E410" s="137">
        <v>82.0</v>
      </c>
      <c r="F410" s="137">
        <v>20.0</v>
      </c>
      <c r="G410" s="137">
        <v>48.0</v>
      </c>
      <c r="H410" s="137">
        <v>4.0</v>
      </c>
      <c r="I410" s="137">
        <v>0.0</v>
      </c>
      <c r="J410" s="137">
        <v>38.0</v>
      </c>
      <c r="K410" s="137">
        <v>16.0</v>
      </c>
      <c r="L410" s="137">
        <v>6.0</v>
      </c>
      <c r="M410" s="137">
        <v>18.0</v>
      </c>
      <c r="N410" s="137">
        <v>0.0</v>
      </c>
      <c r="O410" s="137">
        <v>0.0</v>
      </c>
      <c r="P410" s="135">
        <v>0.0</v>
      </c>
      <c r="Q410" s="135">
        <v>0.0</v>
      </c>
      <c r="R410" s="135">
        <v>0.0</v>
      </c>
      <c r="S410" s="135">
        <v>0.0</v>
      </c>
      <c r="T410" s="135">
        <v>0.0</v>
      </c>
      <c r="U410" s="135">
        <v>0.0</v>
      </c>
      <c r="V410" s="135">
        <v>0.0</v>
      </c>
      <c r="W410" s="135">
        <v>0.0</v>
      </c>
      <c r="X410" s="135">
        <v>0.0</v>
      </c>
      <c r="Y410" s="135">
        <v>0.0</v>
      </c>
      <c r="Z410" s="135">
        <v>0.0</v>
      </c>
      <c r="AA410" s="135">
        <v>0.0</v>
      </c>
      <c r="AB410" s="135">
        <v>0.0</v>
      </c>
      <c r="AC410" s="135">
        <v>0.0</v>
      </c>
      <c r="AD410" s="135">
        <v>0.0</v>
      </c>
      <c r="AE410" s="135">
        <v>0.0</v>
      </c>
      <c r="AF410" s="135">
        <v>0.0</v>
      </c>
      <c r="AG410" s="135">
        <v>0.0</v>
      </c>
      <c r="AH410" s="135">
        <v>0.0</v>
      </c>
      <c r="AI410" s="135">
        <v>0.0</v>
      </c>
      <c r="AJ410" s="135">
        <v>0.0</v>
      </c>
      <c r="AK410" s="135">
        <v>0.0</v>
      </c>
      <c r="AL410" s="135">
        <v>0.0</v>
      </c>
      <c r="AM410" s="135">
        <v>0.0</v>
      </c>
      <c r="AN410" s="137">
        <v>144.0</v>
      </c>
    </row>
    <row r="411">
      <c r="A411" s="98"/>
      <c r="B411" s="136" t="s">
        <v>200</v>
      </c>
      <c r="C411" s="137">
        <v>580.0</v>
      </c>
      <c r="D411" s="137">
        <v>306.0</v>
      </c>
      <c r="E411" s="137">
        <v>274.0</v>
      </c>
      <c r="F411" s="137">
        <v>202.0</v>
      </c>
      <c r="G411" s="137">
        <v>192.0</v>
      </c>
      <c r="H411" s="137">
        <v>60.0</v>
      </c>
      <c r="I411" s="137">
        <v>62.0</v>
      </c>
      <c r="J411" s="137">
        <v>28.0</v>
      </c>
      <c r="K411" s="137">
        <v>12.0</v>
      </c>
      <c r="L411" s="137">
        <v>6.0</v>
      </c>
      <c r="M411" s="137">
        <v>4.0</v>
      </c>
      <c r="N411" s="137">
        <v>10.0</v>
      </c>
      <c r="O411" s="137">
        <v>4.0</v>
      </c>
      <c r="P411" s="135">
        <v>0.0</v>
      </c>
      <c r="Q411" s="135">
        <v>0.0</v>
      </c>
      <c r="R411" s="135">
        <v>0.0</v>
      </c>
      <c r="S411" s="135">
        <v>0.0</v>
      </c>
      <c r="T411" s="135">
        <v>0.0</v>
      </c>
      <c r="U411" s="135">
        <v>0.0</v>
      </c>
      <c r="V411" s="135">
        <v>0.0</v>
      </c>
      <c r="W411" s="135">
        <v>0.0</v>
      </c>
      <c r="X411" s="135">
        <v>0.0</v>
      </c>
      <c r="Y411" s="135">
        <v>0.0</v>
      </c>
      <c r="Z411" s="135">
        <v>0.0</v>
      </c>
      <c r="AA411" s="135">
        <v>0.0</v>
      </c>
      <c r="AB411" s="135">
        <v>0.0</v>
      </c>
      <c r="AC411" s="135">
        <v>0.0</v>
      </c>
      <c r="AD411" s="135">
        <v>0.0</v>
      </c>
      <c r="AE411" s="135">
        <v>0.0</v>
      </c>
      <c r="AF411" s="135">
        <v>0.0</v>
      </c>
      <c r="AG411" s="135">
        <v>0.0</v>
      </c>
      <c r="AH411" s="135">
        <v>0.0</v>
      </c>
      <c r="AI411" s="135">
        <v>0.0</v>
      </c>
      <c r="AJ411" s="135">
        <v>0.0</v>
      </c>
      <c r="AK411" s="135">
        <v>0.0</v>
      </c>
      <c r="AL411" s="135">
        <v>0.0</v>
      </c>
      <c r="AM411" s="135">
        <v>0.0</v>
      </c>
      <c r="AN411" s="137">
        <v>576.0</v>
      </c>
    </row>
    <row r="412">
      <c r="A412" s="104"/>
      <c r="B412" s="136" t="s">
        <v>201</v>
      </c>
      <c r="C412" s="137">
        <v>120.0</v>
      </c>
      <c r="D412" s="137">
        <v>38.0</v>
      </c>
      <c r="E412" s="137">
        <v>82.0</v>
      </c>
      <c r="F412" s="137">
        <v>20.0</v>
      </c>
      <c r="G412" s="137">
        <v>4.0</v>
      </c>
      <c r="H412" s="137">
        <v>6.0</v>
      </c>
      <c r="I412" s="137">
        <v>24.0</v>
      </c>
      <c r="J412" s="137">
        <v>0.0</v>
      </c>
      <c r="K412" s="137">
        <v>28.0</v>
      </c>
      <c r="L412" s="137">
        <v>12.0</v>
      </c>
      <c r="M412" s="137">
        <v>26.0</v>
      </c>
      <c r="N412" s="137">
        <v>0.0</v>
      </c>
      <c r="O412" s="137">
        <v>0.0</v>
      </c>
      <c r="P412" s="135">
        <v>0.0</v>
      </c>
      <c r="Q412" s="135">
        <v>0.0</v>
      </c>
      <c r="R412" s="135">
        <v>0.0</v>
      </c>
      <c r="S412" s="135">
        <v>0.0</v>
      </c>
      <c r="T412" s="135">
        <v>0.0</v>
      </c>
      <c r="U412" s="135">
        <v>0.0</v>
      </c>
      <c r="V412" s="135">
        <v>0.0</v>
      </c>
      <c r="W412" s="135">
        <v>0.0</v>
      </c>
      <c r="X412" s="135">
        <v>0.0</v>
      </c>
      <c r="Y412" s="135">
        <v>0.0</v>
      </c>
      <c r="Z412" s="135">
        <v>0.0</v>
      </c>
      <c r="AA412" s="135">
        <v>0.0</v>
      </c>
      <c r="AB412" s="135">
        <v>0.0</v>
      </c>
      <c r="AC412" s="135">
        <v>0.0</v>
      </c>
      <c r="AD412" s="135">
        <v>0.0</v>
      </c>
      <c r="AE412" s="135">
        <v>0.0</v>
      </c>
      <c r="AF412" s="135">
        <v>0.0</v>
      </c>
      <c r="AG412" s="135">
        <v>0.0</v>
      </c>
      <c r="AH412" s="135">
        <v>0.0</v>
      </c>
      <c r="AI412" s="135">
        <v>0.0</v>
      </c>
      <c r="AJ412" s="135">
        <v>0.0</v>
      </c>
      <c r="AK412" s="135">
        <v>0.0</v>
      </c>
      <c r="AL412" s="135">
        <v>0.0</v>
      </c>
      <c r="AM412" s="135">
        <v>0.0</v>
      </c>
      <c r="AN412" s="137">
        <v>120.0</v>
      </c>
    </row>
    <row r="413">
      <c r="A413" s="138" t="s">
        <v>256</v>
      </c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</row>
    <row r="414">
      <c r="A414" s="132" t="s">
        <v>197</v>
      </c>
      <c r="B414" s="133" t="s">
        <v>198</v>
      </c>
      <c r="C414" s="134">
        <v>207746.0</v>
      </c>
      <c r="D414" s="134">
        <v>78846.0</v>
      </c>
      <c r="E414" s="134">
        <v>128900.0</v>
      </c>
      <c r="F414" s="135">
        <v>0.0</v>
      </c>
      <c r="G414" s="135">
        <v>0.0</v>
      </c>
      <c r="H414" s="135">
        <v>0.0</v>
      </c>
      <c r="I414" s="135">
        <v>0.0</v>
      </c>
      <c r="J414" s="135">
        <v>0.0</v>
      </c>
      <c r="K414" s="135">
        <v>0.0</v>
      </c>
      <c r="L414" s="137">
        <v>142.0</v>
      </c>
      <c r="M414" s="137">
        <v>256.0</v>
      </c>
      <c r="N414" s="137">
        <v>214.0</v>
      </c>
      <c r="O414" s="137">
        <v>456.0</v>
      </c>
      <c r="P414" s="137">
        <v>454.0</v>
      </c>
      <c r="Q414" s="137">
        <v>962.0</v>
      </c>
      <c r="R414" s="137">
        <v>810.0</v>
      </c>
      <c r="S414" s="134">
        <v>1718.0</v>
      </c>
      <c r="T414" s="134">
        <v>1324.0</v>
      </c>
      <c r="U414" s="134">
        <v>3006.0</v>
      </c>
      <c r="V414" s="134">
        <v>2404.0</v>
      </c>
      <c r="W414" s="134">
        <v>5284.0</v>
      </c>
      <c r="X414" s="134">
        <v>4444.0</v>
      </c>
      <c r="Y414" s="134">
        <v>9644.0</v>
      </c>
      <c r="Z414" s="134">
        <v>7416.0</v>
      </c>
      <c r="AA414" s="134">
        <v>14830.0</v>
      </c>
      <c r="AB414" s="134">
        <v>10238.0</v>
      </c>
      <c r="AC414" s="134">
        <v>16870.0</v>
      </c>
      <c r="AD414" s="134">
        <v>11036.0</v>
      </c>
      <c r="AE414" s="134">
        <v>17828.0</v>
      </c>
      <c r="AF414" s="134">
        <v>11412.0</v>
      </c>
      <c r="AG414" s="134">
        <v>16584.0</v>
      </c>
      <c r="AH414" s="134">
        <v>11354.0</v>
      </c>
      <c r="AI414" s="134">
        <v>15094.0</v>
      </c>
      <c r="AJ414" s="134">
        <v>8594.0</v>
      </c>
      <c r="AK414" s="134">
        <v>12186.0</v>
      </c>
      <c r="AL414" s="134">
        <v>9004.0</v>
      </c>
      <c r="AM414" s="134">
        <v>14182.0</v>
      </c>
      <c r="AN414" s="134">
        <v>206752.0</v>
      </c>
    </row>
    <row r="415">
      <c r="A415" s="98"/>
      <c r="B415" s="136" t="s">
        <v>199</v>
      </c>
      <c r="C415" s="134">
        <v>142026.0</v>
      </c>
      <c r="D415" s="134">
        <v>53528.0</v>
      </c>
      <c r="E415" s="134">
        <v>88498.0</v>
      </c>
      <c r="F415" s="135">
        <v>0.0</v>
      </c>
      <c r="G415" s="135">
        <v>0.0</v>
      </c>
      <c r="H415" s="135">
        <v>0.0</v>
      </c>
      <c r="I415" s="135">
        <v>0.0</v>
      </c>
      <c r="J415" s="135">
        <v>0.0</v>
      </c>
      <c r="K415" s="135">
        <v>0.0</v>
      </c>
      <c r="L415" s="137">
        <v>62.0</v>
      </c>
      <c r="M415" s="137">
        <v>60.0</v>
      </c>
      <c r="N415" s="137">
        <v>100.0</v>
      </c>
      <c r="O415" s="137">
        <v>158.0</v>
      </c>
      <c r="P415" s="137">
        <v>178.0</v>
      </c>
      <c r="Q415" s="137">
        <v>438.0</v>
      </c>
      <c r="R415" s="137">
        <v>398.0</v>
      </c>
      <c r="S415" s="137">
        <v>790.0</v>
      </c>
      <c r="T415" s="137">
        <v>712.0</v>
      </c>
      <c r="U415" s="134">
        <v>1530.0</v>
      </c>
      <c r="V415" s="134">
        <v>1456.0</v>
      </c>
      <c r="W415" s="134">
        <v>3092.0</v>
      </c>
      <c r="X415" s="134">
        <v>2606.0</v>
      </c>
      <c r="Y415" s="134">
        <v>6084.0</v>
      </c>
      <c r="Z415" s="134">
        <v>4662.0</v>
      </c>
      <c r="AA415" s="134">
        <v>9590.0</v>
      </c>
      <c r="AB415" s="134">
        <v>6610.0</v>
      </c>
      <c r="AC415" s="134">
        <v>11368.0</v>
      </c>
      <c r="AD415" s="134">
        <v>7326.0</v>
      </c>
      <c r="AE415" s="134">
        <v>12180.0</v>
      </c>
      <c r="AF415" s="134">
        <v>8172.0</v>
      </c>
      <c r="AG415" s="134">
        <v>12170.0</v>
      </c>
      <c r="AH415" s="134">
        <v>8052.0</v>
      </c>
      <c r="AI415" s="134">
        <v>11228.0</v>
      </c>
      <c r="AJ415" s="134">
        <v>6564.0</v>
      </c>
      <c r="AK415" s="134">
        <v>9026.0</v>
      </c>
      <c r="AL415" s="134">
        <v>6630.0</v>
      </c>
      <c r="AM415" s="134">
        <v>10784.0</v>
      </c>
      <c r="AN415" s="134">
        <v>141594.0</v>
      </c>
    </row>
    <row r="416">
      <c r="A416" s="98"/>
      <c r="B416" s="136" t="s">
        <v>200</v>
      </c>
      <c r="C416" s="134">
        <v>134670.0</v>
      </c>
      <c r="D416" s="134">
        <v>49308.0</v>
      </c>
      <c r="E416" s="134">
        <v>85362.0</v>
      </c>
      <c r="F416" s="135">
        <v>0.0</v>
      </c>
      <c r="G416" s="135">
        <v>0.0</v>
      </c>
      <c r="H416" s="135">
        <v>0.0</v>
      </c>
      <c r="I416" s="135">
        <v>0.0</v>
      </c>
      <c r="J416" s="135">
        <v>0.0</v>
      </c>
      <c r="K416" s="135">
        <v>0.0</v>
      </c>
      <c r="L416" s="137">
        <v>96.0</v>
      </c>
      <c r="M416" s="137">
        <v>198.0</v>
      </c>
      <c r="N416" s="137">
        <v>132.0</v>
      </c>
      <c r="O416" s="137">
        <v>286.0</v>
      </c>
      <c r="P416" s="137">
        <v>250.0</v>
      </c>
      <c r="Q416" s="137">
        <v>720.0</v>
      </c>
      <c r="R416" s="137">
        <v>458.0</v>
      </c>
      <c r="S416" s="134">
        <v>1022.0</v>
      </c>
      <c r="T416" s="137">
        <v>796.0</v>
      </c>
      <c r="U416" s="134">
        <v>1816.0</v>
      </c>
      <c r="V416" s="134">
        <v>1452.0</v>
      </c>
      <c r="W416" s="134">
        <v>3444.0</v>
      </c>
      <c r="X416" s="134">
        <v>2820.0</v>
      </c>
      <c r="Y416" s="134">
        <v>6512.0</v>
      </c>
      <c r="Z416" s="134">
        <v>4698.0</v>
      </c>
      <c r="AA416" s="134">
        <v>9894.0</v>
      </c>
      <c r="AB416" s="134">
        <v>6450.0</v>
      </c>
      <c r="AC416" s="134">
        <v>11702.0</v>
      </c>
      <c r="AD416" s="134">
        <v>6810.0</v>
      </c>
      <c r="AE416" s="134">
        <v>12220.0</v>
      </c>
      <c r="AF416" s="134">
        <v>7156.0</v>
      </c>
      <c r="AG416" s="134">
        <v>11160.0</v>
      </c>
      <c r="AH416" s="134">
        <v>7130.0</v>
      </c>
      <c r="AI416" s="134">
        <v>10088.0</v>
      </c>
      <c r="AJ416" s="134">
        <v>5538.0</v>
      </c>
      <c r="AK416" s="134">
        <v>8014.0</v>
      </c>
      <c r="AL416" s="134">
        <v>5522.0</v>
      </c>
      <c r="AM416" s="134">
        <v>8286.0</v>
      </c>
      <c r="AN416" s="134">
        <v>134422.0</v>
      </c>
    </row>
    <row r="417">
      <c r="A417" s="104"/>
      <c r="B417" s="136" t="s">
        <v>201</v>
      </c>
      <c r="C417" s="137">
        <v>590.0</v>
      </c>
      <c r="D417" s="137">
        <v>316.0</v>
      </c>
      <c r="E417" s="137">
        <v>274.0</v>
      </c>
      <c r="F417" s="135">
        <v>0.0</v>
      </c>
      <c r="G417" s="135">
        <v>0.0</v>
      </c>
      <c r="H417" s="135">
        <v>0.0</v>
      </c>
      <c r="I417" s="135">
        <v>0.0</v>
      </c>
      <c r="J417" s="135">
        <v>0.0</v>
      </c>
      <c r="K417" s="135">
        <v>0.0</v>
      </c>
      <c r="L417" s="137">
        <v>0.0</v>
      </c>
      <c r="M417" s="137">
        <v>2.0</v>
      </c>
      <c r="N417" s="137">
        <v>0.0</v>
      </c>
      <c r="O417" s="137">
        <v>0.0</v>
      </c>
      <c r="P417" s="137">
        <v>0.0</v>
      </c>
      <c r="Q417" s="137">
        <v>0.0</v>
      </c>
      <c r="R417" s="137">
        <v>4.0</v>
      </c>
      <c r="S417" s="137">
        <v>0.0</v>
      </c>
      <c r="T417" s="137">
        <v>24.0</v>
      </c>
      <c r="U417" s="137">
        <v>2.0</v>
      </c>
      <c r="V417" s="137">
        <v>6.0</v>
      </c>
      <c r="W417" s="137">
        <v>12.0</v>
      </c>
      <c r="X417" s="137">
        <v>38.0</v>
      </c>
      <c r="Y417" s="137">
        <v>28.0</v>
      </c>
      <c r="Z417" s="137">
        <v>48.0</v>
      </c>
      <c r="AA417" s="137">
        <v>72.0</v>
      </c>
      <c r="AB417" s="137">
        <v>36.0</v>
      </c>
      <c r="AC417" s="137">
        <v>30.0</v>
      </c>
      <c r="AD417" s="137">
        <v>42.0</v>
      </c>
      <c r="AE417" s="137">
        <v>44.0</v>
      </c>
      <c r="AF417" s="137">
        <v>42.0</v>
      </c>
      <c r="AG417" s="137">
        <v>10.0</v>
      </c>
      <c r="AH417" s="137">
        <v>46.0</v>
      </c>
      <c r="AI417" s="137">
        <v>58.0</v>
      </c>
      <c r="AJ417" s="137">
        <v>26.0</v>
      </c>
      <c r="AK417" s="137">
        <v>10.0</v>
      </c>
      <c r="AL417" s="137">
        <v>4.0</v>
      </c>
      <c r="AM417" s="137">
        <v>6.0</v>
      </c>
      <c r="AN417" s="137">
        <v>590.0</v>
      </c>
    </row>
    <row r="418">
      <c r="A418" s="132" t="s">
        <v>202</v>
      </c>
      <c r="B418" s="136" t="s">
        <v>198</v>
      </c>
      <c r="C418" s="134">
        <v>1150.0</v>
      </c>
      <c r="D418" s="137">
        <v>562.0</v>
      </c>
      <c r="E418" s="137">
        <v>588.0</v>
      </c>
      <c r="F418" s="137">
        <v>30.0</v>
      </c>
      <c r="G418" s="137">
        <v>22.0</v>
      </c>
      <c r="H418" s="137">
        <v>42.0</v>
      </c>
      <c r="I418" s="137">
        <v>16.0</v>
      </c>
      <c r="J418" s="137">
        <v>34.0</v>
      </c>
      <c r="K418" s="137">
        <v>6.0</v>
      </c>
      <c r="L418" s="137">
        <v>26.0</v>
      </c>
      <c r="M418" s="137">
        <v>10.0</v>
      </c>
      <c r="N418" s="137">
        <v>38.0</v>
      </c>
      <c r="O418" s="137">
        <v>74.0</v>
      </c>
      <c r="P418" s="137">
        <v>10.0</v>
      </c>
      <c r="Q418" s="137">
        <v>78.0</v>
      </c>
      <c r="R418" s="137">
        <v>24.0</v>
      </c>
      <c r="S418" s="137">
        <v>34.0</v>
      </c>
      <c r="T418" s="137">
        <v>26.0</v>
      </c>
      <c r="U418" s="137">
        <v>56.0</v>
      </c>
      <c r="V418" s="137">
        <v>46.0</v>
      </c>
      <c r="W418" s="137">
        <v>58.0</v>
      </c>
      <c r="X418" s="137">
        <v>42.0</v>
      </c>
      <c r="Y418" s="137">
        <v>64.0</v>
      </c>
      <c r="Z418" s="137">
        <v>70.0</v>
      </c>
      <c r="AA418" s="137">
        <v>48.0</v>
      </c>
      <c r="AB418" s="137">
        <v>28.0</v>
      </c>
      <c r="AC418" s="137">
        <v>26.0</v>
      </c>
      <c r="AD418" s="137">
        <v>38.0</v>
      </c>
      <c r="AE418" s="137">
        <v>44.0</v>
      </c>
      <c r="AF418" s="137">
        <v>46.0</v>
      </c>
      <c r="AG418" s="137">
        <v>20.0</v>
      </c>
      <c r="AH418" s="137">
        <v>20.0</v>
      </c>
      <c r="AI418" s="137">
        <v>8.0</v>
      </c>
      <c r="AJ418" s="137">
        <v>14.0</v>
      </c>
      <c r="AK418" s="137">
        <v>18.0</v>
      </c>
      <c r="AL418" s="137">
        <v>28.0</v>
      </c>
      <c r="AM418" s="137">
        <v>6.0</v>
      </c>
      <c r="AN418" s="134">
        <v>1140.0</v>
      </c>
    </row>
    <row r="419">
      <c r="A419" s="104"/>
      <c r="B419" s="136" t="s">
        <v>199</v>
      </c>
      <c r="C419" s="137">
        <v>94.0</v>
      </c>
      <c r="D419" s="137">
        <v>54.0</v>
      </c>
      <c r="E419" s="137">
        <v>40.0</v>
      </c>
      <c r="F419" s="137">
        <v>2.0</v>
      </c>
      <c r="G419" s="137">
        <v>0.0</v>
      </c>
      <c r="H419" s="137">
        <v>2.0</v>
      </c>
      <c r="I419" s="137">
        <v>2.0</v>
      </c>
      <c r="J419" s="137">
        <v>0.0</v>
      </c>
      <c r="K419" s="137">
        <v>0.0</v>
      </c>
      <c r="L419" s="137">
        <v>8.0</v>
      </c>
      <c r="M419" s="137">
        <v>0.0</v>
      </c>
      <c r="N419" s="137">
        <v>4.0</v>
      </c>
      <c r="O419" s="137">
        <v>4.0</v>
      </c>
      <c r="P419" s="137">
        <v>0.0</v>
      </c>
      <c r="Q419" s="137">
        <v>8.0</v>
      </c>
      <c r="R419" s="137">
        <v>2.0</v>
      </c>
      <c r="S419" s="137">
        <v>0.0</v>
      </c>
      <c r="T419" s="137">
        <v>0.0</v>
      </c>
      <c r="U419" s="137">
        <v>4.0</v>
      </c>
      <c r="V419" s="137">
        <v>2.0</v>
      </c>
      <c r="W419" s="137">
        <v>6.0</v>
      </c>
      <c r="X419" s="137">
        <v>10.0</v>
      </c>
      <c r="Y419" s="137">
        <v>10.0</v>
      </c>
      <c r="Z419" s="137">
        <v>10.0</v>
      </c>
      <c r="AA419" s="137">
        <v>0.0</v>
      </c>
      <c r="AB419" s="137">
        <v>4.0</v>
      </c>
      <c r="AC419" s="137">
        <v>2.0</v>
      </c>
      <c r="AD419" s="137">
        <v>0.0</v>
      </c>
      <c r="AE419" s="137">
        <v>4.0</v>
      </c>
      <c r="AF419" s="137">
        <v>2.0</v>
      </c>
      <c r="AG419" s="137">
        <v>0.0</v>
      </c>
      <c r="AH419" s="137">
        <v>2.0</v>
      </c>
      <c r="AI419" s="137">
        <v>0.0</v>
      </c>
      <c r="AJ419" s="137">
        <v>0.0</v>
      </c>
      <c r="AK419" s="137">
        <v>0.0</v>
      </c>
      <c r="AL419" s="137">
        <v>6.0</v>
      </c>
      <c r="AM419" s="137">
        <v>0.0</v>
      </c>
      <c r="AN419" s="137">
        <v>94.0</v>
      </c>
    </row>
    <row r="420">
      <c r="A420" s="132" t="s">
        <v>203</v>
      </c>
      <c r="B420" s="136" t="s">
        <v>198</v>
      </c>
      <c r="C420" s="137">
        <v>0.0</v>
      </c>
      <c r="D420" s="137">
        <v>0.0</v>
      </c>
      <c r="E420" s="137">
        <v>0.0</v>
      </c>
      <c r="F420" s="135">
        <v>0.0</v>
      </c>
      <c r="G420" s="135">
        <v>0.0</v>
      </c>
      <c r="H420" s="135">
        <v>0.0</v>
      </c>
      <c r="I420" s="135">
        <v>0.0</v>
      </c>
      <c r="J420" s="135">
        <v>0.0</v>
      </c>
      <c r="K420" s="135">
        <v>0.0</v>
      </c>
      <c r="L420" s="135">
        <v>0.0</v>
      </c>
      <c r="M420" s="135">
        <v>0.0</v>
      </c>
      <c r="N420" s="135">
        <v>0.0</v>
      </c>
      <c r="O420" s="135">
        <v>0.0</v>
      </c>
      <c r="P420" s="135">
        <v>0.0</v>
      </c>
      <c r="Q420" s="135">
        <v>0.0</v>
      </c>
      <c r="R420" s="135">
        <v>0.0</v>
      </c>
      <c r="S420" s="135">
        <v>0.0</v>
      </c>
      <c r="T420" s="135">
        <v>0.0</v>
      </c>
      <c r="U420" s="135">
        <v>0.0</v>
      </c>
      <c r="V420" s="135">
        <v>0.0</v>
      </c>
      <c r="W420" s="135">
        <v>0.0</v>
      </c>
      <c r="X420" s="135">
        <v>0.0</v>
      </c>
      <c r="Y420" s="135">
        <v>0.0</v>
      </c>
      <c r="Z420" s="135">
        <v>0.0</v>
      </c>
      <c r="AA420" s="135">
        <v>0.0</v>
      </c>
      <c r="AB420" s="135">
        <v>0.0</v>
      </c>
      <c r="AC420" s="135">
        <v>0.0</v>
      </c>
      <c r="AD420" s="135">
        <v>0.0</v>
      </c>
      <c r="AE420" s="135">
        <v>0.0</v>
      </c>
      <c r="AF420" s="137">
        <v>0.0</v>
      </c>
      <c r="AG420" s="137">
        <v>0.0</v>
      </c>
      <c r="AH420" s="137">
        <v>0.0</v>
      </c>
      <c r="AI420" s="137">
        <v>0.0</v>
      </c>
      <c r="AJ420" s="137">
        <v>0.0</v>
      </c>
      <c r="AK420" s="137">
        <v>0.0</v>
      </c>
      <c r="AL420" s="137">
        <v>0.0</v>
      </c>
      <c r="AM420" s="137">
        <v>0.0</v>
      </c>
      <c r="AN420" s="137">
        <v>0.0</v>
      </c>
    </row>
    <row r="421">
      <c r="A421" s="104"/>
      <c r="B421" s="136" t="s">
        <v>199</v>
      </c>
      <c r="C421" s="134">
        <v>1140.0</v>
      </c>
      <c r="D421" s="137">
        <v>460.0</v>
      </c>
      <c r="E421" s="137">
        <v>680.0</v>
      </c>
      <c r="F421" s="135">
        <v>0.0</v>
      </c>
      <c r="G421" s="135">
        <v>0.0</v>
      </c>
      <c r="H421" s="135">
        <v>0.0</v>
      </c>
      <c r="I421" s="135">
        <v>0.0</v>
      </c>
      <c r="J421" s="135">
        <v>0.0</v>
      </c>
      <c r="K421" s="135">
        <v>0.0</v>
      </c>
      <c r="L421" s="135">
        <v>0.0</v>
      </c>
      <c r="M421" s="135">
        <v>0.0</v>
      </c>
      <c r="N421" s="135">
        <v>0.0</v>
      </c>
      <c r="O421" s="135">
        <v>0.0</v>
      </c>
      <c r="P421" s="135">
        <v>0.0</v>
      </c>
      <c r="Q421" s="135">
        <v>0.0</v>
      </c>
      <c r="R421" s="135">
        <v>0.0</v>
      </c>
      <c r="S421" s="135">
        <v>0.0</v>
      </c>
      <c r="T421" s="135">
        <v>0.0</v>
      </c>
      <c r="U421" s="135">
        <v>0.0</v>
      </c>
      <c r="V421" s="135">
        <v>0.0</v>
      </c>
      <c r="W421" s="135">
        <v>0.0</v>
      </c>
      <c r="X421" s="135">
        <v>0.0</v>
      </c>
      <c r="Y421" s="135">
        <v>0.0</v>
      </c>
      <c r="Z421" s="135">
        <v>0.0</v>
      </c>
      <c r="AA421" s="135">
        <v>0.0</v>
      </c>
      <c r="AB421" s="135">
        <v>0.0</v>
      </c>
      <c r="AC421" s="135">
        <v>0.0</v>
      </c>
      <c r="AD421" s="135">
        <v>0.0</v>
      </c>
      <c r="AE421" s="135">
        <v>0.0</v>
      </c>
      <c r="AF421" s="137">
        <v>116.0</v>
      </c>
      <c r="AG421" s="137">
        <v>210.0</v>
      </c>
      <c r="AH421" s="137">
        <v>166.0</v>
      </c>
      <c r="AI421" s="137">
        <v>208.0</v>
      </c>
      <c r="AJ421" s="137">
        <v>96.0</v>
      </c>
      <c r="AK421" s="137">
        <v>138.0</v>
      </c>
      <c r="AL421" s="137">
        <v>82.0</v>
      </c>
      <c r="AM421" s="137">
        <v>124.0</v>
      </c>
      <c r="AN421" s="134">
        <v>1140.0</v>
      </c>
    </row>
    <row r="422">
      <c r="A422" s="132" t="s">
        <v>204</v>
      </c>
      <c r="B422" s="136" t="s">
        <v>198</v>
      </c>
      <c r="C422" s="137">
        <v>0.0</v>
      </c>
      <c r="D422" s="137">
        <v>0.0</v>
      </c>
      <c r="E422" s="137">
        <v>0.0</v>
      </c>
      <c r="F422" s="135">
        <v>0.0</v>
      </c>
      <c r="G422" s="135">
        <v>0.0</v>
      </c>
      <c r="H422" s="135">
        <v>0.0</v>
      </c>
      <c r="I422" s="135">
        <v>0.0</v>
      </c>
      <c r="J422" s="135">
        <v>0.0</v>
      </c>
      <c r="K422" s="135">
        <v>0.0</v>
      </c>
      <c r="L422" s="135">
        <v>0.0</v>
      </c>
      <c r="M422" s="135">
        <v>0.0</v>
      </c>
      <c r="N422" s="135">
        <v>0.0</v>
      </c>
      <c r="O422" s="135">
        <v>0.0</v>
      </c>
      <c r="P422" s="135">
        <v>0.0</v>
      </c>
      <c r="Q422" s="135">
        <v>0.0</v>
      </c>
      <c r="R422" s="135">
        <v>0.0</v>
      </c>
      <c r="S422" s="135">
        <v>0.0</v>
      </c>
      <c r="T422" s="135">
        <v>0.0</v>
      </c>
      <c r="U422" s="135">
        <v>0.0</v>
      </c>
      <c r="V422" s="135">
        <v>0.0</v>
      </c>
      <c r="W422" s="135">
        <v>0.0</v>
      </c>
      <c r="X422" s="135">
        <v>0.0</v>
      </c>
      <c r="Y422" s="135">
        <v>0.0</v>
      </c>
      <c r="Z422" s="135">
        <v>0.0</v>
      </c>
      <c r="AA422" s="135">
        <v>0.0</v>
      </c>
      <c r="AB422" s="135">
        <v>0.0</v>
      </c>
      <c r="AC422" s="135">
        <v>0.0</v>
      </c>
      <c r="AD422" s="135">
        <v>0.0</v>
      </c>
      <c r="AE422" s="135">
        <v>0.0</v>
      </c>
      <c r="AF422" s="137">
        <v>0.0</v>
      </c>
      <c r="AG422" s="137">
        <v>0.0</v>
      </c>
      <c r="AH422" s="137">
        <v>0.0</v>
      </c>
      <c r="AI422" s="137">
        <v>0.0</v>
      </c>
      <c r="AJ422" s="137">
        <v>0.0</v>
      </c>
      <c r="AK422" s="137">
        <v>0.0</v>
      </c>
      <c r="AL422" s="137">
        <v>0.0</v>
      </c>
      <c r="AM422" s="137">
        <v>0.0</v>
      </c>
      <c r="AN422" s="137">
        <v>0.0</v>
      </c>
    </row>
    <row r="423">
      <c r="A423" s="104"/>
      <c r="B423" s="136" t="s">
        <v>199</v>
      </c>
      <c r="C423" s="134">
        <v>1014.0</v>
      </c>
      <c r="D423" s="137">
        <v>464.0</v>
      </c>
      <c r="E423" s="137">
        <v>550.0</v>
      </c>
      <c r="F423" s="135">
        <v>0.0</v>
      </c>
      <c r="G423" s="135">
        <v>0.0</v>
      </c>
      <c r="H423" s="135">
        <v>0.0</v>
      </c>
      <c r="I423" s="135">
        <v>0.0</v>
      </c>
      <c r="J423" s="135">
        <v>0.0</v>
      </c>
      <c r="K423" s="135">
        <v>0.0</v>
      </c>
      <c r="L423" s="135">
        <v>0.0</v>
      </c>
      <c r="M423" s="135">
        <v>0.0</v>
      </c>
      <c r="N423" s="135">
        <v>0.0</v>
      </c>
      <c r="O423" s="135">
        <v>0.0</v>
      </c>
      <c r="P423" s="135">
        <v>0.0</v>
      </c>
      <c r="Q423" s="135">
        <v>0.0</v>
      </c>
      <c r="R423" s="135">
        <v>0.0</v>
      </c>
      <c r="S423" s="135">
        <v>0.0</v>
      </c>
      <c r="T423" s="135">
        <v>0.0</v>
      </c>
      <c r="U423" s="135">
        <v>0.0</v>
      </c>
      <c r="V423" s="135">
        <v>0.0</v>
      </c>
      <c r="W423" s="135">
        <v>0.0</v>
      </c>
      <c r="X423" s="135">
        <v>0.0</v>
      </c>
      <c r="Y423" s="135">
        <v>0.0</v>
      </c>
      <c r="Z423" s="135">
        <v>0.0</v>
      </c>
      <c r="AA423" s="135">
        <v>0.0</v>
      </c>
      <c r="AB423" s="135">
        <v>0.0</v>
      </c>
      <c r="AC423" s="135">
        <v>0.0</v>
      </c>
      <c r="AD423" s="135">
        <v>0.0</v>
      </c>
      <c r="AE423" s="135">
        <v>0.0</v>
      </c>
      <c r="AF423" s="137">
        <v>76.0</v>
      </c>
      <c r="AG423" s="137">
        <v>52.0</v>
      </c>
      <c r="AH423" s="137">
        <v>108.0</v>
      </c>
      <c r="AI423" s="137">
        <v>100.0</v>
      </c>
      <c r="AJ423" s="137">
        <v>96.0</v>
      </c>
      <c r="AK423" s="137">
        <v>112.0</v>
      </c>
      <c r="AL423" s="137">
        <v>184.0</v>
      </c>
      <c r="AM423" s="137">
        <v>286.0</v>
      </c>
      <c r="AN423" s="134">
        <v>1014.0</v>
      </c>
    </row>
    <row r="424">
      <c r="A424" s="132" t="s">
        <v>205</v>
      </c>
      <c r="B424" s="136" t="s">
        <v>198</v>
      </c>
      <c r="C424" s="137">
        <v>22.0</v>
      </c>
      <c r="D424" s="137">
        <v>4.0</v>
      </c>
      <c r="E424" s="137">
        <v>18.0</v>
      </c>
      <c r="F424" s="137">
        <v>0.0</v>
      </c>
      <c r="G424" s="137">
        <v>0.0</v>
      </c>
      <c r="H424" s="137">
        <v>0.0</v>
      </c>
      <c r="I424" s="137">
        <v>0.0</v>
      </c>
      <c r="J424" s="137">
        <v>0.0</v>
      </c>
      <c r="K424" s="137">
        <v>0.0</v>
      </c>
      <c r="L424" s="137">
        <v>0.0</v>
      </c>
      <c r="M424" s="137">
        <v>0.0</v>
      </c>
      <c r="N424" s="137">
        <v>0.0</v>
      </c>
      <c r="O424" s="137">
        <v>0.0</v>
      </c>
      <c r="P424" s="137">
        <v>0.0</v>
      </c>
      <c r="Q424" s="137">
        <v>0.0</v>
      </c>
      <c r="R424" s="137">
        <v>0.0</v>
      </c>
      <c r="S424" s="137">
        <v>0.0</v>
      </c>
      <c r="T424" s="137">
        <v>0.0</v>
      </c>
      <c r="U424" s="137">
        <v>4.0</v>
      </c>
      <c r="V424" s="137">
        <v>2.0</v>
      </c>
      <c r="W424" s="137">
        <v>4.0</v>
      </c>
      <c r="X424" s="137">
        <v>0.0</v>
      </c>
      <c r="Y424" s="137">
        <v>2.0</v>
      </c>
      <c r="Z424" s="137">
        <v>0.0</v>
      </c>
      <c r="AA424" s="137">
        <v>0.0</v>
      </c>
      <c r="AB424" s="137">
        <v>0.0</v>
      </c>
      <c r="AC424" s="137">
        <v>4.0</v>
      </c>
      <c r="AD424" s="137">
        <v>0.0</v>
      </c>
      <c r="AE424" s="137">
        <v>4.0</v>
      </c>
      <c r="AF424" s="137">
        <v>0.0</v>
      </c>
      <c r="AG424" s="137">
        <v>0.0</v>
      </c>
      <c r="AH424" s="137">
        <v>0.0</v>
      </c>
      <c r="AI424" s="137">
        <v>0.0</v>
      </c>
      <c r="AJ424" s="137">
        <v>2.0</v>
      </c>
      <c r="AK424" s="137">
        <v>0.0</v>
      </c>
      <c r="AL424" s="137">
        <v>0.0</v>
      </c>
      <c r="AM424" s="137">
        <v>0.0</v>
      </c>
      <c r="AN424" s="137">
        <v>22.0</v>
      </c>
    </row>
    <row r="425">
      <c r="A425" s="98"/>
      <c r="B425" s="136" t="s">
        <v>199</v>
      </c>
      <c r="C425" s="137">
        <v>6.0</v>
      </c>
      <c r="D425" s="137">
        <v>4.0</v>
      </c>
      <c r="E425" s="137">
        <v>2.0</v>
      </c>
      <c r="F425" s="137">
        <v>0.0</v>
      </c>
      <c r="G425" s="137">
        <v>0.0</v>
      </c>
      <c r="H425" s="137">
        <v>0.0</v>
      </c>
      <c r="I425" s="137">
        <v>0.0</v>
      </c>
      <c r="J425" s="137">
        <v>0.0</v>
      </c>
      <c r="K425" s="137">
        <v>0.0</v>
      </c>
      <c r="L425" s="137">
        <v>0.0</v>
      </c>
      <c r="M425" s="137">
        <v>0.0</v>
      </c>
      <c r="N425" s="137">
        <v>2.0</v>
      </c>
      <c r="O425" s="137">
        <v>0.0</v>
      </c>
      <c r="P425" s="137">
        <v>0.0</v>
      </c>
      <c r="Q425" s="137">
        <v>0.0</v>
      </c>
      <c r="R425" s="137">
        <v>0.0</v>
      </c>
      <c r="S425" s="137">
        <v>0.0</v>
      </c>
      <c r="T425" s="137">
        <v>0.0</v>
      </c>
      <c r="U425" s="137">
        <v>0.0</v>
      </c>
      <c r="V425" s="137">
        <v>0.0</v>
      </c>
      <c r="W425" s="137">
        <v>2.0</v>
      </c>
      <c r="X425" s="137">
        <v>0.0</v>
      </c>
      <c r="Y425" s="137">
        <v>0.0</v>
      </c>
      <c r="Z425" s="137">
        <v>0.0</v>
      </c>
      <c r="AA425" s="137">
        <v>0.0</v>
      </c>
      <c r="AB425" s="137">
        <v>2.0</v>
      </c>
      <c r="AC425" s="137">
        <v>0.0</v>
      </c>
      <c r="AD425" s="137">
        <v>0.0</v>
      </c>
      <c r="AE425" s="137">
        <v>0.0</v>
      </c>
      <c r="AF425" s="137">
        <v>0.0</v>
      </c>
      <c r="AG425" s="137">
        <v>0.0</v>
      </c>
      <c r="AH425" s="137">
        <v>0.0</v>
      </c>
      <c r="AI425" s="137">
        <v>0.0</v>
      </c>
      <c r="AJ425" s="137">
        <v>0.0</v>
      </c>
      <c r="AK425" s="137">
        <v>0.0</v>
      </c>
      <c r="AL425" s="137">
        <v>0.0</v>
      </c>
      <c r="AM425" s="137">
        <v>0.0</v>
      </c>
      <c r="AN425" s="137">
        <v>6.0</v>
      </c>
    </row>
    <row r="426">
      <c r="A426" s="104"/>
      <c r="B426" s="136" t="s">
        <v>206</v>
      </c>
      <c r="C426" s="137">
        <v>12.0</v>
      </c>
      <c r="D426" s="137">
        <v>0.0</v>
      </c>
      <c r="E426" s="137">
        <v>12.0</v>
      </c>
      <c r="F426" s="137">
        <v>0.0</v>
      </c>
      <c r="G426" s="137">
        <v>0.0</v>
      </c>
      <c r="H426" s="137">
        <v>0.0</v>
      </c>
      <c r="I426" s="137">
        <v>0.0</v>
      </c>
      <c r="J426" s="137">
        <v>0.0</v>
      </c>
      <c r="K426" s="137">
        <v>0.0</v>
      </c>
      <c r="L426" s="137">
        <v>0.0</v>
      </c>
      <c r="M426" s="137">
        <v>2.0</v>
      </c>
      <c r="N426" s="137">
        <v>0.0</v>
      </c>
      <c r="O426" s="137">
        <v>4.0</v>
      </c>
      <c r="P426" s="137">
        <v>0.0</v>
      </c>
      <c r="Q426" s="137">
        <v>2.0</v>
      </c>
      <c r="R426" s="137">
        <v>0.0</v>
      </c>
      <c r="S426" s="137">
        <v>2.0</v>
      </c>
      <c r="T426" s="137">
        <v>0.0</v>
      </c>
      <c r="U426" s="137">
        <v>0.0</v>
      </c>
      <c r="V426" s="137">
        <v>0.0</v>
      </c>
      <c r="W426" s="137">
        <v>0.0</v>
      </c>
      <c r="X426" s="137">
        <v>0.0</v>
      </c>
      <c r="Y426" s="137">
        <v>0.0</v>
      </c>
      <c r="Z426" s="137">
        <v>0.0</v>
      </c>
      <c r="AA426" s="137">
        <v>0.0</v>
      </c>
      <c r="AB426" s="137">
        <v>0.0</v>
      </c>
      <c r="AC426" s="137">
        <v>0.0</v>
      </c>
      <c r="AD426" s="137">
        <v>0.0</v>
      </c>
      <c r="AE426" s="137">
        <v>2.0</v>
      </c>
      <c r="AF426" s="137">
        <v>0.0</v>
      </c>
      <c r="AG426" s="137">
        <v>0.0</v>
      </c>
      <c r="AH426" s="137">
        <v>0.0</v>
      </c>
      <c r="AI426" s="137">
        <v>0.0</v>
      </c>
      <c r="AJ426" s="137">
        <v>0.0</v>
      </c>
      <c r="AK426" s="137">
        <v>0.0</v>
      </c>
      <c r="AL426" s="137">
        <v>0.0</v>
      </c>
      <c r="AM426" s="137">
        <v>0.0</v>
      </c>
      <c r="AN426" s="137">
        <v>12.0</v>
      </c>
    </row>
    <row r="427">
      <c r="A427" s="132" t="s">
        <v>207</v>
      </c>
      <c r="B427" s="136" t="s">
        <v>198</v>
      </c>
      <c r="C427" s="134">
        <v>60366.0</v>
      </c>
      <c r="D427" s="134">
        <v>15914.0</v>
      </c>
      <c r="E427" s="134">
        <v>44452.0</v>
      </c>
      <c r="F427" s="137">
        <v>474.0</v>
      </c>
      <c r="G427" s="137">
        <v>342.0</v>
      </c>
      <c r="H427" s="137">
        <v>276.0</v>
      </c>
      <c r="I427" s="137">
        <v>210.0</v>
      </c>
      <c r="J427" s="137">
        <v>312.0</v>
      </c>
      <c r="K427" s="137">
        <v>378.0</v>
      </c>
      <c r="L427" s="137">
        <v>304.0</v>
      </c>
      <c r="M427" s="137">
        <v>498.0</v>
      </c>
      <c r="N427" s="137">
        <v>224.0</v>
      </c>
      <c r="O427" s="137">
        <v>724.0</v>
      </c>
      <c r="P427" s="137">
        <v>282.0</v>
      </c>
      <c r="Q427" s="134">
        <v>1080.0</v>
      </c>
      <c r="R427" s="137">
        <v>322.0</v>
      </c>
      <c r="S427" s="134">
        <v>1236.0</v>
      </c>
      <c r="T427" s="137">
        <v>342.0</v>
      </c>
      <c r="U427" s="134">
        <v>1544.0</v>
      </c>
      <c r="V427" s="137">
        <v>498.0</v>
      </c>
      <c r="W427" s="134">
        <v>2260.0</v>
      </c>
      <c r="X427" s="137">
        <v>786.0</v>
      </c>
      <c r="Y427" s="134">
        <v>3338.0</v>
      </c>
      <c r="Z427" s="134">
        <v>1162.0</v>
      </c>
      <c r="AA427" s="134">
        <v>4472.0</v>
      </c>
      <c r="AB427" s="134">
        <v>1576.0</v>
      </c>
      <c r="AC427" s="134">
        <v>5262.0</v>
      </c>
      <c r="AD427" s="134">
        <v>1860.0</v>
      </c>
      <c r="AE427" s="134">
        <v>5916.0</v>
      </c>
      <c r="AF427" s="134">
        <v>2032.0</v>
      </c>
      <c r="AG427" s="134">
        <v>5162.0</v>
      </c>
      <c r="AH427" s="134">
        <v>1946.0</v>
      </c>
      <c r="AI427" s="134">
        <v>4598.0</v>
      </c>
      <c r="AJ427" s="134">
        <v>1594.0</v>
      </c>
      <c r="AK427" s="134">
        <v>3682.0</v>
      </c>
      <c r="AL427" s="134">
        <v>1924.0</v>
      </c>
      <c r="AM427" s="134">
        <v>3750.0</v>
      </c>
      <c r="AN427" s="134">
        <v>60334.0</v>
      </c>
    </row>
    <row r="428">
      <c r="A428" s="98"/>
      <c r="B428" s="136" t="s">
        <v>199</v>
      </c>
      <c r="C428" s="134">
        <v>9380.0</v>
      </c>
      <c r="D428" s="134">
        <v>2466.0</v>
      </c>
      <c r="E428" s="134">
        <v>6914.0</v>
      </c>
      <c r="F428" s="137">
        <v>10.0</v>
      </c>
      <c r="G428" s="137">
        <v>6.0</v>
      </c>
      <c r="H428" s="137">
        <v>22.0</v>
      </c>
      <c r="I428" s="137">
        <v>10.0</v>
      </c>
      <c r="J428" s="137">
        <v>8.0</v>
      </c>
      <c r="K428" s="137">
        <v>22.0</v>
      </c>
      <c r="L428" s="137">
        <v>16.0</v>
      </c>
      <c r="M428" s="137">
        <v>42.0</v>
      </c>
      <c r="N428" s="137">
        <v>28.0</v>
      </c>
      <c r="O428" s="137">
        <v>52.0</v>
      </c>
      <c r="P428" s="137">
        <v>24.0</v>
      </c>
      <c r="Q428" s="137">
        <v>90.0</v>
      </c>
      <c r="R428" s="137">
        <v>24.0</v>
      </c>
      <c r="S428" s="137">
        <v>112.0</v>
      </c>
      <c r="T428" s="137">
        <v>24.0</v>
      </c>
      <c r="U428" s="137">
        <v>158.0</v>
      </c>
      <c r="V428" s="137">
        <v>46.0</v>
      </c>
      <c r="W428" s="137">
        <v>198.0</v>
      </c>
      <c r="X428" s="137">
        <v>86.0</v>
      </c>
      <c r="Y428" s="137">
        <v>382.0</v>
      </c>
      <c r="Z428" s="137">
        <v>126.0</v>
      </c>
      <c r="AA428" s="137">
        <v>574.0</v>
      </c>
      <c r="AB428" s="137">
        <v>254.0</v>
      </c>
      <c r="AC428" s="137">
        <v>750.0</v>
      </c>
      <c r="AD428" s="137">
        <v>280.0</v>
      </c>
      <c r="AE428" s="137">
        <v>912.0</v>
      </c>
      <c r="AF428" s="137">
        <v>318.0</v>
      </c>
      <c r="AG428" s="134">
        <v>1004.0</v>
      </c>
      <c r="AH428" s="137">
        <v>430.0</v>
      </c>
      <c r="AI428" s="137">
        <v>902.0</v>
      </c>
      <c r="AJ428" s="137">
        <v>340.0</v>
      </c>
      <c r="AK428" s="137">
        <v>754.0</v>
      </c>
      <c r="AL428" s="137">
        <v>430.0</v>
      </c>
      <c r="AM428" s="137">
        <v>946.0</v>
      </c>
      <c r="AN428" s="134">
        <v>9378.0</v>
      </c>
    </row>
    <row r="429">
      <c r="A429" s="98"/>
      <c r="B429" s="136" t="s">
        <v>206</v>
      </c>
      <c r="C429" s="137">
        <v>118.0</v>
      </c>
      <c r="D429" s="137">
        <v>64.0</v>
      </c>
      <c r="E429" s="137">
        <v>54.0</v>
      </c>
      <c r="F429" s="137">
        <v>0.0</v>
      </c>
      <c r="G429" s="137">
        <v>0.0</v>
      </c>
      <c r="H429" s="137">
        <v>0.0</v>
      </c>
      <c r="I429" s="137">
        <v>0.0</v>
      </c>
      <c r="J429" s="137">
        <v>0.0</v>
      </c>
      <c r="K429" s="137">
        <v>0.0</v>
      </c>
      <c r="L429" s="137">
        <v>0.0</v>
      </c>
      <c r="M429" s="137">
        <v>0.0</v>
      </c>
      <c r="N429" s="137">
        <v>0.0</v>
      </c>
      <c r="O429" s="137">
        <v>6.0</v>
      </c>
      <c r="P429" s="137">
        <v>0.0</v>
      </c>
      <c r="Q429" s="137">
        <v>0.0</v>
      </c>
      <c r="R429" s="137">
        <v>2.0</v>
      </c>
      <c r="S429" s="137">
        <v>4.0</v>
      </c>
      <c r="T429" s="137">
        <v>2.0</v>
      </c>
      <c r="U429" s="137">
        <v>0.0</v>
      </c>
      <c r="V429" s="137">
        <v>0.0</v>
      </c>
      <c r="W429" s="137">
        <v>4.0</v>
      </c>
      <c r="X429" s="137">
        <v>0.0</v>
      </c>
      <c r="Y429" s="137">
        <v>8.0</v>
      </c>
      <c r="Z429" s="137">
        <v>6.0</v>
      </c>
      <c r="AA429" s="137">
        <v>2.0</v>
      </c>
      <c r="AB429" s="137">
        <v>14.0</v>
      </c>
      <c r="AC429" s="137">
        <v>4.0</v>
      </c>
      <c r="AD429" s="137">
        <v>2.0</v>
      </c>
      <c r="AE429" s="137">
        <v>4.0</v>
      </c>
      <c r="AF429" s="137">
        <v>16.0</v>
      </c>
      <c r="AG429" s="137">
        <v>4.0</v>
      </c>
      <c r="AH429" s="137">
        <v>12.0</v>
      </c>
      <c r="AI429" s="137">
        <v>0.0</v>
      </c>
      <c r="AJ429" s="137">
        <v>2.0</v>
      </c>
      <c r="AK429" s="137">
        <v>8.0</v>
      </c>
      <c r="AL429" s="137">
        <v>8.0</v>
      </c>
      <c r="AM429" s="137">
        <v>10.0</v>
      </c>
      <c r="AN429" s="137">
        <v>118.0</v>
      </c>
    </row>
    <row r="430">
      <c r="A430" s="98"/>
      <c r="B430" s="136" t="s">
        <v>200</v>
      </c>
      <c r="C430" s="134">
        <v>9938.0</v>
      </c>
      <c r="D430" s="134">
        <v>2342.0</v>
      </c>
      <c r="E430" s="134">
        <v>7596.0</v>
      </c>
      <c r="F430" s="137">
        <v>134.0</v>
      </c>
      <c r="G430" s="137">
        <v>154.0</v>
      </c>
      <c r="H430" s="137">
        <v>24.0</v>
      </c>
      <c r="I430" s="137">
        <v>42.0</v>
      </c>
      <c r="J430" s="137">
        <v>42.0</v>
      </c>
      <c r="K430" s="137">
        <v>66.0</v>
      </c>
      <c r="L430" s="137">
        <v>100.0</v>
      </c>
      <c r="M430" s="137">
        <v>186.0</v>
      </c>
      <c r="N430" s="137">
        <v>52.0</v>
      </c>
      <c r="O430" s="137">
        <v>306.0</v>
      </c>
      <c r="P430" s="137">
        <v>56.0</v>
      </c>
      <c r="Q430" s="137">
        <v>358.0</v>
      </c>
      <c r="R430" s="137">
        <v>56.0</v>
      </c>
      <c r="S430" s="137">
        <v>330.0</v>
      </c>
      <c r="T430" s="137">
        <v>70.0</v>
      </c>
      <c r="U430" s="137">
        <v>394.0</v>
      </c>
      <c r="V430" s="137">
        <v>98.0</v>
      </c>
      <c r="W430" s="137">
        <v>568.0</v>
      </c>
      <c r="X430" s="137">
        <v>172.0</v>
      </c>
      <c r="Y430" s="137">
        <v>614.0</v>
      </c>
      <c r="Z430" s="137">
        <v>190.0</v>
      </c>
      <c r="AA430" s="137">
        <v>750.0</v>
      </c>
      <c r="AB430" s="137">
        <v>228.0</v>
      </c>
      <c r="AC430" s="137">
        <v>814.0</v>
      </c>
      <c r="AD430" s="137">
        <v>252.0</v>
      </c>
      <c r="AE430" s="137">
        <v>776.0</v>
      </c>
      <c r="AF430" s="137">
        <v>212.0</v>
      </c>
      <c r="AG430" s="137">
        <v>708.0</v>
      </c>
      <c r="AH430" s="137">
        <v>278.0</v>
      </c>
      <c r="AI430" s="137">
        <v>596.0</v>
      </c>
      <c r="AJ430" s="137">
        <v>172.0</v>
      </c>
      <c r="AK430" s="137">
        <v>462.0</v>
      </c>
      <c r="AL430" s="137">
        <v>206.0</v>
      </c>
      <c r="AM430" s="137">
        <v>472.0</v>
      </c>
      <c r="AN430" s="134">
        <v>9934.0</v>
      </c>
    </row>
    <row r="431">
      <c r="A431" s="104"/>
      <c r="B431" s="136" t="s">
        <v>201</v>
      </c>
      <c r="C431" s="134">
        <v>4980.0</v>
      </c>
      <c r="D431" s="134">
        <v>2236.0</v>
      </c>
      <c r="E431" s="134">
        <v>2744.0</v>
      </c>
      <c r="F431" s="137">
        <v>30.0</v>
      </c>
      <c r="G431" s="137">
        <v>38.0</v>
      </c>
      <c r="H431" s="137">
        <v>70.0</v>
      </c>
      <c r="I431" s="137">
        <v>106.0</v>
      </c>
      <c r="J431" s="137">
        <v>160.0</v>
      </c>
      <c r="K431" s="137">
        <v>180.0</v>
      </c>
      <c r="L431" s="137">
        <v>146.0</v>
      </c>
      <c r="M431" s="137">
        <v>144.0</v>
      </c>
      <c r="N431" s="137">
        <v>158.0</v>
      </c>
      <c r="O431" s="137">
        <v>184.0</v>
      </c>
      <c r="P431" s="137">
        <v>128.0</v>
      </c>
      <c r="Q431" s="137">
        <v>160.0</v>
      </c>
      <c r="R431" s="137">
        <v>138.0</v>
      </c>
      <c r="S431" s="137">
        <v>188.0</v>
      </c>
      <c r="T431" s="137">
        <v>142.0</v>
      </c>
      <c r="U431" s="137">
        <v>146.0</v>
      </c>
      <c r="V431" s="137">
        <v>128.0</v>
      </c>
      <c r="W431" s="137">
        <v>214.0</v>
      </c>
      <c r="X431" s="137">
        <v>118.0</v>
      </c>
      <c r="Y431" s="137">
        <v>200.0</v>
      </c>
      <c r="Z431" s="137">
        <v>150.0</v>
      </c>
      <c r="AA431" s="137">
        <v>202.0</v>
      </c>
      <c r="AB431" s="137">
        <v>142.0</v>
      </c>
      <c r="AC431" s="137">
        <v>224.0</v>
      </c>
      <c r="AD431" s="137">
        <v>138.0</v>
      </c>
      <c r="AE431" s="137">
        <v>220.0</v>
      </c>
      <c r="AF431" s="137">
        <v>148.0</v>
      </c>
      <c r="AG431" s="137">
        <v>152.0</v>
      </c>
      <c r="AH431" s="137">
        <v>186.0</v>
      </c>
      <c r="AI431" s="137">
        <v>142.0</v>
      </c>
      <c r="AJ431" s="137">
        <v>128.0</v>
      </c>
      <c r="AK431" s="137">
        <v>96.0</v>
      </c>
      <c r="AL431" s="137">
        <v>126.0</v>
      </c>
      <c r="AM431" s="137">
        <v>148.0</v>
      </c>
      <c r="AN431" s="134">
        <v>4980.0</v>
      </c>
    </row>
    <row r="432">
      <c r="A432" s="132" t="s">
        <v>208</v>
      </c>
      <c r="B432" s="136" t="s">
        <v>198</v>
      </c>
      <c r="C432" s="137">
        <v>178.0</v>
      </c>
      <c r="D432" s="137">
        <v>128.0</v>
      </c>
      <c r="E432" s="137">
        <v>50.0</v>
      </c>
      <c r="F432" s="137">
        <v>44.0</v>
      </c>
      <c r="G432" s="137">
        <v>16.0</v>
      </c>
      <c r="H432" s="137">
        <v>60.0</v>
      </c>
      <c r="I432" s="137">
        <v>10.0</v>
      </c>
      <c r="J432" s="137">
        <v>24.0</v>
      </c>
      <c r="K432" s="137">
        <v>22.0</v>
      </c>
      <c r="L432" s="137">
        <v>0.0</v>
      </c>
      <c r="M432" s="137">
        <v>2.0</v>
      </c>
      <c r="N432" s="137">
        <v>0.0</v>
      </c>
      <c r="O432" s="137">
        <v>0.0</v>
      </c>
      <c r="P432" s="135">
        <v>0.0</v>
      </c>
      <c r="Q432" s="135">
        <v>0.0</v>
      </c>
      <c r="R432" s="135">
        <v>0.0</v>
      </c>
      <c r="S432" s="135">
        <v>0.0</v>
      </c>
      <c r="T432" s="135">
        <v>0.0</v>
      </c>
      <c r="U432" s="135">
        <v>0.0</v>
      </c>
      <c r="V432" s="135">
        <v>0.0</v>
      </c>
      <c r="W432" s="135">
        <v>0.0</v>
      </c>
      <c r="X432" s="135">
        <v>0.0</v>
      </c>
      <c r="Y432" s="135">
        <v>0.0</v>
      </c>
      <c r="Z432" s="135">
        <v>0.0</v>
      </c>
      <c r="AA432" s="135">
        <v>0.0</v>
      </c>
      <c r="AB432" s="135">
        <v>0.0</v>
      </c>
      <c r="AC432" s="135">
        <v>0.0</v>
      </c>
      <c r="AD432" s="135">
        <v>0.0</v>
      </c>
      <c r="AE432" s="135">
        <v>0.0</v>
      </c>
      <c r="AF432" s="135">
        <v>0.0</v>
      </c>
      <c r="AG432" s="135">
        <v>0.0</v>
      </c>
      <c r="AH432" s="135">
        <v>0.0</v>
      </c>
      <c r="AI432" s="135">
        <v>0.0</v>
      </c>
      <c r="AJ432" s="135">
        <v>0.0</v>
      </c>
      <c r="AK432" s="135">
        <v>0.0</v>
      </c>
      <c r="AL432" s="135">
        <v>0.0</v>
      </c>
      <c r="AM432" s="135">
        <v>0.0</v>
      </c>
      <c r="AN432" s="137">
        <v>178.0</v>
      </c>
    </row>
    <row r="433">
      <c r="A433" s="98"/>
      <c r="B433" s="136" t="s">
        <v>199</v>
      </c>
      <c r="C433" s="137">
        <v>88.0</v>
      </c>
      <c r="D433" s="137">
        <v>50.0</v>
      </c>
      <c r="E433" s="137">
        <v>38.0</v>
      </c>
      <c r="F433" s="137">
        <v>36.0</v>
      </c>
      <c r="G433" s="137">
        <v>34.0</v>
      </c>
      <c r="H433" s="137">
        <v>14.0</v>
      </c>
      <c r="I433" s="137">
        <v>4.0</v>
      </c>
      <c r="J433" s="137">
        <v>0.0</v>
      </c>
      <c r="K433" s="137">
        <v>0.0</v>
      </c>
      <c r="L433" s="137">
        <v>0.0</v>
      </c>
      <c r="M433" s="137">
        <v>0.0</v>
      </c>
      <c r="N433" s="137">
        <v>0.0</v>
      </c>
      <c r="O433" s="137">
        <v>0.0</v>
      </c>
      <c r="P433" s="135">
        <v>0.0</v>
      </c>
      <c r="Q433" s="135">
        <v>0.0</v>
      </c>
      <c r="R433" s="135">
        <v>0.0</v>
      </c>
      <c r="S433" s="135">
        <v>0.0</v>
      </c>
      <c r="T433" s="135">
        <v>0.0</v>
      </c>
      <c r="U433" s="135">
        <v>0.0</v>
      </c>
      <c r="V433" s="135">
        <v>0.0</v>
      </c>
      <c r="W433" s="135">
        <v>0.0</v>
      </c>
      <c r="X433" s="135">
        <v>0.0</v>
      </c>
      <c r="Y433" s="135">
        <v>0.0</v>
      </c>
      <c r="Z433" s="135">
        <v>0.0</v>
      </c>
      <c r="AA433" s="135">
        <v>0.0</v>
      </c>
      <c r="AB433" s="135">
        <v>0.0</v>
      </c>
      <c r="AC433" s="135">
        <v>0.0</v>
      </c>
      <c r="AD433" s="135">
        <v>0.0</v>
      </c>
      <c r="AE433" s="135">
        <v>0.0</v>
      </c>
      <c r="AF433" s="135">
        <v>0.0</v>
      </c>
      <c r="AG433" s="135">
        <v>0.0</v>
      </c>
      <c r="AH433" s="135">
        <v>0.0</v>
      </c>
      <c r="AI433" s="135">
        <v>0.0</v>
      </c>
      <c r="AJ433" s="135">
        <v>0.0</v>
      </c>
      <c r="AK433" s="135">
        <v>0.0</v>
      </c>
      <c r="AL433" s="135">
        <v>0.0</v>
      </c>
      <c r="AM433" s="135">
        <v>0.0</v>
      </c>
      <c r="AN433" s="137">
        <v>88.0</v>
      </c>
    </row>
    <row r="434">
      <c r="A434" s="98"/>
      <c r="B434" s="136" t="s">
        <v>206</v>
      </c>
      <c r="C434" s="137">
        <v>0.0</v>
      </c>
      <c r="D434" s="137">
        <v>0.0</v>
      </c>
      <c r="E434" s="137">
        <v>0.0</v>
      </c>
      <c r="F434" s="137">
        <v>0.0</v>
      </c>
      <c r="G434" s="137">
        <v>0.0</v>
      </c>
      <c r="H434" s="137">
        <v>0.0</v>
      </c>
      <c r="I434" s="137">
        <v>0.0</v>
      </c>
      <c r="J434" s="137">
        <v>0.0</v>
      </c>
      <c r="K434" s="137">
        <v>0.0</v>
      </c>
      <c r="L434" s="137">
        <v>0.0</v>
      </c>
      <c r="M434" s="137">
        <v>0.0</v>
      </c>
      <c r="N434" s="137">
        <v>0.0</v>
      </c>
      <c r="O434" s="137">
        <v>0.0</v>
      </c>
      <c r="P434" s="135">
        <v>0.0</v>
      </c>
      <c r="Q434" s="135">
        <v>0.0</v>
      </c>
      <c r="R434" s="135">
        <v>0.0</v>
      </c>
      <c r="S434" s="135">
        <v>0.0</v>
      </c>
      <c r="T434" s="135">
        <v>0.0</v>
      </c>
      <c r="U434" s="135">
        <v>0.0</v>
      </c>
      <c r="V434" s="135">
        <v>0.0</v>
      </c>
      <c r="W434" s="135">
        <v>0.0</v>
      </c>
      <c r="X434" s="135">
        <v>0.0</v>
      </c>
      <c r="Y434" s="135">
        <v>0.0</v>
      </c>
      <c r="Z434" s="135">
        <v>0.0</v>
      </c>
      <c r="AA434" s="135">
        <v>0.0</v>
      </c>
      <c r="AB434" s="135">
        <v>0.0</v>
      </c>
      <c r="AC434" s="135">
        <v>0.0</v>
      </c>
      <c r="AD434" s="135">
        <v>0.0</v>
      </c>
      <c r="AE434" s="135">
        <v>0.0</v>
      </c>
      <c r="AF434" s="135">
        <v>0.0</v>
      </c>
      <c r="AG434" s="135">
        <v>0.0</v>
      </c>
      <c r="AH434" s="135">
        <v>0.0</v>
      </c>
      <c r="AI434" s="135">
        <v>0.0</v>
      </c>
      <c r="AJ434" s="135">
        <v>0.0</v>
      </c>
      <c r="AK434" s="135">
        <v>0.0</v>
      </c>
      <c r="AL434" s="135">
        <v>0.0</v>
      </c>
      <c r="AM434" s="135">
        <v>0.0</v>
      </c>
      <c r="AN434" s="137">
        <v>0.0</v>
      </c>
    </row>
    <row r="435">
      <c r="A435" s="98"/>
      <c r="B435" s="136" t="s">
        <v>200</v>
      </c>
      <c r="C435" s="137">
        <v>48.0</v>
      </c>
      <c r="D435" s="137">
        <v>34.0</v>
      </c>
      <c r="E435" s="137">
        <v>14.0</v>
      </c>
      <c r="F435" s="137">
        <v>18.0</v>
      </c>
      <c r="G435" s="137">
        <v>10.0</v>
      </c>
      <c r="H435" s="137">
        <v>12.0</v>
      </c>
      <c r="I435" s="137">
        <v>2.0</v>
      </c>
      <c r="J435" s="137">
        <v>2.0</v>
      </c>
      <c r="K435" s="137">
        <v>0.0</v>
      </c>
      <c r="L435" s="137">
        <v>0.0</v>
      </c>
      <c r="M435" s="137">
        <v>2.0</v>
      </c>
      <c r="N435" s="137">
        <v>2.0</v>
      </c>
      <c r="O435" s="137">
        <v>0.0</v>
      </c>
      <c r="P435" s="135">
        <v>0.0</v>
      </c>
      <c r="Q435" s="135">
        <v>0.0</v>
      </c>
      <c r="R435" s="135">
        <v>0.0</v>
      </c>
      <c r="S435" s="135">
        <v>0.0</v>
      </c>
      <c r="T435" s="135">
        <v>0.0</v>
      </c>
      <c r="U435" s="135">
        <v>0.0</v>
      </c>
      <c r="V435" s="135">
        <v>0.0</v>
      </c>
      <c r="W435" s="135">
        <v>0.0</v>
      </c>
      <c r="X435" s="135">
        <v>0.0</v>
      </c>
      <c r="Y435" s="135">
        <v>0.0</v>
      </c>
      <c r="Z435" s="135">
        <v>0.0</v>
      </c>
      <c r="AA435" s="135">
        <v>0.0</v>
      </c>
      <c r="AB435" s="135">
        <v>0.0</v>
      </c>
      <c r="AC435" s="135">
        <v>0.0</v>
      </c>
      <c r="AD435" s="135">
        <v>0.0</v>
      </c>
      <c r="AE435" s="135">
        <v>0.0</v>
      </c>
      <c r="AF435" s="135">
        <v>0.0</v>
      </c>
      <c r="AG435" s="135">
        <v>0.0</v>
      </c>
      <c r="AH435" s="135">
        <v>0.0</v>
      </c>
      <c r="AI435" s="135">
        <v>0.0</v>
      </c>
      <c r="AJ435" s="135">
        <v>0.0</v>
      </c>
      <c r="AK435" s="135">
        <v>0.0</v>
      </c>
      <c r="AL435" s="135">
        <v>0.0</v>
      </c>
      <c r="AM435" s="135">
        <v>0.0</v>
      </c>
      <c r="AN435" s="137">
        <v>44.0</v>
      </c>
    </row>
    <row r="436">
      <c r="A436" s="104"/>
      <c r="B436" s="136" t="s">
        <v>201</v>
      </c>
      <c r="C436" s="137">
        <v>0.0</v>
      </c>
      <c r="D436" s="137">
        <v>0.0</v>
      </c>
      <c r="E436" s="137">
        <v>0.0</v>
      </c>
      <c r="F436" s="137">
        <v>0.0</v>
      </c>
      <c r="G436" s="137">
        <v>0.0</v>
      </c>
      <c r="H436" s="137">
        <v>0.0</v>
      </c>
      <c r="I436" s="137">
        <v>0.0</v>
      </c>
      <c r="J436" s="137">
        <v>0.0</v>
      </c>
      <c r="K436" s="137">
        <v>0.0</v>
      </c>
      <c r="L436" s="137">
        <v>0.0</v>
      </c>
      <c r="M436" s="137">
        <v>0.0</v>
      </c>
      <c r="N436" s="137">
        <v>0.0</v>
      </c>
      <c r="O436" s="137">
        <v>0.0</v>
      </c>
      <c r="P436" s="135">
        <v>0.0</v>
      </c>
      <c r="Q436" s="135">
        <v>0.0</v>
      </c>
      <c r="R436" s="135">
        <v>0.0</v>
      </c>
      <c r="S436" s="135">
        <v>0.0</v>
      </c>
      <c r="T436" s="135">
        <v>0.0</v>
      </c>
      <c r="U436" s="135">
        <v>0.0</v>
      </c>
      <c r="V436" s="135">
        <v>0.0</v>
      </c>
      <c r="W436" s="135">
        <v>0.0</v>
      </c>
      <c r="X436" s="135">
        <v>0.0</v>
      </c>
      <c r="Y436" s="135">
        <v>0.0</v>
      </c>
      <c r="Z436" s="135">
        <v>0.0</v>
      </c>
      <c r="AA436" s="135">
        <v>0.0</v>
      </c>
      <c r="AB436" s="135">
        <v>0.0</v>
      </c>
      <c r="AC436" s="135">
        <v>0.0</v>
      </c>
      <c r="AD436" s="135">
        <v>0.0</v>
      </c>
      <c r="AE436" s="135">
        <v>0.0</v>
      </c>
      <c r="AF436" s="135">
        <v>0.0</v>
      </c>
      <c r="AG436" s="135">
        <v>0.0</v>
      </c>
      <c r="AH436" s="135">
        <v>0.0</v>
      </c>
      <c r="AI436" s="135">
        <v>0.0</v>
      </c>
      <c r="AJ436" s="135">
        <v>0.0</v>
      </c>
      <c r="AK436" s="135">
        <v>0.0</v>
      </c>
      <c r="AL436" s="135">
        <v>0.0</v>
      </c>
      <c r="AM436" s="135">
        <v>0.0</v>
      </c>
      <c r="AN436" s="137">
        <v>0.0</v>
      </c>
    </row>
    <row r="437">
      <c r="A437" s="138" t="s">
        <v>257</v>
      </c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</row>
    <row r="438">
      <c r="A438" s="132" t="s">
        <v>197</v>
      </c>
      <c r="B438" s="133" t="s">
        <v>198</v>
      </c>
      <c r="C438" s="134">
        <v>195542.0</v>
      </c>
      <c r="D438" s="134">
        <v>68376.0</v>
      </c>
      <c r="E438" s="134">
        <v>127166.0</v>
      </c>
      <c r="F438" s="135">
        <v>0.0</v>
      </c>
      <c r="G438" s="135">
        <v>0.0</v>
      </c>
      <c r="H438" s="135">
        <v>0.0</v>
      </c>
      <c r="I438" s="135">
        <v>0.0</v>
      </c>
      <c r="J438" s="135">
        <v>0.0</v>
      </c>
      <c r="K438" s="135">
        <v>0.0</v>
      </c>
      <c r="L438" s="137">
        <v>88.0</v>
      </c>
      <c r="M438" s="137">
        <v>176.0</v>
      </c>
      <c r="N438" s="137">
        <v>142.0</v>
      </c>
      <c r="O438" s="137">
        <v>336.0</v>
      </c>
      <c r="P438" s="137">
        <v>300.0</v>
      </c>
      <c r="Q438" s="137">
        <v>638.0</v>
      </c>
      <c r="R438" s="137">
        <v>502.0</v>
      </c>
      <c r="S438" s="134">
        <v>1112.0</v>
      </c>
      <c r="T438" s="137">
        <v>910.0</v>
      </c>
      <c r="U438" s="134">
        <v>2106.0</v>
      </c>
      <c r="V438" s="134">
        <v>1560.0</v>
      </c>
      <c r="W438" s="134">
        <v>3896.0</v>
      </c>
      <c r="X438" s="134">
        <v>3232.0</v>
      </c>
      <c r="Y438" s="134">
        <v>7416.0</v>
      </c>
      <c r="Z438" s="134">
        <v>5614.0</v>
      </c>
      <c r="AA438" s="134">
        <v>13350.0</v>
      </c>
      <c r="AB438" s="134">
        <v>8326.0</v>
      </c>
      <c r="AC438" s="134">
        <v>17202.0</v>
      </c>
      <c r="AD438" s="134">
        <v>10014.0</v>
      </c>
      <c r="AE438" s="134">
        <v>18610.0</v>
      </c>
      <c r="AF438" s="134">
        <v>11310.0</v>
      </c>
      <c r="AG438" s="134">
        <v>18984.0</v>
      </c>
      <c r="AH438" s="134">
        <v>10452.0</v>
      </c>
      <c r="AI438" s="134">
        <v>16694.0</v>
      </c>
      <c r="AJ438" s="134">
        <v>7958.0</v>
      </c>
      <c r="AK438" s="134">
        <v>13266.0</v>
      </c>
      <c r="AL438" s="134">
        <v>7968.0</v>
      </c>
      <c r="AM438" s="134">
        <v>13380.0</v>
      </c>
      <c r="AN438" s="134">
        <v>195186.0</v>
      </c>
    </row>
    <row r="439">
      <c r="A439" s="98"/>
      <c r="B439" s="136" t="s">
        <v>199</v>
      </c>
      <c r="C439" s="134">
        <v>120404.0</v>
      </c>
      <c r="D439" s="134">
        <v>41674.0</v>
      </c>
      <c r="E439" s="134">
        <v>78730.0</v>
      </c>
      <c r="F439" s="135">
        <v>0.0</v>
      </c>
      <c r="G439" s="135">
        <v>0.0</v>
      </c>
      <c r="H439" s="135">
        <v>0.0</v>
      </c>
      <c r="I439" s="135">
        <v>0.0</v>
      </c>
      <c r="J439" s="135">
        <v>0.0</v>
      </c>
      <c r="K439" s="135">
        <v>0.0</v>
      </c>
      <c r="L439" s="137">
        <v>40.0</v>
      </c>
      <c r="M439" s="137">
        <v>90.0</v>
      </c>
      <c r="N439" s="137">
        <v>100.0</v>
      </c>
      <c r="O439" s="137">
        <v>206.0</v>
      </c>
      <c r="P439" s="137">
        <v>194.0</v>
      </c>
      <c r="Q439" s="137">
        <v>382.0</v>
      </c>
      <c r="R439" s="137">
        <v>360.0</v>
      </c>
      <c r="S439" s="137">
        <v>720.0</v>
      </c>
      <c r="T439" s="137">
        <v>646.0</v>
      </c>
      <c r="U439" s="134">
        <v>1442.0</v>
      </c>
      <c r="V439" s="134">
        <v>1262.0</v>
      </c>
      <c r="W439" s="134">
        <v>2740.0</v>
      </c>
      <c r="X439" s="134">
        <v>2278.0</v>
      </c>
      <c r="Y439" s="134">
        <v>5238.0</v>
      </c>
      <c r="Z439" s="134">
        <v>3958.0</v>
      </c>
      <c r="AA439" s="134">
        <v>9648.0</v>
      </c>
      <c r="AB439" s="134">
        <v>6230.0</v>
      </c>
      <c r="AC439" s="134">
        <v>12734.0</v>
      </c>
      <c r="AD439" s="134">
        <v>7126.0</v>
      </c>
      <c r="AE439" s="134">
        <v>13260.0</v>
      </c>
      <c r="AF439" s="134">
        <v>5724.0</v>
      </c>
      <c r="AG439" s="134">
        <v>9894.0</v>
      </c>
      <c r="AH439" s="134">
        <v>5564.0</v>
      </c>
      <c r="AI439" s="134">
        <v>8604.0</v>
      </c>
      <c r="AJ439" s="134">
        <v>4096.0</v>
      </c>
      <c r="AK439" s="134">
        <v>6862.0</v>
      </c>
      <c r="AL439" s="134">
        <v>4096.0</v>
      </c>
      <c r="AM439" s="134">
        <v>6910.0</v>
      </c>
      <c r="AN439" s="134">
        <v>120146.0</v>
      </c>
    </row>
    <row r="440">
      <c r="A440" s="98"/>
      <c r="B440" s="136" t="s">
        <v>200</v>
      </c>
      <c r="C440" s="134">
        <v>95898.0</v>
      </c>
      <c r="D440" s="134">
        <v>31632.0</v>
      </c>
      <c r="E440" s="134">
        <v>64266.0</v>
      </c>
      <c r="F440" s="135">
        <v>0.0</v>
      </c>
      <c r="G440" s="135">
        <v>0.0</v>
      </c>
      <c r="H440" s="135">
        <v>0.0</v>
      </c>
      <c r="I440" s="135">
        <v>0.0</v>
      </c>
      <c r="J440" s="135">
        <v>0.0</v>
      </c>
      <c r="K440" s="135">
        <v>0.0</v>
      </c>
      <c r="L440" s="137">
        <v>54.0</v>
      </c>
      <c r="M440" s="137">
        <v>126.0</v>
      </c>
      <c r="N440" s="137">
        <v>88.0</v>
      </c>
      <c r="O440" s="137">
        <v>220.0</v>
      </c>
      <c r="P440" s="137">
        <v>156.0</v>
      </c>
      <c r="Q440" s="137">
        <v>412.0</v>
      </c>
      <c r="R440" s="137">
        <v>332.0</v>
      </c>
      <c r="S440" s="137">
        <v>840.0</v>
      </c>
      <c r="T440" s="137">
        <v>556.0</v>
      </c>
      <c r="U440" s="134">
        <v>1258.0</v>
      </c>
      <c r="V440" s="137">
        <v>912.0</v>
      </c>
      <c r="W440" s="134">
        <v>2316.0</v>
      </c>
      <c r="X440" s="134">
        <v>1492.0</v>
      </c>
      <c r="Y440" s="134">
        <v>4248.0</v>
      </c>
      <c r="Z440" s="134">
        <v>2744.0</v>
      </c>
      <c r="AA440" s="134">
        <v>7238.0</v>
      </c>
      <c r="AB440" s="134">
        <v>4072.0</v>
      </c>
      <c r="AC440" s="134">
        <v>9234.0</v>
      </c>
      <c r="AD440" s="134">
        <v>4554.0</v>
      </c>
      <c r="AE440" s="134">
        <v>9330.0</v>
      </c>
      <c r="AF440" s="134">
        <v>4964.0</v>
      </c>
      <c r="AG440" s="134">
        <v>9172.0</v>
      </c>
      <c r="AH440" s="134">
        <v>4798.0</v>
      </c>
      <c r="AI440" s="134">
        <v>8140.0</v>
      </c>
      <c r="AJ440" s="134">
        <v>3584.0</v>
      </c>
      <c r="AK440" s="134">
        <v>6082.0</v>
      </c>
      <c r="AL440" s="134">
        <v>3326.0</v>
      </c>
      <c r="AM440" s="134">
        <v>5650.0</v>
      </c>
      <c r="AN440" s="134">
        <v>95642.0</v>
      </c>
    </row>
    <row r="441">
      <c r="A441" s="104"/>
      <c r="B441" s="136" t="s">
        <v>201</v>
      </c>
      <c r="C441" s="134">
        <v>3932.0</v>
      </c>
      <c r="D441" s="134">
        <v>1752.0</v>
      </c>
      <c r="E441" s="134">
        <v>2180.0</v>
      </c>
      <c r="F441" s="135">
        <v>0.0</v>
      </c>
      <c r="G441" s="135">
        <v>0.0</v>
      </c>
      <c r="H441" s="135">
        <v>0.0</v>
      </c>
      <c r="I441" s="135">
        <v>0.0</v>
      </c>
      <c r="J441" s="135">
        <v>0.0</v>
      </c>
      <c r="K441" s="135">
        <v>0.0</v>
      </c>
      <c r="L441" s="137">
        <v>0.0</v>
      </c>
      <c r="M441" s="137">
        <v>0.0</v>
      </c>
      <c r="N441" s="137">
        <v>0.0</v>
      </c>
      <c r="O441" s="137">
        <v>2.0</v>
      </c>
      <c r="P441" s="137">
        <v>2.0</v>
      </c>
      <c r="Q441" s="137">
        <v>30.0</v>
      </c>
      <c r="R441" s="137">
        <v>136.0</v>
      </c>
      <c r="S441" s="137">
        <v>144.0</v>
      </c>
      <c r="T441" s="137">
        <v>130.0</v>
      </c>
      <c r="U441" s="137">
        <v>220.0</v>
      </c>
      <c r="V441" s="137">
        <v>160.0</v>
      </c>
      <c r="W441" s="137">
        <v>210.0</v>
      </c>
      <c r="X441" s="137">
        <v>188.0</v>
      </c>
      <c r="Y441" s="137">
        <v>260.0</v>
      </c>
      <c r="Z441" s="137">
        <v>218.0</v>
      </c>
      <c r="AA441" s="137">
        <v>238.0</v>
      </c>
      <c r="AB441" s="137">
        <v>194.0</v>
      </c>
      <c r="AC441" s="137">
        <v>258.0</v>
      </c>
      <c r="AD441" s="137">
        <v>140.0</v>
      </c>
      <c r="AE441" s="137">
        <v>210.0</v>
      </c>
      <c r="AF441" s="137">
        <v>296.0</v>
      </c>
      <c r="AG441" s="137">
        <v>264.0</v>
      </c>
      <c r="AH441" s="137">
        <v>126.0</v>
      </c>
      <c r="AI441" s="137">
        <v>164.0</v>
      </c>
      <c r="AJ441" s="137">
        <v>94.0</v>
      </c>
      <c r="AK441" s="137">
        <v>116.0</v>
      </c>
      <c r="AL441" s="137">
        <v>68.0</v>
      </c>
      <c r="AM441" s="137">
        <v>64.0</v>
      </c>
      <c r="AN441" s="134">
        <v>3932.0</v>
      </c>
    </row>
    <row r="442">
      <c r="A442" s="132" t="s">
        <v>202</v>
      </c>
      <c r="B442" s="136" t="s">
        <v>198</v>
      </c>
      <c r="C442" s="134">
        <v>1144.0</v>
      </c>
      <c r="D442" s="137">
        <v>632.0</v>
      </c>
      <c r="E442" s="137">
        <v>512.0</v>
      </c>
      <c r="F442" s="137">
        <v>44.0</v>
      </c>
      <c r="G442" s="137">
        <v>22.0</v>
      </c>
      <c r="H442" s="137">
        <v>10.0</v>
      </c>
      <c r="I442" s="137">
        <v>40.0</v>
      </c>
      <c r="J442" s="137">
        <v>22.0</v>
      </c>
      <c r="K442" s="137">
        <v>4.0</v>
      </c>
      <c r="L442" s="137">
        <v>16.0</v>
      </c>
      <c r="M442" s="137">
        <v>22.0</v>
      </c>
      <c r="N442" s="137">
        <v>66.0</v>
      </c>
      <c r="O442" s="137">
        <v>18.0</v>
      </c>
      <c r="P442" s="137">
        <v>62.0</v>
      </c>
      <c r="Q442" s="137">
        <v>54.0</v>
      </c>
      <c r="R442" s="137">
        <v>54.0</v>
      </c>
      <c r="S442" s="137">
        <v>30.0</v>
      </c>
      <c r="T442" s="137">
        <v>34.0</v>
      </c>
      <c r="U442" s="137">
        <v>32.0</v>
      </c>
      <c r="V442" s="137">
        <v>30.0</v>
      </c>
      <c r="W442" s="137">
        <v>38.0</v>
      </c>
      <c r="X442" s="137">
        <v>56.0</v>
      </c>
      <c r="Y442" s="137">
        <v>42.0</v>
      </c>
      <c r="Z442" s="137">
        <v>52.0</v>
      </c>
      <c r="AA442" s="137">
        <v>66.0</v>
      </c>
      <c r="AB442" s="137">
        <v>38.0</v>
      </c>
      <c r="AC442" s="137">
        <v>38.0</v>
      </c>
      <c r="AD442" s="137">
        <v>42.0</v>
      </c>
      <c r="AE442" s="137">
        <v>32.0</v>
      </c>
      <c r="AF442" s="137">
        <v>26.0</v>
      </c>
      <c r="AG442" s="137">
        <v>34.0</v>
      </c>
      <c r="AH442" s="137">
        <v>12.0</v>
      </c>
      <c r="AI442" s="137">
        <v>16.0</v>
      </c>
      <c r="AJ442" s="137">
        <v>22.0</v>
      </c>
      <c r="AK442" s="137">
        <v>8.0</v>
      </c>
      <c r="AL442" s="137">
        <v>46.0</v>
      </c>
      <c r="AM442" s="137">
        <v>16.0</v>
      </c>
      <c r="AN442" s="134">
        <v>1132.0</v>
      </c>
    </row>
    <row r="443">
      <c r="A443" s="104"/>
      <c r="B443" s="136" t="s">
        <v>199</v>
      </c>
      <c r="C443" s="137">
        <v>536.0</v>
      </c>
      <c r="D443" s="137">
        <v>302.0</v>
      </c>
      <c r="E443" s="137">
        <v>234.0</v>
      </c>
      <c r="F443" s="137">
        <v>10.0</v>
      </c>
      <c r="G443" s="137">
        <v>10.0</v>
      </c>
      <c r="H443" s="137">
        <v>6.0</v>
      </c>
      <c r="I443" s="137">
        <v>10.0</v>
      </c>
      <c r="J443" s="137">
        <v>12.0</v>
      </c>
      <c r="K443" s="137">
        <v>6.0</v>
      </c>
      <c r="L443" s="137">
        <v>6.0</v>
      </c>
      <c r="M443" s="137">
        <v>2.0</v>
      </c>
      <c r="N443" s="137">
        <v>34.0</v>
      </c>
      <c r="O443" s="137">
        <v>10.0</v>
      </c>
      <c r="P443" s="137">
        <v>24.0</v>
      </c>
      <c r="Q443" s="137">
        <v>36.0</v>
      </c>
      <c r="R443" s="137">
        <v>30.0</v>
      </c>
      <c r="S443" s="137">
        <v>16.0</v>
      </c>
      <c r="T443" s="137">
        <v>28.0</v>
      </c>
      <c r="U443" s="137">
        <v>14.0</v>
      </c>
      <c r="V443" s="137">
        <v>14.0</v>
      </c>
      <c r="W443" s="137">
        <v>16.0</v>
      </c>
      <c r="X443" s="137">
        <v>46.0</v>
      </c>
      <c r="Y443" s="137">
        <v>12.0</v>
      </c>
      <c r="Z443" s="137">
        <v>36.0</v>
      </c>
      <c r="AA443" s="137">
        <v>18.0</v>
      </c>
      <c r="AB443" s="137">
        <v>18.0</v>
      </c>
      <c r="AC443" s="137">
        <v>16.0</v>
      </c>
      <c r="AD443" s="137">
        <v>12.0</v>
      </c>
      <c r="AE443" s="137">
        <v>12.0</v>
      </c>
      <c r="AF443" s="137">
        <v>6.0</v>
      </c>
      <c r="AG443" s="137">
        <v>20.0</v>
      </c>
      <c r="AH443" s="137">
        <v>8.0</v>
      </c>
      <c r="AI443" s="137">
        <v>14.0</v>
      </c>
      <c r="AJ443" s="137">
        <v>8.0</v>
      </c>
      <c r="AK443" s="137">
        <v>12.0</v>
      </c>
      <c r="AL443" s="137">
        <v>4.0</v>
      </c>
      <c r="AM443" s="137">
        <v>10.0</v>
      </c>
      <c r="AN443" s="137">
        <v>528.0</v>
      </c>
    </row>
    <row r="444">
      <c r="A444" s="132" t="s">
        <v>203</v>
      </c>
      <c r="B444" s="136" t="s">
        <v>198</v>
      </c>
      <c r="C444" s="137">
        <v>8.0</v>
      </c>
      <c r="D444" s="137">
        <v>2.0</v>
      </c>
      <c r="E444" s="137">
        <v>6.0</v>
      </c>
      <c r="F444" s="135">
        <v>0.0</v>
      </c>
      <c r="G444" s="135">
        <v>0.0</v>
      </c>
      <c r="H444" s="135">
        <v>0.0</v>
      </c>
      <c r="I444" s="135">
        <v>0.0</v>
      </c>
      <c r="J444" s="135">
        <v>0.0</v>
      </c>
      <c r="K444" s="135">
        <v>0.0</v>
      </c>
      <c r="L444" s="135">
        <v>0.0</v>
      </c>
      <c r="M444" s="135">
        <v>0.0</v>
      </c>
      <c r="N444" s="135">
        <v>0.0</v>
      </c>
      <c r="O444" s="135">
        <v>0.0</v>
      </c>
      <c r="P444" s="135">
        <v>0.0</v>
      </c>
      <c r="Q444" s="135">
        <v>0.0</v>
      </c>
      <c r="R444" s="135">
        <v>0.0</v>
      </c>
      <c r="S444" s="135">
        <v>0.0</v>
      </c>
      <c r="T444" s="135">
        <v>0.0</v>
      </c>
      <c r="U444" s="135">
        <v>0.0</v>
      </c>
      <c r="V444" s="135">
        <v>0.0</v>
      </c>
      <c r="W444" s="135">
        <v>0.0</v>
      </c>
      <c r="X444" s="135">
        <v>0.0</v>
      </c>
      <c r="Y444" s="135">
        <v>0.0</v>
      </c>
      <c r="Z444" s="135">
        <v>0.0</v>
      </c>
      <c r="AA444" s="135">
        <v>0.0</v>
      </c>
      <c r="AB444" s="135">
        <v>0.0</v>
      </c>
      <c r="AC444" s="135">
        <v>0.0</v>
      </c>
      <c r="AD444" s="135">
        <v>0.0</v>
      </c>
      <c r="AE444" s="135">
        <v>0.0</v>
      </c>
      <c r="AF444" s="137">
        <v>2.0</v>
      </c>
      <c r="AG444" s="137">
        <v>2.0</v>
      </c>
      <c r="AH444" s="137">
        <v>0.0</v>
      </c>
      <c r="AI444" s="137">
        <v>0.0</v>
      </c>
      <c r="AJ444" s="137">
        <v>0.0</v>
      </c>
      <c r="AK444" s="137">
        <v>2.0</v>
      </c>
      <c r="AL444" s="137">
        <v>0.0</v>
      </c>
      <c r="AM444" s="137">
        <v>2.0</v>
      </c>
      <c r="AN444" s="137">
        <v>8.0</v>
      </c>
    </row>
    <row r="445">
      <c r="A445" s="104"/>
      <c r="B445" s="136" t="s">
        <v>199</v>
      </c>
      <c r="C445" s="134">
        <v>2906.0</v>
      </c>
      <c r="D445" s="134">
        <v>1026.0</v>
      </c>
      <c r="E445" s="134">
        <v>1880.0</v>
      </c>
      <c r="F445" s="135">
        <v>0.0</v>
      </c>
      <c r="G445" s="135">
        <v>0.0</v>
      </c>
      <c r="H445" s="135">
        <v>0.0</v>
      </c>
      <c r="I445" s="135">
        <v>0.0</v>
      </c>
      <c r="J445" s="135">
        <v>0.0</v>
      </c>
      <c r="K445" s="135">
        <v>0.0</v>
      </c>
      <c r="L445" s="135">
        <v>0.0</v>
      </c>
      <c r="M445" s="135">
        <v>0.0</v>
      </c>
      <c r="N445" s="135">
        <v>0.0</v>
      </c>
      <c r="O445" s="135">
        <v>0.0</v>
      </c>
      <c r="P445" s="135">
        <v>0.0</v>
      </c>
      <c r="Q445" s="135">
        <v>0.0</v>
      </c>
      <c r="R445" s="135">
        <v>0.0</v>
      </c>
      <c r="S445" s="135">
        <v>0.0</v>
      </c>
      <c r="T445" s="135">
        <v>0.0</v>
      </c>
      <c r="U445" s="135">
        <v>0.0</v>
      </c>
      <c r="V445" s="135">
        <v>0.0</v>
      </c>
      <c r="W445" s="135">
        <v>0.0</v>
      </c>
      <c r="X445" s="135">
        <v>0.0</v>
      </c>
      <c r="Y445" s="135">
        <v>0.0</v>
      </c>
      <c r="Z445" s="135">
        <v>0.0</v>
      </c>
      <c r="AA445" s="135">
        <v>0.0</v>
      </c>
      <c r="AB445" s="135">
        <v>0.0</v>
      </c>
      <c r="AC445" s="135">
        <v>0.0</v>
      </c>
      <c r="AD445" s="135">
        <v>0.0</v>
      </c>
      <c r="AE445" s="135">
        <v>0.0</v>
      </c>
      <c r="AF445" s="137">
        <v>304.0</v>
      </c>
      <c r="AG445" s="137">
        <v>548.0</v>
      </c>
      <c r="AH445" s="137">
        <v>326.0</v>
      </c>
      <c r="AI445" s="137">
        <v>576.0</v>
      </c>
      <c r="AJ445" s="137">
        <v>216.0</v>
      </c>
      <c r="AK445" s="137">
        <v>412.0</v>
      </c>
      <c r="AL445" s="137">
        <v>180.0</v>
      </c>
      <c r="AM445" s="137">
        <v>344.0</v>
      </c>
      <c r="AN445" s="134">
        <v>2906.0</v>
      </c>
    </row>
    <row r="446">
      <c r="A446" s="132" t="s">
        <v>204</v>
      </c>
      <c r="B446" s="136" t="s">
        <v>198</v>
      </c>
      <c r="C446" s="137">
        <v>2.0</v>
      </c>
      <c r="D446" s="137">
        <v>0.0</v>
      </c>
      <c r="E446" s="137">
        <v>2.0</v>
      </c>
      <c r="F446" s="135">
        <v>0.0</v>
      </c>
      <c r="G446" s="135">
        <v>0.0</v>
      </c>
      <c r="H446" s="135">
        <v>0.0</v>
      </c>
      <c r="I446" s="135">
        <v>0.0</v>
      </c>
      <c r="J446" s="135">
        <v>0.0</v>
      </c>
      <c r="K446" s="135">
        <v>0.0</v>
      </c>
      <c r="L446" s="135">
        <v>0.0</v>
      </c>
      <c r="M446" s="135">
        <v>0.0</v>
      </c>
      <c r="N446" s="135">
        <v>0.0</v>
      </c>
      <c r="O446" s="135">
        <v>0.0</v>
      </c>
      <c r="P446" s="135">
        <v>0.0</v>
      </c>
      <c r="Q446" s="135">
        <v>0.0</v>
      </c>
      <c r="R446" s="135">
        <v>0.0</v>
      </c>
      <c r="S446" s="135">
        <v>0.0</v>
      </c>
      <c r="T446" s="135">
        <v>0.0</v>
      </c>
      <c r="U446" s="135">
        <v>0.0</v>
      </c>
      <c r="V446" s="135">
        <v>0.0</v>
      </c>
      <c r="W446" s="135">
        <v>0.0</v>
      </c>
      <c r="X446" s="135">
        <v>0.0</v>
      </c>
      <c r="Y446" s="135">
        <v>0.0</v>
      </c>
      <c r="Z446" s="135">
        <v>0.0</v>
      </c>
      <c r="AA446" s="135">
        <v>0.0</v>
      </c>
      <c r="AB446" s="135">
        <v>0.0</v>
      </c>
      <c r="AC446" s="135">
        <v>0.0</v>
      </c>
      <c r="AD446" s="135">
        <v>0.0</v>
      </c>
      <c r="AE446" s="135">
        <v>0.0</v>
      </c>
      <c r="AF446" s="137">
        <v>0.0</v>
      </c>
      <c r="AG446" s="137">
        <v>0.0</v>
      </c>
      <c r="AH446" s="137">
        <v>0.0</v>
      </c>
      <c r="AI446" s="137">
        <v>0.0</v>
      </c>
      <c r="AJ446" s="137">
        <v>0.0</v>
      </c>
      <c r="AK446" s="137">
        <v>0.0</v>
      </c>
      <c r="AL446" s="137">
        <v>0.0</v>
      </c>
      <c r="AM446" s="137">
        <v>2.0</v>
      </c>
      <c r="AN446" s="137">
        <v>2.0</v>
      </c>
    </row>
    <row r="447">
      <c r="A447" s="104"/>
      <c r="B447" s="136" t="s">
        <v>199</v>
      </c>
      <c r="C447" s="134">
        <v>1322.0</v>
      </c>
      <c r="D447" s="137">
        <v>454.0</v>
      </c>
      <c r="E447" s="137">
        <v>868.0</v>
      </c>
      <c r="F447" s="135">
        <v>0.0</v>
      </c>
      <c r="G447" s="135">
        <v>0.0</v>
      </c>
      <c r="H447" s="135">
        <v>0.0</v>
      </c>
      <c r="I447" s="135">
        <v>0.0</v>
      </c>
      <c r="J447" s="135">
        <v>0.0</v>
      </c>
      <c r="K447" s="135">
        <v>0.0</v>
      </c>
      <c r="L447" s="135">
        <v>0.0</v>
      </c>
      <c r="M447" s="135">
        <v>0.0</v>
      </c>
      <c r="N447" s="135">
        <v>0.0</v>
      </c>
      <c r="O447" s="135">
        <v>0.0</v>
      </c>
      <c r="P447" s="135">
        <v>0.0</v>
      </c>
      <c r="Q447" s="135">
        <v>0.0</v>
      </c>
      <c r="R447" s="135">
        <v>0.0</v>
      </c>
      <c r="S447" s="135">
        <v>0.0</v>
      </c>
      <c r="T447" s="135">
        <v>0.0</v>
      </c>
      <c r="U447" s="135">
        <v>0.0</v>
      </c>
      <c r="V447" s="135">
        <v>0.0</v>
      </c>
      <c r="W447" s="135">
        <v>0.0</v>
      </c>
      <c r="X447" s="135">
        <v>0.0</v>
      </c>
      <c r="Y447" s="135">
        <v>0.0</v>
      </c>
      <c r="Z447" s="135">
        <v>0.0</v>
      </c>
      <c r="AA447" s="135">
        <v>0.0</v>
      </c>
      <c r="AB447" s="135">
        <v>0.0</v>
      </c>
      <c r="AC447" s="135">
        <v>0.0</v>
      </c>
      <c r="AD447" s="135">
        <v>0.0</v>
      </c>
      <c r="AE447" s="135">
        <v>0.0</v>
      </c>
      <c r="AF447" s="137">
        <v>74.0</v>
      </c>
      <c r="AG447" s="137">
        <v>120.0</v>
      </c>
      <c r="AH447" s="137">
        <v>104.0</v>
      </c>
      <c r="AI447" s="137">
        <v>168.0</v>
      </c>
      <c r="AJ447" s="137">
        <v>106.0</v>
      </c>
      <c r="AK447" s="137">
        <v>204.0</v>
      </c>
      <c r="AL447" s="137">
        <v>170.0</v>
      </c>
      <c r="AM447" s="137">
        <v>376.0</v>
      </c>
      <c r="AN447" s="134">
        <v>1322.0</v>
      </c>
    </row>
    <row r="448">
      <c r="A448" s="132" t="s">
        <v>205</v>
      </c>
      <c r="B448" s="136" t="s">
        <v>198</v>
      </c>
      <c r="C448" s="137">
        <v>24.0</v>
      </c>
      <c r="D448" s="137">
        <v>10.0</v>
      </c>
      <c r="E448" s="137">
        <v>14.0</v>
      </c>
      <c r="F448" s="137">
        <v>0.0</v>
      </c>
      <c r="G448" s="137">
        <v>0.0</v>
      </c>
      <c r="H448" s="137">
        <v>0.0</v>
      </c>
      <c r="I448" s="137">
        <v>0.0</v>
      </c>
      <c r="J448" s="137">
        <v>0.0</v>
      </c>
      <c r="K448" s="137">
        <v>0.0</v>
      </c>
      <c r="L448" s="137">
        <v>0.0</v>
      </c>
      <c r="M448" s="137">
        <v>0.0</v>
      </c>
      <c r="N448" s="137">
        <v>2.0</v>
      </c>
      <c r="O448" s="137">
        <v>2.0</v>
      </c>
      <c r="P448" s="137">
        <v>0.0</v>
      </c>
      <c r="Q448" s="137">
        <v>0.0</v>
      </c>
      <c r="R448" s="137">
        <v>0.0</v>
      </c>
      <c r="S448" s="137">
        <v>0.0</v>
      </c>
      <c r="T448" s="137">
        <v>2.0</v>
      </c>
      <c r="U448" s="137">
        <v>0.0</v>
      </c>
      <c r="V448" s="137">
        <v>0.0</v>
      </c>
      <c r="W448" s="137">
        <v>0.0</v>
      </c>
      <c r="X448" s="137">
        <v>0.0</v>
      </c>
      <c r="Y448" s="137">
        <v>0.0</v>
      </c>
      <c r="Z448" s="137">
        <v>0.0</v>
      </c>
      <c r="AA448" s="137">
        <v>0.0</v>
      </c>
      <c r="AB448" s="137">
        <v>2.0</v>
      </c>
      <c r="AC448" s="137">
        <v>2.0</v>
      </c>
      <c r="AD448" s="137">
        <v>0.0</v>
      </c>
      <c r="AE448" s="137">
        <v>2.0</v>
      </c>
      <c r="AF448" s="137">
        <v>0.0</v>
      </c>
      <c r="AG448" s="137">
        <v>2.0</v>
      </c>
      <c r="AH448" s="137">
        <v>0.0</v>
      </c>
      <c r="AI448" s="137">
        <v>4.0</v>
      </c>
      <c r="AJ448" s="137">
        <v>0.0</v>
      </c>
      <c r="AK448" s="137">
        <v>0.0</v>
      </c>
      <c r="AL448" s="137">
        <v>4.0</v>
      </c>
      <c r="AM448" s="137">
        <v>2.0</v>
      </c>
      <c r="AN448" s="137">
        <v>24.0</v>
      </c>
    </row>
    <row r="449">
      <c r="A449" s="98"/>
      <c r="B449" s="136" t="s">
        <v>199</v>
      </c>
      <c r="C449" s="137">
        <v>6.0</v>
      </c>
      <c r="D449" s="137">
        <v>2.0</v>
      </c>
      <c r="E449" s="137">
        <v>4.0</v>
      </c>
      <c r="F449" s="137">
        <v>0.0</v>
      </c>
      <c r="G449" s="137">
        <v>0.0</v>
      </c>
      <c r="H449" s="137">
        <v>0.0</v>
      </c>
      <c r="I449" s="137">
        <v>0.0</v>
      </c>
      <c r="J449" s="137">
        <v>0.0</v>
      </c>
      <c r="K449" s="137">
        <v>0.0</v>
      </c>
      <c r="L449" s="137">
        <v>0.0</v>
      </c>
      <c r="M449" s="137">
        <v>0.0</v>
      </c>
      <c r="N449" s="137">
        <v>0.0</v>
      </c>
      <c r="O449" s="137">
        <v>0.0</v>
      </c>
      <c r="P449" s="137">
        <v>0.0</v>
      </c>
      <c r="Q449" s="137">
        <v>0.0</v>
      </c>
      <c r="R449" s="137">
        <v>0.0</v>
      </c>
      <c r="S449" s="137">
        <v>0.0</v>
      </c>
      <c r="T449" s="137">
        <v>0.0</v>
      </c>
      <c r="U449" s="137">
        <v>0.0</v>
      </c>
      <c r="V449" s="137">
        <v>0.0</v>
      </c>
      <c r="W449" s="137">
        <v>0.0</v>
      </c>
      <c r="X449" s="137">
        <v>0.0</v>
      </c>
      <c r="Y449" s="137">
        <v>0.0</v>
      </c>
      <c r="Z449" s="137">
        <v>0.0</v>
      </c>
      <c r="AA449" s="137">
        <v>0.0</v>
      </c>
      <c r="AB449" s="137">
        <v>0.0</v>
      </c>
      <c r="AC449" s="137">
        <v>0.0</v>
      </c>
      <c r="AD449" s="137">
        <v>0.0</v>
      </c>
      <c r="AE449" s="137">
        <v>2.0</v>
      </c>
      <c r="AF449" s="137">
        <v>0.0</v>
      </c>
      <c r="AG449" s="137">
        <v>0.0</v>
      </c>
      <c r="AH449" s="137">
        <v>2.0</v>
      </c>
      <c r="AI449" s="137">
        <v>2.0</v>
      </c>
      <c r="AJ449" s="137">
        <v>0.0</v>
      </c>
      <c r="AK449" s="137">
        <v>0.0</v>
      </c>
      <c r="AL449" s="137">
        <v>0.0</v>
      </c>
      <c r="AM449" s="137">
        <v>0.0</v>
      </c>
      <c r="AN449" s="137">
        <v>6.0</v>
      </c>
    </row>
    <row r="450">
      <c r="A450" s="104"/>
      <c r="B450" s="136" t="s">
        <v>206</v>
      </c>
      <c r="C450" s="137">
        <v>374.0</v>
      </c>
      <c r="D450" s="137">
        <v>142.0</v>
      </c>
      <c r="E450" s="137">
        <v>232.0</v>
      </c>
      <c r="F450" s="137">
        <v>0.0</v>
      </c>
      <c r="G450" s="137">
        <v>0.0</v>
      </c>
      <c r="H450" s="137">
        <v>0.0</v>
      </c>
      <c r="I450" s="137">
        <v>0.0</v>
      </c>
      <c r="J450" s="137">
        <v>0.0</v>
      </c>
      <c r="K450" s="137">
        <v>0.0</v>
      </c>
      <c r="L450" s="137">
        <v>30.0</v>
      </c>
      <c r="M450" s="137">
        <v>28.0</v>
      </c>
      <c r="N450" s="137">
        <v>26.0</v>
      </c>
      <c r="O450" s="137">
        <v>72.0</v>
      </c>
      <c r="P450" s="137">
        <v>18.0</v>
      </c>
      <c r="Q450" s="137">
        <v>30.0</v>
      </c>
      <c r="R450" s="137">
        <v>16.0</v>
      </c>
      <c r="S450" s="137">
        <v>32.0</v>
      </c>
      <c r="T450" s="137">
        <v>8.0</v>
      </c>
      <c r="U450" s="137">
        <v>18.0</v>
      </c>
      <c r="V450" s="137">
        <v>6.0</v>
      </c>
      <c r="W450" s="137">
        <v>16.0</v>
      </c>
      <c r="X450" s="137">
        <v>4.0</v>
      </c>
      <c r="Y450" s="137">
        <v>18.0</v>
      </c>
      <c r="Z450" s="137">
        <v>18.0</v>
      </c>
      <c r="AA450" s="137">
        <v>10.0</v>
      </c>
      <c r="AB450" s="137">
        <v>14.0</v>
      </c>
      <c r="AC450" s="137">
        <v>6.0</v>
      </c>
      <c r="AD450" s="137">
        <v>2.0</v>
      </c>
      <c r="AE450" s="137">
        <v>2.0</v>
      </c>
      <c r="AF450" s="137">
        <v>0.0</v>
      </c>
      <c r="AG450" s="137">
        <v>0.0</v>
      </c>
      <c r="AH450" s="137">
        <v>0.0</v>
      </c>
      <c r="AI450" s="137">
        <v>0.0</v>
      </c>
      <c r="AJ450" s="137">
        <v>0.0</v>
      </c>
      <c r="AK450" s="137">
        <v>0.0</v>
      </c>
      <c r="AL450" s="137">
        <v>0.0</v>
      </c>
      <c r="AM450" s="137">
        <v>0.0</v>
      </c>
      <c r="AN450" s="137">
        <v>374.0</v>
      </c>
    </row>
    <row r="451">
      <c r="A451" s="132" t="s">
        <v>207</v>
      </c>
      <c r="B451" s="136" t="s">
        <v>198</v>
      </c>
      <c r="C451" s="134">
        <v>28198.0</v>
      </c>
      <c r="D451" s="134">
        <v>7174.0</v>
      </c>
      <c r="E451" s="134">
        <v>21024.0</v>
      </c>
      <c r="F451" s="137">
        <v>680.0</v>
      </c>
      <c r="G451" s="137">
        <v>616.0</v>
      </c>
      <c r="H451" s="137">
        <v>462.0</v>
      </c>
      <c r="I451" s="137">
        <v>358.0</v>
      </c>
      <c r="J451" s="137">
        <v>368.0</v>
      </c>
      <c r="K451" s="137">
        <v>262.0</v>
      </c>
      <c r="L451" s="137">
        <v>206.0</v>
      </c>
      <c r="M451" s="137">
        <v>302.0</v>
      </c>
      <c r="N451" s="137">
        <v>112.0</v>
      </c>
      <c r="O451" s="137">
        <v>402.0</v>
      </c>
      <c r="P451" s="137">
        <v>170.0</v>
      </c>
      <c r="Q451" s="137">
        <v>514.0</v>
      </c>
      <c r="R451" s="137">
        <v>172.0</v>
      </c>
      <c r="S451" s="137">
        <v>518.0</v>
      </c>
      <c r="T451" s="137">
        <v>188.0</v>
      </c>
      <c r="U451" s="137">
        <v>704.0</v>
      </c>
      <c r="V451" s="137">
        <v>170.0</v>
      </c>
      <c r="W451" s="134">
        <v>1036.0</v>
      </c>
      <c r="X451" s="137">
        <v>278.0</v>
      </c>
      <c r="Y451" s="134">
        <v>1364.0</v>
      </c>
      <c r="Z451" s="137">
        <v>412.0</v>
      </c>
      <c r="AA451" s="134">
        <v>1988.0</v>
      </c>
      <c r="AB451" s="137">
        <v>584.0</v>
      </c>
      <c r="AC451" s="134">
        <v>2684.0</v>
      </c>
      <c r="AD451" s="137">
        <v>614.0</v>
      </c>
      <c r="AE451" s="134">
        <v>2544.0</v>
      </c>
      <c r="AF451" s="137">
        <v>740.0</v>
      </c>
      <c r="AG451" s="134">
        <v>2482.0</v>
      </c>
      <c r="AH451" s="137">
        <v>800.0</v>
      </c>
      <c r="AI451" s="134">
        <v>2154.0</v>
      </c>
      <c r="AJ451" s="137">
        <v>572.0</v>
      </c>
      <c r="AK451" s="134">
        <v>1584.0</v>
      </c>
      <c r="AL451" s="137">
        <v>646.0</v>
      </c>
      <c r="AM451" s="134">
        <v>1512.0</v>
      </c>
      <c r="AN451" s="134">
        <v>27920.0</v>
      </c>
    </row>
    <row r="452">
      <c r="A452" s="98"/>
      <c r="B452" s="136" t="s">
        <v>199</v>
      </c>
      <c r="C452" s="134">
        <v>5460.0</v>
      </c>
      <c r="D452" s="134">
        <v>1150.0</v>
      </c>
      <c r="E452" s="134">
        <v>4310.0</v>
      </c>
      <c r="F452" s="137">
        <v>8.0</v>
      </c>
      <c r="G452" s="137">
        <v>4.0</v>
      </c>
      <c r="H452" s="137">
        <v>10.0</v>
      </c>
      <c r="I452" s="137">
        <v>4.0</v>
      </c>
      <c r="J452" s="137">
        <v>12.0</v>
      </c>
      <c r="K452" s="137">
        <v>32.0</v>
      </c>
      <c r="L452" s="137">
        <v>34.0</v>
      </c>
      <c r="M452" s="137">
        <v>68.0</v>
      </c>
      <c r="N452" s="137">
        <v>38.0</v>
      </c>
      <c r="O452" s="137">
        <v>172.0</v>
      </c>
      <c r="P452" s="137">
        <v>40.0</v>
      </c>
      <c r="Q452" s="137">
        <v>142.0</v>
      </c>
      <c r="R452" s="137">
        <v>26.0</v>
      </c>
      <c r="S452" s="137">
        <v>168.0</v>
      </c>
      <c r="T452" s="137">
        <v>48.0</v>
      </c>
      <c r="U452" s="137">
        <v>200.0</v>
      </c>
      <c r="V452" s="137">
        <v>54.0</v>
      </c>
      <c r="W452" s="137">
        <v>374.0</v>
      </c>
      <c r="X452" s="137">
        <v>88.0</v>
      </c>
      <c r="Y452" s="137">
        <v>426.0</v>
      </c>
      <c r="Z452" s="137">
        <v>118.0</v>
      </c>
      <c r="AA452" s="137">
        <v>592.0</v>
      </c>
      <c r="AB452" s="137">
        <v>156.0</v>
      </c>
      <c r="AC452" s="137">
        <v>614.0</v>
      </c>
      <c r="AD452" s="137">
        <v>146.0</v>
      </c>
      <c r="AE452" s="137">
        <v>488.0</v>
      </c>
      <c r="AF452" s="137">
        <v>110.0</v>
      </c>
      <c r="AG452" s="137">
        <v>344.0</v>
      </c>
      <c r="AH452" s="137">
        <v>126.0</v>
      </c>
      <c r="AI452" s="137">
        <v>294.0</v>
      </c>
      <c r="AJ452" s="137">
        <v>70.0</v>
      </c>
      <c r="AK452" s="137">
        <v>194.0</v>
      </c>
      <c r="AL452" s="137">
        <v>66.0</v>
      </c>
      <c r="AM452" s="137">
        <v>194.0</v>
      </c>
      <c r="AN452" s="134">
        <v>5454.0</v>
      </c>
    </row>
    <row r="453">
      <c r="A453" s="98"/>
      <c r="B453" s="136" t="s">
        <v>206</v>
      </c>
      <c r="C453" s="137">
        <v>44.0</v>
      </c>
      <c r="D453" s="137">
        <v>12.0</v>
      </c>
      <c r="E453" s="137">
        <v>32.0</v>
      </c>
      <c r="F453" s="137">
        <v>0.0</v>
      </c>
      <c r="G453" s="137">
        <v>0.0</v>
      </c>
      <c r="H453" s="137">
        <v>0.0</v>
      </c>
      <c r="I453" s="137">
        <v>0.0</v>
      </c>
      <c r="J453" s="137">
        <v>4.0</v>
      </c>
      <c r="K453" s="137">
        <v>12.0</v>
      </c>
      <c r="L453" s="137">
        <v>2.0</v>
      </c>
      <c r="M453" s="137">
        <v>0.0</v>
      </c>
      <c r="N453" s="137">
        <v>0.0</v>
      </c>
      <c r="O453" s="137">
        <v>2.0</v>
      </c>
      <c r="P453" s="137">
        <v>0.0</v>
      </c>
      <c r="Q453" s="137">
        <v>2.0</v>
      </c>
      <c r="R453" s="137">
        <v>0.0</v>
      </c>
      <c r="S453" s="137">
        <v>2.0</v>
      </c>
      <c r="T453" s="137">
        <v>0.0</v>
      </c>
      <c r="U453" s="137">
        <v>0.0</v>
      </c>
      <c r="V453" s="137">
        <v>0.0</v>
      </c>
      <c r="W453" s="137">
        <v>2.0</v>
      </c>
      <c r="X453" s="137">
        <v>2.0</v>
      </c>
      <c r="Y453" s="137">
        <v>4.0</v>
      </c>
      <c r="Z453" s="137">
        <v>0.0</v>
      </c>
      <c r="AA453" s="137">
        <v>0.0</v>
      </c>
      <c r="AB453" s="137">
        <v>0.0</v>
      </c>
      <c r="AC453" s="137">
        <v>0.0</v>
      </c>
      <c r="AD453" s="137">
        <v>0.0</v>
      </c>
      <c r="AE453" s="137">
        <v>2.0</v>
      </c>
      <c r="AF453" s="137">
        <v>2.0</v>
      </c>
      <c r="AG453" s="137">
        <v>4.0</v>
      </c>
      <c r="AH453" s="137">
        <v>0.0</v>
      </c>
      <c r="AI453" s="137">
        <v>0.0</v>
      </c>
      <c r="AJ453" s="137">
        <v>2.0</v>
      </c>
      <c r="AK453" s="137">
        <v>0.0</v>
      </c>
      <c r="AL453" s="137">
        <v>0.0</v>
      </c>
      <c r="AM453" s="137">
        <v>2.0</v>
      </c>
      <c r="AN453" s="137">
        <v>44.0</v>
      </c>
    </row>
    <row r="454">
      <c r="A454" s="98"/>
      <c r="B454" s="136" t="s">
        <v>200</v>
      </c>
      <c r="C454" s="134">
        <v>2004.0</v>
      </c>
      <c r="D454" s="137">
        <v>454.0</v>
      </c>
      <c r="E454" s="134">
        <v>1550.0</v>
      </c>
      <c r="F454" s="137">
        <v>22.0</v>
      </c>
      <c r="G454" s="137">
        <v>28.0</v>
      </c>
      <c r="H454" s="137">
        <v>2.0</v>
      </c>
      <c r="I454" s="137">
        <v>6.0</v>
      </c>
      <c r="J454" s="137">
        <v>6.0</v>
      </c>
      <c r="K454" s="137">
        <v>18.0</v>
      </c>
      <c r="L454" s="137">
        <v>16.0</v>
      </c>
      <c r="M454" s="137">
        <v>30.0</v>
      </c>
      <c r="N454" s="137">
        <v>14.0</v>
      </c>
      <c r="O454" s="137">
        <v>38.0</v>
      </c>
      <c r="P454" s="137">
        <v>2.0</v>
      </c>
      <c r="Q454" s="137">
        <v>50.0</v>
      </c>
      <c r="R454" s="137">
        <v>16.0</v>
      </c>
      <c r="S454" s="137">
        <v>66.0</v>
      </c>
      <c r="T454" s="137">
        <v>14.0</v>
      </c>
      <c r="U454" s="137">
        <v>88.0</v>
      </c>
      <c r="V454" s="137">
        <v>12.0</v>
      </c>
      <c r="W454" s="137">
        <v>138.0</v>
      </c>
      <c r="X454" s="137">
        <v>28.0</v>
      </c>
      <c r="Y454" s="137">
        <v>162.0</v>
      </c>
      <c r="Z454" s="137">
        <v>26.0</v>
      </c>
      <c r="AA454" s="137">
        <v>200.0</v>
      </c>
      <c r="AB454" s="137">
        <v>50.0</v>
      </c>
      <c r="AC454" s="137">
        <v>230.0</v>
      </c>
      <c r="AD454" s="137">
        <v>44.0</v>
      </c>
      <c r="AE454" s="137">
        <v>142.0</v>
      </c>
      <c r="AF454" s="137">
        <v>74.0</v>
      </c>
      <c r="AG454" s="137">
        <v>144.0</v>
      </c>
      <c r="AH454" s="137">
        <v>58.0</v>
      </c>
      <c r="AI454" s="137">
        <v>110.0</v>
      </c>
      <c r="AJ454" s="137">
        <v>40.0</v>
      </c>
      <c r="AK454" s="137">
        <v>58.0</v>
      </c>
      <c r="AL454" s="137">
        <v>30.0</v>
      </c>
      <c r="AM454" s="137">
        <v>42.0</v>
      </c>
      <c r="AN454" s="134">
        <v>2000.0</v>
      </c>
    </row>
    <row r="455">
      <c r="A455" s="104"/>
      <c r="B455" s="136" t="s">
        <v>201</v>
      </c>
      <c r="C455" s="137">
        <v>2.0</v>
      </c>
      <c r="D455" s="137">
        <v>0.0</v>
      </c>
      <c r="E455" s="137">
        <v>2.0</v>
      </c>
      <c r="F455" s="137">
        <v>0.0</v>
      </c>
      <c r="G455" s="137">
        <v>0.0</v>
      </c>
      <c r="H455" s="137">
        <v>0.0</v>
      </c>
      <c r="I455" s="137">
        <v>0.0</v>
      </c>
      <c r="J455" s="137">
        <v>0.0</v>
      </c>
      <c r="K455" s="137">
        <v>0.0</v>
      </c>
      <c r="L455" s="137">
        <v>0.0</v>
      </c>
      <c r="M455" s="137">
        <v>0.0</v>
      </c>
      <c r="N455" s="137">
        <v>0.0</v>
      </c>
      <c r="O455" s="137">
        <v>0.0</v>
      </c>
      <c r="P455" s="137">
        <v>0.0</v>
      </c>
      <c r="Q455" s="137">
        <v>0.0</v>
      </c>
      <c r="R455" s="137">
        <v>0.0</v>
      </c>
      <c r="S455" s="137">
        <v>0.0</v>
      </c>
      <c r="T455" s="137">
        <v>0.0</v>
      </c>
      <c r="U455" s="137">
        <v>0.0</v>
      </c>
      <c r="V455" s="137">
        <v>0.0</v>
      </c>
      <c r="W455" s="137">
        <v>2.0</v>
      </c>
      <c r="X455" s="137">
        <v>0.0</v>
      </c>
      <c r="Y455" s="137">
        <v>0.0</v>
      </c>
      <c r="Z455" s="137">
        <v>0.0</v>
      </c>
      <c r="AA455" s="137">
        <v>0.0</v>
      </c>
      <c r="AB455" s="137">
        <v>0.0</v>
      </c>
      <c r="AC455" s="137">
        <v>0.0</v>
      </c>
      <c r="AD455" s="137">
        <v>0.0</v>
      </c>
      <c r="AE455" s="137">
        <v>0.0</v>
      </c>
      <c r="AF455" s="137">
        <v>0.0</v>
      </c>
      <c r="AG455" s="137">
        <v>0.0</v>
      </c>
      <c r="AH455" s="137">
        <v>0.0</v>
      </c>
      <c r="AI455" s="137">
        <v>0.0</v>
      </c>
      <c r="AJ455" s="137">
        <v>0.0</v>
      </c>
      <c r="AK455" s="137">
        <v>0.0</v>
      </c>
      <c r="AL455" s="137">
        <v>0.0</v>
      </c>
      <c r="AM455" s="137">
        <v>0.0</v>
      </c>
      <c r="AN455" s="137">
        <v>2.0</v>
      </c>
    </row>
    <row r="456">
      <c r="A456" s="132" t="s">
        <v>208</v>
      </c>
      <c r="B456" s="136" t="s">
        <v>198</v>
      </c>
      <c r="C456" s="137">
        <v>4.0</v>
      </c>
      <c r="D456" s="137">
        <v>4.0</v>
      </c>
      <c r="E456" s="137">
        <v>0.0</v>
      </c>
      <c r="F456" s="137">
        <v>4.0</v>
      </c>
      <c r="G456" s="137">
        <v>0.0</v>
      </c>
      <c r="H456" s="137">
        <v>0.0</v>
      </c>
      <c r="I456" s="137">
        <v>0.0</v>
      </c>
      <c r="J456" s="137">
        <v>0.0</v>
      </c>
      <c r="K456" s="137">
        <v>0.0</v>
      </c>
      <c r="L456" s="137">
        <v>0.0</v>
      </c>
      <c r="M456" s="137">
        <v>0.0</v>
      </c>
      <c r="N456" s="137">
        <v>0.0</v>
      </c>
      <c r="O456" s="137">
        <v>0.0</v>
      </c>
      <c r="P456" s="135">
        <v>0.0</v>
      </c>
      <c r="Q456" s="135">
        <v>0.0</v>
      </c>
      <c r="R456" s="135">
        <v>0.0</v>
      </c>
      <c r="S456" s="135">
        <v>0.0</v>
      </c>
      <c r="T456" s="135">
        <v>0.0</v>
      </c>
      <c r="U456" s="135">
        <v>0.0</v>
      </c>
      <c r="V456" s="135">
        <v>0.0</v>
      </c>
      <c r="W456" s="135">
        <v>0.0</v>
      </c>
      <c r="X456" s="135">
        <v>0.0</v>
      </c>
      <c r="Y456" s="135">
        <v>0.0</v>
      </c>
      <c r="Z456" s="135">
        <v>0.0</v>
      </c>
      <c r="AA456" s="135">
        <v>0.0</v>
      </c>
      <c r="AB456" s="135">
        <v>0.0</v>
      </c>
      <c r="AC456" s="135">
        <v>0.0</v>
      </c>
      <c r="AD456" s="135">
        <v>0.0</v>
      </c>
      <c r="AE456" s="135">
        <v>0.0</v>
      </c>
      <c r="AF456" s="135">
        <v>0.0</v>
      </c>
      <c r="AG456" s="135">
        <v>0.0</v>
      </c>
      <c r="AH456" s="135">
        <v>0.0</v>
      </c>
      <c r="AI456" s="135">
        <v>0.0</v>
      </c>
      <c r="AJ456" s="135">
        <v>0.0</v>
      </c>
      <c r="AK456" s="135">
        <v>0.0</v>
      </c>
      <c r="AL456" s="135">
        <v>0.0</v>
      </c>
      <c r="AM456" s="135">
        <v>0.0</v>
      </c>
      <c r="AN456" s="137">
        <v>4.0</v>
      </c>
    </row>
    <row r="457">
      <c r="A457" s="98"/>
      <c r="B457" s="136" t="s">
        <v>199</v>
      </c>
      <c r="C457" s="137">
        <v>60.0</v>
      </c>
      <c r="D457" s="137">
        <v>50.0</v>
      </c>
      <c r="E457" s="137">
        <v>10.0</v>
      </c>
      <c r="F457" s="137">
        <v>36.0</v>
      </c>
      <c r="G457" s="137">
        <v>4.0</v>
      </c>
      <c r="H457" s="137">
        <v>10.0</v>
      </c>
      <c r="I457" s="137">
        <v>4.0</v>
      </c>
      <c r="J457" s="137">
        <v>4.0</v>
      </c>
      <c r="K457" s="137">
        <v>0.0</v>
      </c>
      <c r="L457" s="137">
        <v>0.0</v>
      </c>
      <c r="M457" s="137">
        <v>2.0</v>
      </c>
      <c r="N457" s="137">
        <v>0.0</v>
      </c>
      <c r="O457" s="137">
        <v>0.0</v>
      </c>
      <c r="P457" s="135">
        <v>0.0</v>
      </c>
      <c r="Q457" s="135">
        <v>0.0</v>
      </c>
      <c r="R457" s="135">
        <v>0.0</v>
      </c>
      <c r="S457" s="135">
        <v>0.0</v>
      </c>
      <c r="T457" s="135">
        <v>0.0</v>
      </c>
      <c r="U457" s="135">
        <v>0.0</v>
      </c>
      <c r="V457" s="135">
        <v>0.0</v>
      </c>
      <c r="W457" s="135">
        <v>0.0</v>
      </c>
      <c r="X457" s="135">
        <v>0.0</v>
      </c>
      <c r="Y457" s="135">
        <v>0.0</v>
      </c>
      <c r="Z457" s="135">
        <v>0.0</v>
      </c>
      <c r="AA457" s="135">
        <v>0.0</v>
      </c>
      <c r="AB457" s="135">
        <v>0.0</v>
      </c>
      <c r="AC457" s="135">
        <v>0.0</v>
      </c>
      <c r="AD457" s="135">
        <v>0.0</v>
      </c>
      <c r="AE457" s="135">
        <v>0.0</v>
      </c>
      <c r="AF457" s="135">
        <v>0.0</v>
      </c>
      <c r="AG457" s="135">
        <v>0.0</v>
      </c>
      <c r="AH457" s="135">
        <v>0.0</v>
      </c>
      <c r="AI457" s="135">
        <v>0.0</v>
      </c>
      <c r="AJ457" s="135">
        <v>0.0</v>
      </c>
      <c r="AK457" s="135">
        <v>0.0</v>
      </c>
      <c r="AL457" s="135">
        <v>0.0</v>
      </c>
      <c r="AM457" s="135">
        <v>0.0</v>
      </c>
      <c r="AN457" s="137">
        <v>58.0</v>
      </c>
    </row>
    <row r="458">
      <c r="A458" s="98"/>
      <c r="B458" s="136" t="s">
        <v>206</v>
      </c>
      <c r="C458" s="137">
        <v>0.0</v>
      </c>
      <c r="D458" s="137">
        <v>0.0</v>
      </c>
      <c r="E458" s="137">
        <v>0.0</v>
      </c>
      <c r="F458" s="137">
        <v>0.0</v>
      </c>
      <c r="G458" s="137">
        <v>0.0</v>
      </c>
      <c r="H458" s="137">
        <v>0.0</v>
      </c>
      <c r="I458" s="137">
        <v>0.0</v>
      </c>
      <c r="J458" s="137">
        <v>0.0</v>
      </c>
      <c r="K458" s="137">
        <v>0.0</v>
      </c>
      <c r="L458" s="137">
        <v>0.0</v>
      </c>
      <c r="M458" s="137">
        <v>0.0</v>
      </c>
      <c r="N458" s="137">
        <v>0.0</v>
      </c>
      <c r="O458" s="137">
        <v>0.0</v>
      </c>
      <c r="P458" s="135">
        <v>0.0</v>
      </c>
      <c r="Q458" s="135">
        <v>0.0</v>
      </c>
      <c r="R458" s="135">
        <v>0.0</v>
      </c>
      <c r="S458" s="135">
        <v>0.0</v>
      </c>
      <c r="T458" s="135">
        <v>0.0</v>
      </c>
      <c r="U458" s="135">
        <v>0.0</v>
      </c>
      <c r="V458" s="135">
        <v>0.0</v>
      </c>
      <c r="W458" s="135">
        <v>0.0</v>
      </c>
      <c r="X458" s="135">
        <v>0.0</v>
      </c>
      <c r="Y458" s="135">
        <v>0.0</v>
      </c>
      <c r="Z458" s="135">
        <v>0.0</v>
      </c>
      <c r="AA458" s="135">
        <v>0.0</v>
      </c>
      <c r="AB458" s="135">
        <v>0.0</v>
      </c>
      <c r="AC458" s="135">
        <v>0.0</v>
      </c>
      <c r="AD458" s="135">
        <v>0.0</v>
      </c>
      <c r="AE458" s="135">
        <v>0.0</v>
      </c>
      <c r="AF458" s="135">
        <v>0.0</v>
      </c>
      <c r="AG458" s="135">
        <v>0.0</v>
      </c>
      <c r="AH458" s="135">
        <v>0.0</v>
      </c>
      <c r="AI458" s="135">
        <v>0.0</v>
      </c>
      <c r="AJ458" s="135">
        <v>0.0</v>
      </c>
      <c r="AK458" s="135">
        <v>0.0</v>
      </c>
      <c r="AL458" s="135">
        <v>0.0</v>
      </c>
      <c r="AM458" s="135">
        <v>0.0</v>
      </c>
      <c r="AN458" s="137">
        <v>0.0</v>
      </c>
    </row>
    <row r="459">
      <c r="A459" s="98"/>
      <c r="B459" s="136" t="s">
        <v>200</v>
      </c>
      <c r="C459" s="137">
        <v>128.0</v>
      </c>
      <c r="D459" s="137">
        <v>68.0</v>
      </c>
      <c r="E459" s="137">
        <v>60.0</v>
      </c>
      <c r="F459" s="137">
        <v>50.0</v>
      </c>
      <c r="G459" s="137">
        <v>48.0</v>
      </c>
      <c r="H459" s="137">
        <v>6.0</v>
      </c>
      <c r="I459" s="137">
        <v>2.0</v>
      </c>
      <c r="J459" s="137">
        <v>10.0</v>
      </c>
      <c r="K459" s="137">
        <v>6.0</v>
      </c>
      <c r="L459" s="137">
        <v>2.0</v>
      </c>
      <c r="M459" s="137">
        <v>4.0</v>
      </c>
      <c r="N459" s="137">
        <v>0.0</v>
      </c>
      <c r="O459" s="137">
        <v>0.0</v>
      </c>
      <c r="P459" s="135">
        <v>0.0</v>
      </c>
      <c r="Q459" s="135">
        <v>0.0</v>
      </c>
      <c r="R459" s="135">
        <v>0.0</v>
      </c>
      <c r="S459" s="135">
        <v>0.0</v>
      </c>
      <c r="T459" s="135">
        <v>0.0</v>
      </c>
      <c r="U459" s="135">
        <v>0.0</v>
      </c>
      <c r="V459" s="135">
        <v>0.0</v>
      </c>
      <c r="W459" s="135">
        <v>0.0</v>
      </c>
      <c r="X459" s="135">
        <v>0.0</v>
      </c>
      <c r="Y459" s="135">
        <v>0.0</v>
      </c>
      <c r="Z459" s="135">
        <v>0.0</v>
      </c>
      <c r="AA459" s="135">
        <v>0.0</v>
      </c>
      <c r="AB459" s="135">
        <v>0.0</v>
      </c>
      <c r="AC459" s="135">
        <v>0.0</v>
      </c>
      <c r="AD459" s="135">
        <v>0.0</v>
      </c>
      <c r="AE459" s="135">
        <v>0.0</v>
      </c>
      <c r="AF459" s="135">
        <v>0.0</v>
      </c>
      <c r="AG459" s="135">
        <v>0.0</v>
      </c>
      <c r="AH459" s="135">
        <v>0.0</v>
      </c>
      <c r="AI459" s="135">
        <v>0.0</v>
      </c>
      <c r="AJ459" s="135">
        <v>0.0</v>
      </c>
      <c r="AK459" s="135">
        <v>0.0</v>
      </c>
      <c r="AL459" s="135">
        <v>0.0</v>
      </c>
      <c r="AM459" s="135">
        <v>0.0</v>
      </c>
      <c r="AN459" s="137">
        <v>128.0</v>
      </c>
    </row>
    <row r="460">
      <c r="A460" s="104"/>
      <c r="B460" s="136" t="s">
        <v>201</v>
      </c>
      <c r="C460" s="137">
        <v>2.0</v>
      </c>
      <c r="D460" s="137">
        <v>0.0</v>
      </c>
      <c r="E460" s="137">
        <v>2.0</v>
      </c>
      <c r="F460" s="137">
        <v>0.0</v>
      </c>
      <c r="G460" s="137">
        <v>0.0</v>
      </c>
      <c r="H460" s="137">
        <v>0.0</v>
      </c>
      <c r="I460" s="137">
        <v>2.0</v>
      </c>
      <c r="J460" s="137">
        <v>0.0</v>
      </c>
      <c r="K460" s="137">
        <v>0.0</v>
      </c>
      <c r="L460" s="137">
        <v>0.0</v>
      </c>
      <c r="M460" s="137">
        <v>0.0</v>
      </c>
      <c r="N460" s="137">
        <v>0.0</v>
      </c>
      <c r="O460" s="137">
        <v>0.0</v>
      </c>
      <c r="P460" s="135">
        <v>0.0</v>
      </c>
      <c r="Q460" s="135">
        <v>0.0</v>
      </c>
      <c r="R460" s="135">
        <v>0.0</v>
      </c>
      <c r="S460" s="135">
        <v>0.0</v>
      </c>
      <c r="T460" s="135">
        <v>0.0</v>
      </c>
      <c r="U460" s="135">
        <v>0.0</v>
      </c>
      <c r="V460" s="135">
        <v>0.0</v>
      </c>
      <c r="W460" s="135">
        <v>0.0</v>
      </c>
      <c r="X460" s="135">
        <v>0.0</v>
      </c>
      <c r="Y460" s="135">
        <v>0.0</v>
      </c>
      <c r="Z460" s="135">
        <v>0.0</v>
      </c>
      <c r="AA460" s="135">
        <v>0.0</v>
      </c>
      <c r="AB460" s="135">
        <v>0.0</v>
      </c>
      <c r="AC460" s="135">
        <v>0.0</v>
      </c>
      <c r="AD460" s="135">
        <v>0.0</v>
      </c>
      <c r="AE460" s="135">
        <v>0.0</v>
      </c>
      <c r="AF460" s="135">
        <v>0.0</v>
      </c>
      <c r="AG460" s="135">
        <v>0.0</v>
      </c>
      <c r="AH460" s="135">
        <v>0.0</v>
      </c>
      <c r="AI460" s="135">
        <v>0.0</v>
      </c>
      <c r="AJ460" s="135">
        <v>0.0</v>
      </c>
      <c r="AK460" s="135">
        <v>0.0</v>
      </c>
      <c r="AL460" s="135">
        <v>0.0</v>
      </c>
      <c r="AM460" s="135">
        <v>0.0</v>
      </c>
      <c r="AN460" s="137">
        <v>2.0</v>
      </c>
    </row>
    <row r="461">
      <c r="A461" s="138" t="s">
        <v>258</v>
      </c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</row>
    <row r="462">
      <c r="A462" s="132" t="s">
        <v>197</v>
      </c>
      <c r="B462" s="133" t="s">
        <v>198</v>
      </c>
      <c r="C462" s="134">
        <v>66682.0</v>
      </c>
      <c r="D462" s="134">
        <v>24330.0</v>
      </c>
      <c r="E462" s="134">
        <v>42352.0</v>
      </c>
      <c r="F462" s="135">
        <v>0.0</v>
      </c>
      <c r="G462" s="135">
        <v>0.0</v>
      </c>
      <c r="H462" s="135">
        <v>0.0</v>
      </c>
      <c r="I462" s="135">
        <v>0.0</v>
      </c>
      <c r="J462" s="135">
        <v>0.0</v>
      </c>
      <c r="K462" s="135">
        <v>0.0</v>
      </c>
      <c r="L462" s="137">
        <v>52.0</v>
      </c>
      <c r="M462" s="137">
        <v>76.0</v>
      </c>
      <c r="N462" s="137">
        <v>54.0</v>
      </c>
      <c r="O462" s="137">
        <v>156.0</v>
      </c>
      <c r="P462" s="137">
        <v>122.0</v>
      </c>
      <c r="Q462" s="137">
        <v>350.0</v>
      </c>
      <c r="R462" s="137">
        <v>180.0</v>
      </c>
      <c r="S462" s="137">
        <v>528.0</v>
      </c>
      <c r="T462" s="137">
        <v>428.0</v>
      </c>
      <c r="U462" s="134">
        <v>1150.0</v>
      </c>
      <c r="V462" s="137">
        <v>768.0</v>
      </c>
      <c r="W462" s="134">
        <v>2136.0</v>
      </c>
      <c r="X462" s="134">
        <v>1264.0</v>
      </c>
      <c r="Y462" s="134">
        <v>3446.0</v>
      </c>
      <c r="Z462" s="134">
        <v>2250.0</v>
      </c>
      <c r="AA462" s="134">
        <v>5158.0</v>
      </c>
      <c r="AB462" s="134">
        <v>3262.0</v>
      </c>
      <c r="AC462" s="134">
        <v>5822.0</v>
      </c>
      <c r="AD462" s="134">
        <v>3598.0</v>
      </c>
      <c r="AE462" s="134">
        <v>6010.0</v>
      </c>
      <c r="AF462" s="134">
        <v>3692.0</v>
      </c>
      <c r="AG462" s="134">
        <v>5850.0</v>
      </c>
      <c r="AH462" s="134">
        <v>3334.0</v>
      </c>
      <c r="AI462" s="134">
        <v>4594.0</v>
      </c>
      <c r="AJ462" s="134">
        <v>2616.0</v>
      </c>
      <c r="AK462" s="134">
        <v>3442.0</v>
      </c>
      <c r="AL462" s="134">
        <v>2710.0</v>
      </c>
      <c r="AM462" s="134">
        <v>3634.0</v>
      </c>
      <c r="AN462" s="134">
        <v>65936.0</v>
      </c>
    </row>
    <row r="463">
      <c r="A463" s="98"/>
      <c r="B463" s="136" t="s">
        <v>199</v>
      </c>
      <c r="C463" s="134">
        <v>41850.0</v>
      </c>
      <c r="D463" s="134">
        <v>15710.0</v>
      </c>
      <c r="E463" s="134">
        <v>26140.0</v>
      </c>
      <c r="F463" s="135">
        <v>0.0</v>
      </c>
      <c r="G463" s="135">
        <v>0.0</v>
      </c>
      <c r="H463" s="135">
        <v>0.0</v>
      </c>
      <c r="I463" s="135">
        <v>0.0</v>
      </c>
      <c r="J463" s="135">
        <v>0.0</v>
      </c>
      <c r="K463" s="135">
        <v>0.0</v>
      </c>
      <c r="L463" s="137">
        <v>8.0</v>
      </c>
      <c r="M463" s="137">
        <v>24.0</v>
      </c>
      <c r="N463" s="137">
        <v>14.0</v>
      </c>
      <c r="O463" s="137">
        <v>60.0</v>
      </c>
      <c r="P463" s="137">
        <v>48.0</v>
      </c>
      <c r="Q463" s="137">
        <v>116.0</v>
      </c>
      <c r="R463" s="137">
        <v>88.0</v>
      </c>
      <c r="S463" s="137">
        <v>266.0</v>
      </c>
      <c r="T463" s="137">
        <v>240.0</v>
      </c>
      <c r="U463" s="137">
        <v>522.0</v>
      </c>
      <c r="V463" s="137">
        <v>470.0</v>
      </c>
      <c r="W463" s="134">
        <v>1114.0</v>
      </c>
      <c r="X463" s="137">
        <v>748.0</v>
      </c>
      <c r="Y463" s="134">
        <v>1904.0</v>
      </c>
      <c r="Z463" s="134">
        <v>1314.0</v>
      </c>
      <c r="AA463" s="134">
        <v>2944.0</v>
      </c>
      <c r="AB463" s="134">
        <v>1914.0</v>
      </c>
      <c r="AC463" s="134">
        <v>3470.0</v>
      </c>
      <c r="AD463" s="134">
        <v>2220.0</v>
      </c>
      <c r="AE463" s="134">
        <v>3722.0</v>
      </c>
      <c r="AF463" s="134">
        <v>2534.0</v>
      </c>
      <c r="AG463" s="134">
        <v>3844.0</v>
      </c>
      <c r="AH463" s="134">
        <v>2308.0</v>
      </c>
      <c r="AI463" s="134">
        <v>3244.0</v>
      </c>
      <c r="AJ463" s="134">
        <v>1884.0</v>
      </c>
      <c r="AK463" s="134">
        <v>2224.0</v>
      </c>
      <c r="AL463" s="134">
        <v>1920.0</v>
      </c>
      <c r="AM463" s="134">
        <v>2686.0</v>
      </c>
      <c r="AN463" s="134">
        <v>41568.0</v>
      </c>
    </row>
    <row r="464">
      <c r="A464" s="98"/>
      <c r="B464" s="136" t="s">
        <v>200</v>
      </c>
      <c r="C464" s="134">
        <v>39750.0</v>
      </c>
      <c r="D464" s="134">
        <v>14234.0</v>
      </c>
      <c r="E464" s="134">
        <v>25516.0</v>
      </c>
      <c r="F464" s="135">
        <v>0.0</v>
      </c>
      <c r="G464" s="135">
        <v>0.0</v>
      </c>
      <c r="H464" s="135">
        <v>0.0</v>
      </c>
      <c r="I464" s="135">
        <v>0.0</v>
      </c>
      <c r="J464" s="135">
        <v>0.0</v>
      </c>
      <c r="K464" s="135">
        <v>0.0</v>
      </c>
      <c r="L464" s="137">
        <v>26.0</v>
      </c>
      <c r="M464" s="137">
        <v>32.0</v>
      </c>
      <c r="N464" s="137">
        <v>38.0</v>
      </c>
      <c r="O464" s="137">
        <v>102.0</v>
      </c>
      <c r="P464" s="137">
        <v>66.0</v>
      </c>
      <c r="Q464" s="137">
        <v>180.0</v>
      </c>
      <c r="R464" s="137">
        <v>96.0</v>
      </c>
      <c r="S464" s="137">
        <v>274.0</v>
      </c>
      <c r="T464" s="137">
        <v>268.0</v>
      </c>
      <c r="U464" s="137">
        <v>642.0</v>
      </c>
      <c r="V464" s="137">
        <v>446.0</v>
      </c>
      <c r="W464" s="134">
        <v>1234.0</v>
      </c>
      <c r="X464" s="137">
        <v>782.0</v>
      </c>
      <c r="Y464" s="134">
        <v>2154.0</v>
      </c>
      <c r="Z464" s="134">
        <v>1318.0</v>
      </c>
      <c r="AA464" s="134">
        <v>3210.0</v>
      </c>
      <c r="AB464" s="134">
        <v>1880.0</v>
      </c>
      <c r="AC464" s="134">
        <v>3682.0</v>
      </c>
      <c r="AD464" s="134">
        <v>2128.0</v>
      </c>
      <c r="AE464" s="134">
        <v>3786.0</v>
      </c>
      <c r="AF464" s="134">
        <v>2224.0</v>
      </c>
      <c r="AG464" s="134">
        <v>3442.0</v>
      </c>
      <c r="AH464" s="134">
        <v>1888.0</v>
      </c>
      <c r="AI464" s="134">
        <v>2688.0</v>
      </c>
      <c r="AJ464" s="134">
        <v>1590.0</v>
      </c>
      <c r="AK464" s="134">
        <v>2014.0</v>
      </c>
      <c r="AL464" s="134">
        <v>1484.0</v>
      </c>
      <c r="AM464" s="134">
        <v>2076.0</v>
      </c>
      <c r="AN464" s="134">
        <v>39184.0</v>
      </c>
    </row>
    <row r="465">
      <c r="A465" s="104"/>
      <c r="B465" s="136" t="s">
        <v>201</v>
      </c>
      <c r="C465" s="137">
        <v>2.0</v>
      </c>
      <c r="D465" s="137">
        <v>0.0</v>
      </c>
      <c r="E465" s="137">
        <v>2.0</v>
      </c>
      <c r="F465" s="135">
        <v>0.0</v>
      </c>
      <c r="G465" s="135">
        <v>0.0</v>
      </c>
      <c r="H465" s="135">
        <v>0.0</v>
      </c>
      <c r="I465" s="135">
        <v>0.0</v>
      </c>
      <c r="J465" s="135">
        <v>0.0</v>
      </c>
      <c r="K465" s="135">
        <v>0.0</v>
      </c>
      <c r="L465" s="137">
        <v>0.0</v>
      </c>
      <c r="M465" s="137">
        <v>0.0</v>
      </c>
      <c r="N465" s="137">
        <v>0.0</v>
      </c>
      <c r="O465" s="137">
        <v>0.0</v>
      </c>
      <c r="P465" s="137">
        <v>0.0</v>
      </c>
      <c r="Q465" s="137">
        <v>0.0</v>
      </c>
      <c r="R465" s="137">
        <v>0.0</v>
      </c>
      <c r="S465" s="137">
        <v>0.0</v>
      </c>
      <c r="T465" s="137">
        <v>0.0</v>
      </c>
      <c r="U465" s="137">
        <v>0.0</v>
      </c>
      <c r="V465" s="137">
        <v>0.0</v>
      </c>
      <c r="W465" s="137">
        <v>0.0</v>
      </c>
      <c r="X465" s="137">
        <v>0.0</v>
      </c>
      <c r="Y465" s="137">
        <v>0.0</v>
      </c>
      <c r="Z465" s="137">
        <v>0.0</v>
      </c>
      <c r="AA465" s="137">
        <v>0.0</v>
      </c>
      <c r="AB465" s="137">
        <v>0.0</v>
      </c>
      <c r="AC465" s="137">
        <v>0.0</v>
      </c>
      <c r="AD465" s="137">
        <v>0.0</v>
      </c>
      <c r="AE465" s="137">
        <v>0.0</v>
      </c>
      <c r="AF465" s="137">
        <v>0.0</v>
      </c>
      <c r="AG465" s="137">
        <v>0.0</v>
      </c>
      <c r="AH465" s="137">
        <v>0.0</v>
      </c>
      <c r="AI465" s="137">
        <v>0.0</v>
      </c>
      <c r="AJ465" s="137">
        <v>0.0</v>
      </c>
      <c r="AK465" s="137">
        <v>2.0</v>
      </c>
      <c r="AL465" s="137">
        <v>0.0</v>
      </c>
      <c r="AM465" s="137">
        <v>0.0</v>
      </c>
      <c r="AN465" s="137">
        <v>2.0</v>
      </c>
    </row>
    <row r="466">
      <c r="A466" s="132" t="s">
        <v>202</v>
      </c>
      <c r="B466" s="136" t="s">
        <v>198</v>
      </c>
      <c r="C466" s="137">
        <v>516.0</v>
      </c>
      <c r="D466" s="137">
        <v>260.0</v>
      </c>
      <c r="E466" s="137">
        <v>256.0</v>
      </c>
      <c r="F466" s="137">
        <v>2.0</v>
      </c>
      <c r="G466" s="137">
        <v>8.0</v>
      </c>
      <c r="H466" s="137">
        <v>20.0</v>
      </c>
      <c r="I466" s="137">
        <v>14.0</v>
      </c>
      <c r="J466" s="137">
        <v>0.0</v>
      </c>
      <c r="K466" s="137">
        <v>8.0</v>
      </c>
      <c r="L466" s="137">
        <v>16.0</v>
      </c>
      <c r="M466" s="137">
        <v>8.0</v>
      </c>
      <c r="N466" s="137">
        <v>20.0</v>
      </c>
      <c r="O466" s="137">
        <v>46.0</v>
      </c>
      <c r="P466" s="137">
        <v>14.0</v>
      </c>
      <c r="Q466" s="137">
        <v>26.0</v>
      </c>
      <c r="R466" s="137">
        <v>28.0</v>
      </c>
      <c r="S466" s="137">
        <v>14.0</v>
      </c>
      <c r="T466" s="137">
        <v>4.0</v>
      </c>
      <c r="U466" s="137">
        <v>32.0</v>
      </c>
      <c r="V466" s="137">
        <v>10.0</v>
      </c>
      <c r="W466" s="137">
        <v>24.0</v>
      </c>
      <c r="X466" s="137">
        <v>8.0</v>
      </c>
      <c r="Y466" s="137">
        <v>20.0</v>
      </c>
      <c r="Z466" s="137">
        <v>20.0</v>
      </c>
      <c r="AA466" s="137">
        <v>10.0</v>
      </c>
      <c r="AB466" s="137">
        <v>10.0</v>
      </c>
      <c r="AC466" s="137">
        <v>22.0</v>
      </c>
      <c r="AD466" s="137">
        <v>36.0</v>
      </c>
      <c r="AE466" s="137">
        <v>8.0</v>
      </c>
      <c r="AF466" s="137">
        <v>22.0</v>
      </c>
      <c r="AG466" s="137">
        <v>6.0</v>
      </c>
      <c r="AH466" s="137">
        <v>14.0</v>
      </c>
      <c r="AI466" s="137">
        <v>10.0</v>
      </c>
      <c r="AJ466" s="137">
        <v>28.0</v>
      </c>
      <c r="AK466" s="137">
        <v>0.0</v>
      </c>
      <c r="AL466" s="137">
        <v>8.0</v>
      </c>
      <c r="AM466" s="137">
        <v>0.0</v>
      </c>
      <c r="AN466" s="137">
        <v>508.0</v>
      </c>
    </row>
    <row r="467">
      <c r="A467" s="104"/>
      <c r="B467" s="136" t="s">
        <v>199</v>
      </c>
      <c r="C467" s="137">
        <v>110.0</v>
      </c>
      <c r="D467" s="137">
        <v>60.0</v>
      </c>
      <c r="E467" s="137">
        <v>50.0</v>
      </c>
      <c r="F467" s="137">
        <v>4.0</v>
      </c>
      <c r="G467" s="137">
        <v>6.0</v>
      </c>
      <c r="H467" s="137">
        <v>2.0</v>
      </c>
      <c r="I467" s="137">
        <v>2.0</v>
      </c>
      <c r="J467" s="137">
        <v>0.0</v>
      </c>
      <c r="K467" s="137">
        <v>0.0</v>
      </c>
      <c r="L467" s="137">
        <v>4.0</v>
      </c>
      <c r="M467" s="137">
        <v>0.0</v>
      </c>
      <c r="N467" s="137">
        <v>2.0</v>
      </c>
      <c r="O467" s="137">
        <v>2.0</v>
      </c>
      <c r="P467" s="137">
        <v>0.0</v>
      </c>
      <c r="Q467" s="137">
        <v>0.0</v>
      </c>
      <c r="R467" s="137">
        <v>4.0</v>
      </c>
      <c r="S467" s="137">
        <v>2.0</v>
      </c>
      <c r="T467" s="137">
        <v>0.0</v>
      </c>
      <c r="U467" s="137">
        <v>2.0</v>
      </c>
      <c r="V467" s="137">
        <v>6.0</v>
      </c>
      <c r="W467" s="137">
        <v>2.0</v>
      </c>
      <c r="X467" s="137">
        <v>0.0</v>
      </c>
      <c r="Y467" s="137">
        <v>2.0</v>
      </c>
      <c r="Z467" s="137">
        <v>0.0</v>
      </c>
      <c r="AA467" s="137">
        <v>12.0</v>
      </c>
      <c r="AB467" s="137">
        <v>4.0</v>
      </c>
      <c r="AC467" s="137">
        <v>14.0</v>
      </c>
      <c r="AD467" s="137">
        <v>14.0</v>
      </c>
      <c r="AE467" s="137">
        <v>0.0</v>
      </c>
      <c r="AF467" s="137">
        <v>6.0</v>
      </c>
      <c r="AG467" s="137">
        <v>0.0</v>
      </c>
      <c r="AH467" s="137">
        <v>6.0</v>
      </c>
      <c r="AI467" s="137">
        <v>2.0</v>
      </c>
      <c r="AJ467" s="137">
        <v>0.0</v>
      </c>
      <c r="AK467" s="137">
        <v>4.0</v>
      </c>
      <c r="AL467" s="137">
        <v>8.0</v>
      </c>
      <c r="AM467" s="137">
        <v>0.0</v>
      </c>
      <c r="AN467" s="137">
        <v>110.0</v>
      </c>
    </row>
    <row r="468">
      <c r="A468" s="132" t="s">
        <v>203</v>
      </c>
      <c r="B468" s="136" t="s">
        <v>198</v>
      </c>
      <c r="C468" s="137">
        <v>2.0</v>
      </c>
      <c r="D468" s="137">
        <v>2.0</v>
      </c>
      <c r="E468" s="137">
        <v>0.0</v>
      </c>
      <c r="F468" s="135">
        <v>0.0</v>
      </c>
      <c r="G468" s="135">
        <v>0.0</v>
      </c>
      <c r="H468" s="135">
        <v>0.0</v>
      </c>
      <c r="I468" s="135">
        <v>0.0</v>
      </c>
      <c r="J468" s="135">
        <v>0.0</v>
      </c>
      <c r="K468" s="135">
        <v>0.0</v>
      </c>
      <c r="L468" s="135">
        <v>0.0</v>
      </c>
      <c r="M468" s="135">
        <v>0.0</v>
      </c>
      <c r="N468" s="135">
        <v>0.0</v>
      </c>
      <c r="O468" s="135">
        <v>0.0</v>
      </c>
      <c r="P468" s="135">
        <v>0.0</v>
      </c>
      <c r="Q468" s="135">
        <v>0.0</v>
      </c>
      <c r="R468" s="135">
        <v>0.0</v>
      </c>
      <c r="S468" s="135">
        <v>0.0</v>
      </c>
      <c r="T468" s="135">
        <v>0.0</v>
      </c>
      <c r="U468" s="135">
        <v>0.0</v>
      </c>
      <c r="V468" s="135">
        <v>0.0</v>
      </c>
      <c r="W468" s="135">
        <v>0.0</v>
      </c>
      <c r="X468" s="135">
        <v>0.0</v>
      </c>
      <c r="Y468" s="135">
        <v>0.0</v>
      </c>
      <c r="Z468" s="135">
        <v>0.0</v>
      </c>
      <c r="AA468" s="135">
        <v>0.0</v>
      </c>
      <c r="AB468" s="135">
        <v>0.0</v>
      </c>
      <c r="AC468" s="135">
        <v>0.0</v>
      </c>
      <c r="AD468" s="135">
        <v>0.0</v>
      </c>
      <c r="AE468" s="135">
        <v>0.0</v>
      </c>
      <c r="AF468" s="137">
        <v>0.0</v>
      </c>
      <c r="AG468" s="137">
        <v>0.0</v>
      </c>
      <c r="AH468" s="137">
        <v>0.0</v>
      </c>
      <c r="AI468" s="137">
        <v>0.0</v>
      </c>
      <c r="AJ468" s="137">
        <v>0.0</v>
      </c>
      <c r="AK468" s="137">
        <v>0.0</v>
      </c>
      <c r="AL468" s="137">
        <v>2.0</v>
      </c>
      <c r="AM468" s="137">
        <v>0.0</v>
      </c>
      <c r="AN468" s="137">
        <v>2.0</v>
      </c>
    </row>
    <row r="469">
      <c r="A469" s="104"/>
      <c r="B469" s="136" t="s">
        <v>199</v>
      </c>
      <c r="C469" s="137">
        <v>164.0</v>
      </c>
      <c r="D469" s="137">
        <v>56.0</v>
      </c>
      <c r="E469" s="137">
        <v>108.0</v>
      </c>
      <c r="F469" s="135">
        <v>0.0</v>
      </c>
      <c r="G469" s="135">
        <v>0.0</v>
      </c>
      <c r="H469" s="135">
        <v>0.0</v>
      </c>
      <c r="I469" s="135">
        <v>0.0</v>
      </c>
      <c r="J469" s="135">
        <v>0.0</v>
      </c>
      <c r="K469" s="135">
        <v>0.0</v>
      </c>
      <c r="L469" s="135">
        <v>0.0</v>
      </c>
      <c r="M469" s="135">
        <v>0.0</v>
      </c>
      <c r="N469" s="135">
        <v>0.0</v>
      </c>
      <c r="O469" s="135">
        <v>0.0</v>
      </c>
      <c r="P469" s="135">
        <v>0.0</v>
      </c>
      <c r="Q469" s="135">
        <v>0.0</v>
      </c>
      <c r="R469" s="135">
        <v>0.0</v>
      </c>
      <c r="S469" s="135">
        <v>0.0</v>
      </c>
      <c r="T469" s="135">
        <v>0.0</v>
      </c>
      <c r="U469" s="135">
        <v>0.0</v>
      </c>
      <c r="V469" s="135">
        <v>0.0</v>
      </c>
      <c r="W469" s="135">
        <v>0.0</v>
      </c>
      <c r="X469" s="135">
        <v>0.0</v>
      </c>
      <c r="Y469" s="135">
        <v>0.0</v>
      </c>
      <c r="Z469" s="135">
        <v>0.0</v>
      </c>
      <c r="AA469" s="135">
        <v>0.0</v>
      </c>
      <c r="AB469" s="135">
        <v>0.0</v>
      </c>
      <c r="AC469" s="135">
        <v>0.0</v>
      </c>
      <c r="AD469" s="135">
        <v>0.0</v>
      </c>
      <c r="AE469" s="135">
        <v>0.0</v>
      </c>
      <c r="AF469" s="137">
        <v>10.0</v>
      </c>
      <c r="AG469" s="137">
        <v>46.0</v>
      </c>
      <c r="AH469" s="137">
        <v>26.0</v>
      </c>
      <c r="AI469" s="137">
        <v>18.0</v>
      </c>
      <c r="AJ469" s="137">
        <v>12.0</v>
      </c>
      <c r="AK469" s="137">
        <v>24.0</v>
      </c>
      <c r="AL469" s="137">
        <v>8.0</v>
      </c>
      <c r="AM469" s="137">
        <v>20.0</v>
      </c>
      <c r="AN469" s="137">
        <v>160.0</v>
      </c>
    </row>
    <row r="470">
      <c r="A470" s="132" t="s">
        <v>204</v>
      </c>
      <c r="B470" s="136" t="s">
        <v>198</v>
      </c>
      <c r="C470" s="137">
        <v>2.0</v>
      </c>
      <c r="D470" s="137">
        <v>0.0</v>
      </c>
      <c r="E470" s="137">
        <v>2.0</v>
      </c>
      <c r="F470" s="135">
        <v>0.0</v>
      </c>
      <c r="G470" s="135">
        <v>0.0</v>
      </c>
      <c r="H470" s="135">
        <v>0.0</v>
      </c>
      <c r="I470" s="135">
        <v>0.0</v>
      </c>
      <c r="J470" s="135">
        <v>0.0</v>
      </c>
      <c r="K470" s="135">
        <v>0.0</v>
      </c>
      <c r="L470" s="135">
        <v>0.0</v>
      </c>
      <c r="M470" s="135">
        <v>0.0</v>
      </c>
      <c r="N470" s="135">
        <v>0.0</v>
      </c>
      <c r="O470" s="135">
        <v>0.0</v>
      </c>
      <c r="P470" s="135">
        <v>0.0</v>
      </c>
      <c r="Q470" s="135">
        <v>0.0</v>
      </c>
      <c r="R470" s="135">
        <v>0.0</v>
      </c>
      <c r="S470" s="135">
        <v>0.0</v>
      </c>
      <c r="T470" s="135">
        <v>0.0</v>
      </c>
      <c r="U470" s="135">
        <v>0.0</v>
      </c>
      <c r="V470" s="135">
        <v>0.0</v>
      </c>
      <c r="W470" s="135">
        <v>0.0</v>
      </c>
      <c r="X470" s="135">
        <v>0.0</v>
      </c>
      <c r="Y470" s="135">
        <v>0.0</v>
      </c>
      <c r="Z470" s="135">
        <v>0.0</v>
      </c>
      <c r="AA470" s="135">
        <v>0.0</v>
      </c>
      <c r="AB470" s="135">
        <v>0.0</v>
      </c>
      <c r="AC470" s="135">
        <v>0.0</v>
      </c>
      <c r="AD470" s="135">
        <v>0.0</v>
      </c>
      <c r="AE470" s="135">
        <v>0.0</v>
      </c>
      <c r="AF470" s="137">
        <v>0.0</v>
      </c>
      <c r="AG470" s="137">
        <v>2.0</v>
      </c>
      <c r="AH470" s="137">
        <v>0.0</v>
      </c>
      <c r="AI470" s="137">
        <v>0.0</v>
      </c>
      <c r="AJ470" s="137">
        <v>0.0</v>
      </c>
      <c r="AK470" s="137">
        <v>0.0</v>
      </c>
      <c r="AL470" s="137">
        <v>0.0</v>
      </c>
      <c r="AM470" s="137">
        <v>0.0</v>
      </c>
      <c r="AN470" s="137">
        <v>2.0</v>
      </c>
    </row>
    <row r="471">
      <c r="A471" s="104"/>
      <c r="B471" s="136" t="s">
        <v>199</v>
      </c>
      <c r="C471" s="137">
        <v>204.0</v>
      </c>
      <c r="D471" s="137">
        <v>76.0</v>
      </c>
      <c r="E471" s="137">
        <v>128.0</v>
      </c>
      <c r="F471" s="135">
        <v>0.0</v>
      </c>
      <c r="G471" s="135">
        <v>0.0</v>
      </c>
      <c r="H471" s="135">
        <v>0.0</v>
      </c>
      <c r="I471" s="135">
        <v>0.0</v>
      </c>
      <c r="J471" s="135">
        <v>0.0</v>
      </c>
      <c r="K471" s="135">
        <v>0.0</v>
      </c>
      <c r="L471" s="135">
        <v>0.0</v>
      </c>
      <c r="M471" s="135">
        <v>0.0</v>
      </c>
      <c r="N471" s="135">
        <v>0.0</v>
      </c>
      <c r="O471" s="135">
        <v>0.0</v>
      </c>
      <c r="P471" s="135">
        <v>0.0</v>
      </c>
      <c r="Q471" s="135">
        <v>0.0</v>
      </c>
      <c r="R471" s="135">
        <v>0.0</v>
      </c>
      <c r="S471" s="135">
        <v>0.0</v>
      </c>
      <c r="T471" s="135">
        <v>0.0</v>
      </c>
      <c r="U471" s="135">
        <v>0.0</v>
      </c>
      <c r="V471" s="135">
        <v>0.0</v>
      </c>
      <c r="W471" s="135">
        <v>0.0</v>
      </c>
      <c r="X471" s="135">
        <v>0.0</v>
      </c>
      <c r="Y471" s="135">
        <v>0.0</v>
      </c>
      <c r="Z471" s="135">
        <v>0.0</v>
      </c>
      <c r="AA471" s="135">
        <v>0.0</v>
      </c>
      <c r="AB471" s="135">
        <v>0.0</v>
      </c>
      <c r="AC471" s="135">
        <v>0.0</v>
      </c>
      <c r="AD471" s="135">
        <v>0.0</v>
      </c>
      <c r="AE471" s="135">
        <v>0.0</v>
      </c>
      <c r="AF471" s="137">
        <v>10.0</v>
      </c>
      <c r="AG471" s="137">
        <v>28.0</v>
      </c>
      <c r="AH471" s="137">
        <v>24.0</v>
      </c>
      <c r="AI471" s="137">
        <v>30.0</v>
      </c>
      <c r="AJ471" s="137">
        <v>18.0</v>
      </c>
      <c r="AK471" s="137">
        <v>32.0</v>
      </c>
      <c r="AL471" s="137">
        <v>24.0</v>
      </c>
      <c r="AM471" s="137">
        <v>38.0</v>
      </c>
      <c r="AN471" s="137">
        <v>200.0</v>
      </c>
    </row>
    <row r="472">
      <c r="A472" s="132" t="s">
        <v>205</v>
      </c>
      <c r="B472" s="136" t="s">
        <v>198</v>
      </c>
      <c r="C472" s="137">
        <v>46.0</v>
      </c>
      <c r="D472" s="137">
        <v>6.0</v>
      </c>
      <c r="E472" s="137">
        <v>40.0</v>
      </c>
      <c r="F472" s="137">
        <v>0.0</v>
      </c>
      <c r="G472" s="137">
        <v>0.0</v>
      </c>
      <c r="H472" s="137">
        <v>0.0</v>
      </c>
      <c r="I472" s="137">
        <v>0.0</v>
      </c>
      <c r="J472" s="137">
        <v>0.0</v>
      </c>
      <c r="K472" s="137">
        <v>0.0</v>
      </c>
      <c r="L472" s="137">
        <v>0.0</v>
      </c>
      <c r="M472" s="137">
        <v>6.0</v>
      </c>
      <c r="N472" s="137">
        <v>0.0</v>
      </c>
      <c r="O472" s="137">
        <v>4.0</v>
      </c>
      <c r="P472" s="137">
        <v>0.0</v>
      </c>
      <c r="Q472" s="137">
        <v>2.0</v>
      </c>
      <c r="R472" s="137">
        <v>0.0</v>
      </c>
      <c r="S472" s="137">
        <v>6.0</v>
      </c>
      <c r="T472" s="137">
        <v>0.0</v>
      </c>
      <c r="U472" s="137">
        <v>2.0</v>
      </c>
      <c r="V472" s="137">
        <v>0.0</v>
      </c>
      <c r="W472" s="137">
        <v>6.0</v>
      </c>
      <c r="X472" s="137">
        <v>2.0</v>
      </c>
      <c r="Y472" s="137">
        <v>6.0</v>
      </c>
      <c r="Z472" s="137">
        <v>0.0</v>
      </c>
      <c r="AA472" s="137">
        <v>4.0</v>
      </c>
      <c r="AB472" s="137">
        <v>2.0</v>
      </c>
      <c r="AC472" s="137">
        <v>4.0</v>
      </c>
      <c r="AD472" s="137">
        <v>2.0</v>
      </c>
      <c r="AE472" s="137">
        <v>0.0</v>
      </c>
      <c r="AF472" s="137">
        <v>0.0</v>
      </c>
      <c r="AG472" s="137">
        <v>0.0</v>
      </c>
      <c r="AH472" s="137">
        <v>0.0</v>
      </c>
      <c r="AI472" s="137">
        <v>0.0</v>
      </c>
      <c r="AJ472" s="137">
        <v>0.0</v>
      </c>
      <c r="AK472" s="137">
        <v>0.0</v>
      </c>
      <c r="AL472" s="137">
        <v>0.0</v>
      </c>
      <c r="AM472" s="137">
        <v>0.0</v>
      </c>
      <c r="AN472" s="137">
        <v>46.0</v>
      </c>
    </row>
    <row r="473">
      <c r="A473" s="98"/>
      <c r="B473" s="136" t="s">
        <v>199</v>
      </c>
      <c r="C473" s="137">
        <v>22.0</v>
      </c>
      <c r="D473" s="137">
        <v>4.0</v>
      </c>
      <c r="E473" s="137">
        <v>18.0</v>
      </c>
      <c r="F473" s="137">
        <v>2.0</v>
      </c>
      <c r="G473" s="137">
        <v>0.0</v>
      </c>
      <c r="H473" s="137">
        <v>0.0</v>
      </c>
      <c r="I473" s="137">
        <v>0.0</v>
      </c>
      <c r="J473" s="137">
        <v>0.0</v>
      </c>
      <c r="K473" s="137">
        <v>0.0</v>
      </c>
      <c r="L473" s="137">
        <v>0.0</v>
      </c>
      <c r="M473" s="137">
        <v>2.0</v>
      </c>
      <c r="N473" s="137">
        <v>0.0</v>
      </c>
      <c r="O473" s="137">
        <v>2.0</v>
      </c>
      <c r="P473" s="137">
        <v>0.0</v>
      </c>
      <c r="Q473" s="137">
        <v>0.0</v>
      </c>
      <c r="R473" s="137">
        <v>0.0</v>
      </c>
      <c r="S473" s="137">
        <v>2.0</v>
      </c>
      <c r="T473" s="137">
        <v>0.0</v>
      </c>
      <c r="U473" s="137">
        <v>2.0</v>
      </c>
      <c r="V473" s="137">
        <v>0.0</v>
      </c>
      <c r="W473" s="137">
        <v>0.0</v>
      </c>
      <c r="X473" s="137">
        <v>0.0</v>
      </c>
      <c r="Y473" s="137">
        <v>2.0</v>
      </c>
      <c r="Z473" s="137">
        <v>0.0</v>
      </c>
      <c r="AA473" s="137">
        <v>4.0</v>
      </c>
      <c r="AB473" s="137">
        <v>0.0</v>
      </c>
      <c r="AC473" s="137">
        <v>4.0</v>
      </c>
      <c r="AD473" s="137">
        <v>0.0</v>
      </c>
      <c r="AE473" s="137">
        <v>0.0</v>
      </c>
      <c r="AF473" s="137">
        <v>0.0</v>
      </c>
      <c r="AG473" s="137">
        <v>0.0</v>
      </c>
      <c r="AH473" s="137">
        <v>2.0</v>
      </c>
      <c r="AI473" s="137">
        <v>0.0</v>
      </c>
      <c r="AJ473" s="137">
        <v>0.0</v>
      </c>
      <c r="AK473" s="137">
        <v>0.0</v>
      </c>
      <c r="AL473" s="137">
        <v>0.0</v>
      </c>
      <c r="AM473" s="137">
        <v>0.0</v>
      </c>
      <c r="AN473" s="137">
        <v>22.0</v>
      </c>
    </row>
    <row r="474">
      <c r="A474" s="104"/>
      <c r="B474" s="136" t="s">
        <v>206</v>
      </c>
      <c r="C474" s="137">
        <v>66.0</v>
      </c>
      <c r="D474" s="137">
        <v>14.0</v>
      </c>
      <c r="E474" s="137">
        <v>52.0</v>
      </c>
      <c r="F474" s="137">
        <v>0.0</v>
      </c>
      <c r="G474" s="137">
        <v>0.0</v>
      </c>
      <c r="H474" s="137">
        <v>0.0</v>
      </c>
      <c r="I474" s="137">
        <v>0.0</v>
      </c>
      <c r="J474" s="137">
        <v>0.0</v>
      </c>
      <c r="K474" s="137">
        <v>0.0</v>
      </c>
      <c r="L474" s="137">
        <v>10.0</v>
      </c>
      <c r="M474" s="137">
        <v>8.0</v>
      </c>
      <c r="N474" s="137">
        <v>0.0</v>
      </c>
      <c r="O474" s="137">
        <v>0.0</v>
      </c>
      <c r="P474" s="137">
        <v>0.0</v>
      </c>
      <c r="Q474" s="137">
        <v>0.0</v>
      </c>
      <c r="R474" s="137">
        <v>0.0</v>
      </c>
      <c r="S474" s="137">
        <v>2.0</v>
      </c>
      <c r="T474" s="137">
        <v>4.0</v>
      </c>
      <c r="U474" s="137">
        <v>24.0</v>
      </c>
      <c r="V474" s="137">
        <v>0.0</v>
      </c>
      <c r="W474" s="137">
        <v>8.0</v>
      </c>
      <c r="X474" s="137">
        <v>0.0</v>
      </c>
      <c r="Y474" s="137">
        <v>0.0</v>
      </c>
      <c r="Z474" s="137">
        <v>0.0</v>
      </c>
      <c r="AA474" s="137">
        <v>10.0</v>
      </c>
      <c r="AB474" s="137">
        <v>0.0</v>
      </c>
      <c r="AC474" s="137">
        <v>0.0</v>
      </c>
      <c r="AD474" s="137">
        <v>0.0</v>
      </c>
      <c r="AE474" s="137">
        <v>0.0</v>
      </c>
      <c r="AF474" s="137">
        <v>0.0</v>
      </c>
      <c r="AG474" s="137">
        <v>0.0</v>
      </c>
      <c r="AH474" s="137">
        <v>0.0</v>
      </c>
      <c r="AI474" s="137">
        <v>0.0</v>
      </c>
      <c r="AJ474" s="137">
        <v>0.0</v>
      </c>
      <c r="AK474" s="137">
        <v>0.0</v>
      </c>
      <c r="AL474" s="137">
        <v>0.0</v>
      </c>
      <c r="AM474" s="137">
        <v>0.0</v>
      </c>
      <c r="AN474" s="137">
        <v>66.0</v>
      </c>
    </row>
    <row r="475">
      <c r="A475" s="132" t="s">
        <v>207</v>
      </c>
      <c r="B475" s="136" t="s">
        <v>198</v>
      </c>
      <c r="C475" s="134">
        <v>23276.0</v>
      </c>
      <c r="D475" s="134">
        <v>8960.0</v>
      </c>
      <c r="E475" s="134">
        <v>14316.0</v>
      </c>
      <c r="F475" s="137">
        <v>46.0</v>
      </c>
      <c r="G475" s="137">
        <v>20.0</v>
      </c>
      <c r="H475" s="137">
        <v>50.0</v>
      </c>
      <c r="I475" s="137">
        <v>54.0</v>
      </c>
      <c r="J475" s="137">
        <v>72.0</v>
      </c>
      <c r="K475" s="137">
        <v>88.0</v>
      </c>
      <c r="L475" s="137">
        <v>44.0</v>
      </c>
      <c r="M475" s="137">
        <v>126.0</v>
      </c>
      <c r="N475" s="137">
        <v>48.0</v>
      </c>
      <c r="O475" s="137">
        <v>154.0</v>
      </c>
      <c r="P475" s="137">
        <v>106.0</v>
      </c>
      <c r="Q475" s="137">
        <v>294.0</v>
      </c>
      <c r="R475" s="137">
        <v>94.0</v>
      </c>
      <c r="S475" s="137">
        <v>356.0</v>
      </c>
      <c r="T475" s="137">
        <v>82.0</v>
      </c>
      <c r="U475" s="137">
        <v>608.0</v>
      </c>
      <c r="V475" s="137">
        <v>172.0</v>
      </c>
      <c r="W475" s="137">
        <v>782.0</v>
      </c>
      <c r="X475" s="137">
        <v>368.0</v>
      </c>
      <c r="Y475" s="134">
        <v>1116.0</v>
      </c>
      <c r="Z475" s="137">
        <v>488.0</v>
      </c>
      <c r="AA475" s="134">
        <v>1242.0</v>
      </c>
      <c r="AB475" s="137">
        <v>912.0</v>
      </c>
      <c r="AC475" s="134">
        <v>1592.0</v>
      </c>
      <c r="AD475" s="134">
        <v>1152.0</v>
      </c>
      <c r="AE475" s="134">
        <v>1720.0</v>
      </c>
      <c r="AF475" s="134">
        <v>1188.0</v>
      </c>
      <c r="AG475" s="134">
        <v>1606.0</v>
      </c>
      <c r="AH475" s="134">
        <v>1246.0</v>
      </c>
      <c r="AI475" s="134">
        <v>1542.0</v>
      </c>
      <c r="AJ475" s="134">
        <v>1104.0</v>
      </c>
      <c r="AK475" s="134">
        <v>1234.0</v>
      </c>
      <c r="AL475" s="134">
        <v>1788.0</v>
      </c>
      <c r="AM475" s="134">
        <v>1782.0</v>
      </c>
      <c r="AN475" s="134">
        <v>23094.0</v>
      </c>
    </row>
    <row r="476">
      <c r="A476" s="98"/>
      <c r="B476" s="136" t="s">
        <v>199</v>
      </c>
      <c r="C476" s="134">
        <v>3050.0</v>
      </c>
      <c r="D476" s="134">
        <v>1246.0</v>
      </c>
      <c r="E476" s="134">
        <v>1804.0</v>
      </c>
      <c r="F476" s="137">
        <v>8.0</v>
      </c>
      <c r="G476" s="137">
        <v>4.0</v>
      </c>
      <c r="H476" s="137">
        <v>2.0</v>
      </c>
      <c r="I476" s="137">
        <v>4.0</v>
      </c>
      <c r="J476" s="137">
        <v>0.0</v>
      </c>
      <c r="K476" s="137">
        <v>2.0</v>
      </c>
      <c r="L476" s="137">
        <v>8.0</v>
      </c>
      <c r="M476" s="137">
        <v>18.0</v>
      </c>
      <c r="N476" s="137">
        <v>4.0</v>
      </c>
      <c r="O476" s="137">
        <v>20.0</v>
      </c>
      <c r="P476" s="137">
        <v>2.0</v>
      </c>
      <c r="Q476" s="137">
        <v>32.0</v>
      </c>
      <c r="R476" s="137">
        <v>6.0</v>
      </c>
      <c r="S476" s="137">
        <v>54.0</v>
      </c>
      <c r="T476" s="137">
        <v>4.0</v>
      </c>
      <c r="U476" s="137">
        <v>56.0</v>
      </c>
      <c r="V476" s="137">
        <v>22.0</v>
      </c>
      <c r="W476" s="137">
        <v>78.0</v>
      </c>
      <c r="X476" s="137">
        <v>70.0</v>
      </c>
      <c r="Y476" s="137">
        <v>150.0</v>
      </c>
      <c r="Z476" s="137">
        <v>66.0</v>
      </c>
      <c r="AA476" s="137">
        <v>168.0</v>
      </c>
      <c r="AB476" s="137">
        <v>72.0</v>
      </c>
      <c r="AC476" s="137">
        <v>140.0</v>
      </c>
      <c r="AD476" s="137">
        <v>86.0</v>
      </c>
      <c r="AE476" s="137">
        <v>204.0</v>
      </c>
      <c r="AF476" s="137">
        <v>242.0</v>
      </c>
      <c r="AG476" s="137">
        <v>188.0</v>
      </c>
      <c r="AH476" s="137">
        <v>256.0</v>
      </c>
      <c r="AI476" s="137">
        <v>260.0</v>
      </c>
      <c r="AJ476" s="137">
        <v>152.0</v>
      </c>
      <c r="AK476" s="137">
        <v>192.0</v>
      </c>
      <c r="AL476" s="137">
        <v>246.0</v>
      </c>
      <c r="AM476" s="137">
        <v>234.0</v>
      </c>
      <c r="AN476" s="134">
        <v>2968.0</v>
      </c>
    </row>
    <row r="477">
      <c r="A477" s="98"/>
      <c r="B477" s="136" t="s">
        <v>206</v>
      </c>
      <c r="C477" s="137">
        <v>12.0</v>
      </c>
      <c r="D477" s="137">
        <v>0.0</v>
      </c>
      <c r="E477" s="137">
        <v>12.0</v>
      </c>
      <c r="F477" s="137">
        <v>0.0</v>
      </c>
      <c r="G477" s="137">
        <v>0.0</v>
      </c>
      <c r="H477" s="137">
        <v>0.0</v>
      </c>
      <c r="I477" s="137">
        <v>0.0</v>
      </c>
      <c r="J477" s="137">
        <v>0.0</v>
      </c>
      <c r="K477" s="137">
        <v>0.0</v>
      </c>
      <c r="L477" s="137">
        <v>0.0</v>
      </c>
      <c r="M477" s="137">
        <v>2.0</v>
      </c>
      <c r="N477" s="137">
        <v>0.0</v>
      </c>
      <c r="O477" s="137">
        <v>0.0</v>
      </c>
      <c r="P477" s="137">
        <v>0.0</v>
      </c>
      <c r="Q477" s="137">
        <v>0.0</v>
      </c>
      <c r="R477" s="137">
        <v>0.0</v>
      </c>
      <c r="S477" s="137">
        <v>0.0</v>
      </c>
      <c r="T477" s="137">
        <v>0.0</v>
      </c>
      <c r="U477" s="137">
        <v>0.0</v>
      </c>
      <c r="V477" s="137">
        <v>0.0</v>
      </c>
      <c r="W477" s="137">
        <v>2.0</v>
      </c>
      <c r="X477" s="137">
        <v>0.0</v>
      </c>
      <c r="Y477" s="137">
        <v>2.0</v>
      </c>
      <c r="Z477" s="137">
        <v>0.0</v>
      </c>
      <c r="AA477" s="137">
        <v>0.0</v>
      </c>
      <c r="AB477" s="137">
        <v>0.0</v>
      </c>
      <c r="AC477" s="137">
        <v>2.0</v>
      </c>
      <c r="AD477" s="137">
        <v>0.0</v>
      </c>
      <c r="AE477" s="137">
        <v>2.0</v>
      </c>
      <c r="AF477" s="137">
        <v>0.0</v>
      </c>
      <c r="AG477" s="137">
        <v>0.0</v>
      </c>
      <c r="AH477" s="137">
        <v>0.0</v>
      </c>
      <c r="AI477" s="137">
        <v>0.0</v>
      </c>
      <c r="AJ477" s="137">
        <v>0.0</v>
      </c>
      <c r="AK477" s="137">
        <v>2.0</v>
      </c>
      <c r="AL477" s="137">
        <v>0.0</v>
      </c>
      <c r="AM477" s="137">
        <v>0.0</v>
      </c>
      <c r="AN477" s="137">
        <v>12.0</v>
      </c>
    </row>
    <row r="478">
      <c r="A478" s="98"/>
      <c r="B478" s="136" t="s">
        <v>200</v>
      </c>
      <c r="C478" s="134">
        <v>1408.0</v>
      </c>
      <c r="D478" s="137">
        <v>284.0</v>
      </c>
      <c r="E478" s="134">
        <v>1124.0</v>
      </c>
      <c r="F478" s="137">
        <v>0.0</v>
      </c>
      <c r="G478" s="137">
        <v>4.0</v>
      </c>
      <c r="H478" s="137">
        <v>4.0</v>
      </c>
      <c r="I478" s="137">
        <v>6.0</v>
      </c>
      <c r="J478" s="137">
        <v>8.0</v>
      </c>
      <c r="K478" s="137">
        <v>14.0</v>
      </c>
      <c r="L478" s="137">
        <v>4.0</v>
      </c>
      <c r="M478" s="137">
        <v>18.0</v>
      </c>
      <c r="N478" s="137">
        <v>8.0</v>
      </c>
      <c r="O478" s="137">
        <v>68.0</v>
      </c>
      <c r="P478" s="137">
        <v>18.0</v>
      </c>
      <c r="Q478" s="137">
        <v>126.0</v>
      </c>
      <c r="R478" s="137">
        <v>16.0</v>
      </c>
      <c r="S478" s="137">
        <v>120.0</v>
      </c>
      <c r="T478" s="137">
        <v>26.0</v>
      </c>
      <c r="U478" s="137">
        <v>104.0</v>
      </c>
      <c r="V478" s="137">
        <v>16.0</v>
      </c>
      <c r="W478" s="137">
        <v>104.0</v>
      </c>
      <c r="X478" s="137">
        <v>16.0</v>
      </c>
      <c r="Y478" s="137">
        <v>114.0</v>
      </c>
      <c r="Z478" s="137">
        <v>26.0</v>
      </c>
      <c r="AA478" s="137">
        <v>132.0</v>
      </c>
      <c r="AB478" s="137">
        <v>34.0</v>
      </c>
      <c r="AC478" s="137">
        <v>90.0</v>
      </c>
      <c r="AD478" s="137">
        <v>28.0</v>
      </c>
      <c r="AE478" s="137">
        <v>76.0</v>
      </c>
      <c r="AF478" s="137">
        <v>28.0</v>
      </c>
      <c r="AG478" s="137">
        <v>60.0</v>
      </c>
      <c r="AH478" s="137">
        <v>22.0</v>
      </c>
      <c r="AI478" s="137">
        <v>44.0</v>
      </c>
      <c r="AJ478" s="137">
        <v>18.0</v>
      </c>
      <c r="AK478" s="137">
        <v>28.0</v>
      </c>
      <c r="AL478" s="137">
        <v>12.0</v>
      </c>
      <c r="AM478" s="137">
        <v>16.0</v>
      </c>
      <c r="AN478" s="134">
        <v>1342.0</v>
      </c>
    </row>
    <row r="479">
      <c r="A479" s="104"/>
      <c r="B479" s="136" t="s">
        <v>201</v>
      </c>
      <c r="C479" s="137">
        <v>16.0</v>
      </c>
      <c r="D479" s="137">
        <v>10.0</v>
      </c>
      <c r="E479" s="137">
        <v>6.0</v>
      </c>
      <c r="F479" s="137">
        <v>0.0</v>
      </c>
      <c r="G479" s="137">
        <v>0.0</v>
      </c>
      <c r="H479" s="137">
        <v>0.0</v>
      </c>
      <c r="I479" s="137">
        <v>0.0</v>
      </c>
      <c r="J479" s="137">
        <v>0.0</v>
      </c>
      <c r="K479" s="137">
        <v>2.0</v>
      </c>
      <c r="L479" s="137">
        <v>0.0</v>
      </c>
      <c r="M479" s="137">
        <v>0.0</v>
      </c>
      <c r="N479" s="137">
        <v>0.0</v>
      </c>
      <c r="O479" s="137">
        <v>0.0</v>
      </c>
      <c r="P479" s="137">
        <v>0.0</v>
      </c>
      <c r="Q479" s="137">
        <v>0.0</v>
      </c>
      <c r="R479" s="137">
        <v>2.0</v>
      </c>
      <c r="S479" s="137">
        <v>2.0</v>
      </c>
      <c r="T479" s="137">
        <v>0.0</v>
      </c>
      <c r="U479" s="137">
        <v>0.0</v>
      </c>
      <c r="V479" s="137">
        <v>0.0</v>
      </c>
      <c r="W479" s="137">
        <v>0.0</v>
      </c>
      <c r="X479" s="137">
        <v>0.0</v>
      </c>
      <c r="Y479" s="137">
        <v>0.0</v>
      </c>
      <c r="Z479" s="137">
        <v>0.0</v>
      </c>
      <c r="AA479" s="137">
        <v>0.0</v>
      </c>
      <c r="AB479" s="137">
        <v>0.0</v>
      </c>
      <c r="AC479" s="137">
        <v>0.0</v>
      </c>
      <c r="AD479" s="137">
        <v>0.0</v>
      </c>
      <c r="AE479" s="137">
        <v>2.0</v>
      </c>
      <c r="AF479" s="137">
        <v>4.0</v>
      </c>
      <c r="AG479" s="137">
        <v>0.0</v>
      </c>
      <c r="AH479" s="137">
        <v>0.0</v>
      </c>
      <c r="AI479" s="137">
        <v>0.0</v>
      </c>
      <c r="AJ479" s="137">
        <v>0.0</v>
      </c>
      <c r="AK479" s="137">
        <v>0.0</v>
      </c>
      <c r="AL479" s="137">
        <v>4.0</v>
      </c>
      <c r="AM479" s="137">
        <v>0.0</v>
      </c>
      <c r="AN479" s="137">
        <v>16.0</v>
      </c>
    </row>
    <row r="480">
      <c r="A480" s="132" t="s">
        <v>208</v>
      </c>
      <c r="B480" s="136" t="s">
        <v>198</v>
      </c>
      <c r="C480" s="137">
        <v>16.0</v>
      </c>
      <c r="D480" s="137">
        <v>10.0</v>
      </c>
      <c r="E480" s="137">
        <v>6.0</v>
      </c>
      <c r="F480" s="137">
        <v>8.0</v>
      </c>
      <c r="G480" s="137">
        <v>6.0</v>
      </c>
      <c r="H480" s="137">
        <v>0.0</v>
      </c>
      <c r="I480" s="137">
        <v>0.0</v>
      </c>
      <c r="J480" s="137">
        <v>0.0</v>
      </c>
      <c r="K480" s="137">
        <v>0.0</v>
      </c>
      <c r="L480" s="137">
        <v>2.0</v>
      </c>
      <c r="M480" s="137">
        <v>0.0</v>
      </c>
      <c r="N480" s="137">
        <v>0.0</v>
      </c>
      <c r="O480" s="137">
        <v>0.0</v>
      </c>
      <c r="P480" s="135">
        <v>0.0</v>
      </c>
      <c r="Q480" s="135">
        <v>0.0</v>
      </c>
      <c r="R480" s="135">
        <v>0.0</v>
      </c>
      <c r="S480" s="135">
        <v>0.0</v>
      </c>
      <c r="T480" s="135">
        <v>0.0</v>
      </c>
      <c r="U480" s="135">
        <v>0.0</v>
      </c>
      <c r="V480" s="135">
        <v>0.0</v>
      </c>
      <c r="W480" s="135">
        <v>0.0</v>
      </c>
      <c r="X480" s="135">
        <v>0.0</v>
      </c>
      <c r="Y480" s="135">
        <v>0.0</v>
      </c>
      <c r="Z480" s="135">
        <v>0.0</v>
      </c>
      <c r="AA480" s="135">
        <v>0.0</v>
      </c>
      <c r="AB480" s="135">
        <v>0.0</v>
      </c>
      <c r="AC480" s="135">
        <v>0.0</v>
      </c>
      <c r="AD480" s="135">
        <v>0.0</v>
      </c>
      <c r="AE480" s="135">
        <v>0.0</v>
      </c>
      <c r="AF480" s="135">
        <v>0.0</v>
      </c>
      <c r="AG480" s="135">
        <v>0.0</v>
      </c>
      <c r="AH480" s="135">
        <v>0.0</v>
      </c>
      <c r="AI480" s="135">
        <v>0.0</v>
      </c>
      <c r="AJ480" s="135">
        <v>0.0</v>
      </c>
      <c r="AK480" s="135">
        <v>0.0</v>
      </c>
      <c r="AL480" s="135">
        <v>0.0</v>
      </c>
      <c r="AM480" s="135">
        <v>0.0</v>
      </c>
      <c r="AN480" s="137">
        <v>14.0</v>
      </c>
    </row>
    <row r="481">
      <c r="A481" s="98"/>
      <c r="B481" s="136" t="s">
        <v>199</v>
      </c>
      <c r="C481" s="137">
        <v>2.0</v>
      </c>
      <c r="D481" s="137">
        <v>2.0</v>
      </c>
      <c r="E481" s="137">
        <v>0.0</v>
      </c>
      <c r="F481" s="137">
        <v>0.0</v>
      </c>
      <c r="G481" s="137">
        <v>0.0</v>
      </c>
      <c r="H481" s="137">
        <v>0.0</v>
      </c>
      <c r="I481" s="137">
        <v>0.0</v>
      </c>
      <c r="J481" s="137">
        <v>0.0</v>
      </c>
      <c r="K481" s="137">
        <v>0.0</v>
      </c>
      <c r="L481" s="137">
        <v>0.0</v>
      </c>
      <c r="M481" s="137">
        <v>0.0</v>
      </c>
      <c r="N481" s="137">
        <v>2.0</v>
      </c>
      <c r="O481" s="137">
        <v>0.0</v>
      </c>
      <c r="P481" s="135">
        <v>0.0</v>
      </c>
      <c r="Q481" s="135">
        <v>0.0</v>
      </c>
      <c r="R481" s="135">
        <v>0.0</v>
      </c>
      <c r="S481" s="135">
        <v>0.0</v>
      </c>
      <c r="T481" s="135">
        <v>0.0</v>
      </c>
      <c r="U481" s="135">
        <v>0.0</v>
      </c>
      <c r="V481" s="135">
        <v>0.0</v>
      </c>
      <c r="W481" s="135">
        <v>0.0</v>
      </c>
      <c r="X481" s="135">
        <v>0.0</v>
      </c>
      <c r="Y481" s="135">
        <v>0.0</v>
      </c>
      <c r="Z481" s="135">
        <v>0.0</v>
      </c>
      <c r="AA481" s="135">
        <v>0.0</v>
      </c>
      <c r="AB481" s="135">
        <v>0.0</v>
      </c>
      <c r="AC481" s="135">
        <v>0.0</v>
      </c>
      <c r="AD481" s="135">
        <v>0.0</v>
      </c>
      <c r="AE481" s="135">
        <v>0.0</v>
      </c>
      <c r="AF481" s="135">
        <v>0.0</v>
      </c>
      <c r="AG481" s="135">
        <v>0.0</v>
      </c>
      <c r="AH481" s="135">
        <v>0.0</v>
      </c>
      <c r="AI481" s="135">
        <v>0.0</v>
      </c>
      <c r="AJ481" s="135">
        <v>0.0</v>
      </c>
      <c r="AK481" s="135">
        <v>0.0</v>
      </c>
      <c r="AL481" s="135">
        <v>0.0</v>
      </c>
      <c r="AM481" s="135">
        <v>0.0</v>
      </c>
      <c r="AN481" s="137">
        <v>2.0</v>
      </c>
    </row>
    <row r="482">
      <c r="A482" s="98"/>
      <c r="B482" s="136" t="s">
        <v>206</v>
      </c>
      <c r="C482" s="137">
        <v>0.0</v>
      </c>
      <c r="D482" s="137">
        <v>0.0</v>
      </c>
      <c r="E482" s="137">
        <v>0.0</v>
      </c>
      <c r="F482" s="137">
        <v>0.0</v>
      </c>
      <c r="G482" s="137">
        <v>0.0</v>
      </c>
      <c r="H482" s="137">
        <v>0.0</v>
      </c>
      <c r="I482" s="137">
        <v>0.0</v>
      </c>
      <c r="J482" s="137">
        <v>0.0</v>
      </c>
      <c r="K482" s="137">
        <v>0.0</v>
      </c>
      <c r="L482" s="137">
        <v>0.0</v>
      </c>
      <c r="M482" s="137">
        <v>0.0</v>
      </c>
      <c r="N482" s="137">
        <v>0.0</v>
      </c>
      <c r="O482" s="137">
        <v>0.0</v>
      </c>
      <c r="P482" s="135">
        <v>0.0</v>
      </c>
      <c r="Q482" s="135">
        <v>0.0</v>
      </c>
      <c r="R482" s="135">
        <v>0.0</v>
      </c>
      <c r="S482" s="135">
        <v>0.0</v>
      </c>
      <c r="T482" s="135">
        <v>0.0</v>
      </c>
      <c r="U482" s="135">
        <v>0.0</v>
      </c>
      <c r="V482" s="135">
        <v>0.0</v>
      </c>
      <c r="W482" s="135">
        <v>0.0</v>
      </c>
      <c r="X482" s="135">
        <v>0.0</v>
      </c>
      <c r="Y482" s="135">
        <v>0.0</v>
      </c>
      <c r="Z482" s="135">
        <v>0.0</v>
      </c>
      <c r="AA482" s="135">
        <v>0.0</v>
      </c>
      <c r="AB482" s="135">
        <v>0.0</v>
      </c>
      <c r="AC482" s="135">
        <v>0.0</v>
      </c>
      <c r="AD482" s="135">
        <v>0.0</v>
      </c>
      <c r="AE482" s="135">
        <v>0.0</v>
      </c>
      <c r="AF482" s="135">
        <v>0.0</v>
      </c>
      <c r="AG482" s="135">
        <v>0.0</v>
      </c>
      <c r="AH482" s="135">
        <v>0.0</v>
      </c>
      <c r="AI482" s="135">
        <v>0.0</v>
      </c>
      <c r="AJ482" s="135">
        <v>0.0</v>
      </c>
      <c r="AK482" s="135">
        <v>0.0</v>
      </c>
      <c r="AL482" s="135">
        <v>0.0</v>
      </c>
      <c r="AM482" s="135">
        <v>0.0</v>
      </c>
      <c r="AN482" s="137">
        <v>0.0</v>
      </c>
    </row>
    <row r="483">
      <c r="A483" s="98"/>
      <c r="B483" s="136" t="s">
        <v>200</v>
      </c>
      <c r="C483" s="137">
        <v>22.0</v>
      </c>
      <c r="D483" s="137">
        <v>8.0</v>
      </c>
      <c r="E483" s="137">
        <v>14.0</v>
      </c>
      <c r="F483" s="137">
        <v>2.0</v>
      </c>
      <c r="G483" s="137">
        <v>0.0</v>
      </c>
      <c r="H483" s="137">
        <v>2.0</v>
      </c>
      <c r="I483" s="137">
        <v>0.0</v>
      </c>
      <c r="J483" s="137">
        <v>4.0</v>
      </c>
      <c r="K483" s="137">
        <v>14.0</v>
      </c>
      <c r="L483" s="137">
        <v>0.0</v>
      </c>
      <c r="M483" s="137">
        <v>0.0</v>
      </c>
      <c r="N483" s="137">
        <v>0.0</v>
      </c>
      <c r="O483" s="137">
        <v>0.0</v>
      </c>
      <c r="P483" s="135">
        <v>0.0</v>
      </c>
      <c r="Q483" s="135">
        <v>0.0</v>
      </c>
      <c r="R483" s="135">
        <v>0.0</v>
      </c>
      <c r="S483" s="135">
        <v>0.0</v>
      </c>
      <c r="T483" s="135">
        <v>0.0</v>
      </c>
      <c r="U483" s="135">
        <v>0.0</v>
      </c>
      <c r="V483" s="135">
        <v>0.0</v>
      </c>
      <c r="W483" s="135">
        <v>0.0</v>
      </c>
      <c r="X483" s="135">
        <v>0.0</v>
      </c>
      <c r="Y483" s="135">
        <v>0.0</v>
      </c>
      <c r="Z483" s="135">
        <v>0.0</v>
      </c>
      <c r="AA483" s="135">
        <v>0.0</v>
      </c>
      <c r="AB483" s="135">
        <v>0.0</v>
      </c>
      <c r="AC483" s="135">
        <v>0.0</v>
      </c>
      <c r="AD483" s="135">
        <v>0.0</v>
      </c>
      <c r="AE483" s="135">
        <v>0.0</v>
      </c>
      <c r="AF483" s="135">
        <v>0.0</v>
      </c>
      <c r="AG483" s="135">
        <v>0.0</v>
      </c>
      <c r="AH483" s="135">
        <v>0.0</v>
      </c>
      <c r="AI483" s="135">
        <v>0.0</v>
      </c>
      <c r="AJ483" s="135">
        <v>0.0</v>
      </c>
      <c r="AK483" s="135">
        <v>0.0</v>
      </c>
      <c r="AL483" s="135">
        <v>0.0</v>
      </c>
      <c r="AM483" s="135">
        <v>0.0</v>
      </c>
      <c r="AN483" s="137">
        <v>22.0</v>
      </c>
    </row>
    <row r="484">
      <c r="A484" s="104"/>
      <c r="B484" s="136" t="s">
        <v>201</v>
      </c>
      <c r="C484" s="137">
        <v>0.0</v>
      </c>
      <c r="D484" s="137">
        <v>0.0</v>
      </c>
      <c r="E484" s="137">
        <v>0.0</v>
      </c>
      <c r="F484" s="137">
        <v>0.0</v>
      </c>
      <c r="G484" s="137">
        <v>0.0</v>
      </c>
      <c r="H484" s="137">
        <v>0.0</v>
      </c>
      <c r="I484" s="137">
        <v>0.0</v>
      </c>
      <c r="J484" s="137">
        <v>0.0</v>
      </c>
      <c r="K484" s="137">
        <v>0.0</v>
      </c>
      <c r="L484" s="137">
        <v>0.0</v>
      </c>
      <c r="M484" s="137">
        <v>0.0</v>
      </c>
      <c r="N484" s="137">
        <v>0.0</v>
      </c>
      <c r="O484" s="137">
        <v>0.0</v>
      </c>
      <c r="P484" s="135">
        <v>0.0</v>
      </c>
      <c r="Q484" s="135">
        <v>0.0</v>
      </c>
      <c r="R484" s="135">
        <v>0.0</v>
      </c>
      <c r="S484" s="135">
        <v>0.0</v>
      </c>
      <c r="T484" s="135">
        <v>0.0</v>
      </c>
      <c r="U484" s="135">
        <v>0.0</v>
      </c>
      <c r="V484" s="135">
        <v>0.0</v>
      </c>
      <c r="W484" s="135">
        <v>0.0</v>
      </c>
      <c r="X484" s="135">
        <v>0.0</v>
      </c>
      <c r="Y484" s="135">
        <v>0.0</v>
      </c>
      <c r="Z484" s="135">
        <v>0.0</v>
      </c>
      <c r="AA484" s="135">
        <v>0.0</v>
      </c>
      <c r="AB484" s="135">
        <v>0.0</v>
      </c>
      <c r="AC484" s="135">
        <v>0.0</v>
      </c>
      <c r="AD484" s="135">
        <v>0.0</v>
      </c>
      <c r="AE484" s="135">
        <v>0.0</v>
      </c>
      <c r="AF484" s="135">
        <v>0.0</v>
      </c>
      <c r="AG484" s="135">
        <v>0.0</v>
      </c>
      <c r="AH484" s="135">
        <v>0.0</v>
      </c>
      <c r="AI484" s="135">
        <v>0.0</v>
      </c>
      <c r="AJ484" s="135">
        <v>0.0</v>
      </c>
      <c r="AK484" s="135">
        <v>0.0</v>
      </c>
      <c r="AL484" s="135">
        <v>0.0</v>
      </c>
      <c r="AM484" s="135">
        <v>0.0</v>
      </c>
      <c r="AN484" s="137">
        <v>0.0</v>
      </c>
    </row>
    <row r="485">
      <c r="A485" s="138" t="s">
        <v>259</v>
      </c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</row>
    <row r="486">
      <c r="A486" s="132" t="s">
        <v>197</v>
      </c>
      <c r="B486" s="133" t="s">
        <v>198</v>
      </c>
      <c r="C486" s="134">
        <v>140692.0</v>
      </c>
      <c r="D486" s="134">
        <v>49966.0</v>
      </c>
      <c r="E486" s="134">
        <v>90726.0</v>
      </c>
      <c r="F486" s="135">
        <v>0.0</v>
      </c>
      <c r="G486" s="135">
        <v>0.0</v>
      </c>
      <c r="H486" s="135">
        <v>0.0</v>
      </c>
      <c r="I486" s="135">
        <v>0.0</v>
      </c>
      <c r="J486" s="135">
        <v>0.0</v>
      </c>
      <c r="K486" s="135">
        <v>0.0</v>
      </c>
      <c r="L486" s="137">
        <v>56.0</v>
      </c>
      <c r="M486" s="137">
        <v>106.0</v>
      </c>
      <c r="N486" s="137">
        <v>116.0</v>
      </c>
      <c r="O486" s="137">
        <v>200.0</v>
      </c>
      <c r="P486" s="137">
        <v>182.0</v>
      </c>
      <c r="Q486" s="137">
        <v>380.0</v>
      </c>
      <c r="R486" s="137">
        <v>358.0</v>
      </c>
      <c r="S486" s="137">
        <v>676.0</v>
      </c>
      <c r="T486" s="137">
        <v>538.0</v>
      </c>
      <c r="U486" s="134">
        <v>1216.0</v>
      </c>
      <c r="V486" s="134">
        <v>1172.0</v>
      </c>
      <c r="W486" s="134">
        <v>2416.0</v>
      </c>
      <c r="X486" s="134">
        <v>2064.0</v>
      </c>
      <c r="Y486" s="134">
        <v>4444.0</v>
      </c>
      <c r="Z486" s="134">
        <v>4142.0</v>
      </c>
      <c r="AA486" s="134">
        <v>8952.0</v>
      </c>
      <c r="AB486" s="134">
        <v>6250.0</v>
      </c>
      <c r="AC486" s="134">
        <v>11756.0</v>
      </c>
      <c r="AD486" s="134">
        <v>7258.0</v>
      </c>
      <c r="AE486" s="134">
        <v>13184.0</v>
      </c>
      <c r="AF486" s="134">
        <v>8514.0</v>
      </c>
      <c r="AG486" s="134">
        <v>13874.0</v>
      </c>
      <c r="AH486" s="134">
        <v>7664.0</v>
      </c>
      <c r="AI486" s="134">
        <v>12314.0</v>
      </c>
      <c r="AJ486" s="134">
        <v>5948.0</v>
      </c>
      <c r="AK486" s="134">
        <v>10268.0</v>
      </c>
      <c r="AL486" s="134">
        <v>5704.0</v>
      </c>
      <c r="AM486" s="134">
        <v>10940.0</v>
      </c>
      <c r="AN486" s="134">
        <v>138488.0</v>
      </c>
    </row>
    <row r="487">
      <c r="A487" s="98"/>
      <c r="B487" s="136" t="s">
        <v>199</v>
      </c>
      <c r="C487" s="134">
        <v>74150.0</v>
      </c>
      <c r="D487" s="134">
        <v>27060.0</v>
      </c>
      <c r="E487" s="134">
        <v>47090.0</v>
      </c>
      <c r="F487" s="135">
        <v>0.0</v>
      </c>
      <c r="G487" s="135">
        <v>0.0</v>
      </c>
      <c r="H487" s="135">
        <v>0.0</v>
      </c>
      <c r="I487" s="135">
        <v>0.0</v>
      </c>
      <c r="J487" s="135">
        <v>0.0</v>
      </c>
      <c r="K487" s="135">
        <v>0.0</v>
      </c>
      <c r="L487" s="137">
        <v>32.0</v>
      </c>
      <c r="M487" s="137">
        <v>30.0</v>
      </c>
      <c r="N487" s="137">
        <v>72.0</v>
      </c>
      <c r="O487" s="137">
        <v>62.0</v>
      </c>
      <c r="P487" s="137">
        <v>86.0</v>
      </c>
      <c r="Q487" s="137">
        <v>180.0</v>
      </c>
      <c r="R487" s="137">
        <v>212.0</v>
      </c>
      <c r="S487" s="137">
        <v>356.0</v>
      </c>
      <c r="T487" s="137">
        <v>276.0</v>
      </c>
      <c r="U487" s="137">
        <v>602.0</v>
      </c>
      <c r="V487" s="137">
        <v>610.0</v>
      </c>
      <c r="W487" s="134">
        <v>1184.0</v>
      </c>
      <c r="X487" s="134">
        <v>1088.0</v>
      </c>
      <c r="Y487" s="134">
        <v>2278.0</v>
      </c>
      <c r="Z487" s="134">
        <v>2094.0</v>
      </c>
      <c r="AA487" s="134">
        <v>4314.0</v>
      </c>
      <c r="AB487" s="134">
        <v>2990.0</v>
      </c>
      <c r="AC487" s="134">
        <v>5634.0</v>
      </c>
      <c r="AD487" s="134">
        <v>3740.0</v>
      </c>
      <c r="AE487" s="134">
        <v>6396.0</v>
      </c>
      <c r="AF487" s="134">
        <v>4732.0</v>
      </c>
      <c r="AG487" s="134">
        <v>7532.0</v>
      </c>
      <c r="AH487" s="134">
        <v>4424.0</v>
      </c>
      <c r="AI487" s="134">
        <v>6688.0</v>
      </c>
      <c r="AJ487" s="134">
        <v>3470.0</v>
      </c>
      <c r="AK487" s="134">
        <v>5568.0</v>
      </c>
      <c r="AL487" s="134">
        <v>3234.0</v>
      </c>
      <c r="AM487" s="134">
        <v>6266.0</v>
      </c>
      <c r="AN487" s="134">
        <v>73354.0</v>
      </c>
    </row>
    <row r="488">
      <c r="A488" s="98"/>
      <c r="B488" s="136" t="s">
        <v>200</v>
      </c>
      <c r="C488" s="134">
        <v>61520.0</v>
      </c>
      <c r="D488" s="134">
        <v>20640.0</v>
      </c>
      <c r="E488" s="134">
        <v>40880.0</v>
      </c>
      <c r="F488" s="135">
        <v>0.0</v>
      </c>
      <c r="G488" s="135">
        <v>0.0</v>
      </c>
      <c r="H488" s="135">
        <v>0.0</v>
      </c>
      <c r="I488" s="135">
        <v>0.0</v>
      </c>
      <c r="J488" s="135">
        <v>0.0</v>
      </c>
      <c r="K488" s="135">
        <v>0.0</v>
      </c>
      <c r="L488" s="137">
        <v>28.0</v>
      </c>
      <c r="M488" s="137">
        <v>36.0</v>
      </c>
      <c r="N488" s="137">
        <v>56.0</v>
      </c>
      <c r="O488" s="137">
        <v>136.0</v>
      </c>
      <c r="P488" s="137">
        <v>104.0</v>
      </c>
      <c r="Q488" s="137">
        <v>204.0</v>
      </c>
      <c r="R488" s="137">
        <v>208.0</v>
      </c>
      <c r="S488" s="137">
        <v>366.0</v>
      </c>
      <c r="T488" s="137">
        <v>278.0</v>
      </c>
      <c r="U488" s="137">
        <v>594.0</v>
      </c>
      <c r="V488" s="137">
        <v>560.0</v>
      </c>
      <c r="W488" s="134">
        <v>1146.0</v>
      </c>
      <c r="X488" s="134">
        <v>1026.0</v>
      </c>
      <c r="Y488" s="134">
        <v>2204.0</v>
      </c>
      <c r="Z488" s="134">
        <v>1750.0</v>
      </c>
      <c r="AA488" s="134">
        <v>4098.0</v>
      </c>
      <c r="AB488" s="134">
        <v>2492.0</v>
      </c>
      <c r="AC488" s="134">
        <v>5428.0</v>
      </c>
      <c r="AD488" s="134">
        <v>2872.0</v>
      </c>
      <c r="AE488" s="134">
        <v>5670.0</v>
      </c>
      <c r="AF488" s="134">
        <v>3372.0</v>
      </c>
      <c r="AG488" s="134">
        <v>6284.0</v>
      </c>
      <c r="AH488" s="134">
        <v>3196.0</v>
      </c>
      <c r="AI488" s="134">
        <v>5814.0</v>
      </c>
      <c r="AJ488" s="134">
        <v>2482.0</v>
      </c>
      <c r="AK488" s="134">
        <v>4392.0</v>
      </c>
      <c r="AL488" s="134">
        <v>2216.0</v>
      </c>
      <c r="AM488" s="134">
        <v>4508.0</v>
      </c>
      <c r="AN488" s="134">
        <v>59390.0</v>
      </c>
    </row>
    <row r="489">
      <c r="A489" s="104"/>
      <c r="B489" s="136" t="s">
        <v>201</v>
      </c>
      <c r="C489" s="137">
        <v>0.0</v>
      </c>
      <c r="D489" s="137">
        <v>0.0</v>
      </c>
      <c r="E489" s="137">
        <v>0.0</v>
      </c>
      <c r="F489" s="135">
        <v>0.0</v>
      </c>
      <c r="G489" s="135">
        <v>0.0</v>
      </c>
      <c r="H489" s="135">
        <v>0.0</v>
      </c>
      <c r="I489" s="135">
        <v>0.0</v>
      </c>
      <c r="J489" s="135">
        <v>0.0</v>
      </c>
      <c r="K489" s="135">
        <v>0.0</v>
      </c>
      <c r="L489" s="137">
        <v>0.0</v>
      </c>
      <c r="M489" s="137">
        <v>0.0</v>
      </c>
      <c r="N489" s="137">
        <v>0.0</v>
      </c>
      <c r="O489" s="137">
        <v>0.0</v>
      </c>
      <c r="P489" s="137">
        <v>0.0</v>
      </c>
      <c r="Q489" s="137">
        <v>0.0</v>
      </c>
      <c r="R489" s="137">
        <v>0.0</v>
      </c>
      <c r="S489" s="137">
        <v>0.0</v>
      </c>
      <c r="T489" s="137">
        <v>0.0</v>
      </c>
      <c r="U489" s="137">
        <v>0.0</v>
      </c>
      <c r="V489" s="137">
        <v>0.0</v>
      </c>
      <c r="W489" s="137">
        <v>0.0</v>
      </c>
      <c r="X489" s="137">
        <v>0.0</v>
      </c>
      <c r="Y489" s="137">
        <v>0.0</v>
      </c>
      <c r="Z489" s="137">
        <v>0.0</v>
      </c>
      <c r="AA489" s="137">
        <v>0.0</v>
      </c>
      <c r="AB489" s="137">
        <v>0.0</v>
      </c>
      <c r="AC489" s="137">
        <v>0.0</v>
      </c>
      <c r="AD489" s="137">
        <v>0.0</v>
      </c>
      <c r="AE489" s="137">
        <v>0.0</v>
      </c>
      <c r="AF489" s="137">
        <v>0.0</v>
      </c>
      <c r="AG489" s="137">
        <v>0.0</v>
      </c>
      <c r="AH489" s="137">
        <v>0.0</v>
      </c>
      <c r="AI489" s="137">
        <v>0.0</v>
      </c>
      <c r="AJ489" s="137">
        <v>0.0</v>
      </c>
      <c r="AK489" s="137">
        <v>0.0</v>
      </c>
      <c r="AL489" s="137">
        <v>0.0</v>
      </c>
      <c r="AM489" s="137">
        <v>0.0</v>
      </c>
      <c r="AN489" s="137">
        <v>0.0</v>
      </c>
    </row>
    <row r="490">
      <c r="A490" s="132" t="s">
        <v>202</v>
      </c>
      <c r="B490" s="136" t="s">
        <v>198</v>
      </c>
      <c r="C490" s="137">
        <v>438.0</v>
      </c>
      <c r="D490" s="137">
        <v>258.0</v>
      </c>
      <c r="E490" s="137">
        <v>180.0</v>
      </c>
      <c r="F490" s="137">
        <v>0.0</v>
      </c>
      <c r="G490" s="137">
        <v>2.0</v>
      </c>
      <c r="H490" s="137">
        <v>0.0</v>
      </c>
      <c r="I490" s="137">
        <v>0.0</v>
      </c>
      <c r="J490" s="137">
        <v>0.0</v>
      </c>
      <c r="K490" s="137">
        <v>2.0</v>
      </c>
      <c r="L490" s="137">
        <v>8.0</v>
      </c>
      <c r="M490" s="137">
        <v>0.0</v>
      </c>
      <c r="N490" s="137">
        <v>2.0</v>
      </c>
      <c r="O490" s="137">
        <v>14.0</v>
      </c>
      <c r="P490" s="137">
        <v>0.0</v>
      </c>
      <c r="Q490" s="137">
        <v>32.0</v>
      </c>
      <c r="R490" s="137">
        <v>22.0</v>
      </c>
      <c r="S490" s="137">
        <v>2.0</v>
      </c>
      <c r="T490" s="137">
        <v>38.0</v>
      </c>
      <c r="U490" s="137">
        <v>8.0</v>
      </c>
      <c r="V490" s="137">
        <v>2.0</v>
      </c>
      <c r="W490" s="137">
        <v>2.0</v>
      </c>
      <c r="X490" s="137">
        <v>10.0</v>
      </c>
      <c r="Y490" s="137">
        <v>14.0</v>
      </c>
      <c r="Z490" s="137">
        <v>44.0</v>
      </c>
      <c r="AA490" s="137">
        <v>10.0</v>
      </c>
      <c r="AB490" s="137">
        <v>30.0</v>
      </c>
      <c r="AC490" s="137">
        <v>38.0</v>
      </c>
      <c r="AD490" s="137">
        <v>30.0</v>
      </c>
      <c r="AE490" s="137">
        <v>10.0</v>
      </c>
      <c r="AF490" s="137">
        <v>10.0</v>
      </c>
      <c r="AG490" s="137">
        <v>18.0</v>
      </c>
      <c r="AH490" s="137">
        <v>0.0</v>
      </c>
      <c r="AI490" s="137">
        <v>22.0</v>
      </c>
      <c r="AJ490" s="137">
        <v>36.0</v>
      </c>
      <c r="AK490" s="137">
        <v>6.0</v>
      </c>
      <c r="AL490" s="137">
        <v>26.0</v>
      </c>
      <c r="AM490" s="137">
        <v>0.0</v>
      </c>
      <c r="AN490" s="137">
        <v>430.0</v>
      </c>
    </row>
    <row r="491">
      <c r="A491" s="104"/>
      <c r="B491" s="136" t="s">
        <v>199</v>
      </c>
      <c r="C491" s="137">
        <v>310.0</v>
      </c>
      <c r="D491" s="137">
        <v>180.0</v>
      </c>
      <c r="E491" s="137">
        <v>130.0</v>
      </c>
      <c r="F491" s="137">
        <v>0.0</v>
      </c>
      <c r="G491" s="137">
        <v>8.0</v>
      </c>
      <c r="H491" s="137">
        <v>0.0</v>
      </c>
      <c r="I491" s="137">
        <v>0.0</v>
      </c>
      <c r="J491" s="137">
        <v>0.0</v>
      </c>
      <c r="K491" s="137">
        <v>0.0</v>
      </c>
      <c r="L491" s="137">
        <v>4.0</v>
      </c>
      <c r="M491" s="137">
        <v>4.0</v>
      </c>
      <c r="N491" s="137">
        <v>2.0</v>
      </c>
      <c r="O491" s="137">
        <v>4.0</v>
      </c>
      <c r="P491" s="137">
        <v>0.0</v>
      </c>
      <c r="Q491" s="137">
        <v>42.0</v>
      </c>
      <c r="R491" s="137">
        <v>24.0</v>
      </c>
      <c r="S491" s="137">
        <v>0.0</v>
      </c>
      <c r="T491" s="137">
        <v>36.0</v>
      </c>
      <c r="U491" s="137">
        <v>10.0</v>
      </c>
      <c r="V491" s="137">
        <v>8.0</v>
      </c>
      <c r="W491" s="137">
        <v>0.0</v>
      </c>
      <c r="X491" s="137">
        <v>4.0</v>
      </c>
      <c r="Y491" s="137">
        <v>8.0</v>
      </c>
      <c r="Z491" s="137">
        <v>6.0</v>
      </c>
      <c r="AA491" s="137">
        <v>6.0</v>
      </c>
      <c r="AB491" s="137">
        <v>16.0</v>
      </c>
      <c r="AC491" s="137">
        <v>8.0</v>
      </c>
      <c r="AD491" s="137">
        <v>22.0</v>
      </c>
      <c r="AE491" s="137">
        <v>0.0</v>
      </c>
      <c r="AF491" s="137">
        <v>4.0</v>
      </c>
      <c r="AG491" s="137">
        <v>22.0</v>
      </c>
      <c r="AH491" s="137">
        <v>0.0</v>
      </c>
      <c r="AI491" s="137">
        <v>18.0</v>
      </c>
      <c r="AJ491" s="137">
        <v>32.0</v>
      </c>
      <c r="AK491" s="137">
        <v>0.0</v>
      </c>
      <c r="AL491" s="137">
        <v>22.0</v>
      </c>
      <c r="AM491" s="137">
        <v>0.0</v>
      </c>
      <c r="AN491" s="137">
        <v>302.0</v>
      </c>
    </row>
    <row r="492">
      <c r="A492" s="132" t="s">
        <v>203</v>
      </c>
      <c r="B492" s="136" t="s">
        <v>198</v>
      </c>
      <c r="C492" s="137">
        <v>754.0</v>
      </c>
      <c r="D492" s="137">
        <v>290.0</v>
      </c>
      <c r="E492" s="137">
        <v>464.0</v>
      </c>
      <c r="F492" s="135">
        <v>0.0</v>
      </c>
      <c r="G492" s="135">
        <v>0.0</v>
      </c>
      <c r="H492" s="135">
        <v>0.0</v>
      </c>
      <c r="I492" s="135">
        <v>0.0</v>
      </c>
      <c r="J492" s="135">
        <v>0.0</v>
      </c>
      <c r="K492" s="135">
        <v>0.0</v>
      </c>
      <c r="L492" s="135">
        <v>0.0</v>
      </c>
      <c r="M492" s="135">
        <v>0.0</v>
      </c>
      <c r="N492" s="135">
        <v>0.0</v>
      </c>
      <c r="O492" s="135">
        <v>0.0</v>
      </c>
      <c r="P492" s="135">
        <v>0.0</v>
      </c>
      <c r="Q492" s="135">
        <v>0.0</v>
      </c>
      <c r="R492" s="135">
        <v>0.0</v>
      </c>
      <c r="S492" s="135">
        <v>0.0</v>
      </c>
      <c r="T492" s="135">
        <v>0.0</v>
      </c>
      <c r="U492" s="135">
        <v>0.0</v>
      </c>
      <c r="V492" s="135">
        <v>0.0</v>
      </c>
      <c r="W492" s="135">
        <v>0.0</v>
      </c>
      <c r="X492" s="135">
        <v>0.0</v>
      </c>
      <c r="Y492" s="135">
        <v>0.0</v>
      </c>
      <c r="Z492" s="135">
        <v>0.0</v>
      </c>
      <c r="AA492" s="135">
        <v>0.0</v>
      </c>
      <c r="AB492" s="135">
        <v>0.0</v>
      </c>
      <c r="AC492" s="135">
        <v>0.0</v>
      </c>
      <c r="AD492" s="135">
        <v>0.0</v>
      </c>
      <c r="AE492" s="135">
        <v>0.0</v>
      </c>
      <c r="AF492" s="137">
        <v>68.0</v>
      </c>
      <c r="AG492" s="137">
        <v>118.0</v>
      </c>
      <c r="AH492" s="137">
        <v>120.0</v>
      </c>
      <c r="AI492" s="137">
        <v>128.0</v>
      </c>
      <c r="AJ492" s="137">
        <v>58.0</v>
      </c>
      <c r="AK492" s="137">
        <v>140.0</v>
      </c>
      <c r="AL492" s="137">
        <v>44.0</v>
      </c>
      <c r="AM492" s="137">
        <v>78.0</v>
      </c>
      <c r="AN492" s="137">
        <v>754.0</v>
      </c>
    </row>
    <row r="493">
      <c r="A493" s="104"/>
      <c r="B493" s="136" t="s">
        <v>199</v>
      </c>
      <c r="C493" s="134">
        <v>4384.0</v>
      </c>
      <c r="D493" s="134">
        <v>1588.0</v>
      </c>
      <c r="E493" s="134">
        <v>2796.0</v>
      </c>
      <c r="F493" s="135">
        <v>0.0</v>
      </c>
      <c r="G493" s="135">
        <v>0.0</v>
      </c>
      <c r="H493" s="135">
        <v>0.0</v>
      </c>
      <c r="I493" s="135">
        <v>0.0</v>
      </c>
      <c r="J493" s="135">
        <v>0.0</v>
      </c>
      <c r="K493" s="135">
        <v>0.0</v>
      </c>
      <c r="L493" s="135">
        <v>0.0</v>
      </c>
      <c r="M493" s="135">
        <v>0.0</v>
      </c>
      <c r="N493" s="135">
        <v>0.0</v>
      </c>
      <c r="O493" s="135">
        <v>0.0</v>
      </c>
      <c r="P493" s="135">
        <v>0.0</v>
      </c>
      <c r="Q493" s="135">
        <v>0.0</v>
      </c>
      <c r="R493" s="135">
        <v>0.0</v>
      </c>
      <c r="S493" s="135">
        <v>0.0</v>
      </c>
      <c r="T493" s="135">
        <v>0.0</v>
      </c>
      <c r="U493" s="135">
        <v>0.0</v>
      </c>
      <c r="V493" s="135">
        <v>0.0</v>
      </c>
      <c r="W493" s="135">
        <v>0.0</v>
      </c>
      <c r="X493" s="135">
        <v>0.0</v>
      </c>
      <c r="Y493" s="135">
        <v>0.0</v>
      </c>
      <c r="Z493" s="135">
        <v>0.0</v>
      </c>
      <c r="AA493" s="135">
        <v>0.0</v>
      </c>
      <c r="AB493" s="135">
        <v>0.0</v>
      </c>
      <c r="AC493" s="135">
        <v>0.0</v>
      </c>
      <c r="AD493" s="135">
        <v>0.0</v>
      </c>
      <c r="AE493" s="135">
        <v>0.0</v>
      </c>
      <c r="AF493" s="137">
        <v>494.0</v>
      </c>
      <c r="AG493" s="137">
        <v>920.0</v>
      </c>
      <c r="AH493" s="137">
        <v>462.0</v>
      </c>
      <c r="AI493" s="137">
        <v>792.0</v>
      </c>
      <c r="AJ493" s="137">
        <v>344.0</v>
      </c>
      <c r="AK493" s="137">
        <v>600.0</v>
      </c>
      <c r="AL493" s="137">
        <v>288.0</v>
      </c>
      <c r="AM493" s="137">
        <v>484.0</v>
      </c>
      <c r="AN493" s="134">
        <v>4384.0</v>
      </c>
    </row>
    <row r="494">
      <c r="A494" s="132" t="s">
        <v>204</v>
      </c>
      <c r="B494" s="136" t="s">
        <v>198</v>
      </c>
      <c r="C494" s="137">
        <v>38.0</v>
      </c>
      <c r="D494" s="137">
        <v>16.0</v>
      </c>
      <c r="E494" s="137">
        <v>22.0</v>
      </c>
      <c r="F494" s="135">
        <v>0.0</v>
      </c>
      <c r="G494" s="135">
        <v>0.0</v>
      </c>
      <c r="H494" s="135">
        <v>0.0</v>
      </c>
      <c r="I494" s="135">
        <v>0.0</v>
      </c>
      <c r="J494" s="135">
        <v>0.0</v>
      </c>
      <c r="K494" s="135">
        <v>0.0</v>
      </c>
      <c r="L494" s="135">
        <v>0.0</v>
      </c>
      <c r="M494" s="135">
        <v>0.0</v>
      </c>
      <c r="N494" s="135">
        <v>0.0</v>
      </c>
      <c r="O494" s="135">
        <v>0.0</v>
      </c>
      <c r="P494" s="135">
        <v>0.0</v>
      </c>
      <c r="Q494" s="135">
        <v>0.0</v>
      </c>
      <c r="R494" s="135">
        <v>0.0</v>
      </c>
      <c r="S494" s="135">
        <v>0.0</v>
      </c>
      <c r="T494" s="135">
        <v>0.0</v>
      </c>
      <c r="U494" s="135">
        <v>0.0</v>
      </c>
      <c r="V494" s="135">
        <v>0.0</v>
      </c>
      <c r="W494" s="135">
        <v>0.0</v>
      </c>
      <c r="X494" s="135">
        <v>0.0</v>
      </c>
      <c r="Y494" s="135">
        <v>0.0</v>
      </c>
      <c r="Z494" s="135">
        <v>0.0</v>
      </c>
      <c r="AA494" s="135">
        <v>0.0</v>
      </c>
      <c r="AB494" s="135">
        <v>0.0</v>
      </c>
      <c r="AC494" s="135">
        <v>0.0</v>
      </c>
      <c r="AD494" s="135">
        <v>0.0</v>
      </c>
      <c r="AE494" s="135">
        <v>0.0</v>
      </c>
      <c r="AF494" s="137">
        <v>0.0</v>
      </c>
      <c r="AG494" s="137">
        <v>2.0</v>
      </c>
      <c r="AH494" s="137">
        <v>6.0</v>
      </c>
      <c r="AI494" s="137">
        <v>2.0</v>
      </c>
      <c r="AJ494" s="137">
        <v>6.0</v>
      </c>
      <c r="AK494" s="137">
        <v>6.0</v>
      </c>
      <c r="AL494" s="137">
        <v>4.0</v>
      </c>
      <c r="AM494" s="137">
        <v>12.0</v>
      </c>
      <c r="AN494" s="137">
        <v>38.0</v>
      </c>
    </row>
    <row r="495">
      <c r="A495" s="104"/>
      <c r="B495" s="136" t="s">
        <v>199</v>
      </c>
      <c r="C495" s="134">
        <v>1066.0</v>
      </c>
      <c r="D495" s="137">
        <v>324.0</v>
      </c>
      <c r="E495" s="137">
        <v>742.0</v>
      </c>
      <c r="F495" s="135">
        <v>0.0</v>
      </c>
      <c r="G495" s="135">
        <v>0.0</v>
      </c>
      <c r="H495" s="135">
        <v>0.0</v>
      </c>
      <c r="I495" s="135">
        <v>0.0</v>
      </c>
      <c r="J495" s="135">
        <v>0.0</v>
      </c>
      <c r="K495" s="135">
        <v>0.0</v>
      </c>
      <c r="L495" s="135">
        <v>0.0</v>
      </c>
      <c r="M495" s="135">
        <v>0.0</v>
      </c>
      <c r="N495" s="135">
        <v>0.0</v>
      </c>
      <c r="O495" s="135">
        <v>0.0</v>
      </c>
      <c r="P495" s="135">
        <v>0.0</v>
      </c>
      <c r="Q495" s="135">
        <v>0.0</v>
      </c>
      <c r="R495" s="135">
        <v>0.0</v>
      </c>
      <c r="S495" s="135">
        <v>0.0</v>
      </c>
      <c r="T495" s="135">
        <v>0.0</v>
      </c>
      <c r="U495" s="135">
        <v>0.0</v>
      </c>
      <c r="V495" s="135">
        <v>0.0</v>
      </c>
      <c r="W495" s="135">
        <v>0.0</v>
      </c>
      <c r="X495" s="135">
        <v>0.0</v>
      </c>
      <c r="Y495" s="135">
        <v>0.0</v>
      </c>
      <c r="Z495" s="135">
        <v>0.0</v>
      </c>
      <c r="AA495" s="135">
        <v>0.0</v>
      </c>
      <c r="AB495" s="135">
        <v>0.0</v>
      </c>
      <c r="AC495" s="135">
        <v>0.0</v>
      </c>
      <c r="AD495" s="135">
        <v>0.0</v>
      </c>
      <c r="AE495" s="135">
        <v>0.0</v>
      </c>
      <c r="AF495" s="137">
        <v>40.0</v>
      </c>
      <c r="AG495" s="137">
        <v>102.0</v>
      </c>
      <c r="AH495" s="137">
        <v>66.0</v>
      </c>
      <c r="AI495" s="137">
        <v>110.0</v>
      </c>
      <c r="AJ495" s="137">
        <v>84.0</v>
      </c>
      <c r="AK495" s="137">
        <v>152.0</v>
      </c>
      <c r="AL495" s="137">
        <v>134.0</v>
      </c>
      <c r="AM495" s="137">
        <v>378.0</v>
      </c>
      <c r="AN495" s="134">
        <v>1064.0</v>
      </c>
    </row>
    <row r="496">
      <c r="A496" s="132" t="s">
        <v>205</v>
      </c>
      <c r="B496" s="136" t="s">
        <v>198</v>
      </c>
      <c r="C496" s="137">
        <v>4.0</v>
      </c>
      <c r="D496" s="137">
        <v>0.0</v>
      </c>
      <c r="E496" s="137">
        <v>4.0</v>
      </c>
      <c r="F496" s="137">
        <v>0.0</v>
      </c>
      <c r="G496" s="137">
        <v>0.0</v>
      </c>
      <c r="H496" s="137">
        <v>0.0</v>
      </c>
      <c r="I496" s="137">
        <v>0.0</v>
      </c>
      <c r="J496" s="137">
        <v>0.0</v>
      </c>
      <c r="K496" s="137">
        <v>0.0</v>
      </c>
      <c r="L496" s="137">
        <v>0.0</v>
      </c>
      <c r="M496" s="137">
        <v>0.0</v>
      </c>
      <c r="N496" s="137">
        <v>0.0</v>
      </c>
      <c r="O496" s="137">
        <v>0.0</v>
      </c>
      <c r="P496" s="137">
        <v>0.0</v>
      </c>
      <c r="Q496" s="137">
        <v>0.0</v>
      </c>
      <c r="R496" s="137">
        <v>0.0</v>
      </c>
      <c r="S496" s="137">
        <v>0.0</v>
      </c>
      <c r="T496" s="137">
        <v>0.0</v>
      </c>
      <c r="U496" s="137">
        <v>0.0</v>
      </c>
      <c r="V496" s="137">
        <v>0.0</v>
      </c>
      <c r="W496" s="137">
        <v>2.0</v>
      </c>
      <c r="X496" s="137">
        <v>0.0</v>
      </c>
      <c r="Y496" s="137">
        <v>2.0</v>
      </c>
      <c r="Z496" s="137">
        <v>0.0</v>
      </c>
      <c r="AA496" s="137">
        <v>0.0</v>
      </c>
      <c r="AB496" s="137">
        <v>0.0</v>
      </c>
      <c r="AC496" s="137">
        <v>0.0</v>
      </c>
      <c r="AD496" s="137">
        <v>0.0</v>
      </c>
      <c r="AE496" s="137">
        <v>0.0</v>
      </c>
      <c r="AF496" s="137">
        <v>0.0</v>
      </c>
      <c r="AG496" s="137">
        <v>0.0</v>
      </c>
      <c r="AH496" s="137">
        <v>0.0</v>
      </c>
      <c r="AI496" s="137">
        <v>0.0</v>
      </c>
      <c r="AJ496" s="137">
        <v>0.0</v>
      </c>
      <c r="AK496" s="137">
        <v>0.0</v>
      </c>
      <c r="AL496" s="137">
        <v>0.0</v>
      </c>
      <c r="AM496" s="137">
        <v>0.0</v>
      </c>
      <c r="AN496" s="137">
        <v>4.0</v>
      </c>
    </row>
    <row r="497">
      <c r="A497" s="98"/>
      <c r="B497" s="136" t="s">
        <v>199</v>
      </c>
      <c r="C497" s="137">
        <v>6.0</v>
      </c>
      <c r="D497" s="137">
        <v>2.0</v>
      </c>
      <c r="E497" s="137">
        <v>4.0</v>
      </c>
      <c r="F497" s="137">
        <v>0.0</v>
      </c>
      <c r="G497" s="137">
        <v>0.0</v>
      </c>
      <c r="H497" s="137">
        <v>0.0</v>
      </c>
      <c r="I497" s="137">
        <v>0.0</v>
      </c>
      <c r="J497" s="137">
        <v>2.0</v>
      </c>
      <c r="K497" s="137">
        <v>2.0</v>
      </c>
      <c r="L497" s="137">
        <v>0.0</v>
      </c>
      <c r="M497" s="137">
        <v>0.0</v>
      </c>
      <c r="N497" s="137">
        <v>0.0</v>
      </c>
      <c r="O497" s="137">
        <v>0.0</v>
      </c>
      <c r="P497" s="137">
        <v>0.0</v>
      </c>
      <c r="Q497" s="137">
        <v>0.0</v>
      </c>
      <c r="R497" s="137">
        <v>0.0</v>
      </c>
      <c r="S497" s="137">
        <v>0.0</v>
      </c>
      <c r="T497" s="137">
        <v>0.0</v>
      </c>
      <c r="U497" s="137">
        <v>0.0</v>
      </c>
      <c r="V497" s="137">
        <v>0.0</v>
      </c>
      <c r="W497" s="137">
        <v>2.0</v>
      </c>
      <c r="X497" s="137">
        <v>0.0</v>
      </c>
      <c r="Y497" s="137">
        <v>0.0</v>
      </c>
      <c r="Z497" s="137">
        <v>0.0</v>
      </c>
      <c r="AA497" s="137">
        <v>0.0</v>
      </c>
      <c r="AB497" s="137">
        <v>0.0</v>
      </c>
      <c r="AC497" s="137">
        <v>0.0</v>
      </c>
      <c r="AD497" s="137">
        <v>0.0</v>
      </c>
      <c r="AE497" s="137">
        <v>0.0</v>
      </c>
      <c r="AF497" s="137">
        <v>0.0</v>
      </c>
      <c r="AG497" s="137">
        <v>0.0</v>
      </c>
      <c r="AH497" s="137">
        <v>0.0</v>
      </c>
      <c r="AI497" s="137">
        <v>0.0</v>
      </c>
      <c r="AJ497" s="137">
        <v>0.0</v>
      </c>
      <c r="AK497" s="137">
        <v>0.0</v>
      </c>
      <c r="AL497" s="137">
        <v>0.0</v>
      </c>
      <c r="AM497" s="137">
        <v>0.0</v>
      </c>
      <c r="AN497" s="137">
        <v>6.0</v>
      </c>
    </row>
    <row r="498">
      <c r="A498" s="104"/>
      <c r="B498" s="136" t="s">
        <v>206</v>
      </c>
      <c r="C498" s="137">
        <v>14.0</v>
      </c>
      <c r="D498" s="137">
        <v>4.0</v>
      </c>
      <c r="E498" s="137">
        <v>10.0</v>
      </c>
      <c r="F498" s="137">
        <v>0.0</v>
      </c>
      <c r="G498" s="137">
        <v>0.0</v>
      </c>
      <c r="H498" s="137">
        <v>0.0</v>
      </c>
      <c r="I498" s="137">
        <v>0.0</v>
      </c>
      <c r="J498" s="137">
        <v>0.0</v>
      </c>
      <c r="K498" s="137">
        <v>0.0</v>
      </c>
      <c r="L498" s="137">
        <v>0.0</v>
      </c>
      <c r="M498" s="137">
        <v>0.0</v>
      </c>
      <c r="N498" s="137">
        <v>0.0</v>
      </c>
      <c r="O498" s="137">
        <v>2.0</v>
      </c>
      <c r="P498" s="137">
        <v>0.0</v>
      </c>
      <c r="Q498" s="137">
        <v>2.0</v>
      </c>
      <c r="R498" s="137">
        <v>2.0</v>
      </c>
      <c r="S498" s="137">
        <v>2.0</v>
      </c>
      <c r="T498" s="137">
        <v>0.0</v>
      </c>
      <c r="U498" s="137">
        <v>0.0</v>
      </c>
      <c r="V498" s="137">
        <v>0.0</v>
      </c>
      <c r="W498" s="137">
        <v>0.0</v>
      </c>
      <c r="X498" s="137">
        <v>2.0</v>
      </c>
      <c r="Y498" s="137">
        <v>0.0</v>
      </c>
      <c r="Z498" s="137">
        <v>0.0</v>
      </c>
      <c r="AA498" s="137">
        <v>0.0</v>
      </c>
      <c r="AB498" s="137">
        <v>0.0</v>
      </c>
      <c r="AC498" s="137">
        <v>2.0</v>
      </c>
      <c r="AD498" s="137">
        <v>0.0</v>
      </c>
      <c r="AE498" s="137">
        <v>0.0</v>
      </c>
      <c r="AF498" s="137">
        <v>0.0</v>
      </c>
      <c r="AG498" s="137">
        <v>0.0</v>
      </c>
      <c r="AH498" s="137">
        <v>0.0</v>
      </c>
      <c r="AI498" s="137">
        <v>2.0</v>
      </c>
      <c r="AJ498" s="137">
        <v>0.0</v>
      </c>
      <c r="AK498" s="137">
        <v>0.0</v>
      </c>
      <c r="AL498" s="137">
        <v>0.0</v>
      </c>
      <c r="AM498" s="137">
        <v>0.0</v>
      </c>
      <c r="AN498" s="137">
        <v>14.0</v>
      </c>
    </row>
    <row r="499">
      <c r="A499" s="132" t="s">
        <v>207</v>
      </c>
      <c r="B499" s="136" t="s">
        <v>198</v>
      </c>
      <c r="C499" s="134">
        <v>19312.0</v>
      </c>
      <c r="D499" s="134">
        <v>4176.0</v>
      </c>
      <c r="E499" s="134">
        <v>15136.0</v>
      </c>
      <c r="F499" s="137">
        <v>30.0</v>
      </c>
      <c r="G499" s="137">
        <v>22.0</v>
      </c>
      <c r="H499" s="137">
        <v>52.0</v>
      </c>
      <c r="I499" s="137">
        <v>34.0</v>
      </c>
      <c r="J499" s="137">
        <v>28.0</v>
      </c>
      <c r="K499" s="137">
        <v>56.0</v>
      </c>
      <c r="L499" s="137">
        <v>88.0</v>
      </c>
      <c r="M499" s="137">
        <v>156.0</v>
      </c>
      <c r="N499" s="137">
        <v>94.0</v>
      </c>
      <c r="O499" s="137">
        <v>226.0</v>
      </c>
      <c r="P499" s="137">
        <v>86.0</v>
      </c>
      <c r="Q499" s="137">
        <v>436.0</v>
      </c>
      <c r="R499" s="137">
        <v>74.0</v>
      </c>
      <c r="S499" s="137">
        <v>356.0</v>
      </c>
      <c r="T499" s="137">
        <v>90.0</v>
      </c>
      <c r="U499" s="137">
        <v>498.0</v>
      </c>
      <c r="V499" s="137">
        <v>126.0</v>
      </c>
      <c r="W499" s="137">
        <v>700.0</v>
      </c>
      <c r="X499" s="137">
        <v>152.0</v>
      </c>
      <c r="Y499" s="137">
        <v>928.0</v>
      </c>
      <c r="Z499" s="137">
        <v>274.0</v>
      </c>
      <c r="AA499" s="134">
        <v>1372.0</v>
      </c>
      <c r="AB499" s="137">
        <v>400.0</v>
      </c>
      <c r="AC499" s="134">
        <v>1838.0</v>
      </c>
      <c r="AD499" s="137">
        <v>492.0</v>
      </c>
      <c r="AE499" s="134">
        <v>2096.0</v>
      </c>
      <c r="AF499" s="137">
        <v>640.0</v>
      </c>
      <c r="AG499" s="134">
        <v>2012.0</v>
      </c>
      <c r="AH499" s="137">
        <v>580.0</v>
      </c>
      <c r="AI499" s="134">
        <v>1616.0</v>
      </c>
      <c r="AJ499" s="137">
        <v>452.0</v>
      </c>
      <c r="AK499" s="134">
        <v>1246.0</v>
      </c>
      <c r="AL499" s="137">
        <v>518.0</v>
      </c>
      <c r="AM499" s="134">
        <v>1544.0</v>
      </c>
      <c r="AN499" s="134">
        <v>18836.0</v>
      </c>
    </row>
    <row r="500">
      <c r="A500" s="98"/>
      <c r="B500" s="136" t="s">
        <v>199</v>
      </c>
      <c r="C500" s="134">
        <v>7428.0</v>
      </c>
      <c r="D500" s="134">
        <v>1804.0</v>
      </c>
      <c r="E500" s="134">
        <v>5624.0</v>
      </c>
      <c r="F500" s="137">
        <v>2.0</v>
      </c>
      <c r="G500" s="137">
        <v>2.0</v>
      </c>
      <c r="H500" s="137">
        <v>4.0</v>
      </c>
      <c r="I500" s="137">
        <v>2.0</v>
      </c>
      <c r="J500" s="137">
        <v>18.0</v>
      </c>
      <c r="K500" s="137">
        <v>6.0</v>
      </c>
      <c r="L500" s="137">
        <v>10.0</v>
      </c>
      <c r="M500" s="137">
        <v>52.0</v>
      </c>
      <c r="N500" s="137">
        <v>42.0</v>
      </c>
      <c r="O500" s="137">
        <v>86.0</v>
      </c>
      <c r="P500" s="137">
        <v>34.0</v>
      </c>
      <c r="Q500" s="137">
        <v>174.0</v>
      </c>
      <c r="R500" s="137">
        <v>36.0</v>
      </c>
      <c r="S500" s="137">
        <v>166.0</v>
      </c>
      <c r="T500" s="137">
        <v>42.0</v>
      </c>
      <c r="U500" s="137">
        <v>200.0</v>
      </c>
      <c r="V500" s="137">
        <v>64.0</v>
      </c>
      <c r="W500" s="137">
        <v>302.0</v>
      </c>
      <c r="X500" s="137">
        <v>120.0</v>
      </c>
      <c r="Y500" s="137">
        <v>414.0</v>
      </c>
      <c r="Z500" s="137">
        <v>114.0</v>
      </c>
      <c r="AA500" s="137">
        <v>532.0</v>
      </c>
      <c r="AB500" s="137">
        <v>220.0</v>
      </c>
      <c r="AC500" s="137">
        <v>662.0</v>
      </c>
      <c r="AD500" s="137">
        <v>184.0</v>
      </c>
      <c r="AE500" s="137">
        <v>698.0</v>
      </c>
      <c r="AF500" s="137">
        <v>270.0</v>
      </c>
      <c r="AG500" s="137">
        <v>700.0</v>
      </c>
      <c r="AH500" s="137">
        <v>236.0</v>
      </c>
      <c r="AI500" s="137">
        <v>634.0</v>
      </c>
      <c r="AJ500" s="137">
        <v>198.0</v>
      </c>
      <c r="AK500" s="137">
        <v>470.0</v>
      </c>
      <c r="AL500" s="137">
        <v>210.0</v>
      </c>
      <c r="AM500" s="137">
        <v>524.0</v>
      </c>
      <c r="AN500" s="134">
        <v>7390.0</v>
      </c>
    </row>
    <row r="501">
      <c r="A501" s="98"/>
      <c r="B501" s="136" t="s">
        <v>206</v>
      </c>
      <c r="C501" s="137">
        <v>404.0</v>
      </c>
      <c r="D501" s="137">
        <v>18.0</v>
      </c>
      <c r="E501" s="137">
        <v>386.0</v>
      </c>
      <c r="F501" s="137">
        <v>4.0</v>
      </c>
      <c r="G501" s="137">
        <v>2.0</v>
      </c>
      <c r="H501" s="137">
        <v>0.0</v>
      </c>
      <c r="I501" s="137">
        <v>0.0</v>
      </c>
      <c r="J501" s="137">
        <v>0.0</v>
      </c>
      <c r="K501" s="137">
        <v>6.0</v>
      </c>
      <c r="L501" s="137">
        <v>0.0</v>
      </c>
      <c r="M501" s="137">
        <v>22.0</v>
      </c>
      <c r="N501" s="137">
        <v>2.0</v>
      </c>
      <c r="O501" s="137">
        <v>46.0</v>
      </c>
      <c r="P501" s="137">
        <v>2.0</v>
      </c>
      <c r="Q501" s="137">
        <v>94.0</v>
      </c>
      <c r="R501" s="137">
        <v>0.0</v>
      </c>
      <c r="S501" s="137">
        <v>38.0</v>
      </c>
      <c r="T501" s="137">
        <v>2.0</v>
      </c>
      <c r="U501" s="137">
        <v>30.0</v>
      </c>
      <c r="V501" s="137">
        <v>0.0</v>
      </c>
      <c r="W501" s="137">
        <v>14.0</v>
      </c>
      <c r="X501" s="137">
        <v>2.0</v>
      </c>
      <c r="Y501" s="137">
        <v>22.0</v>
      </c>
      <c r="Z501" s="137">
        <v>0.0</v>
      </c>
      <c r="AA501" s="137">
        <v>30.0</v>
      </c>
      <c r="AB501" s="137">
        <v>4.0</v>
      </c>
      <c r="AC501" s="137">
        <v>28.0</v>
      </c>
      <c r="AD501" s="137">
        <v>2.0</v>
      </c>
      <c r="AE501" s="137">
        <v>18.0</v>
      </c>
      <c r="AF501" s="137">
        <v>0.0</v>
      </c>
      <c r="AG501" s="137">
        <v>24.0</v>
      </c>
      <c r="AH501" s="137">
        <v>0.0</v>
      </c>
      <c r="AI501" s="137">
        <v>10.0</v>
      </c>
      <c r="AJ501" s="137">
        <v>0.0</v>
      </c>
      <c r="AK501" s="137">
        <v>2.0</v>
      </c>
      <c r="AL501" s="137">
        <v>0.0</v>
      </c>
      <c r="AM501" s="137">
        <v>0.0</v>
      </c>
      <c r="AN501" s="137">
        <v>404.0</v>
      </c>
    </row>
    <row r="502">
      <c r="A502" s="98"/>
      <c r="B502" s="136" t="s">
        <v>200</v>
      </c>
      <c r="C502" s="134">
        <v>6160.0</v>
      </c>
      <c r="D502" s="134">
        <v>1570.0</v>
      </c>
      <c r="E502" s="134">
        <v>4590.0</v>
      </c>
      <c r="F502" s="137">
        <v>532.0</v>
      </c>
      <c r="G502" s="137">
        <v>640.0</v>
      </c>
      <c r="H502" s="137">
        <v>16.0</v>
      </c>
      <c r="I502" s="137">
        <v>10.0</v>
      </c>
      <c r="J502" s="137">
        <v>6.0</v>
      </c>
      <c r="K502" s="137">
        <v>8.0</v>
      </c>
      <c r="L502" s="137">
        <v>8.0</v>
      </c>
      <c r="M502" s="137">
        <v>40.0</v>
      </c>
      <c r="N502" s="137">
        <v>8.0</v>
      </c>
      <c r="O502" s="137">
        <v>106.0</v>
      </c>
      <c r="P502" s="137">
        <v>6.0</v>
      </c>
      <c r="Q502" s="137">
        <v>134.0</v>
      </c>
      <c r="R502" s="137">
        <v>32.0</v>
      </c>
      <c r="S502" s="137">
        <v>144.0</v>
      </c>
      <c r="T502" s="137">
        <v>28.0</v>
      </c>
      <c r="U502" s="137">
        <v>190.0</v>
      </c>
      <c r="V502" s="137">
        <v>38.0</v>
      </c>
      <c r="W502" s="137">
        <v>228.0</v>
      </c>
      <c r="X502" s="137">
        <v>62.0</v>
      </c>
      <c r="Y502" s="137">
        <v>312.0</v>
      </c>
      <c r="Z502" s="137">
        <v>52.0</v>
      </c>
      <c r="AA502" s="137">
        <v>362.0</v>
      </c>
      <c r="AB502" s="137">
        <v>126.0</v>
      </c>
      <c r="AC502" s="137">
        <v>508.0</v>
      </c>
      <c r="AD502" s="137">
        <v>128.0</v>
      </c>
      <c r="AE502" s="137">
        <v>466.0</v>
      </c>
      <c r="AF502" s="137">
        <v>186.0</v>
      </c>
      <c r="AG502" s="137">
        <v>466.0</v>
      </c>
      <c r="AH502" s="137">
        <v>148.0</v>
      </c>
      <c r="AI502" s="137">
        <v>388.0</v>
      </c>
      <c r="AJ502" s="137">
        <v>98.0</v>
      </c>
      <c r="AK502" s="137">
        <v>258.0</v>
      </c>
      <c r="AL502" s="137">
        <v>96.0</v>
      </c>
      <c r="AM502" s="137">
        <v>330.0</v>
      </c>
      <c r="AN502" s="134">
        <v>5918.0</v>
      </c>
    </row>
    <row r="503">
      <c r="A503" s="104"/>
      <c r="B503" s="136" t="s">
        <v>201</v>
      </c>
      <c r="C503" s="137">
        <v>0.0</v>
      </c>
      <c r="D503" s="137">
        <v>0.0</v>
      </c>
      <c r="E503" s="137">
        <v>0.0</v>
      </c>
      <c r="F503" s="137">
        <v>0.0</v>
      </c>
      <c r="G503" s="137">
        <v>0.0</v>
      </c>
      <c r="H503" s="137">
        <v>0.0</v>
      </c>
      <c r="I503" s="137">
        <v>0.0</v>
      </c>
      <c r="J503" s="137">
        <v>0.0</v>
      </c>
      <c r="K503" s="137">
        <v>0.0</v>
      </c>
      <c r="L503" s="137">
        <v>0.0</v>
      </c>
      <c r="M503" s="137">
        <v>0.0</v>
      </c>
      <c r="N503" s="137">
        <v>0.0</v>
      </c>
      <c r="O503" s="137">
        <v>0.0</v>
      </c>
      <c r="P503" s="137">
        <v>0.0</v>
      </c>
      <c r="Q503" s="137">
        <v>0.0</v>
      </c>
      <c r="R503" s="137">
        <v>0.0</v>
      </c>
      <c r="S503" s="137">
        <v>0.0</v>
      </c>
      <c r="T503" s="137">
        <v>0.0</v>
      </c>
      <c r="U503" s="137">
        <v>0.0</v>
      </c>
      <c r="V503" s="137">
        <v>0.0</v>
      </c>
      <c r="W503" s="137">
        <v>0.0</v>
      </c>
      <c r="X503" s="137">
        <v>0.0</v>
      </c>
      <c r="Y503" s="137">
        <v>0.0</v>
      </c>
      <c r="Z503" s="137">
        <v>0.0</v>
      </c>
      <c r="AA503" s="137">
        <v>0.0</v>
      </c>
      <c r="AB503" s="137">
        <v>0.0</v>
      </c>
      <c r="AC503" s="137">
        <v>0.0</v>
      </c>
      <c r="AD503" s="137">
        <v>0.0</v>
      </c>
      <c r="AE503" s="137">
        <v>0.0</v>
      </c>
      <c r="AF503" s="137">
        <v>0.0</v>
      </c>
      <c r="AG503" s="137">
        <v>0.0</v>
      </c>
      <c r="AH503" s="137">
        <v>0.0</v>
      </c>
      <c r="AI503" s="137">
        <v>0.0</v>
      </c>
      <c r="AJ503" s="137">
        <v>0.0</v>
      </c>
      <c r="AK503" s="137">
        <v>0.0</v>
      </c>
      <c r="AL503" s="137">
        <v>0.0</v>
      </c>
      <c r="AM503" s="137">
        <v>0.0</v>
      </c>
      <c r="AN503" s="137">
        <v>0.0</v>
      </c>
    </row>
    <row r="504">
      <c r="A504" s="132" t="s">
        <v>208</v>
      </c>
      <c r="B504" s="136" t="s">
        <v>198</v>
      </c>
      <c r="C504" s="137">
        <v>2.0</v>
      </c>
      <c r="D504" s="137">
        <v>0.0</v>
      </c>
      <c r="E504" s="137">
        <v>2.0</v>
      </c>
      <c r="F504" s="137">
        <v>0.0</v>
      </c>
      <c r="G504" s="137">
        <v>0.0</v>
      </c>
      <c r="H504" s="137">
        <v>0.0</v>
      </c>
      <c r="I504" s="137">
        <v>2.0</v>
      </c>
      <c r="J504" s="137">
        <v>0.0</v>
      </c>
      <c r="K504" s="137">
        <v>0.0</v>
      </c>
      <c r="L504" s="137">
        <v>0.0</v>
      </c>
      <c r="M504" s="137">
        <v>0.0</v>
      </c>
      <c r="N504" s="137">
        <v>0.0</v>
      </c>
      <c r="O504" s="137">
        <v>0.0</v>
      </c>
      <c r="P504" s="135">
        <v>0.0</v>
      </c>
      <c r="Q504" s="135">
        <v>0.0</v>
      </c>
      <c r="R504" s="135">
        <v>0.0</v>
      </c>
      <c r="S504" s="135">
        <v>0.0</v>
      </c>
      <c r="T504" s="135">
        <v>0.0</v>
      </c>
      <c r="U504" s="135">
        <v>0.0</v>
      </c>
      <c r="V504" s="135">
        <v>0.0</v>
      </c>
      <c r="W504" s="135">
        <v>0.0</v>
      </c>
      <c r="X504" s="135">
        <v>0.0</v>
      </c>
      <c r="Y504" s="135">
        <v>0.0</v>
      </c>
      <c r="Z504" s="135">
        <v>0.0</v>
      </c>
      <c r="AA504" s="135">
        <v>0.0</v>
      </c>
      <c r="AB504" s="135">
        <v>0.0</v>
      </c>
      <c r="AC504" s="135">
        <v>0.0</v>
      </c>
      <c r="AD504" s="135">
        <v>0.0</v>
      </c>
      <c r="AE504" s="135">
        <v>0.0</v>
      </c>
      <c r="AF504" s="135">
        <v>0.0</v>
      </c>
      <c r="AG504" s="135">
        <v>0.0</v>
      </c>
      <c r="AH504" s="135">
        <v>0.0</v>
      </c>
      <c r="AI504" s="135">
        <v>0.0</v>
      </c>
      <c r="AJ504" s="135">
        <v>0.0</v>
      </c>
      <c r="AK504" s="135">
        <v>0.0</v>
      </c>
      <c r="AL504" s="135">
        <v>0.0</v>
      </c>
      <c r="AM504" s="135">
        <v>0.0</v>
      </c>
      <c r="AN504" s="137">
        <v>2.0</v>
      </c>
    </row>
    <row r="505">
      <c r="A505" s="98"/>
      <c r="B505" s="136" t="s">
        <v>199</v>
      </c>
      <c r="C505" s="137">
        <v>68.0</v>
      </c>
      <c r="D505" s="137">
        <v>42.0</v>
      </c>
      <c r="E505" s="137">
        <v>26.0</v>
      </c>
      <c r="F505" s="137">
        <v>36.0</v>
      </c>
      <c r="G505" s="137">
        <v>18.0</v>
      </c>
      <c r="H505" s="137">
        <v>6.0</v>
      </c>
      <c r="I505" s="137">
        <v>8.0</v>
      </c>
      <c r="J505" s="137">
        <v>0.0</v>
      </c>
      <c r="K505" s="137">
        <v>0.0</v>
      </c>
      <c r="L505" s="137">
        <v>0.0</v>
      </c>
      <c r="M505" s="137">
        <v>0.0</v>
      </c>
      <c r="N505" s="137">
        <v>0.0</v>
      </c>
      <c r="O505" s="137">
        <v>0.0</v>
      </c>
      <c r="P505" s="135">
        <v>0.0</v>
      </c>
      <c r="Q505" s="135">
        <v>0.0</v>
      </c>
      <c r="R505" s="135">
        <v>0.0</v>
      </c>
      <c r="S505" s="135">
        <v>0.0</v>
      </c>
      <c r="T505" s="135">
        <v>0.0</v>
      </c>
      <c r="U505" s="135">
        <v>0.0</v>
      </c>
      <c r="V505" s="135">
        <v>0.0</v>
      </c>
      <c r="W505" s="135">
        <v>0.0</v>
      </c>
      <c r="X505" s="135">
        <v>0.0</v>
      </c>
      <c r="Y505" s="135">
        <v>0.0</v>
      </c>
      <c r="Z505" s="135">
        <v>0.0</v>
      </c>
      <c r="AA505" s="135">
        <v>0.0</v>
      </c>
      <c r="AB505" s="135">
        <v>0.0</v>
      </c>
      <c r="AC505" s="135">
        <v>0.0</v>
      </c>
      <c r="AD505" s="135">
        <v>0.0</v>
      </c>
      <c r="AE505" s="135">
        <v>0.0</v>
      </c>
      <c r="AF505" s="135">
        <v>0.0</v>
      </c>
      <c r="AG505" s="135">
        <v>0.0</v>
      </c>
      <c r="AH505" s="135">
        <v>0.0</v>
      </c>
      <c r="AI505" s="135">
        <v>0.0</v>
      </c>
      <c r="AJ505" s="135">
        <v>0.0</v>
      </c>
      <c r="AK505" s="135">
        <v>0.0</v>
      </c>
      <c r="AL505" s="135">
        <v>0.0</v>
      </c>
      <c r="AM505" s="135">
        <v>0.0</v>
      </c>
      <c r="AN505" s="137">
        <v>62.0</v>
      </c>
    </row>
    <row r="506">
      <c r="A506" s="98"/>
      <c r="B506" s="136" t="s">
        <v>206</v>
      </c>
      <c r="C506" s="137">
        <v>0.0</v>
      </c>
      <c r="D506" s="137">
        <v>0.0</v>
      </c>
      <c r="E506" s="137">
        <v>0.0</v>
      </c>
      <c r="F506" s="137">
        <v>0.0</v>
      </c>
      <c r="G506" s="137">
        <v>0.0</v>
      </c>
      <c r="H506" s="137">
        <v>0.0</v>
      </c>
      <c r="I506" s="137">
        <v>0.0</v>
      </c>
      <c r="J506" s="137">
        <v>0.0</v>
      </c>
      <c r="K506" s="137">
        <v>0.0</v>
      </c>
      <c r="L506" s="137">
        <v>0.0</v>
      </c>
      <c r="M506" s="137">
        <v>0.0</v>
      </c>
      <c r="N506" s="137">
        <v>0.0</v>
      </c>
      <c r="O506" s="137">
        <v>0.0</v>
      </c>
      <c r="P506" s="135">
        <v>0.0</v>
      </c>
      <c r="Q506" s="135">
        <v>0.0</v>
      </c>
      <c r="R506" s="135">
        <v>0.0</v>
      </c>
      <c r="S506" s="135">
        <v>0.0</v>
      </c>
      <c r="T506" s="135">
        <v>0.0</v>
      </c>
      <c r="U506" s="135">
        <v>0.0</v>
      </c>
      <c r="V506" s="135">
        <v>0.0</v>
      </c>
      <c r="W506" s="135">
        <v>0.0</v>
      </c>
      <c r="X506" s="135">
        <v>0.0</v>
      </c>
      <c r="Y506" s="135">
        <v>0.0</v>
      </c>
      <c r="Z506" s="135">
        <v>0.0</v>
      </c>
      <c r="AA506" s="135">
        <v>0.0</v>
      </c>
      <c r="AB506" s="135">
        <v>0.0</v>
      </c>
      <c r="AC506" s="135">
        <v>0.0</v>
      </c>
      <c r="AD506" s="135">
        <v>0.0</v>
      </c>
      <c r="AE506" s="135">
        <v>0.0</v>
      </c>
      <c r="AF506" s="135">
        <v>0.0</v>
      </c>
      <c r="AG506" s="135">
        <v>0.0</v>
      </c>
      <c r="AH506" s="135">
        <v>0.0</v>
      </c>
      <c r="AI506" s="135">
        <v>0.0</v>
      </c>
      <c r="AJ506" s="135">
        <v>0.0</v>
      </c>
      <c r="AK506" s="135">
        <v>0.0</v>
      </c>
      <c r="AL506" s="135">
        <v>0.0</v>
      </c>
      <c r="AM506" s="135">
        <v>0.0</v>
      </c>
      <c r="AN506" s="137">
        <v>0.0</v>
      </c>
    </row>
    <row r="507">
      <c r="A507" s="98"/>
      <c r="B507" s="136" t="s">
        <v>200</v>
      </c>
      <c r="C507" s="137">
        <v>4.0</v>
      </c>
      <c r="D507" s="137">
        <v>2.0</v>
      </c>
      <c r="E507" s="137">
        <v>2.0</v>
      </c>
      <c r="F507" s="137">
        <v>2.0</v>
      </c>
      <c r="G507" s="137">
        <v>2.0</v>
      </c>
      <c r="H507" s="137">
        <v>0.0</v>
      </c>
      <c r="I507" s="137">
        <v>0.0</v>
      </c>
      <c r="J507" s="137">
        <v>0.0</v>
      </c>
      <c r="K507" s="137">
        <v>0.0</v>
      </c>
      <c r="L507" s="137">
        <v>0.0</v>
      </c>
      <c r="M507" s="137">
        <v>0.0</v>
      </c>
      <c r="N507" s="137">
        <v>0.0</v>
      </c>
      <c r="O507" s="137">
        <v>0.0</v>
      </c>
      <c r="P507" s="135">
        <v>0.0</v>
      </c>
      <c r="Q507" s="135">
        <v>0.0</v>
      </c>
      <c r="R507" s="135">
        <v>0.0</v>
      </c>
      <c r="S507" s="135">
        <v>0.0</v>
      </c>
      <c r="T507" s="135">
        <v>0.0</v>
      </c>
      <c r="U507" s="135">
        <v>0.0</v>
      </c>
      <c r="V507" s="135">
        <v>0.0</v>
      </c>
      <c r="W507" s="135">
        <v>0.0</v>
      </c>
      <c r="X507" s="135">
        <v>0.0</v>
      </c>
      <c r="Y507" s="135">
        <v>0.0</v>
      </c>
      <c r="Z507" s="135">
        <v>0.0</v>
      </c>
      <c r="AA507" s="135">
        <v>0.0</v>
      </c>
      <c r="AB507" s="135">
        <v>0.0</v>
      </c>
      <c r="AC507" s="135">
        <v>0.0</v>
      </c>
      <c r="AD507" s="135">
        <v>0.0</v>
      </c>
      <c r="AE507" s="135">
        <v>0.0</v>
      </c>
      <c r="AF507" s="135">
        <v>0.0</v>
      </c>
      <c r="AG507" s="135">
        <v>0.0</v>
      </c>
      <c r="AH507" s="135">
        <v>0.0</v>
      </c>
      <c r="AI507" s="135">
        <v>0.0</v>
      </c>
      <c r="AJ507" s="135">
        <v>0.0</v>
      </c>
      <c r="AK507" s="135">
        <v>0.0</v>
      </c>
      <c r="AL507" s="135">
        <v>0.0</v>
      </c>
      <c r="AM507" s="135">
        <v>0.0</v>
      </c>
      <c r="AN507" s="137">
        <v>4.0</v>
      </c>
    </row>
    <row r="508">
      <c r="A508" s="104"/>
      <c r="B508" s="136" t="s">
        <v>201</v>
      </c>
      <c r="C508" s="137">
        <v>0.0</v>
      </c>
      <c r="D508" s="137">
        <v>0.0</v>
      </c>
      <c r="E508" s="137">
        <v>0.0</v>
      </c>
      <c r="F508" s="137">
        <v>0.0</v>
      </c>
      <c r="G508" s="137">
        <v>0.0</v>
      </c>
      <c r="H508" s="137">
        <v>0.0</v>
      </c>
      <c r="I508" s="137">
        <v>0.0</v>
      </c>
      <c r="J508" s="137">
        <v>0.0</v>
      </c>
      <c r="K508" s="137">
        <v>0.0</v>
      </c>
      <c r="L508" s="137">
        <v>0.0</v>
      </c>
      <c r="M508" s="137">
        <v>0.0</v>
      </c>
      <c r="N508" s="137">
        <v>0.0</v>
      </c>
      <c r="O508" s="137">
        <v>0.0</v>
      </c>
      <c r="P508" s="135">
        <v>0.0</v>
      </c>
      <c r="Q508" s="135">
        <v>0.0</v>
      </c>
      <c r="R508" s="135">
        <v>0.0</v>
      </c>
      <c r="S508" s="135">
        <v>0.0</v>
      </c>
      <c r="T508" s="135">
        <v>0.0</v>
      </c>
      <c r="U508" s="135">
        <v>0.0</v>
      </c>
      <c r="V508" s="135">
        <v>0.0</v>
      </c>
      <c r="W508" s="135">
        <v>0.0</v>
      </c>
      <c r="X508" s="135">
        <v>0.0</v>
      </c>
      <c r="Y508" s="135">
        <v>0.0</v>
      </c>
      <c r="Z508" s="135">
        <v>0.0</v>
      </c>
      <c r="AA508" s="135">
        <v>0.0</v>
      </c>
      <c r="AB508" s="135">
        <v>0.0</v>
      </c>
      <c r="AC508" s="135">
        <v>0.0</v>
      </c>
      <c r="AD508" s="135">
        <v>0.0</v>
      </c>
      <c r="AE508" s="135">
        <v>0.0</v>
      </c>
      <c r="AF508" s="135">
        <v>0.0</v>
      </c>
      <c r="AG508" s="135">
        <v>0.0</v>
      </c>
      <c r="AH508" s="135">
        <v>0.0</v>
      </c>
      <c r="AI508" s="135">
        <v>0.0</v>
      </c>
      <c r="AJ508" s="135">
        <v>0.0</v>
      </c>
      <c r="AK508" s="135">
        <v>0.0</v>
      </c>
      <c r="AL508" s="135">
        <v>0.0</v>
      </c>
      <c r="AM508" s="135">
        <v>0.0</v>
      </c>
      <c r="AN508" s="137">
        <v>0.0</v>
      </c>
    </row>
    <row r="509">
      <c r="A509" s="138" t="s">
        <v>260</v>
      </c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</row>
    <row r="510">
      <c r="A510" s="132" t="s">
        <v>197</v>
      </c>
      <c r="B510" s="133" t="s">
        <v>198</v>
      </c>
      <c r="C510" s="134">
        <v>216108.0</v>
      </c>
      <c r="D510" s="134">
        <v>77730.0</v>
      </c>
      <c r="E510" s="134">
        <v>138378.0</v>
      </c>
      <c r="F510" s="135">
        <v>0.0</v>
      </c>
      <c r="G510" s="135">
        <v>0.0</v>
      </c>
      <c r="H510" s="135">
        <v>0.0</v>
      </c>
      <c r="I510" s="135">
        <v>0.0</v>
      </c>
      <c r="J510" s="135">
        <v>0.0</v>
      </c>
      <c r="K510" s="135">
        <v>0.0</v>
      </c>
      <c r="L510" s="137">
        <v>146.0</v>
      </c>
      <c r="M510" s="137">
        <v>264.0</v>
      </c>
      <c r="N510" s="137">
        <v>194.0</v>
      </c>
      <c r="O510" s="137">
        <v>544.0</v>
      </c>
      <c r="P510" s="137">
        <v>540.0</v>
      </c>
      <c r="Q510" s="134">
        <v>1156.0</v>
      </c>
      <c r="R510" s="137">
        <v>746.0</v>
      </c>
      <c r="S510" s="134">
        <v>1746.0</v>
      </c>
      <c r="T510" s="134">
        <v>1438.0</v>
      </c>
      <c r="U510" s="134">
        <v>3216.0</v>
      </c>
      <c r="V510" s="134">
        <v>2468.0</v>
      </c>
      <c r="W510" s="134">
        <v>5728.0</v>
      </c>
      <c r="X510" s="134">
        <v>4554.0</v>
      </c>
      <c r="Y510" s="134">
        <v>10874.0</v>
      </c>
      <c r="Z510" s="134">
        <v>7758.0</v>
      </c>
      <c r="AA510" s="134">
        <v>16482.0</v>
      </c>
      <c r="AB510" s="134">
        <v>10138.0</v>
      </c>
      <c r="AC510" s="134">
        <v>18938.0</v>
      </c>
      <c r="AD510" s="134">
        <v>10926.0</v>
      </c>
      <c r="AE510" s="134">
        <v>18730.0</v>
      </c>
      <c r="AF510" s="134">
        <v>10794.0</v>
      </c>
      <c r="AG510" s="134">
        <v>18078.0</v>
      </c>
      <c r="AH510" s="134">
        <v>10540.0</v>
      </c>
      <c r="AI510" s="134">
        <v>15840.0</v>
      </c>
      <c r="AJ510" s="134">
        <v>8682.0</v>
      </c>
      <c r="AK510" s="134">
        <v>12540.0</v>
      </c>
      <c r="AL510" s="134">
        <v>8806.0</v>
      </c>
      <c r="AM510" s="134">
        <v>14242.0</v>
      </c>
      <c r="AN510" s="134">
        <v>215966.0</v>
      </c>
    </row>
    <row r="511">
      <c r="A511" s="98"/>
      <c r="B511" s="136" t="s">
        <v>199</v>
      </c>
      <c r="C511" s="134">
        <v>83516.0</v>
      </c>
      <c r="D511" s="134">
        <v>31214.0</v>
      </c>
      <c r="E511" s="134">
        <v>52302.0</v>
      </c>
      <c r="F511" s="135">
        <v>0.0</v>
      </c>
      <c r="G511" s="135">
        <v>0.0</v>
      </c>
      <c r="H511" s="135">
        <v>0.0</v>
      </c>
      <c r="I511" s="135">
        <v>0.0</v>
      </c>
      <c r="J511" s="135">
        <v>0.0</v>
      </c>
      <c r="K511" s="135">
        <v>0.0</v>
      </c>
      <c r="L511" s="137">
        <v>18.0</v>
      </c>
      <c r="M511" s="137">
        <v>54.0</v>
      </c>
      <c r="N511" s="137">
        <v>66.0</v>
      </c>
      <c r="O511" s="137">
        <v>112.0</v>
      </c>
      <c r="P511" s="137">
        <v>120.0</v>
      </c>
      <c r="Q511" s="137">
        <v>286.0</v>
      </c>
      <c r="R511" s="137">
        <v>244.0</v>
      </c>
      <c r="S511" s="137">
        <v>520.0</v>
      </c>
      <c r="T511" s="137">
        <v>474.0</v>
      </c>
      <c r="U511" s="134">
        <v>1016.0</v>
      </c>
      <c r="V511" s="137">
        <v>866.0</v>
      </c>
      <c r="W511" s="134">
        <v>1878.0</v>
      </c>
      <c r="X511" s="134">
        <v>1556.0</v>
      </c>
      <c r="Y511" s="134">
        <v>3824.0</v>
      </c>
      <c r="Z511" s="134">
        <v>2970.0</v>
      </c>
      <c r="AA511" s="134">
        <v>6106.0</v>
      </c>
      <c r="AB511" s="134">
        <v>4006.0</v>
      </c>
      <c r="AC511" s="134">
        <v>7010.0</v>
      </c>
      <c r="AD511" s="134">
        <v>4324.0</v>
      </c>
      <c r="AE511" s="134">
        <v>7482.0</v>
      </c>
      <c r="AF511" s="134">
        <v>4416.0</v>
      </c>
      <c r="AG511" s="134">
        <v>7054.0</v>
      </c>
      <c r="AH511" s="134">
        <v>4468.0</v>
      </c>
      <c r="AI511" s="134">
        <v>6306.0</v>
      </c>
      <c r="AJ511" s="134">
        <v>3784.0</v>
      </c>
      <c r="AK511" s="134">
        <v>5062.0</v>
      </c>
      <c r="AL511" s="134">
        <v>3902.0</v>
      </c>
      <c r="AM511" s="134">
        <v>5592.0</v>
      </c>
      <c r="AN511" s="134">
        <v>83412.0</v>
      </c>
    </row>
    <row r="512">
      <c r="A512" s="98"/>
      <c r="B512" s="136" t="s">
        <v>200</v>
      </c>
      <c r="C512" s="134">
        <v>79998.0</v>
      </c>
      <c r="D512" s="134">
        <v>26636.0</v>
      </c>
      <c r="E512" s="134">
        <v>53362.0</v>
      </c>
      <c r="F512" s="135">
        <v>0.0</v>
      </c>
      <c r="G512" s="135">
        <v>0.0</v>
      </c>
      <c r="H512" s="135">
        <v>0.0</v>
      </c>
      <c r="I512" s="135">
        <v>0.0</v>
      </c>
      <c r="J512" s="135">
        <v>0.0</v>
      </c>
      <c r="K512" s="135">
        <v>0.0</v>
      </c>
      <c r="L512" s="137">
        <v>82.0</v>
      </c>
      <c r="M512" s="137">
        <v>114.0</v>
      </c>
      <c r="N512" s="137">
        <v>80.0</v>
      </c>
      <c r="O512" s="137">
        <v>272.0</v>
      </c>
      <c r="P512" s="137">
        <v>228.0</v>
      </c>
      <c r="Q512" s="137">
        <v>668.0</v>
      </c>
      <c r="R512" s="137">
        <v>312.0</v>
      </c>
      <c r="S512" s="137">
        <v>906.0</v>
      </c>
      <c r="T512" s="137">
        <v>492.0</v>
      </c>
      <c r="U512" s="134">
        <v>1572.0</v>
      </c>
      <c r="V512" s="134">
        <v>1030.0</v>
      </c>
      <c r="W512" s="134">
        <v>2540.0</v>
      </c>
      <c r="X512" s="134">
        <v>1748.0</v>
      </c>
      <c r="Y512" s="134">
        <v>5010.0</v>
      </c>
      <c r="Z512" s="134">
        <v>2898.0</v>
      </c>
      <c r="AA512" s="134">
        <v>6806.0</v>
      </c>
      <c r="AB512" s="134">
        <v>3558.0</v>
      </c>
      <c r="AC512" s="134">
        <v>7606.0</v>
      </c>
      <c r="AD512" s="134">
        <v>3666.0</v>
      </c>
      <c r="AE512" s="134">
        <v>7324.0</v>
      </c>
      <c r="AF512" s="134">
        <v>3698.0</v>
      </c>
      <c r="AG512" s="134">
        <v>6638.0</v>
      </c>
      <c r="AH512" s="134">
        <v>3584.0</v>
      </c>
      <c r="AI512" s="134">
        <v>5774.0</v>
      </c>
      <c r="AJ512" s="134">
        <v>2844.0</v>
      </c>
      <c r="AK512" s="134">
        <v>4054.0</v>
      </c>
      <c r="AL512" s="134">
        <v>2416.0</v>
      </c>
      <c r="AM512" s="134">
        <v>4078.0</v>
      </c>
      <c r="AN512" s="134">
        <v>79528.0</v>
      </c>
    </row>
    <row r="513">
      <c r="A513" s="104"/>
      <c r="B513" s="136" t="s">
        <v>201</v>
      </c>
      <c r="C513" s="137">
        <v>576.0</v>
      </c>
      <c r="D513" s="137">
        <v>294.0</v>
      </c>
      <c r="E513" s="137">
        <v>282.0</v>
      </c>
      <c r="F513" s="135">
        <v>0.0</v>
      </c>
      <c r="G513" s="135">
        <v>0.0</v>
      </c>
      <c r="H513" s="135">
        <v>0.0</v>
      </c>
      <c r="I513" s="135">
        <v>0.0</v>
      </c>
      <c r="J513" s="135">
        <v>0.0</v>
      </c>
      <c r="K513" s="135">
        <v>0.0</v>
      </c>
      <c r="L513" s="137">
        <v>0.0</v>
      </c>
      <c r="M513" s="137">
        <v>0.0</v>
      </c>
      <c r="N513" s="137">
        <v>0.0</v>
      </c>
      <c r="O513" s="137">
        <v>2.0</v>
      </c>
      <c r="P513" s="137">
        <v>0.0</v>
      </c>
      <c r="Q513" s="137">
        <v>4.0</v>
      </c>
      <c r="R513" s="137">
        <v>0.0</v>
      </c>
      <c r="S513" s="137">
        <v>4.0</v>
      </c>
      <c r="T513" s="137">
        <v>8.0</v>
      </c>
      <c r="U513" s="137">
        <v>6.0</v>
      </c>
      <c r="V513" s="137">
        <v>8.0</v>
      </c>
      <c r="W513" s="137">
        <v>44.0</v>
      </c>
      <c r="X513" s="137">
        <v>14.0</v>
      </c>
      <c r="Y513" s="137">
        <v>20.0</v>
      </c>
      <c r="Z513" s="137">
        <v>16.0</v>
      </c>
      <c r="AA513" s="137">
        <v>42.0</v>
      </c>
      <c r="AB513" s="137">
        <v>52.0</v>
      </c>
      <c r="AC513" s="137">
        <v>12.0</v>
      </c>
      <c r="AD513" s="137">
        <v>18.0</v>
      </c>
      <c r="AE513" s="137">
        <v>84.0</v>
      </c>
      <c r="AF513" s="137">
        <v>40.0</v>
      </c>
      <c r="AG513" s="137">
        <v>18.0</v>
      </c>
      <c r="AH513" s="137">
        <v>52.0</v>
      </c>
      <c r="AI513" s="137">
        <v>16.0</v>
      </c>
      <c r="AJ513" s="137">
        <v>54.0</v>
      </c>
      <c r="AK513" s="137">
        <v>16.0</v>
      </c>
      <c r="AL513" s="137">
        <v>32.0</v>
      </c>
      <c r="AM513" s="137">
        <v>14.0</v>
      </c>
      <c r="AN513" s="137">
        <v>576.0</v>
      </c>
    </row>
    <row r="514">
      <c r="A514" s="132" t="s">
        <v>202</v>
      </c>
      <c r="B514" s="136" t="s">
        <v>198</v>
      </c>
      <c r="C514" s="137">
        <v>140.0</v>
      </c>
      <c r="D514" s="137">
        <v>96.0</v>
      </c>
      <c r="E514" s="137">
        <v>44.0</v>
      </c>
      <c r="F514" s="137">
        <v>0.0</v>
      </c>
      <c r="G514" s="137">
        <v>0.0</v>
      </c>
      <c r="H514" s="137">
        <v>0.0</v>
      </c>
      <c r="I514" s="137">
        <v>4.0</v>
      </c>
      <c r="J514" s="137">
        <v>0.0</v>
      </c>
      <c r="K514" s="137">
        <v>0.0</v>
      </c>
      <c r="L514" s="137">
        <v>4.0</v>
      </c>
      <c r="M514" s="137">
        <v>0.0</v>
      </c>
      <c r="N514" s="137">
        <v>0.0</v>
      </c>
      <c r="O514" s="137">
        <v>0.0</v>
      </c>
      <c r="P514" s="137">
        <v>0.0</v>
      </c>
      <c r="Q514" s="137">
        <v>0.0</v>
      </c>
      <c r="R514" s="137">
        <v>18.0</v>
      </c>
      <c r="S514" s="137">
        <v>0.0</v>
      </c>
      <c r="T514" s="137">
        <v>10.0</v>
      </c>
      <c r="U514" s="137">
        <v>2.0</v>
      </c>
      <c r="V514" s="137">
        <v>0.0</v>
      </c>
      <c r="W514" s="137">
        <v>10.0</v>
      </c>
      <c r="X514" s="137">
        <v>20.0</v>
      </c>
      <c r="Y514" s="137">
        <v>0.0</v>
      </c>
      <c r="Z514" s="137">
        <v>0.0</v>
      </c>
      <c r="AA514" s="137">
        <v>18.0</v>
      </c>
      <c r="AB514" s="137">
        <v>8.0</v>
      </c>
      <c r="AC514" s="137">
        <v>4.0</v>
      </c>
      <c r="AD514" s="137">
        <v>14.0</v>
      </c>
      <c r="AE514" s="137">
        <v>0.0</v>
      </c>
      <c r="AF514" s="137">
        <v>6.0</v>
      </c>
      <c r="AG514" s="137">
        <v>2.0</v>
      </c>
      <c r="AH514" s="137">
        <v>0.0</v>
      </c>
      <c r="AI514" s="137">
        <v>0.0</v>
      </c>
      <c r="AJ514" s="137">
        <v>0.0</v>
      </c>
      <c r="AK514" s="137">
        <v>2.0</v>
      </c>
      <c r="AL514" s="137">
        <v>16.0</v>
      </c>
      <c r="AM514" s="137">
        <v>2.0</v>
      </c>
      <c r="AN514" s="137">
        <v>140.0</v>
      </c>
    </row>
    <row r="515">
      <c r="A515" s="104"/>
      <c r="B515" s="136" t="s">
        <v>199</v>
      </c>
      <c r="C515" s="137">
        <v>104.0</v>
      </c>
      <c r="D515" s="137">
        <v>62.0</v>
      </c>
      <c r="E515" s="137">
        <v>42.0</v>
      </c>
      <c r="F515" s="137">
        <v>0.0</v>
      </c>
      <c r="G515" s="137">
        <v>0.0</v>
      </c>
      <c r="H515" s="137">
        <v>0.0</v>
      </c>
      <c r="I515" s="137">
        <v>0.0</v>
      </c>
      <c r="J515" s="137">
        <v>0.0</v>
      </c>
      <c r="K515" s="137">
        <v>0.0</v>
      </c>
      <c r="L515" s="137">
        <v>2.0</v>
      </c>
      <c r="M515" s="137">
        <v>6.0</v>
      </c>
      <c r="N515" s="137">
        <v>0.0</v>
      </c>
      <c r="O515" s="137">
        <v>8.0</v>
      </c>
      <c r="P515" s="137">
        <v>2.0</v>
      </c>
      <c r="Q515" s="137">
        <v>0.0</v>
      </c>
      <c r="R515" s="137">
        <v>18.0</v>
      </c>
      <c r="S515" s="137">
        <v>0.0</v>
      </c>
      <c r="T515" s="137">
        <v>12.0</v>
      </c>
      <c r="U515" s="137">
        <v>12.0</v>
      </c>
      <c r="V515" s="137">
        <v>0.0</v>
      </c>
      <c r="W515" s="137">
        <v>12.0</v>
      </c>
      <c r="X515" s="137">
        <v>18.0</v>
      </c>
      <c r="Y515" s="137">
        <v>0.0</v>
      </c>
      <c r="Z515" s="137">
        <v>0.0</v>
      </c>
      <c r="AA515" s="137">
        <v>0.0</v>
      </c>
      <c r="AB515" s="137">
        <v>0.0</v>
      </c>
      <c r="AC515" s="137">
        <v>0.0</v>
      </c>
      <c r="AD515" s="137">
        <v>4.0</v>
      </c>
      <c r="AE515" s="137">
        <v>2.0</v>
      </c>
      <c r="AF515" s="137">
        <v>4.0</v>
      </c>
      <c r="AG515" s="137">
        <v>0.0</v>
      </c>
      <c r="AH515" s="137">
        <v>0.0</v>
      </c>
      <c r="AI515" s="137">
        <v>2.0</v>
      </c>
      <c r="AJ515" s="137">
        <v>0.0</v>
      </c>
      <c r="AK515" s="137">
        <v>0.0</v>
      </c>
      <c r="AL515" s="137">
        <v>2.0</v>
      </c>
      <c r="AM515" s="137">
        <v>0.0</v>
      </c>
      <c r="AN515" s="137">
        <v>104.0</v>
      </c>
    </row>
    <row r="516">
      <c r="A516" s="132" t="s">
        <v>203</v>
      </c>
      <c r="B516" s="136" t="s">
        <v>198</v>
      </c>
      <c r="C516" s="137">
        <v>46.0</v>
      </c>
      <c r="D516" s="137">
        <v>22.0</v>
      </c>
      <c r="E516" s="137">
        <v>24.0</v>
      </c>
      <c r="F516" s="135">
        <v>0.0</v>
      </c>
      <c r="G516" s="135">
        <v>0.0</v>
      </c>
      <c r="H516" s="135">
        <v>0.0</v>
      </c>
      <c r="I516" s="135">
        <v>0.0</v>
      </c>
      <c r="J516" s="135">
        <v>0.0</v>
      </c>
      <c r="K516" s="135">
        <v>0.0</v>
      </c>
      <c r="L516" s="135">
        <v>0.0</v>
      </c>
      <c r="M516" s="135">
        <v>0.0</v>
      </c>
      <c r="N516" s="135">
        <v>0.0</v>
      </c>
      <c r="O516" s="135">
        <v>0.0</v>
      </c>
      <c r="P516" s="135">
        <v>0.0</v>
      </c>
      <c r="Q516" s="135">
        <v>0.0</v>
      </c>
      <c r="R516" s="135">
        <v>0.0</v>
      </c>
      <c r="S516" s="135">
        <v>0.0</v>
      </c>
      <c r="T516" s="135">
        <v>0.0</v>
      </c>
      <c r="U516" s="135">
        <v>0.0</v>
      </c>
      <c r="V516" s="135">
        <v>0.0</v>
      </c>
      <c r="W516" s="135">
        <v>0.0</v>
      </c>
      <c r="X516" s="135">
        <v>0.0</v>
      </c>
      <c r="Y516" s="135">
        <v>0.0</v>
      </c>
      <c r="Z516" s="135">
        <v>0.0</v>
      </c>
      <c r="AA516" s="135">
        <v>0.0</v>
      </c>
      <c r="AB516" s="135">
        <v>0.0</v>
      </c>
      <c r="AC516" s="135">
        <v>0.0</v>
      </c>
      <c r="AD516" s="135">
        <v>0.0</v>
      </c>
      <c r="AE516" s="135">
        <v>0.0</v>
      </c>
      <c r="AF516" s="137">
        <v>12.0</v>
      </c>
      <c r="AG516" s="137">
        <v>4.0</v>
      </c>
      <c r="AH516" s="137">
        <v>8.0</v>
      </c>
      <c r="AI516" s="137">
        <v>8.0</v>
      </c>
      <c r="AJ516" s="137">
        <v>0.0</v>
      </c>
      <c r="AK516" s="137">
        <v>4.0</v>
      </c>
      <c r="AL516" s="137">
        <v>2.0</v>
      </c>
      <c r="AM516" s="137">
        <v>8.0</v>
      </c>
      <c r="AN516" s="137">
        <v>46.0</v>
      </c>
    </row>
    <row r="517">
      <c r="A517" s="104"/>
      <c r="B517" s="136" t="s">
        <v>199</v>
      </c>
      <c r="C517" s="134">
        <v>2432.0</v>
      </c>
      <c r="D517" s="134">
        <v>1054.0</v>
      </c>
      <c r="E517" s="134">
        <v>1378.0</v>
      </c>
      <c r="F517" s="135">
        <v>0.0</v>
      </c>
      <c r="G517" s="135">
        <v>0.0</v>
      </c>
      <c r="H517" s="135">
        <v>0.0</v>
      </c>
      <c r="I517" s="135">
        <v>0.0</v>
      </c>
      <c r="J517" s="135">
        <v>0.0</v>
      </c>
      <c r="K517" s="135">
        <v>0.0</v>
      </c>
      <c r="L517" s="135">
        <v>0.0</v>
      </c>
      <c r="M517" s="135">
        <v>0.0</v>
      </c>
      <c r="N517" s="135">
        <v>0.0</v>
      </c>
      <c r="O517" s="135">
        <v>0.0</v>
      </c>
      <c r="P517" s="135">
        <v>0.0</v>
      </c>
      <c r="Q517" s="135">
        <v>0.0</v>
      </c>
      <c r="R517" s="135">
        <v>0.0</v>
      </c>
      <c r="S517" s="135">
        <v>0.0</v>
      </c>
      <c r="T517" s="135">
        <v>0.0</v>
      </c>
      <c r="U517" s="135">
        <v>0.0</v>
      </c>
      <c r="V517" s="135">
        <v>0.0</v>
      </c>
      <c r="W517" s="135">
        <v>0.0</v>
      </c>
      <c r="X517" s="135">
        <v>0.0</v>
      </c>
      <c r="Y517" s="135">
        <v>0.0</v>
      </c>
      <c r="Z517" s="135">
        <v>0.0</v>
      </c>
      <c r="AA517" s="135">
        <v>0.0</v>
      </c>
      <c r="AB517" s="135">
        <v>0.0</v>
      </c>
      <c r="AC517" s="135">
        <v>0.0</v>
      </c>
      <c r="AD517" s="135">
        <v>0.0</v>
      </c>
      <c r="AE517" s="135">
        <v>0.0</v>
      </c>
      <c r="AF517" s="137">
        <v>278.0</v>
      </c>
      <c r="AG517" s="137">
        <v>472.0</v>
      </c>
      <c r="AH517" s="137">
        <v>268.0</v>
      </c>
      <c r="AI517" s="137">
        <v>400.0</v>
      </c>
      <c r="AJ517" s="137">
        <v>300.0</v>
      </c>
      <c r="AK517" s="137">
        <v>326.0</v>
      </c>
      <c r="AL517" s="137">
        <v>208.0</v>
      </c>
      <c r="AM517" s="137">
        <v>180.0</v>
      </c>
      <c r="AN517" s="134">
        <v>2432.0</v>
      </c>
    </row>
    <row r="518">
      <c r="A518" s="132" t="s">
        <v>204</v>
      </c>
      <c r="B518" s="136" t="s">
        <v>198</v>
      </c>
      <c r="C518" s="137">
        <v>8.0</v>
      </c>
      <c r="D518" s="137">
        <v>4.0</v>
      </c>
      <c r="E518" s="137">
        <v>4.0</v>
      </c>
      <c r="F518" s="135">
        <v>0.0</v>
      </c>
      <c r="G518" s="135">
        <v>0.0</v>
      </c>
      <c r="H518" s="135">
        <v>0.0</v>
      </c>
      <c r="I518" s="135">
        <v>0.0</v>
      </c>
      <c r="J518" s="135">
        <v>0.0</v>
      </c>
      <c r="K518" s="135">
        <v>0.0</v>
      </c>
      <c r="L518" s="135">
        <v>0.0</v>
      </c>
      <c r="M518" s="135">
        <v>0.0</v>
      </c>
      <c r="N518" s="135">
        <v>0.0</v>
      </c>
      <c r="O518" s="135">
        <v>0.0</v>
      </c>
      <c r="P518" s="135">
        <v>0.0</v>
      </c>
      <c r="Q518" s="135">
        <v>0.0</v>
      </c>
      <c r="R518" s="135">
        <v>0.0</v>
      </c>
      <c r="S518" s="135">
        <v>0.0</v>
      </c>
      <c r="T518" s="135">
        <v>0.0</v>
      </c>
      <c r="U518" s="135">
        <v>0.0</v>
      </c>
      <c r="V518" s="135">
        <v>0.0</v>
      </c>
      <c r="W518" s="135">
        <v>0.0</v>
      </c>
      <c r="X518" s="135">
        <v>0.0</v>
      </c>
      <c r="Y518" s="135">
        <v>0.0</v>
      </c>
      <c r="Z518" s="135">
        <v>0.0</v>
      </c>
      <c r="AA518" s="135">
        <v>0.0</v>
      </c>
      <c r="AB518" s="135">
        <v>0.0</v>
      </c>
      <c r="AC518" s="135">
        <v>0.0</v>
      </c>
      <c r="AD518" s="135">
        <v>0.0</v>
      </c>
      <c r="AE518" s="135">
        <v>0.0</v>
      </c>
      <c r="AF518" s="137">
        <v>2.0</v>
      </c>
      <c r="AG518" s="137">
        <v>2.0</v>
      </c>
      <c r="AH518" s="137">
        <v>0.0</v>
      </c>
      <c r="AI518" s="137">
        <v>0.0</v>
      </c>
      <c r="AJ518" s="137">
        <v>0.0</v>
      </c>
      <c r="AK518" s="137">
        <v>0.0</v>
      </c>
      <c r="AL518" s="137">
        <v>2.0</v>
      </c>
      <c r="AM518" s="137">
        <v>2.0</v>
      </c>
      <c r="AN518" s="137">
        <v>8.0</v>
      </c>
    </row>
    <row r="519">
      <c r="A519" s="104"/>
      <c r="B519" s="136" t="s">
        <v>199</v>
      </c>
      <c r="C519" s="134">
        <v>1114.0</v>
      </c>
      <c r="D519" s="137">
        <v>454.0</v>
      </c>
      <c r="E519" s="137">
        <v>660.0</v>
      </c>
      <c r="F519" s="135">
        <v>0.0</v>
      </c>
      <c r="G519" s="135">
        <v>0.0</v>
      </c>
      <c r="H519" s="135">
        <v>0.0</v>
      </c>
      <c r="I519" s="135">
        <v>0.0</v>
      </c>
      <c r="J519" s="135">
        <v>0.0</v>
      </c>
      <c r="K519" s="135">
        <v>0.0</v>
      </c>
      <c r="L519" s="135">
        <v>0.0</v>
      </c>
      <c r="M519" s="135">
        <v>0.0</v>
      </c>
      <c r="N519" s="135">
        <v>0.0</v>
      </c>
      <c r="O519" s="135">
        <v>0.0</v>
      </c>
      <c r="P519" s="135">
        <v>0.0</v>
      </c>
      <c r="Q519" s="135">
        <v>0.0</v>
      </c>
      <c r="R519" s="135">
        <v>0.0</v>
      </c>
      <c r="S519" s="135">
        <v>0.0</v>
      </c>
      <c r="T519" s="135">
        <v>0.0</v>
      </c>
      <c r="U519" s="135">
        <v>0.0</v>
      </c>
      <c r="V519" s="135">
        <v>0.0</v>
      </c>
      <c r="W519" s="135">
        <v>0.0</v>
      </c>
      <c r="X519" s="135">
        <v>0.0</v>
      </c>
      <c r="Y519" s="135">
        <v>0.0</v>
      </c>
      <c r="Z519" s="135">
        <v>0.0</v>
      </c>
      <c r="AA519" s="135">
        <v>0.0</v>
      </c>
      <c r="AB519" s="135">
        <v>0.0</v>
      </c>
      <c r="AC519" s="135">
        <v>0.0</v>
      </c>
      <c r="AD519" s="135">
        <v>0.0</v>
      </c>
      <c r="AE519" s="135">
        <v>0.0</v>
      </c>
      <c r="AF519" s="137">
        <v>74.0</v>
      </c>
      <c r="AG519" s="137">
        <v>102.0</v>
      </c>
      <c r="AH519" s="137">
        <v>134.0</v>
      </c>
      <c r="AI519" s="137">
        <v>156.0</v>
      </c>
      <c r="AJ519" s="137">
        <v>108.0</v>
      </c>
      <c r="AK519" s="137">
        <v>164.0</v>
      </c>
      <c r="AL519" s="137">
        <v>138.0</v>
      </c>
      <c r="AM519" s="137">
        <v>238.0</v>
      </c>
      <c r="AN519" s="134">
        <v>1114.0</v>
      </c>
    </row>
    <row r="520">
      <c r="A520" s="132" t="s">
        <v>205</v>
      </c>
      <c r="B520" s="136" t="s">
        <v>198</v>
      </c>
      <c r="C520" s="137">
        <v>0.0</v>
      </c>
      <c r="D520" s="137">
        <v>0.0</v>
      </c>
      <c r="E520" s="137">
        <v>0.0</v>
      </c>
      <c r="F520" s="137">
        <v>0.0</v>
      </c>
      <c r="G520" s="137">
        <v>0.0</v>
      </c>
      <c r="H520" s="137">
        <v>0.0</v>
      </c>
      <c r="I520" s="137">
        <v>0.0</v>
      </c>
      <c r="J520" s="137">
        <v>0.0</v>
      </c>
      <c r="K520" s="137">
        <v>0.0</v>
      </c>
      <c r="L520" s="137">
        <v>0.0</v>
      </c>
      <c r="M520" s="137">
        <v>0.0</v>
      </c>
      <c r="N520" s="137">
        <v>0.0</v>
      </c>
      <c r="O520" s="137">
        <v>0.0</v>
      </c>
      <c r="P520" s="137">
        <v>0.0</v>
      </c>
      <c r="Q520" s="137">
        <v>0.0</v>
      </c>
      <c r="R520" s="137">
        <v>0.0</v>
      </c>
      <c r="S520" s="137">
        <v>0.0</v>
      </c>
      <c r="T520" s="137">
        <v>0.0</v>
      </c>
      <c r="U520" s="137">
        <v>0.0</v>
      </c>
      <c r="V520" s="137">
        <v>0.0</v>
      </c>
      <c r="W520" s="137">
        <v>0.0</v>
      </c>
      <c r="X520" s="137">
        <v>0.0</v>
      </c>
      <c r="Y520" s="137">
        <v>0.0</v>
      </c>
      <c r="Z520" s="137">
        <v>0.0</v>
      </c>
      <c r="AA520" s="137">
        <v>0.0</v>
      </c>
      <c r="AB520" s="137">
        <v>0.0</v>
      </c>
      <c r="AC520" s="137">
        <v>0.0</v>
      </c>
      <c r="AD520" s="137">
        <v>0.0</v>
      </c>
      <c r="AE520" s="137">
        <v>0.0</v>
      </c>
      <c r="AF520" s="137">
        <v>0.0</v>
      </c>
      <c r="AG520" s="137">
        <v>0.0</v>
      </c>
      <c r="AH520" s="137">
        <v>0.0</v>
      </c>
      <c r="AI520" s="137">
        <v>0.0</v>
      </c>
      <c r="AJ520" s="137">
        <v>0.0</v>
      </c>
      <c r="AK520" s="137">
        <v>0.0</v>
      </c>
      <c r="AL520" s="137">
        <v>0.0</v>
      </c>
      <c r="AM520" s="137">
        <v>0.0</v>
      </c>
      <c r="AN520" s="137">
        <v>0.0</v>
      </c>
    </row>
    <row r="521">
      <c r="A521" s="98"/>
      <c r="B521" s="136" t="s">
        <v>199</v>
      </c>
      <c r="C521" s="137">
        <v>0.0</v>
      </c>
      <c r="D521" s="137">
        <v>0.0</v>
      </c>
      <c r="E521" s="137">
        <v>0.0</v>
      </c>
      <c r="F521" s="137">
        <v>0.0</v>
      </c>
      <c r="G521" s="137">
        <v>0.0</v>
      </c>
      <c r="H521" s="137">
        <v>0.0</v>
      </c>
      <c r="I521" s="137">
        <v>0.0</v>
      </c>
      <c r="J521" s="137">
        <v>0.0</v>
      </c>
      <c r="K521" s="137">
        <v>0.0</v>
      </c>
      <c r="L521" s="137">
        <v>0.0</v>
      </c>
      <c r="M521" s="137">
        <v>0.0</v>
      </c>
      <c r="N521" s="137">
        <v>0.0</v>
      </c>
      <c r="O521" s="137">
        <v>0.0</v>
      </c>
      <c r="P521" s="137">
        <v>0.0</v>
      </c>
      <c r="Q521" s="137">
        <v>0.0</v>
      </c>
      <c r="R521" s="137">
        <v>0.0</v>
      </c>
      <c r="S521" s="137">
        <v>0.0</v>
      </c>
      <c r="T521" s="137">
        <v>0.0</v>
      </c>
      <c r="U521" s="137">
        <v>0.0</v>
      </c>
      <c r="V521" s="137">
        <v>0.0</v>
      </c>
      <c r="W521" s="137">
        <v>0.0</v>
      </c>
      <c r="X521" s="137">
        <v>0.0</v>
      </c>
      <c r="Y521" s="137">
        <v>0.0</v>
      </c>
      <c r="Z521" s="137">
        <v>0.0</v>
      </c>
      <c r="AA521" s="137">
        <v>0.0</v>
      </c>
      <c r="AB521" s="137">
        <v>0.0</v>
      </c>
      <c r="AC521" s="137">
        <v>0.0</v>
      </c>
      <c r="AD521" s="137">
        <v>0.0</v>
      </c>
      <c r="AE521" s="137">
        <v>0.0</v>
      </c>
      <c r="AF521" s="137">
        <v>0.0</v>
      </c>
      <c r="AG521" s="137">
        <v>0.0</v>
      </c>
      <c r="AH521" s="137">
        <v>0.0</v>
      </c>
      <c r="AI521" s="137">
        <v>0.0</v>
      </c>
      <c r="AJ521" s="137">
        <v>0.0</v>
      </c>
      <c r="AK521" s="137">
        <v>0.0</v>
      </c>
      <c r="AL521" s="137">
        <v>0.0</v>
      </c>
      <c r="AM521" s="137">
        <v>0.0</v>
      </c>
      <c r="AN521" s="137">
        <v>0.0</v>
      </c>
    </row>
    <row r="522">
      <c r="A522" s="104"/>
      <c r="B522" s="136" t="s">
        <v>206</v>
      </c>
      <c r="C522" s="137">
        <v>118.0</v>
      </c>
      <c r="D522" s="137">
        <v>10.0</v>
      </c>
      <c r="E522" s="137">
        <v>108.0</v>
      </c>
      <c r="F522" s="137">
        <v>0.0</v>
      </c>
      <c r="G522" s="137">
        <v>2.0</v>
      </c>
      <c r="H522" s="137">
        <v>0.0</v>
      </c>
      <c r="I522" s="137">
        <v>0.0</v>
      </c>
      <c r="J522" s="137">
        <v>0.0</v>
      </c>
      <c r="K522" s="137">
        <v>0.0</v>
      </c>
      <c r="L522" s="137">
        <v>0.0</v>
      </c>
      <c r="M522" s="137">
        <v>14.0</v>
      </c>
      <c r="N522" s="137">
        <v>0.0</v>
      </c>
      <c r="O522" s="137">
        <v>18.0</v>
      </c>
      <c r="P522" s="137">
        <v>6.0</v>
      </c>
      <c r="Q522" s="137">
        <v>16.0</v>
      </c>
      <c r="R522" s="137">
        <v>2.0</v>
      </c>
      <c r="S522" s="137">
        <v>8.0</v>
      </c>
      <c r="T522" s="137">
        <v>0.0</v>
      </c>
      <c r="U522" s="137">
        <v>6.0</v>
      </c>
      <c r="V522" s="137">
        <v>2.0</v>
      </c>
      <c r="W522" s="137">
        <v>34.0</v>
      </c>
      <c r="X522" s="137">
        <v>0.0</v>
      </c>
      <c r="Y522" s="137">
        <v>2.0</v>
      </c>
      <c r="Z522" s="137">
        <v>0.0</v>
      </c>
      <c r="AA522" s="137">
        <v>2.0</v>
      </c>
      <c r="AB522" s="137">
        <v>0.0</v>
      </c>
      <c r="AC522" s="137">
        <v>6.0</v>
      </c>
      <c r="AD522" s="137">
        <v>0.0</v>
      </c>
      <c r="AE522" s="137">
        <v>0.0</v>
      </c>
      <c r="AF522" s="137">
        <v>0.0</v>
      </c>
      <c r="AG522" s="137">
        <v>0.0</v>
      </c>
      <c r="AH522" s="137">
        <v>0.0</v>
      </c>
      <c r="AI522" s="137">
        <v>0.0</v>
      </c>
      <c r="AJ522" s="137">
        <v>0.0</v>
      </c>
      <c r="AK522" s="137">
        <v>0.0</v>
      </c>
      <c r="AL522" s="137">
        <v>0.0</v>
      </c>
      <c r="AM522" s="137">
        <v>0.0</v>
      </c>
      <c r="AN522" s="137">
        <v>118.0</v>
      </c>
    </row>
    <row r="523">
      <c r="A523" s="132" t="s">
        <v>207</v>
      </c>
      <c r="B523" s="136" t="s">
        <v>198</v>
      </c>
      <c r="C523" s="134">
        <v>20670.0</v>
      </c>
      <c r="D523" s="134">
        <v>5134.0</v>
      </c>
      <c r="E523" s="134">
        <v>15536.0</v>
      </c>
      <c r="F523" s="137">
        <v>118.0</v>
      </c>
      <c r="G523" s="137">
        <v>104.0</v>
      </c>
      <c r="H523" s="137">
        <v>110.0</v>
      </c>
      <c r="I523" s="137">
        <v>148.0</v>
      </c>
      <c r="J523" s="137">
        <v>186.0</v>
      </c>
      <c r="K523" s="137">
        <v>248.0</v>
      </c>
      <c r="L523" s="137">
        <v>196.0</v>
      </c>
      <c r="M523" s="137">
        <v>386.0</v>
      </c>
      <c r="N523" s="137">
        <v>200.0</v>
      </c>
      <c r="O523" s="137">
        <v>544.0</v>
      </c>
      <c r="P523" s="137">
        <v>246.0</v>
      </c>
      <c r="Q523" s="137">
        <v>862.0</v>
      </c>
      <c r="R523" s="137">
        <v>250.0</v>
      </c>
      <c r="S523" s="137">
        <v>826.0</v>
      </c>
      <c r="T523" s="137">
        <v>228.0</v>
      </c>
      <c r="U523" s="137">
        <v>984.0</v>
      </c>
      <c r="V523" s="137">
        <v>256.0</v>
      </c>
      <c r="W523" s="134">
        <v>1226.0</v>
      </c>
      <c r="X523" s="137">
        <v>432.0</v>
      </c>
      <c r="Y523" s="134">
        <v>1720.0</v>
      </c>
      <c r="Z523" s="137">
        <v>424.0</v>
      </c>
      <c r="AA523" s="134">
        <v>1832.0</v>
      </c>
      <c r="AB523" s="137">
        <v>518.0</v>
      </c>
      <c r="AC523" s="134">
        <v>1656.0</v>
      </c>
      <c r="AD523" s="137">
        <v>486.0</v>
      </c>
      <c r="AE523" s="134">
        <v>1446.0</v>
      </c>
      <c r="AF523" s="137">
        <v>394.0</v>
      </c>
      <c r="AG523" s="134">
        <v>1224.0</v>
      </c>
      <c r="AH523" s="137">
        <v>438.0</v>
      </c>
      <c r="AI523" s="134">
        <v>1004.0</v>
      </c>
      <c r="AJ523" s="137">
        <v>340.0</v>
      </c>
      <c r="AK523" s="137">
        <v>630.0</v>
      </c>
      <c r="AL523" s="137">
        <v>312.0</v>
      </c>
      <c r="AM523" s="137">
        <v>696.0</v>
      </c>
      <c r="AN523" s="134">
        <v>20644.0</v>
      </c>
    </row>
    <row r="524">
      <c r="A524" s="98"/>
      <c r="B524" s="136" t="s">
        <v>199</v>
      </c>
      <c r="C524" s="134">
        <v>2780.0</v>
      </c>
      <c r="D524" s="137">
        <v>978.0</v>
      </c>
      <c r="E524" s="134">
        <v>1802.0</v>
      </c>
      <c r="F524" s="137">
        <v>92.0</v>
      </c>
      <c r="G524" s="137">
        <v>56.0</v>
      </c>
      <c r="H524" s="137">
        <v>36.0</v>
      </c>
      <c r="I524" s="137">
        <v>20.0</v>
      </c>
      <c r="J524" s="137">
        <v>0.0</v>
      </c>
      <c r="K524" s="137">
        <v>2.0</v>
      </c>
      <c r="L524" s="137">
        <v>6.0</v>
      </c>
      <c r="M524" s="137">
        <v>10.0</v>
      </c>
      <c r="N524" s="137">
        <v>34.0</v>
      </c>
      <c r="O524" s="137">
        <v>56.0</v>
      </c>
      <c r="P524" s="137">
        <v>44.0</v>
      </c>
      <c r="Q524" s="137">
        <v>86.0</v>
      </c>
      <c r="R524" s="137">
        <v>42.0</v>
      </c>
      <c r="S524" s="137">
        <v>66.0</v>
      </c>
      <c r="T524" s="137">
        <v>60.0</v>
      </c>
      <c r="U524" s="137">
        <v>80.0</v>
      </c>
      <c r="V524" s="137">
        <v>34.0</v>
      </c>
      <c r="W524" s="137">
        <v>110.0</v>
      </c>
      <c r="X524" s="137">
        <v>64.0</v>
      </c>
      <c r="Y524" s="137">
        <v>164.0</v>
      </c>
      <c r="Z524" s="137">
        <v>74.0</v>
      </c>
      <c r="AA524" s="137">
        <v>178.0</v>
      </c>
      <c r="AB524" s="137">
        <v>96.0</v>
      </c>
      <c r="AC524" s="137">
        <v>192.0</v>
      </c>
      <c r="AD524" s="137">
        <v>88.0</v>
      </c>
      <c r="AE524" s="137">
        <v>182.0</v>
      </c>
      <c r="AF524" s="137">
        <v>62.0</v>
      </c>
      <c r="AG524" s="137">
        <v>196.0</v>
      </c>
      <c r="AH524" s="137">
        <v>82.0</v>
      </c>
      <c r="AI524" s="137">
        <v>140.0</v>
      </c>
      <c r="AJ524" s="137">
        <v>82.0</v>
      </c>
      <c r="AK524" s="137">
        <v>124.0</v>
      </c>
      <c r="AL524" s="137">
        <v>82.0</v>
      </c>
      <c r="AM524" s="137">
        <v>140.0</v>
      </c>
      <c r="AN524" s="134">
        <v>2774.0</v>
      </c>
    </row>
    <row r="525">
      <c r="A525" s="98"/>
      <c r="B525" s="136" t="s">
        <v>206</v>
      </c>
      <c r="C525" s="137">
        <v>50.0</v>
      </c>
      <c r="D525" s="137">
        <v>2.0</v>
      </c>
      <c r="E525" s="137">
        <v>48.0</v>
      </c>
      <c r="F525" s="137">
        <v>0.0</v>
      </c>
      <c r="G525" s="137">
        <v>0.0</v>
      </c>
      <c r="H525" s="137">
        <v>0.0</v>
      </c>
      <c r="I525" s="137">
        <v>0.0</v>
      </c>
      <c r="J525" s="137">
        <v>0.0</v>
      </c>
      <c r="K525" s="137">
        <v>0.0</v>
      </c>
      <c r="L525" s="137">
        <v>0.0</v>
      </c>
      <c r="M525" s="137">
        <v>2.0</v>
      </c>
      <c r="N525" s="137">
        <v>0.0</v>
      </c>
      <c r="O525" s="137">
        <v>6.0</v>
      </c>
      <c r="P525" s="137">
        <v>0.0</v>
      </c>
      <c r="Q525" s="137">
        <v>4.0</v>
      </c>
      <c r="R525" s="137">
        <v>0.0</v>
      </c>
      <c r="S525" s="137">
        <v>0.0</v>
      </c>
      <c r="T525" s="137">
        <v>0.0</v>
      </c>
      <c r="U525" s="137">
        <v>6.0</v>
      </c>
      <c r="V525" s="137">
        <v>0.0</v>
      </c>
      <c r="W525" s="137">
        <v>2.0</v>
      </c>
      <c r="X525" s="137">
        <v>0.0</v>
      </c>
      <c r="Y525" s="137">
        <v>2.0</v>
      </c>
      <c r="Z525" s="137">
        <v>2.0</v>
      </c>
      <c r="AA525" s="137">
        <v>4.0</v>
      </c>
      <c r="AB525" s="137">
        <v>0.0</v>
      </c>
      <c r="AC525" s="137">
        <v>10.0</v>
      </c>
      <c r="AD525" s="137">
        <v>0.0</v>
      </c>
      <c r="AE525" s="137">
        <v>6.0</v>
      </c>
      <c r="AF525" s="137">
        <v>0.0</v>
      </c>
      <c r="AG525" s="137">
        <v>4.0</v>
      </c>
      <c r="AH525" s="137">
        <v>0.0</v>
      </c>
      <c r="AI525" s="137">
        <v>0.0</v>
      </c>
      <c r="AJ525" s="137">
        <v>0.0</v>
      </c>
      <c r="AK525" s="137">
        <v>0.0</v>
      </c>
      <c r="AL525" s="137">
        <v>0.0</v>
      </c>
      <c r="AM525" s="137">
        <v>2.0</v>
      </c>
      <c r="AN525" s="137">
        <v>50.0</v>
      </c>
    </row>
    <row r="526">
      <c r="A526" s="98"/>
      <c r="B526" s="136" t="s">
        <v>200</v>
      </c>
      <c r="C526" s="134">
        <v>3158.0</v>
      </c>
      <c r="D526" s="137">
        <v>946.0</v>
      </c>
      <c r="E526" s="134">
        <v>2212.0</v>
      </c>
      <c r="F526" s="137">
        <v>314.0</v>
      </c>
      <c r="G526" s="137">
        <v>226.0</v>
      </c>
      <c r="H526" s="137">
        <v>104.0</v>
      </c>
      <c r="I526" s="137">
        <v>122.0</v>
      </c>
      <c r="J526" s="137">
        <v>62.0</v>
      </c>
      <c r="K526" s="137">
        <v>60.0</v>
      </c>
      <c r="L526" s="137">
        <v>40.0</v>
      </c>
      <c r="M526" s="137">
        <v>66.0</v>
      </c>
      <c r="N526" s="137">
        <v>16.0</v>
      </c>
      <c r="O526" s="137">
        <v>132.0</v>
      </c>
      <c r="P526" s="137">
        <v>16.0</v>
      </c>
      <c r="Q526" s="137">
        <v>206.0</v>
      </c>
      <c r="R526" s="137">
        <v>24.0</v>
      </c>
      <c r="S526" s="137">
        <v>120.0</v>
      </c>
      <c r="T526" s="137">
        <v>30.0</v>
      </c>
      <c r="U526" s="137">
        <v>116.0</v>
      </c>
      <c r="V526" s="137">
        <v>36.0</v>
      </c>
      <c r="W526" s="137">
        <v>144.0</v>
      </c>
      <c r="X526" s="137">
        <v>20.0</v>
      </c>
      <c r="Y526" s="137">
        <v>152.0</v>
      </c>
      <c r="Z526" s="137">
        <v>50.0</v>
      </c>
      <c r="AA526" s="137">
        <v>188.0</v>
      </c>
      <c r="AB526" s="137">
        <v>40.0</v>
      </c>
      <c r="AC526" s="137">
        <v>196.0</v>
      </c>
      <c r="AD526" s="137">
        <v>38.0</v>
      </c>
      <c r="AE526" s="137">
        <v>148.0</v>
      </c>
      <c r="AF526" s="137">
        <v>42.0</v>
      </c>
      <c r="AG526" s="137">
        <v>158.0</v>
      </c>
      <c r="AH526" s="137">
        <v>50.0</v>
      </c>
      <c r="AI526" s="137">
        <v>92.0</v>
      </c>
      <c r="AJ526" s="137">
        <v>28.0</v>
      </c>
      <c r="AK526" s="137">
        <v>32.0</v>
      </c>
      <c r="AL526" s="137">
        <v>36.0</v>
      </c>
      <c r="AM526" s="137">
        <v>54.0</v>
      </c>
      <c r="AN526" s="134">
        <v>3094.0</v>
      </c>
    </row>
    <row r="527">
      <c r="A527" s="104"/>
      <c r="B527" s="136" t="s">
        <v>201</v>
      </c>
      <c r="C527" s="137">
        <v>440.0</v>
      </c>
      <c r="D527" s="137">
        <v>274.0</v>
      </c>
      <c r="E527" s="137">
        <v>166.0</v>
      </c>
      <c r="F527" s="137">
        <v>2.0</v>
      </c>
      <c r="G527" s="137">
        <v>2.0</v>
      </c>
      <c r="H527" s="137">
        <v>6.0</v>
      </c>
      <c r="I527" s="137">
        <v>12.0</v>
      </c>
      <c r="J527" s="137">
        <v>6.0</v>
      </c>
      <c r="K527" s="137">
        <v>16.0</v>
      </c>
      <c r="L527" s="137">
        <v>4.0</v>
      </c>
      <c r="M527" s="137">
        <v>2.0</v>
      </c>
      <c r="N527" s="137">
        <v>14.0</v>
      </c>
      <c r="O527" s="137">
        <v>18.0</v>
      </c>
      <c r="P527" s="137">
        <v>10.0</v>
      </c>
      <c r="Q527" s="137">
        <v>14.0</v>
      </c>
      <c r="R527" s="137">
        <v>6.0</v>
      </c>
      <c r="S527" s="137">
        <v>24.0</v>
      </c>
      <c r="T527" s="137">
        <v>4.0</v>
      </c>
      <c r="U527" s="137">
        <v>2.0</v>
      </c>
      <c r="V527" s="137">
        <v>4.0</v>
      </c>
      <c r="W527" s="137">
        <v>8.0</v>
      </c>
      <c r="X527" s="137">
        <v>4.0</v>
      </c>
      <c r="Y527" s="137">
        <v>26.0</v>
      </c>
      <c r="Z527" s="137">
        <v>44.0</v>
      </c>
      <c r="AA527" s="137">
        <v>6.0</v>
      </c>
      <c r="AB527" s="137">
        <v>30.0</v>
      </c>
      <c r="AC527" s="137">
        <v>4.0</v>
      </c>
      <c r="AD527" s="137">
        <v>32.0</v>
      </c>
      <c r="AE527" s="137">
        <v>2.0</v>
      </c>
      <c r="AF527" s="137">
        <v>20.0</v>
      </c>
      <c r="AG527" s="137">
        <v>26.0</v>
      </c>
      <c r="AH527" s="137">
        <v>32.0</v>
      </c>
      <c r="AI527" s="137">
        <v>0.0</v>
      </c>
      <c r="AJ527" s="137">
        <v>40.0</v>
      </c>
      <c r="AK527" s="137">
        <v>0.0</v>
      </c>
      <c r="AL527" s="137">
        <v>16.0</v>
      </c>
      <c r="AM527" s="137">
        <v>4.0</v>
      </c>
      <c r="AN527" s="137">
        <v>440.0</v>
      </c>
    </row>
    <row r="528">
      <c r="A528" s="132" t="s">
        <v>208</v>
      </c>
      <c r="B528" s="136" t="s">
        <v>198</v>
      </c>
      <c r="C528" s="137">
        <v>74.0</v>
      </c>
      <c r="D528" s="137">
        <v>38.0</v>
      </c>
      <c r="E528" s="137">
        <v>36.0</v>
      </c>
      <c r="F528" s="137">
        <v>36.0</v>
      </c>
      <c r="G528" s="137">
        <v>36.0</v>
      </c>
      <c r="H528" s="137">
        <v>2.0</v>
      </c>
      <c r="I528" s="137">
        <v>0.0</v>
      </c>
      <c r="J528" s="137">
        <v>0.0</v>
      </c>
      <c r="K528" s="137">
        <v>0.0</v>
      </c>
      <c r="L528" s="137">
        <v>0.0</v>
      </c>
      <c r="M528" s="137">
        <v>0.0</v>
      </c>
      <c r="N528" s="137">
        <v>0.0</v>
      </c>
      <c r="O528" s="137">
        <v>0.0</v>
      </c>
      <c r="P528" s="135">
        <v>0.0</v>
      </c>
      <c r="Q528" s="135">
        <v>0.0</v>
      </c>
      <c r="R528" s="135">
        <v>0.0</v>
      </c>
      <c r="S528" s="135">
        <v>0.0</v>
      </c>
      <c r="T528" s="135">
        <v>0.0</v>
      </c>
      <c r="U528" s="135">
        <v>0.0</v>
      </c>
      <c r="V528" s="135">
        <v>0.0</v>
      </c>
      <c r="W528" s="135">
        <v>0.0</v>
      </c>
      <c r="X528" s="135">
        <v>0.0</v>
      </c>
      <c r="Y528" s="135">
        <v>0.0</v>
      </c>
      <c r="Z528" s="135">
        <v>0.0</v>
      </c>
      <c r="AA528" s="135">
        <v>0.0</v>
      </c>
      <c r="AB528" s="135">
        <v>0.0</v>
      </c>
      <c r="AC528" s="135">
        <v>0.0</v>
      </c>
      <c r="AD528" s="135">
        <v>0.0</v>
      </c>
      <c r="AE528" s="135">
        <v>0.0</v>
      </c>
      <c r="AF528" s="135">
        <v>0.0</v>
      </c>
      <c r="AG528" s="135">
        <v>0.0</v>
      </c>
      <c r="AH528" s="135">
        <v>0.0</v>
      </c>
      <c r="AI528" s="135">
        <v>0.0</v>
      </c>
      <c r="AJ528" s="135">
        <v>0.0</v>
      </c>
      <c r="AK528" s="135">
        <v>0.0</v>
      </c>
      <c r="AL528" s="135">
        <v>0.0</v>
      </c>
      <c r="AM528" s="135">
        <v>0.0</v>
      </c>
      <c r="AN528" s="137">
        <v>74.0</v>
      </c>
    </row>
    <row r="529">
      <c r="A529" s="98"/>
      <c r="B529" s="136" t="s">
        <v>199</v>
      </c>
      <c r="C529" s="137">
        <v>120.0</v>
      </c>
      <c r="D529" s="137">
        <v>72.0</v>
      </c>
      <c r="E529" s="137">
        <v>48.0</v>
      </c>
      <c r="F529" s="137">
        <v>54.0</v>
      </c>
      <c r="G529" s="137">
        <v>38.0</v>
      </c>
      <c r="H529" s="137">
        <v>16.0</v>
      </c>
      <c r="I529" s="137">
        <v>10.0</v>
      </c>
      <c r="J529" s="137">
        <v>0.0</v>
      </c>
      <c r="K529" s="137">
        <v>0.0</v>
      </c>
      <c r="L529" s="137">
        <v>0.0</v>
      </c>
      <c r="M529" s="137">
        <v>0.0</v>
      </c>
      <c r="N529" s="137">
        <v>2.0</v>
      </c>
      <c r="O529" s="137">
        <v>0.0</v>
      </c>
      <c r="P529" s="135">
        <v>0.0</v>
      </c>
      <c r="Q529" s="135">
        <v>0.0</v>
      </c>
      <c r="R529" s="135">
        <v>0.0</v>
      </c>
      <c r="S529" s="135">
        <v>0.0</v>
      </c>
      <c r="T529" s="135">
        <v>0.0</v>
      </c>
      <c r="U529" s="135">
        <v>0.0</v>
      </c>
      <c r="V529" s="135">
        <v>0.0</v>
      </c>
      <c r="W529" s="135">
        <v>0.0</v>
      </c>
      <c r="X529" s="135">
        <v>0.0</v>
      </c>
      <c r="Y529" s="135">
        <v>0.0</v>
      </c>
      <c r="Z529" s="135">
        <v>0.0</v>
      </c>
      <c r="AA529" s="135">
        <v>0.0</v>
      </c>
      <c r="AB529" s="135">
        <v>0.0</v>
      </c>
      <c r="AC529" s="135">
        <v>0.0</v>
      </c>
      <c r="AD529" s="135">
        <v>0.0</v>
      </c>
      <c r="AE529" s="135">
        <v>0.0</v>
      </c>
      <c r="AF529" s="135">
        <v>0.0</v>
      </c>
      <c r="AG529" s="135">
        <v>0.0</v>
      </c>
      <c r="AH529" s="135">
        <v>0.0</v>
      </c>
      <c r="AI529" s="135">
        <v>0.0</v>
      </c>
      <c r="AJ529" s="135">
        <v>0.0</v>
      </c>
      <c r="AK529" s="135">
        <v>0.0</v>
      </c>
      <c r="AL529" s="135">
        <v>0.0</v>
      </c>
      <c r="AM529" s="135">
        <v>0.0</v>
      </c>
      <c r="AN529" s="137">
        <v>118.0</v>
      </c>
    </row>
    <row r="530">
      <c r="A530" s="98"/>
      <c r="B530" s="136" t="s">
        <v>206</v>
      </c>
      <c r="C530" s="137">
        <v>12.0</v>
      </c>
      <c r="D530" s="137">
        <v>4.0</v>
      </c>
      <c r="E530" s="137">
        <v>8.0</v>
      </c>
      <c r="F530" s="137">
        <v>4.0</v>
      </c>
      <c r="G530" s="137">
        <v>6.0</v>
      </c>
      <c r="H530" s="137">
        <v>0.0</v>
      </c>
      <c r="I530" s="137">
        <v>0.0</v>
      </c>
      <c r="J530" s="137">
        <v>0.0</v>
      </c>
      <c r="K530" s="137">
        <v>0.0</v>
      </c>
      <c r="L530" s="137">
        <v>0.0</v>
      </c>
      <c r="M530" s="137">
        <v>0.0</v>
      </c>
      <c r="N530" s="137">
        <v>0.0</v>
      </c>
      <c r="O530" s="137">
        <v>2.0</v>
      </c>
      <c r="P530" s="135">
        <v>0.0</v>
      </c>
      <c r="Q530" s="135">
        <v>0.0</v>
      </c>
      <c r="R530" s="135">
        <v>0.0</v>
      </c>
      <c r="S530" s="135">
        <v>0.0</v>
      </c>
      <c r="T530" s="135">
        <v>0.0</v>
      </c>
      <c r="U530" s="135">
        <v>0.0</v>
      </c>
      <c r="V530" s="135">
        <v>0.0</v>
      </c>
      <c r="W530" s="135">
        <v>0.0</v>
      </c>
      <c r="X530" s="135">
        <v>0.0</v>
      </c>
      <c r="Y530" s="135">
        <v>0.0</v>
      </c>
      <c r="Z530" s="135">
        <v>0.0</v>
      </c>
      <c r="AA530" s="135">
        <v>0.0</v>
      </c>
      <c r="AB530" s="135">
        <v>0.0</v>
      </c>
      <c r="AC530" s="135">
        <v>0.0</v>
      </c>
      <c r="AD530" s="135">
        <v>0.0</v>
      </c>
      <c r="AE530" s="135">
        <v>0.0</v>
      </c>
      <c r="AF530" s="135">
        <v>0.0</v>
      </c>
      <c r="AG530" s="135">
        <v>0.0</v>
      </c>
      <c r="AH530" s="135">
        <v>0.0</v>
      </c>
      <c r="AI530" s="135">
        <v>0.0</v>
      </c>
      <c r="AJ530" s="135">
        <v>0.0</v>
      </c>
      <c r="AK530" s="135">
        <v>0.0</v>
      </c>
      <c r="AL530" s="135">
        <v>0.0</v>
      </c>
      <c r="AM530" s="135">
        <v>0.0</v>
      </c>
      <c r="AN530" s="137">
        <v>12.0</v>
      </c>
    </row>
    <row r="531">
      <c r="A531" s="98"/>
      <c r="B531" s="136" t="s">
        <v>200</v>
      </c>
      <c r="C531" s="137">
        <v>26.0</v>
      </c>
      <c r="D531" s="137">
        <v>10.0</v>
      </c>
      <c r="E531" s="137">
        <v>16.0</v>
      </c>
      <c r="F531" s="137">
        <v>8.0</v>
      </c>
      <c r="G531" s="137">
        <v>14.0</v>
      </c>
      <c r="H531" s="137">
        <v>0.0</v>
      </c>
      <c r="I531" s="137">
        <v>0.0</v>
      </c>
      <c r="J531" s="137">
        <v>2.0</v>
      </c>
      <c r="K531" s="137">
        <v>2.0</v>
      </c>
      <c r="L531" s="137">
        <v>0.0</v>
      </c>
      <c r="M531" s="137">
        <v>0.0</v>
      </c>
      <c r="N531" s="137">
        <v>0.0</v>
      </c>
      <c r="O531" s="137">
        <v>0.0</v>
      </c>
      <c r="P531" s="135">
        <v>0.0</v>
      </c>
      <c r="Q531" s="135">
        <v>0.0</v>
      </c>
      <c r="R531" s="135">
        <v>0.0</v>
      </c>
      <c r="S531" s="135">
        <v>0.0</v>
      </c>
      <c r="T531" s="135">
        <v>0.0</v>
      </c>
      <c r="U531" s="135">
        <v>0.0</v>
      </c>
      <c r="V531" s="135">
        <v>0.0</v>
      </c>
      <c r="W531" s="135">
        <v>0.0</v>
      </c>
      <c r="X531" s="135">
        <v>0.0</v>
      </c>
      <c r="Y531" s="135">
        <v>0.0</v>
      </c>
      <c r="Z531" s="135">
        <v>0.0</v>
      </c>
      <c r="AA531" s="135">
        <v>0.0</v>
      </c>
      <c r="AB531" s="135">
        <v>0.0</v>
      </c>
      <c r="AC531" s="135">
        <v>0.0</v>
      </c>
      <c r="AD531" s="135">
        <v>0.0</v>
      </c>
      <c r="AE531" s="135">
        <v>0.0</v>
      </c>
      <c r="AF531" s="135">
        <v>0.0</v>
      </c>
      <c r="AG531" s="135">
        <v>0.0</v>
      </c>
      <c r="AH531" s="135">
        <v>0.0</v>
      </c>
      <c r="AI531" s="135">
        <v>0.0</v>
      </c>
      <c r="AJ531" s="135">
        <v>0.0</v>
      </c>
      <c r="AK531" s="135">
        <v>0.0</v>
      </c>
      <c r="AL531" s="135">
        <v>0.0</v>
      </c>
      <c r="AM531" s="135">
        <v>0.0</v>
      </c>
      <c r="AN531" s="137">
        <v>26.0</v>
      </c>
    </row>
    <row r="532">
      <c r="A532" s="104"/>
      <c r="B532" s="136" t="s">
        <v>201</v>
      </c>
      <c r="C532" s="137">
        <v>0.0</v>
      </c>
      <c r="D532" s="137">
        <v>0.0</v>
      </c>
      <c r="E532" s="137">
        <v>0.0</v>
      </c>
      <c r="F532" s="137">
        <v>0.0</v>
      </c>
      <c r="G532" s="137">
        <v>0.0</v>
      </c>
      <c r="H532" s="137">
        <v>0.0</v>
      </c>
      <c r="I532" s="137">
        <v>0.0</v>
      </c>
      <c r="J532" s="137">
        <v>0.0</v>
      </c>
      <c r="K532" s="137">
        <v>0.0</v>
      </c>
      <c r="L532" s="137">
        <v>0.0</v>
      </c>
      <c r="M532" s="137">
        <v>0.0</v>
      </c>
      <c r="N532" s="137">
        <v>0.0</v>
      </c>
      <c r="O532" s="137">
        <v>0.0</v>
      </c>
      <c r="P532" s="135">
        <v>0.0</v>
      </c>
      <c r="Q532" s="135">
        <v>0.0</v>
      </c>
      <c r="R532" s="135">
        <v>0.0</v>
      </c>
      <c r="S532" s="135">
        <v>0.0</v>
      </c>
      <c r="T532" s="135">
        <v>0.0</v>
      </c>
      <c r="U532" s="135">
        <v>0.0</v>
      </c>
      <c r="V532" s="135">
        <v>0.0</v>
      </c>
      <c r="W532" s="135">
        <v>0.0</v>
      </c>
      <c r="X532" s="135">
        <v>0.0</v>
      </c>
      <c r="Y532" s="135">
        <v>0.0</v>
      </c>
      <c r="Z532" s="135">
        <v>0.0</v>
      </c>
      <c r="AA532" s="135">
        <v>0.0</v>
      </c>
      <c r="AB532" s="135">
        <v>0.0</v>
      </c>
      <c r="AC532" s="135">
        <v>0.0</v>
      </c>
      <c r="AD532" s="135">
        <v>0.0</v>
      </c>
      <c r="AE532" s="135">
        <v>0.0</v>
      </c>
      <c r="AF532" s="135">
        <v>0.0</v>
      </c>
      <c r="AG532" s="135">
        <v>0.0</v>
      </c>
      <c r="AH532" s="135">
        <v>0.0</v>
      </c>
      <c r="AI532" s="135">
        <v>0.0</v>
      </c>
      <c r="AJ532" s="135">
        <v>0.0</v>
      </c>
      <c r="AK532" s="135">
        <v>0.0</v>
      </c>
      <c r="AL532" s="135">
        <v>0.0</v>
      </c>
      <c r="AM532" s="135">
        <v>0.0</v>
      </c>
      <c r="AN532" s="137">
        <v>0.0</v>
      </c>
    </row>
    <row r="533">
      <c r="A533" s="138" t="s">
        <v>261</v>
      </c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</row>
    <row r="534">
      <c r="A534" s="132" t="s">
        <v>197</v>
      </c>
      <c r="B534" s="133" t="s">
        <v>198</v>
      </c>
      <c r="C534" s="134">
        <v>92292.0</v>
      </c>
      <c r="D534" s="134">
        <v>32766.0</v>
      </c>
      <c r="E534" s="134">
        <v>59526.0</v>
      </c>
      <c r="F534" s="135">
        <v>0.0</v>
      </c>
      <c r="G534" s="135">
        <v>0.0</v>
      </c>
      <c r="H534" s="135">
        <v>0.0</v>
      </c>
      <c r="I534" s="135">
        <v>0.0</v>
      </c>
      <c r="J534" s="135">
        <v>0.0</v>
      </c>
      <c r="K534" s="135">
        <v>0.0</v>
      </c>
      <c r="L534" s="137">
        <v>48.0</v>
      </c>
      <c r="M534" s="137">
        <v>50.0</v>
      </c>
      <c r="N534" s="137">
        <v>64.0</v>
      </c>
      <c r="O534" s="137">
        <v>140.0</v>
      </c>
      <c r="P534" s="137">
        <v>172.0</v>
      </c>
      <c r="Q534" s="137">
        <v>322.0</v>
      </c>
      <c r="R534" s="137">
        <v>274.0</v>
      </c>
      <c r="S534" s="137">
        <v>692.0</v>
      </c>
      <c r="T534" s="137">
        <v>550.0</v>
      </c>
      <c r="U534" s="134">
        <v>1272.0</v>
      </c>
      <c r="V534" s="137">
        <v>912.0</v>
      </c>
      <c r="W534" s="134">
        <v>2272.0</v>
      </c>
      <c r="X534" s="134">
        <v>1678.0</v>
      </c>
      <c r="Y534" s="134">
        <v>4238.0</v>
      </c>
      <c r="Z534" s="134">
        <v>2866.0</v>
      </c>
      <c r="AA534" s="134">
        <v>6556.0</v>
      </c>
      <c r="AB534" s="134">
        <v>3908.0</v>
      </c>
      <c r="AC534" s="134">
        <v>7886.0</v>
      </c>
      <c r="AD534" s="134">
        <v>4384.0</v>
      </c>
      <c r="AE534" s="134">
        <v>8078.0</v>
      </c>
      <c r="AF534" s="134">
        <v>4942.0</v>
      </c>
      <c r="AG534" s="134">
        <v>8268.0</v>
      </c>
      <c r="AH534" s="134">
        <v>4608.0</v>
      </c>
      <c r="AI534" s="134">
        <v>7088.0</v>
      </c>
      <c r="AJ534" s="134">
        <v>3944.0</v>
      </c>
      <c r="AK534" s="134">
        <v>5798.0</v>
      </c>
      <c r="AL534" s="134">
        <v>4416.0</v>
      </c>
      <c r="AM534" s="134">
        <v>6866.0</v>
      </c>
      <c r="AN534" s="134">
        <v>87016.0</v>
      </c>
    </row>
    <row r="535">
      <c r="A535" s="98"/>
      <c r="B535" s="136" t="s">
        <v>199</v>
      </c>
      <c r="C535" s="134">
        <v>56536.0</v>
      </c>
      <c r="D535" s="134">
        <v>20358.0</v>
      </c>
      <c r="E535" s="134">
        <v>36178.0</v>
      </c>
      <c r="F535" s="135">
        <v>0.0</v>
      </c>
      <c r="G535" s="135">
        <v>0.0</v>
      </c>
      <c r="H535" s="135">
        <v>0.0</v>
      </c>
      <c r="I535" s="135">
        <v>0.0</v>
      </c>
      <c r="J535" s="135">
        <v>0.0</v>
      </c>
      <c r="K535" s="135">
        <v>0.0</v>
      </c>
      <c r="L535" s="137">
        <v>14.0</v>
      </c>
      <c r="M535" s="137">
        <v>18.0</v>
      </c>
      <c r="N535" s="137">
        <v>18.0</v>
      </c>
      <c r="O535" s="137">
        <v>56.0</v>
      </c>
      <c r="P535" s="137">
        <v>88.0</v>
      </c>
      <c r="Q535" s="137">
        <v>136.0</v>
      </c>
      <c r="R535" s="137">
        <v>146.0</v>
      </c>
      <c r="S535" s="137">
        <v>314.0</v>
      </c>
      <c r="T535" s="137">
        <v>250.0</v>
      </c>
      <c r="U535" s="137">
        <v>628.0</v>
      </c>
      <c r="V535" s="137">
        <v>412.0</v>
      </c>
      <c r="W535" s="134">
        <v>1210.0</v>
      </c>
      <c r="X535" s="137">
        <v>858.0</v>
      </c>
      <c r="Y535" s="134">
        <v>2364.0</v>
      </c>
      <c r="Z535" s="134">
        <v>1542.0</v>
      </c>
      <c r="AA535" s="134">
        <v>3686.0</v>
      </c>
      <c r="AB535" s="134">
        <v>2214.0</v>
      </c>
      <c r="AC535" s="134">
        <v>4590.0</v>
      </c>
      <c r="AD535" s="134">
        <v>2636.0</v>
      </c>
      <c r="AE535" s="134">
        <v>4708.0</v>
      </c>
      <c r="AF535" s="134">
        <v>3198.0</v>
      </c>
      <c r="AG535" s="134">
        <v>5268.0</v>
      </c>
      <c r="AH535" s="134">
        <v>3210.0</v>
      </c>
      <c r="AI535" s="134">
        <v>4782.0</v>
      </c>
      <c r="AJ535" s="134">
        <v>2718.0</v>
      </c>
      <c r="AK535" s="134">
        <v>3944.0</v>
      </c>
      <c r="AL535" s="134">
        <v>3054.0</v>
      </c>
      <c r="AM535" s="134">
        <v>4474.0</v>
      </c>
      <c r="AN535" s="134">
        <v>53786.0</v>
      </c>
    </row>
    <row r="536">
      <c r="A536" s="98"/>
      <c r="B536" s="136" t="s">
        <v>200</v>
      </c>
      <c r="C536" s="134">
        <v>25450.0</v>
      </c>
      <c r="D536" s="134">
        <v>8606.0</v>
      </c>
      <c r="E536" s="134">
        <v>16844.0</v>
      </c>
      <c r="F536" s="135">
        <v>0.0</v>
      </c>
      <c r="G536" s="135">
        <v>0.0</v>
      </c>
      <c r="H536" s="135">
        <v>0.0</v>
      </c>
      <c r="I536" s="135">
        <v>0.0</v>
      </c>
      <c r="J536" s="135">
        <v>0.0</v>
      </c>
      <c r="K536" s="135">
        <v>0.0</v>
      </c>
      <c r="L536" s="137">
        <v>14.0</v>
      </c>
      <c r="M536" s="137">
        <v>24.0</v>
      </c>
      <c r="N536" s="137">
        <v>20.0</v>
      </c>
      <c r="O536" s="137">
        <v>44.0</v>
      </c>
      <c r="P536" s="137">
        <v>58.0</v>
      </c>
      <c r="Q536" s="137">
        <v>130.0</v>
      </c>
      <c r="R536" s="137">
        <v>92.0</v>
      </c>
      <c r="S536" s="137">
        <v>246.0</v>
      </c>
      <c r="T536" s="137">
        <v>166.0</v>
      </c>
      <c r="U536" s="137">
        <v>476.0</v>
      </c>
      <c r="V536" s="137">
        <v>244.0</v>
      </c>
      <c r="W536" s="137">
        <v>766.0</v>
      </c>
      <c r="X536" s="137">
        <v>452.0</v>
      </c>
      <c r="Y536" s="134">
        <v>1220.0</v>
      </c>
      <c r="Z536" s="137">
        <v>874.0</v>
      </c>
      <c r="AA536" s="134">
        <v>2018.0</v>
      </c>
      <c r="AB536" s="134">
        <v>1058.0</v>
      </c>
      <c r="AC536" s="134">
        <v>2410.0</v>
      </c>
      <c r="AD536" s="134">
        <v>1108.0</v>
      </c>
      <c r="AE536" s="134">
        <v>2320.0</v>
      </c>
      <c r="AF536" s="134">
        <v>1260.0</v>
      </c>
      <c r="AG536" s="134">
        <v>2270.0</v>
      </c>
      <c r="AH536" s="134">
        <v>1236.0</v>
      </c>
      <c r="AI536" s="134">
        <v>1962.0</v>
      </c>
      <c r="AJ536" s="137">
        <v>970.0</v>
      </c>
      <c r="AK536" s="134">
        <v>1394.0</v>
      </c>
      <c r="AL536" s="134">
        <v>1054.0</v>
      </c>
      <c r="AM536" s="134">
        <v>1564.0</v>
      </c>
      <c r="AN536" s="134">
        <v>23308.0</v>
      </c>
    </row>
    <row r="537">
      <c r="A537" s="104"/>
      <c r="B537" s="136" t="s">
        <v>201</v>
      </c>
      <c r="C537" s="134">
        <v>1408.0</v>
      </c>
      <c r="D537" s="137">
        <v>618.0</v>
      </c>
      <c r="E537" s="137">
        <v>790.0</v>
      </c>
      <c r="F537" s="135">
        <v>0.0</v>
      </c>
      <c r="G537" s="135">
        <v>0.0</v>
      </c>
      <c r="H537" s="135">
        <v>0.0</v>
      </c>
      <c r="I537" s="135">
        <v>0.0</v>
      </c>
      <c r="J537" s="135">
        <v>0.0</v>
      </c>
      <c r="K537" s="135">
        <v>0.0</v>
      </c>
      <c r="L537" s="137">
        <v>0.0</v>
      </c>
      <c r="M537" s="137">
        <v>0.0</v>
      </c>
      <c r="N537" s="137">
        <v>6.0</v>
      </c>
      <c r="O537" s="137">
        <v>2.0</v>
      </c>
      <c r="P537" s="137">
        <v>8.0</v>
      </c>
      <c r="Q537" s="137">
        <v>6.0</v>
      </c>
      <c r="R537" s="137">
        <v>20.0</v>
      </c>
      <c r="S537" s="137">
        <v>8.0</v>
      </c>
      <c r="T537" s="137">
        <v>24.0</v>
      </c>
      <c r="U537" s="137">
        <v>42.0</v>
      </c>
      <c r="V537" s="137">
        <v>30.0</v>
      </c>
      <c r="W537" s="137">
        <v>52.0</v>
      </c>
      <c r="X537" s="137">
        <v>44.0</v>
      </c>
      <c r="Y537" s="137">
        <v>58.0</v>
      </c>
      <c r="Z537" s="137">
        <v>50.0</v>
      </c>
      <c r="AA537" s="137">
        <v>92.0</v>
      </c>
      <c r="AB537" s="137">
        <v>30.0</v>
      </c>
      <c r="AC537" s="137">
        <v>70.0</v>
      </c>
      <c r="AD537" s="137">
        <v>72.0</v>
      </c>
      <c r="AE537" s="137">
        <v>114.0</v>
      </c>
      <c r="AF537" s="137">
        <v>108.0</v>
      </c>
      <c r="AG537" s="137">
        <v>82.0</v>
      </c>
      <c r="AH537" s="137">
        <v>84.0</v>
      </c>
      <c r="AI537" s="137">
        <v>90.0</v>
      </c>
      <c r="AJ537" s="137">
        <v>72.0</v>
      </c>
      <c r="AK537" s="137">
        <v>92.0</v>
      </c>
      <c r="AL537" s="137">
        <v>70.0</v>
      </c>
      <c r="AM537" s="137">
        <v>82.0</v>
      </c>
      <c r="AN537" s="134">
        <v>1408.0</v>
      </c>
    </row>
    <row r="538">
      <c r="A538" s="132" t="s">
        <v>202</v>
      </c>
      <c r="B538" s="136" t="s">
        <v>198</v>
      </c>
      <c r="C538" s="137">
        <v>272.0</v>
      </c>
      <c r="D538" s="137">
        <v>210.0</v>
      </c>
      <c r="E538" s="137">
        <v>62.0</v>
      </c>
      <c r="F538" s="137">
        <v>0.0</v>
      </c>
      <c r="G538" s="137">
        <v>0.0</v>
      </c>
      <c r="H538" s="137">
        <v>0.0</v>
      </c>
      <c r="I538" s="137">
        <v>0.0</v>
      </c>
      <c r="J538" s="137">
        <v>0.0</v>
      </c>
      <c r="K538" s="137">
        <v>2.0</v>
      </c>
      <c r="L538" s="137">
        <v>4.0</v>
      </c>
      <c r="M538" s="137">
        <v>0.0</v>
      </c>
      <c r="N538" s="137">
        <v>24.0</v>
      </c>
      <c r="O538" s="137">
        <v>0.0</v>
      </c>
      <c r="P538" s="137">
        <v>24.0</v>
      </c>
      <c r="Q538" s="137">
        <v>0.0</v>
      </c>
      <c r="R538" s="137">
        <v>20.0</v>
      </c>
      <c r="S538" s="137">
        <v>0.0</v>
      </c>
      <c r="T538" s="137">
        <v>28.0</v>
      </c>
      <c r="U538" s="137">
        <v>0.0</v>
      </c>
      <c r="V538" s="137">
        <v>14.0</v>
      </c>
      <c r="W538" s="137">
        <v>2.0</v>
      </c>
      <c r="X538" s="137">
        <v>20.0</v>
      </c>
      <c r="Y538" s="137">
        <v>6.0</v>
      </c>
      <c r="Z538" s="137">
        <v>14.0</v>
      </c>
      <c r="AA538" s="137">
        <v>0.0</v>
      </c>
      <c r="AB538" s="137">
        <v>12.0</v>
      </c>
      <c r="AC538" s="137">
        <v>0.0</v>
      </c>
      <c r="AD538" s="137">
        <v>26.0</v>
      </c>
      <c r="AE538" s="137">
        <v>4.0</v>
      </c>
      <c r="AF538" s="137">
        <v>8.0</v>
      </c>
      <c r="AG538" s="137">
        <v>6.0</v>
      </c>
      <c r="AH538" s="137">
        <v>2.0</v>
      </c>
      <c r="AI538" s="137">
        <v>6.0</v>
      </c>
      <c r="AJ538" s="137">
        <v>4.0</v>
      </c>
      <c r="AK538" s="137">
        <v>24.0</v>
      </c>
      <c r="AL538" s="137">
        <v>10.0</v>
      </c>
      <c r="AM538" s="137">
        <v>12.0</v>
      </c>
      <c r="AN538" s="137">
        <v>256.0</v>
      </c>
    </row>
    <row r="539">
      <c r="A539" s="104"/>
      <c r="B539" s="136" t="s">
        <v>199</v>
      </c>
      <c r="C539" s="137">
        <v>52.0</v>
      </c>
      <c r="D539" s="137">
        <v>38.0</v>
      </c>
      <c r="E539" s="137">
        <v>14.0</v>
      </c>
      <c r="F539" s="137">
        <v>0.0</v>
      </c>
      <c r="G539" s="137">
        <v>0.0</v>
      </c>
      <c r="H539" s="137">
        <v>0.0</v>
      </c>
      <c r="I539" s="137">
        <v>0.0</v>
      </c>
      <c r="J539" s="137">
        <v>0.0</v>
      </c>
      <c r="K539" s="137">
        <v>2.0</v>
      </c>
      <c r="L539" s="137">
        <v>0.0</v>
      </c>
      <c r="M539" s="137">
        <v>0.0</v>
      </c>
      <c r="N539" s="137">
        <v>2.0</v>
      </c>
      <c r="O539" s="137">
        <v>0.0</v>
      </c>
      <c r="P539" s="137">
        <v>6.0</v>
      </c>
      <c r="Q539" s="137">
        <v>0.0</v>
      </c>
      <c r="R539" s="137">
        <v>0.0</v>
      </c>
      <c r="S539" s="137">
        <v>0.0</v>
      </c>
      <c r="T539" s="137">
        <v>0.0</v>
      </c>
      <c r="U539" s="137">
        <v>0.0</v>
      </c>
      <c r="V539" s="137">
        <v>0.0</v>
      </c>
      <c r="W539" s="137">
        <v>0.0</v>
      </c>
      <c r="X539" s="137">
        <v>2.0</v>
      </c>
      <c r="Y539" s="137">
        <v>4.0</v>
      </c>
      <c r="Z539" s="137">
        <v>2.0</v>
      </c>
      <c r="AA539" s="137">
        <v>2.0</v>
      </c>
      <c r="AB539" s="137">
        <v>4.0</v>
      </c>
      <c r="AC539" s="137">
        <v>0.0</v>
      </c>
      <c r="AD539" s="137">
        <v>2.0</v>
      </c>
      <c r="AE539" s="137">
        <v>0.0</v>
      </c>
      <c r="AF539" s="137">
        <v>0.0</v>
      </c>
      <c r="AG539" s="137">
        <v>0.0</v>
      </c>
      <c r="AH539" s="137">
        <v>4.0</v>
      </c>
      <c r="AI539" s="137">
        <v>4.0</v>
      </c>
      <c r="AJ539" s="137">
        <v>2.0</v>
      </c>
      <c r="AK539" s="137">
        <v>2.0</v>
      </c>
      <c r="AL539" s="137">
        <v>14.0</v>
      </c>
      <c r="AM539" s="137">
        <v>0.0</v>
      </c>
      <c r="AN539" s="137">
        <v>44.0</v>
      </c>
    </row>
    <row r="540">
      <c r="A540" s="132" t="s">
        <v>203</v>
      </c>
      <c r="B540" s="136" t="s">
        <v>198</v>
      </c>
      <c r="C540" s="137">
        <v>2.0</v>
      </c>
      <c r="D540" s="137">
        <v>2.0</v>
      </c>
      <c r="E540" s="137">
        <v>0.0</v>
      </c>
      <c r="F540" s="135">
        <v>0.0</v>
      </c>
      <c r="G540" s="135">
        <v>0.0</v>
      </c>
      <c r="H540" s="135">
        <v>0.0</v>
      </c>
      <c r="I540" s="135">
        <v>0.0</v>
      </c>
      <c r="J540" s="135">
        <v>0.0</v>
      </c>
      <c r="K540" s="135">
        <v>0.0</v>
      </c>
      <c r="L540" s="135">
        <v>0.0</v>
      </c>
      <c r="M540" s="135">
        <v>0.0</v>
      </c>
      <c r="N540" s="135">
        <v>0.0</v>
      </c>
      <c r="O540" s="135">
        <v>0.0</v>
      </c>
      <c r="P540" s="135">
        <v>0.0</v>
      </c>
      <c r="Q540" s="135">
        <v>0.0</v>
      </c>
      <c r="R540" s="135">
        <v>0.0</v>
      </c>
      <c r="S540" s="135">
        <v>0.0</v>
      </c>
      <c r="T540" s="135">
        <v>0.0</v>
      </c>
      <c r="U540" s="135">
        <v>0.0</v>
      </c>
      <c r="V540" s="135">
        <v>0.0</v>
      </c>
      <c r="W540" s="135">
        <v>0.0</v>
      </c>
      <c r="X540" s="135">
        <v>0.0</v>
      </c>
      <c r="Y540" s="135">
        <v>0.0</v>
      </c>
      <c r="Z540" s="135">
        <v>0.0</v>
      </c>
      <c r="AA540" s="135">
        <v>0.0</v>
      </c>
      <c r="AB540" s="135">
        <v>0.0</v>
      </c>
      <c r="AC540" s="135">
        <v>0.0</v>
      </c>
      <c r="AD540" s="135">
        <v>0.0</v>
      </c>
      <c r="AE540" s="135">
        <v>0.0</v>
      </c>
      <c r="AF540" s="137">
        <v>0.0</v>
      </c>
      <c r="AG540" s="137">
        <v>0.0</v>
      </c>
      <c r="AH540" s="137">
        <v>2.0</v>
      </c>
      <c r="AI540" s="137">
        <v>0.0</v>
      </c>
      <c r="AJ540" s="137">
        <v>0.0</v>
      </c>
      <c r="AK540" s="137">
        <v>0.0</v>
      </c>
      <c r="AL540" s="137">
        <v>0.0</v>
      </c>
      <c r="AM540" s="137">
        <v>0.0</v>
      </c>
      <c r="AN540" s="137">
        <v>2.0</v>
      </c>
    </row>
    <row r="541">
      <c r="A541" s="104"/>
      <c r="B541" s="136" t="s">
        <v>199</v>
      </c>
      <c r="C541" s="137">
        <v>320.0</v>
      </c>
      <c r="D541" s="137">
        <v>146.0</v>
      </c>
      <c r="E541" s="137">
        <v>174.0</v>
      </c>
      <c r="F541" s="135">
        <v>0.0</v>
      </c>
      <c r="G541" s="135">
        <v>0.0</v>
      </c>
      <c r="H541" s="135">
        <v>0.0</v>
      </c>
      <c r="I541" s="135">
        <v>0.0</v>
      </c>
      <c r="J541" s="135">
        <v>0.0</v>
      </c>
      <c r="K541" s="135">
        <v>0.0</v>
      </c>
      <c r="L541" s="135">
        <v>0.0</v>
      </c>
      <c r="M541" s="135">
        <v>0.0</v>
      </c>
      <c r="N541" s="135">
        <v>0.0</v>
      </c>
      <c r="O541" s="135">
        <v>0.0</v>
      </c>
      <c r="P541" s="135">
        <v>0.0</v>
      </c>
      <c r="Q541" s="135">
        <v>0.0</v>
      </c>
      <c r="R541" s="135">
        <v>0.0</v>
      </c>
      <c r="S541" s="135">
        <v>0.0</v>
      </c>
      <c r="T541" s="135">
        <v>0.0</v>
      </c>
      <c r="U541" s="135">
        <v>0.0</v>
      </c>
      <c r="V541" s="135">
        <v>0.0</v>
      </c>
      <c r="W541" s="135">
        <v>0.0</v>
      </c>
      <c r="X541" s="135">
        <v>0.0</v>
      </c>
      <c r="Y541" s="135">
        <v>0.0</v>
      </c>
      <c r="Z541" s="135">
        <v>0.0</v>
      </c>
      <c r="AA541" s="135">
        <v>0.0</v>
      </c>
      <c r="AB541" s="135">
        <v>0.0</v>
      </c>
      <c r="AC541" s="135">
        <v>0.0</v>
      </c>
      <c r="AD541" s="135">
        <v>0.0</v>
      </c>
      <c r="AE541" s="135">
        <v>0.0</v>
      </c>
      <c r="AF541" s="137">
        <v>30.0</v>
      </c>
      <c r="AG541" s="137">
        <v>56.0</v>
      </c>
      <c r="AH541" s="137">
        <v>50.0</v>
      </c>
      <c r="AI541" s="137">
        <v>54.0</v>
      </c>
      <c r="AJ541" s="137">
        <v>46.0</v>
      </c>
      <c r="AK541" s="137">
        <v>40.0</v>
      </c>
      <c r="AL541" s="137">
        <v>20.0</v>
      </c>
      <c r="AM541" s="137">
        <v>24.0</v>
      </c>
      <c r="AN541" s="137">
        <v>322.0</v>
      </c>
    </row>
    <row r="542">
      <c r="A542" s="132" t="s">
        <v>204</v>
      </c>
      <c r="B542" s="136" t="s">
        <v>198</v>
      </c>
      <c r="C542" s="137">
        <v>6.0</v>
      </c>
      <c r="D542" s="137">
        <v>4.0</v>
      </c>
      <c r="E542" s="137">
        <v>2.0</v>
      </c>
      <c r="F542" s="135">
        <v>0.0</v>
      </c>
      <c r="G542" s="135">
        <v>0.0</v>
      </c>
      <c r="H542" s="135">
        <v>0.0</v>
      </c>
      <c r="I542" s="135">
        <v>0.0</v>
      </c>
      <c r="J542" s="135">
        <v>0.0</v>
      </c>
      <c r="K542" s="135">
        <v>0.0</v>
      </c>
      <c r="L542" s="135">
        <v>0.0</v>
      </c>
      <c r="M542" s="135">
        <v>0.0</v>
      </c>
      <c r="N542" s="135">
        <v>0.0</v>
      </c>
      <c r="O542" s="135">
        <v>0.0</v>
      </c>
      <c r="P542" s="135">
        <v>0.0</v>
      </c>
      <c r="Q542" s="135">
        <v>0.0</v>
      </c>
      <c r="R542" s="135">
        <v>0.0</v>
      </c>
      <c r="S542" s="135">
        <v>0.0</v>
      </c>
      <c r="T542" s="135">
        <v>0.0</v>
      </c>
      <c r="U542" s="135">
        <v>0.0</v>
      </c>
      <c r="V542" s="135">
        <v>0.0</v>
      </c>
      <c r="W542" s="135">
        <v>0.0</v>
      </c>
      <c r="X542" s="135">
        <v>0.0</v>
      </c>
      <c r="Y542" s="135">
        <v>0.0</v>
      </c>
      <c r="Z542" s="135">
        <v>0.0</v>
      </c>
      <c r="AA542" s="135">
        <v>0.0</v>
      </c>
      <c r="AB542" s="135">
        <v>0.0</v>
      </c>
      <c r="AC542" s="135">
        <v>0.0</v>
      </c>
      <c r="AD542" s="135">
        <v>0.0</v>
      </c>
      <c r="AE542" s="135">
        <v>0.0</v>
      </c>
      <c r="AF542" s="137">
        <v>0.0</v>
      </c>
      <c r="AG542" s="137">
        <v>0.0</v>
      </c>
      <c r="AH542" s="137">
        <v>2.0</v>
      </c>
      <c r="AI542" s="137">
        <v>0.0</v>
      </c>
      <c r="AJ542" s="137">
        <v>2.0</v>
      </c>
      <c r="AK542" s="137">
        <v>2.0</v>
      </c>
      <c r="AL542" s="137">
        <v>0.0</v>
      </c>
      <c r="AM542" s="137">
        <v>0.0</v>
      </c>
      <c r="AN542" s="137">
        <v>6.0</v>
      </c>
    </row>
    <row r="543">
      <c r="A543" s="104"/>
      <c r="B543" s="136" t="s">
        <v>199</v>
      </c>
      <c r="C543" s="137">
        <v>374.0</v>
      </c>
      <c r="D543" s="137">
        <v>148.0</v>
      </c>
      <c r="E543" s="137">
        <v>226.0</v>
      </c>
      <c r="F543" s="135">
        <v>0.0</v>
      </c>
      <c r="G543" s="135">
        <v>0.0</v>
      </c>
      <c r="H543" s="135">
        <v>0.0</v>
      </c>
      <c r="I543" s="135">
        <v>0.0</v>
      </c>
      <c r="J543" s="135">
        <v>0.0</v>
      </c>
      <c r="K543" s="135">
        <v>0.0</v>
      </c>
      <c r="L543" s="135">
        <v>0.0</v>
      </c>
      <c r="M543" s="135">
        <v>0.0</v>
      </c>
      <c r="N543" s="135">
        <v>0.0</v>
      </c>
      <c r="O543" s="135">
        <v>0.0</v>
      </c>
      <c r="P543" s="135">
        <v>0.0</v>
      </c>
      <c r="Q543" s="135">
        <v>0.0</v>
      </c>
      <c r="R543" s="135">
        <v>0.0</v>
      </c>
      <c r="S543" s="135">
        <v>0.0</v>
      </c>
      <c r="T543" s="135">
        <v>0.0</v>
      </c>
      <c r="U543" s="135">
        <v>0.0</v>
      </c>
      <c r="V543" s="135">
        <v>0.0</v>
      </c>
      <c r="W543" s="135">
        <v>0.0</v>
      </c>
      <c r="X543" s="135">
        <v>0.0</v>
      </c>
      <c r="Y543" s="135">
        <v>0.0</v>
      </c>
      <c r="Z543" s="135">
        <v>0.0</v>
      </c>
      <c r="AA543" s="135">
        <v>0.0</v>
      </c>
      <c r="AB543" s="135">
        <v>0.0</v>
      </c>
      <c r="AC543" s="135">
        <v>0.0</v>
      </c>
      <c r="AD543" s="135">
        <v>0.0</v>
      </c>
      <c r="AE543" s="135">
        <v>0.0</v>
      </c>
      <c r="AF543" s="137">
        <v>18.0</v>
      </c>
      <c r="AG543" s="137">
        <v>36.0</v>
      </c>
      <c r="AH543" s="137">
        <v>34.0</v>
      </c>
      <c r="AI543" s="137">
        <v>68.0</v>
      </c>
      <c r="AJ543" s="137">
        <v>28.0</v>
      </c>
      <c r="AK543" s="137">
        <v>48.0</v>
      </c>
      <c r="AL543" s="137">
        <v>68.0</v>
      </c>
      <c r="AM543" s="137">
        <v>74.0</v>
      </c>
      <c r="AN543" s="137">
        <v>366.0</v>
      </c>
    </row>
    <row r="544">
      <c r="A544" s="132" t="s">
        <v>205</v>
      </c>
      <c r="B544" s="136" t="s">
        <v>198</v>
      </c>
      <c r="C544" s="137">
        <v>34.0</v>
      </c>
      <c r="D544" s="137">
        <v>30.0</v>
      </c>
      <c r="E544" s="137">
        <v>4.0</v>
      </c>
      <c r="F544" s="137">
        <v>8.0</v>
      </c>
      <c r="G544" s="137">
        <v>0.0</v>
      </c>
      <c r="H544" s="137">
        <v>0.0</v>
      </c>
      <c r="I544" s="137">
        <v>0.0</v>
      </c>
      <c r="J544" s="137">
        <v>2.0</v>
      </c>
      <c r="K544" s="137">
        <v>0.0</v>
      </c>
      <c r="L544" s="137">
        <v>2.0</v>
      </c>
      <c r="M544" s="137">
        <v>0.0</v>
      </c>
      <c r="N544" s="137">
        <v>0.0</v>
      </c>
      <c r="O544" s="137">
        <v>0.0</v>
      </c>
      <c r="P544" s="137">
        <v>0.0</v>
      </c>
      <c r="Q544" s="137">
        <v>0.0</v>
      </c>
      <c r="R544" s="137">
        <v>2.0</v>
      </c>
      <c r="S544" s="137">
        <v>0.0</v>
      </c>
      <c r="T544" s="137">
        <v>0.0</v>
      </c>
      <c r="U544" s="137">
        <v>0.0</v>
      </c>
      <c r="V544" s="137">
        <v>0.0</v>
      </c>
      <c r="W544" s="137">
        <v>0.0</v>
      </c>
      <c r="X544" s="137">
        <v>2.0</v>
      </c>
      <c r="Y544" s="137">
        <v>2.0</v>
      </c>
      <c r="Z544" s="137">
        <v>4.0</v>
      </c>
      <c r="AA544" s="137">
        <v>2.0</v>
      </c>
      <c r="AB544" s="137">
        <v>4.0</v>
      </c>
      <c r="AC544" s="137">
        <v>0.0</v>
      </c>
      <c r="AD544" s="137">
        <v>2.0</v>
      </c>
      <c r="AE544" s="137">
        <v>0.0</v>
      </c>
      <c r="AF544" s="137">
        <v>0.0</v>
      </c>
      <c r="AG544" s="137">
        <v>0.0</v>
      </c>
      <c r="AH544" s="137">
        <v>4.0</v>
      </c>
      <c r="AI544" s="137">
        <v>0.0</v>
      </c>
      <c r="AJ544" s="137">
        <v>0.0</v>
      </c>
      <c r="AK544" s="137">
        <v>0.0</v>
      </c>
      <c r="AL544" s="137">
        <v>0.0</v>
      </c>
      <c r="AM544" s="137">
        <v>0.0</v>
      </c>
      <c r="AN544" s="137">
        <v>22.0</v>
      </c>
    </row>
    <row r="545">
      <c r="A545" s="98"/>
      <c r="B545" s="136" t="s">
        <v>199</v>
      </c>
      <c r="C545" s="137">
        <v>0.0</v>
      </c>
      <c r="D545" s="137">
        <v>0.0</v>
      </c>
      <c r="E545" s="137">
        <v>0.0</v>
      </c>
      <c r="F545" s="137">
        <v>0.0</v>
      </c>
      <c r="G545" s="137">
        <v>0.0</v>
      </c>
      <c r="H545" s="137">
        <v>0.0</v>
      </c>
      <c r="I545" s="137">
        <v>0.0</v>
      </c>
      <c r="J545" s="137">
        <v>0.0</v>
      </c>
      <c r="K545" s="137">
        <v>0.0</v>
      </c>
      <c r="L545" s="137">
        <v>0.0</v>
      </c>
      <c r="M545" s="137">
        <v>0.0</v>
      </c>
      <c r="N545" s="137">
        <v>0.0</v>
      </c>
      <c r="O545" s="137">
        <v>0.0</v>
      </c>
      <c r="P545" s="137">
        <v>0.0</v>
      </c>
      <c r="Q545" s="137">
        <v>0.0</v>
      </c>
      <c r="R545" s="137">
        <v>0.0</v>
      </c>
      <c r="S545" s="137">
        <v>0.0</v>
      </c>
      <c r="T545" s="137">
        <v>0.0</v>
      </c>
      <c r="U545" s="137">
        <v>0.0</v>
      </c>
      <c r="V545" s="137">
        <v>0.0</v>
      </c>
      <c r="W545" s="137">
        <v>0.0</v>
      </c>
      <c r="X545" s="137">
        <v>0.0</v>
      </c>
      <c r="Y545" s="137">
        <v>0.0</v>
      </c>
      <c r="Z545" s="137">
        <v>0.0</v>
      </c>
      <c r="AA545" s="137">
        <v>0.0</v>
      </c>
      <c r="AB545" s="137">
        <v>0.0</v>
      </c>
      <c r="AC545" s="137">
        <v>0.0</v>
      </c>
      <c r="AD545" s="137">
        <v>0.0</v>
      </c>
      <c r="AE545" s="137">
        <v>0.0</v>
      </c>
      <c r="AF545" s="137">
        <v>0.0</v>
      </c>
      <c r="AG545" s="137">
        <v>0.0</v>
      </c>
      <c r="AH545" s="137">
        <v>0.0</v>
      </c>
      <c r="AI545" s="137">
        <v>0.0</v>
      </c>
      <c r="AJ545" s="137">
        <v>0.0</v>
      </c>
      <c r="AK545" s="137">
        <v>0.0</v>
      </c>
      <c r="AL545" s="137">
        <v>0.0</v>
      </c>
      <c r="AM545" s="137">
        <v>0.0</v>
      </c>
      <c r="AN545" s="137">
        <v>0.0</v>
      </c>
    </row>
    <row r="546">
      <c r="A546" s="104"/>
      <c r="B546" s="136" t="s">
        <v>206</v>
      </c>
      <c r="C546" s="137">
        <v>124.0</v>
      </c>
      <c r="D546" s="137">
        <v>52.0</v>
      </c>
      <c r="E546" s="137">
        <v>72.0</v>
      </c>
      <c r="F546" s="137">
        <v>0.0</v>
      </c>
      <c r="G546" s="137">
        <v>0.0</v>
      </c>
      <c r="H546" s="137">
        <v>2.0</v>
      </c>
      <c r="I546" s="137">
        <v>0.0</v>
      </c>
      <c r="J546" s="137">
        <v>0.0</v>
      </c>
      <c r="K546" s="137">
        <v>0.0</v>
      </c>
      <c r="L546" s="137">
        <v>2.0</v>
      </c>
      <c r="M546" s="137">
        <v>12.0</v>
      </c>
      <c r="N546" s="137">
        <v>20.0</v>
      </c>
      <c r="O546" s="137">
        <v>10.0</v>
      </c>
      <c r="P546" s="137">
        <v>4.0</v>
      </c>
      <c r="Q546" s="137">
        <v>12.0</v>
      </c>
      <c r="R546" s="137">
        <v>2.0</v>
      </c>
      <c r="S546" s="137">
        <v>8.0</v>
      </c>
      <c r="T546" s="137">
        <v>0.0</v>
      </c>
      <c r="U546" s="137">
        <v>12.0</v>
      </c>
      <c r="V546" s="137">
        <v>0.0</v>
      </c>
      <c r="W546" s="137">
        <v>6.0</v>
      </c>
      <c r="X546" s="137">
        <v>0.0</v>
      </c>
      <c r="Y546" s="137">
        <v>4.0</v>
      </c>
      <c r="Z546" s="137">
        <v>4.0</v>
      </c>
      <c r="AA546" s="137">
        <v>6.0</v>
      </c>
      <c r="AB546" s="137">
        <v>6.0</v>
      </c>
      <c r="AC546" s="137">
        <v>2.0</v>
      </c>
      <c r="AD546" s="137">
        <v>0.0</v>
      </c>
      <c r="AE546" s="137">
        <v>0.0</v>
      </c>
      <c r="AF546" s="137">
        <v>0.0</v>
      </c>
      <c r="AG546" s="137">
        <v>0.0</v>
      </c>
      <c r="AH546" s="137">
        <v>0.0</v>
      </c>
      <c r="AI546" s="137">
        <v>0.0</v>
      </c>
      <c r="AJ546" s="137">
        <v>12.0</v>
      </c>
      <c r="AK546" s="137">
        <v>0.0</v>
      </c>
      <c r="AL546" s="137">
        <v>0.0</v>
      </c>
      <c r="AM546" s="137">
        <v>0.0</v>
      </c>
      <c r="AN546" s="137">
        <v>118.0</v>
      </c>
    </row>
    <row r="547">
      <c r="A547" s="132" t="s">
        <v>207</v>
      </c>
      <c r="B547" s="136" t="s">
        <v>198</v>
      </c>
      <c r="C547" s="134">
        <v>20242.0</v>
      </c>
      <c r="D547" s="134">
        <v>6174.0</v>
      </c>
      <c r="E547" s="134">
        <v>14068.0</v>
      </c>
      <c r="F547" s="137">
        <v>146.0</v>
      </c>
      <c r="G547" s="137">
        <v>158.0</v>
      </c>
      <c r="H547" s="137">
        <v>226.0</v>
      </c>
      <c r="I547" s="137">
        <v>182.0</v>
      </c>
      <c r="J547" s="137">
        <v>186.0</v>
      </c>
      <c r="K547" s="137">
        <v>136.0</v>
      </c>
      <c r="L547" s="137">
        <v>132.0</v>
      </c>
      <c r="M547" s="137">
        <v>220.0</v>
      </c>
      <c r="N547" s="137">
        <v>108.0</v>
      </c>
      <c r="O547" s="137">
        <v>200.0</v>
      </c>
      <c r="P547" s="137">
        <v>112.0</v>
      </c>
      <c r="Q547" s="137">
        <v>404.0</v>
      </c>
      <c r="R547" s="137">
        <v>118.0</v>
      </c>
      <c r="S547" s="137">
        <v>436.0</v>
      </c>
      <c r="T547" s="137">
        <v>228.0</v>
      </c>
      <c r="U547" s="137">
        <v>642.0</v>
      </c>
      <c r="V547" s="137">
        <v>228.0</v>
      </c>
      <c r="W547" s="137">
        <v>746.0</v>
      </c>
      <c r="X547" s="137">
        <v>324.0</v>
      </c>
      <c r="Y547" s="134">
        <v>1180.0</v>
      </c>
      <c r="Z547" s="137">
        <v>504.0</v>
      </c>
      <c r="AA547" s="134">
        <v>1574.0</v>
      </c>
      <c r="AB547" s="137">
        <v>612.0</v>
      </c>
      <c r="AC547" s="134">
        <v>1716.0</v>
      </c>
      <c r="AD547" s="137">
        <v>644.0</v>
      </c>
      <c r="AE547" s="134">
        <v>1502.0</v>
      </c>
      <c r="AF547" s="137">
        <v>664.0</v>
      </c>
      <c r="AG547" s="134">
        <v>1424.0</v>
      </c>
      <c r="AH547" s="137">
        <v>666.0</v>
      </c>
      <c r="AI547" s="134">
        <v>1204.0</v>
      </c>
      <c r="AJ547" s="137">
        <v>516.0</v>
      </c>
      <c r="AK547" s="134">
        <v>1122.0</v>
      </c>
      <c r="AL547" s="137">
        <v>760.0</v>
      </c>
      <c r="AM547" s="134">
        <v>1222.0</v>
      </c>
      <c r="AN547" s="134">
        <v>19630.0</v>
      </c>
    </row>
    <row r="548">
      <c r="A548" s="98"/>
      <c r="B548" s="136" t="s">
        <v>199</v>
      </c>
      <c r="C548" s="134">
        <v>2928.0</v>
      </c>
      <c r="D548" s="137">
        <v>834.0</v>
      </c>
      <c r="E548" s="134">
        <v>2094.0</v>
      </c>
      <c r="F548" s="137">
        <v>4.0</v>
      </c>
      <c r="G548" s="137">
        <v>2.0</v>
      </c>
      <c r="H548" s="137">
        <v>2.0</v>
      </c>
      <c r="I548" s="137">
        <v>4.0</v>
      </c>
      <c r="J548" s="137">
        <v>14.0</v>
      </c>
      <c r="K548" s="137">
        <v>10.0</v>
      </c>
      <c r="L548" s="137">
        <v>8.0</v>
      </c>
      <c r="M548" s="137">
        <v>8.0</v>
      </c>
      <c r="N548" s="137">
        <v>6.0</v>
      </c>
      <c r="O548" s="137">
        <v>16.0</v>
      </c>
      <c r="P548" s="137">
        <v>8.0</v>
      </c>
      <c r="Q548" s="137">
        <v>28.0</v>
      </c>
      <c r="R548" s="137">
        <v>10.0</v>
      </c>
      <c r="S548" s="137">
        <v>46.0</v>
      </c>
      <c r="T548" s="137">
        <v>2.0</v>
      </c>
      <c r="U548" s="137">
        <v>40.0</v>
      </c>
      <c r="V548" s="137">
        <v>16.0</v>
      </c>
      <c r="W548" s="137">
        <v>120.0</v>
      </c>
      <c r="X548" s="137">
        <v>32.0</v>
      </c>
      <c r="Y548" s="137">
        <v>140.0</v>
      </c>
      <c r="Z548" s="137">
        <v>42.0</v>
      </c>
      <c r="AA548" s="137">
        <v>184.0</v>
      </c>
      <c r="AB548" s="137">
        <v>50.0</v>
      </c>
      <c r="AC548" s="137">
        <v>200.0</v>
      </c>
      <c r="AD548" s="137">
        <v>84.0</v>
      </c>
      <c r="AE548" s="137">
        <v>242.0</v>
      </c>
      <c r="AF548" s="137">
        <v>90.0</v>
      </c>
      <c r="AG548" s="137">
        <v>290.0</v>
      </c>
      <c r="AH548" s="137">
        <v>150.0</v>
      </c>
      <c r="AI548" s="137">
        <v>276.0</v>
      </c>
      <c r="AJ548" s="137">
        <v>170.0</v>
      </c>
      <c r="AK548" s="137">
        <v>200.0</v>
      </c>
      <c r="AL548" s="137">
        <v>146.0</v>
      </c>
      <c r="AM548" s="137">
        <v>288.0</v>
      </c>
      <c r="AN548" s="134">
        <v>2854.0</v>
      </c>
    </row>
    <row r="549">
      <c r="A549" s="98"/>
      <c r="B549" s="136" t="s">
        <v>206</v>
      </c>
      <c r="C549" s="137">
        <v>338.0</v>
      </c>
      <c r="D549" s="137">
        <v>54.0</v>
      </c>
      <c r="E549" s="137">
        <v>284.0</v>
      </c>
      <c r="F549" s="137">
        <v>26.0</v>
      </c>
      <c r="G549" s="137">
        <v>32.0</v>
      </c>
      <c r="H549" s="137">
        <v>2.0</v>
      </c>
      <c r="I549" s="137">
        <v>4.0</v>
      </c>
      <c r="J549" s="137">
        <v>2.0</v>
      </c>
      <c r="K549" s="137">
        <v>6.0</v>
      </c>
      <c r="L549" s="137">
        <v>10.0</v>
      </c>
      <c r="M549" s="137">
        <v>34.0</v>
      </c>
      <c r="N549" s="137">
        <v>4.0</v>
      </c>
      <c r="O549" s="137">
        <v>28.0</v>
      </c>
      <c r="P549" s="137">
        <v>4.0</v>
      </c>
      <c r="Q549" s="137">
        <v>36.0</v>
      </c>
      <c r="R549" s="137">
        <v>0.0</v>
      </c>
      <c r="S549" s="137">
        <v>20.0</v>
      </c>
      <c r="T549" s="137">
        <v>2.0</v>
      </c>
      <c r="U549" s="137">
        <v>26.0</v>
      </c>
      <c r="V549" s="137">
        <v>2.0</v>
      </c>
      <c r="W549" s="137">
        <v>20.0</v>
      </c>
      <c r="X549" s="137">
        <v>0.0</v>
      </c>
      <c r="Y549" s="137">
        <v>16.0</v>
      </c>
      <c r="Z549" s="137">
        <v>0.0</v>
      </c>
      <c r="AA549" s="137">
        <v>20.0</v>
      </c>
      <c r="AB549" s="137">
        <v>0.0</v>
      </c>
      <c r="AC549" s="137">
        <v>10.0</v>
      </c>
      <c r="AD549" s="137">
        <v>0.0</v>
      </c>
      <c r="AE549" s="137">
        <v>6.0</v>
      </c>
      <c r="AF549" s="137">
        <v>0.0</v>
      </c>
      <c r="AG549" s="137">
        <v>2.0</v>
      </c>
      <c r="AH549" s="137">
        <v>2.0</v>
      </c>
      <c r="AI549" s="137">
        <v>4.0</v>
      </c>
      <c r="AJ549" s="137">
        <v>0.0</v>
      </c>
      <c r="AK549" s="137">
        <v>10.0</v>
      </c>
      <c r="AL549" s="137">
        <v>0.0</v>
      </c>
      <c r="AM549" s="137">
        <v>10.0</v>
      </c>
      <c r="AN549" s="137">
        <v>318.0</v>
      </c>
    </row>
    <row r="550">
      <c r="A550" s="98"/>
      <c r="B550" s="136" t="s">
        <v>200</v>
      </c>
      <c r="C550" s="134">
        <v>1090.0</v>
      </c>
      <c r="D550" s="137">
        <v>304.0</v>
      </c>
      <c r="E550" s="137">
        <v>786.0</v>
      </c>
      <c r="F550" s="137">
        <v>134.0</v>
      </c>
      <c r="G550" s="137">
        <v>196.0</v>
      </c>
      <c r="H550" s="137">
        <v>24.0</v>
      </c>
      <c r="I550" s="137">
        <v>58.0</v>
      </c>
      <c r="J550" s="137">
        <v>10.0</v>
      </c>
      <c r="K550" s="137">
        <v>36.0</v>
      </c>
      <c r="L550" s="137">
        <v>2.0</v>
      </c>
      <c r="M550" s="137">
        <v>16.0</v>
      </c>
      <c r="N550" s="137">
        <v>4.0</v>
      </c>
      <c r="O550" s="137">
        <v>64.0</v>
      </c>
      <c r="P550" s="137">
        <v>12.0</v>
      </c>
      <c r="Q550" s="137">
        <v>90.0</v>
      </c>
      <c r="R550" s="137">
        <v>22.0</v>
      </c>
      <c r="S550" s="137">
        <v>50.0</v>
      </c>
      <c r="T550" s="137">
        <v>12.0</v>
      </c>
      <c r="U550" s="137">
        <v>84.0</v>
      </c>
      <c r="V550" s="137">
        <v>16.0</v>
      </c>
      <c r="W550" s="137">
        <v>48.0</v>
      </c>
      <c r="X550" s="137">
        <v>22.0</v>
      </c>
      <c r="Y550" s="137">
        <v>36.0</v>
      </c>
      <c r="Z550" s="137">
        <v>6.0</v>
      </c>
      <c r="AA550" s="137">
        <v>18.0</v>
      </c>
      <c r="AB550" s="137">
        <v>12.0</v>
      </c>
      <c r="AC550" s="137">
        <v>22.0</v>
      </c>
      <c r="AD550" s="137">
        <v>2.0</v>
      </c>
      <c r="AE550" s="137">
        <v>6.0</v>
      </c>
      <c r="AF550" s="137">
        <v>8.0</v>
      </c>
      <c r="AG550" s="137">
        <v>32.0</v>
      </c>
      <c r="AH550" s="137">
        <v>8.0</v>
      </c>
      <c r="AI550" s="137">
        <v>16.0</v>
      </c>
      <c r="AJ550" s="137">
        <v>4.0</v>
      </c>
      <c r="AK550" s="137">
        <v>6.0</v>
      </c>
      <c r="AL550" s="137">
        <v>6.0</v>
      </c>
      <c r="AM550" s="137">
        <v>8.0</v>
      </c>
      <c r="AN550" s="134">
        <v>1054.0</v>
      </c>
    </row>
    <row r="551">
      <c r="A551" s="104"/>
      <c r="B551" s="136" t="s">
        <v>201</v>
      </c>
      <c r="C551" s="134">
        <v>18196.0</v>
      </c>
      <c r="D551" s="134">
        <v>6244.0</v>
      </c>
      <c r="E551" s="134">
        <v>11952.0</v>
      </c>
      <c r="F551" s="137">
        <v>152.0</v>
      </c>
      <c r="G551" s="137">
        <v>90.0</v>
      </c>
      <c r="H551" s="137">
        <v>152.0</v>
      </c>
      <c r="I551" s="137">
        <v>156.0</v>
      </c>
      <c r="J551" s="137">
        <v>204.0</v>
      </c>
      <c r="K551" s="137">
        <v>294.0</v>
      </c>
      <c r="L551" s="137">
        <v>300.0</v>
      </c>
      <c r="M551" s="134">
        <v>1334.0</v>
      </c>
      <c r="N551" s="137">
        <v>282.0</v>
      </c>
      <c r="O551" s="134">
        <v>1142.0</v>
      </c>
      <c r="P551" s="137">
        <v>292.0</v>
      </c>
      <c r="Q551" s="134">
        <v>1394.0</v>
      </c>
      <c r="R551" s="137">
        <v>208.0</v>
      </c>
      <c r="S551" s="137">
        <v>926.0</v>
      </c>
      <c r="T551" s="137">
        <v>234.0</v>
      </c>
      <c r="U551" s="137">
        <v>922.0</v>
      </c>
      <c r="V551" s="137">
        <v>270.0</v>
      </c>
      <c r="W551" s="137">
        <v>732.0</v>
      </c>
      <c r="X551" s="137">
        <v>354.0</v>
      </c>
      <c r="Y551" s="137">
        <v>732.0</v>
      </c>
      <c r="Z551" s="137">
        <v>598.0</v>
      </c>
      <c r="AA551" s="137">
        <v>598.0</v>
      </c>
      <c r="AB551" s="137">
        <v>552.0</v>
      </c>
      <c r="AC551" s="137">
        <v>634.0</v>
      </c>
      <c r="AD551" s="137">
        <v>496.0</v>
      </c>
      <c r="AE551" s="137">
        <v>492.0</v>
      </c>
      <c r="AF551" s="137">
        <v>542.0</v>
      </c>
      <c r="AG551" s="137">
        <v>540.0</v>
      </c>
      <c r="AH551" s="137">
        <v>518.0</v>
      </c>
      <c r="AI551" s="137">
        <v>584.0</v>
      </c>
      <c r="AJ551" s="137">
        <v>528.0</v>
      </c>
      <c r="AK551" s="137">
        <v>552.0</v>
      </c>
      <c r="AL551" s="137">
        <v>562.0</v>
      </c>
      <c r="AM551" s="137">
        <v>830.0</v>
      </c>
      <c r="AN551" s="134">
        <v>18184.0</v>
      </c>
    </row>
    <row r="552">
      <c r="A552" s="132" t="s">
        <v>208</v>
      </c>
      <c r="B552" s="136" t="s">
        <v>198</v>
      </c>
      <c r="C552" s="137">
        <v>10.0</v>
      </c>
      <c r="D552" s="137">
        <v>6.0</v>
      </c>
      <c r="E552" s="137">
        <v>4.0</v>
      </c>
      <c r="F552" s="137">
        <v>6.0</v>
      </c>
      <c r="G552" s="137">
        <v>2.0</v>
      </c>
      <c r="H552" s="137">
        <v>0.0</v>
      </c>
      <c r="I552" s="137">
        <v>0.0</v>
      </c>
      <c r="J552" s="137">
        <v>0.0</v>
      </c>
      <c r="K552" s="137">
        <v>0.0</v>
      </c>
      <c r="L552" s="137">
        <v>0.0</v>
      </c>
      <c r="M552" s="137">
        <v>2.0</v>
      </c>
      <c r="N552" s="137">
        <v>0.0</v>
      </c>
      <c r="O552" s="137">
        <v>0.0</v>
      </c>
      <c r="P552" s="135">
        <v>0.0</v>
      </c>
      <c r="Q552" s="135">
        <v>0.0</v>
      </c>
      <c r="R552" s="135">
        <v>0.0</v>
      </c>
      <c r="S552" s="135">
        <v>0.0</v>
      </c>
      <c r="T552" s="135">
        <v>0.0</v>
      </c>
      <c r="U552" s="135">
        <v>0.0</v>
      </c>
      <c r="V552" s="135">
        <v>0.0</v>
      </c>
      <c r="W552" s="135">
        <v>0.0</v>
      </c>
      <c r="X552" s="135">
        <v>0.0</v>
      </c>
      <c r="Y552" s="135">
        <v>0.0</v>
      </c>
      <c r="Z552" s="135">
        <v>0.0</v>
      </c>
      <c r="AA552" s="135">
        <v>0.0</v>
      </c>
      <c r="AB552" s="135">
        <v>0.0</v>
      </c>
      <c r="AC552" s="135">
        <v>0.0</v>
      </c>
      <c r="AD552" s="135">
        <v>0.0</v>
      </c>
      <c r="AE552" s="135">
        <v>0.0</v>
      </c>
      <c r="AF552" s="135">
        <v>0.0</v>
      </c>
      <c r="AG552" s="135">
        <v>0.0</v>
      </c>
      <c r="AH552" s="135">
        <v>0.0</v>
      </c>
      <c r="AI552" s="135">
        <v>0.0</v>
      </c>
      <c r="AJ552" s="135">
        <v>0.0</v>
      </c>
      <c r="AK552" s="135">
        <v>0.0</v>
      </c>
      <c r="AL552" s="135">
        <v>0.0</v>
      </c>
      <c r="AM552" s="135">
        <v>0.0</v>
      </c>
      <c r="AN552" s="137">
        <v>6.0</v>
      </c>
    </row>
    <row r="553">
      <c r="A553" s="98"/>
      <c r="B553" s="136" t="s">
        <v>199</v>
      </c>
      <c r="C553" s="137">
        <v>14.0</v>
      </c>
      <c r="D553" s="137">
        <v>8.0</v>
      </c>
      <c r="E553" s="137">
        <v>6.0</v>
      </c>
      <c r="F553" s="137">
        <v>8.0</v>
      </c>
      <c r="G553" s="137">
        <v>6.0</v>
      </c>
      <c r="H553" s="137">
        <v>0.0</v>
      </c>
      <c r="I553" s="137">
        <v>0.0</v>
      </c>
      <c r="J553" s="137">
        <v>0.0</v>
      </c>
      <c r="K553" s="137">
        <v>0.0</v>
      </c>
      <c r="L553" s="137">
        <v>0.0</v>
      </c>
      <c r="M553" s="137">
        <v>0.0</v>
      </c>
      <c r="N553" s="137">
        <v>0.0</v>
      </c>
      <c r="O553" s="137">
        <v>0.0</v>
      </c>
      <c r="P553" s="135">
        <v>0.0</v>
      </c>
      <c r="Q553" s="135">
        <v>0.0</v>
      </c>
      <c r="R553" s="135">
        <v>0.0</v>
      </c>
      <c r="S553" s="135">
        <v>0.0</v>
      </c>
      <c r="T553" s="135">
        <v>0.0</v>
      </c>
      <c r="U553" s="135">
        <v>0.0</v>
      </c>
      <c r="V553" s="135">
        <v>0.0</v>
      </c>
      <c r="W553" s="135">
        <v>0.0</v>
      </c>
      <c r="X553" s="135">
        <v>0.0</v>
      </c>
      <c r="Y553" s="135">
        <v>0.0</v>
      </c>
      <c r="Z553" s="135">
        <v>0.0</v>
      </c>
      <c r="AA553" s="135">
        <v>0.0</v>
      </c>
      <c r="AB553" s="135">
        <v>0.0</v>
      </c>
      <c r="AC553" s="135">
        <v>0.0</v>
      </c>
      <c r="AD553" s="135">
        <v>0.0</v>
      </c>
      <c r="AE553" s="135">
        <v>0.0</v>
      </c>
      <c r="AF553" s="135">
        <v>0.0</v>
      </c>
      <c r="AG553" s="135">
        <v>0.0</v>
      </c>
      <c r="AH553" s="135">
        <v>0.0</v>
      </c>
      <c r="AI553" s="135">
        <v>0.0</v>
      </c>
      <c r="AJ553" s="135">
        <v>0.0</v>
      </c>
      <c r="AK553" s="135">
        <v>0.0</v>
      </c>
      <c r="AL553" s="135">
        <v>0.0</v>
      </c>
      <c r="AM553" s="135">
        <v>0.0</v>
      </c>
      <c r="AN553" s="137">
        <v>12.0</v>
      </c>
    </row>
    <row r="554">
      <c r="A554" s="98"/>
      <c r="B554" s="136" t="s">
        <v>206</v>
      </c>
      <c r="C554" s="137">
        <v>0.0</v>
      </c>
      <c r="D554" s="137">
        <v>0.0</v>
      </c>
      <c r="E554" s="137">
        <v>0.0</v>
      </c>
      <c r="F554" s="137">
        <v>0.0</v>
      </c>
      <c r="G554" s="137">
        <v>0.0</v>
      </c>
      <c r="H554" s="137">
        <v>0.0</v>
      </c>
      <c r="I554" s="137">
        <v>0.0</v>
      </c>
      <c r="J554" s="137">
        <v>0.0</v>
      </c>
      <c r="K554" s="137">
        <v>0.0</v>
      </c>
      <c r="L554" s="137">
        <v>0.0</v>
      </c>
      <c r="M554" s="137">
        <v>0.0</v>
      </c>
      <c r="N554" s="137">
        <v>0.0</v>
      </c>
      <c r="O554" s="137">
        <v>0.0</v>
      </c>
      <c r="P554" s="135">
        <v>0.0</v>
      </c>
      <c r="Q554" s="135">
        <v>0.0</v>
      </c>
      <c r="R554" s="135">
        <v>0.0</v>
      </c>
      <c r="S554" s="135">
        <v>0.0</v>
      </c>
      <c r="T554" s="135">
        <v>0.0</v>
      </c>
      <c r="U554" s="135">
        <v>0.0</v>
      </c>
      <c r="V554" s="135">
        <v>0.0</v>
      </c>
      <c r="W554" s="135">
        <v>0.0</v>
      </c>
      <c r="X554" s="135">
        <v>0.0</v>
      </c>
      <c r="Y554" s="135">
        <v>0.0</v>
      </c>
      <c r="Z554" s="135">
        <v>0.0</v>
      </c>
      <c r="AA554" s="135">
        <v>0.0</v>
      </c>
      <c r="AB554" s="135">
        <v>0.0</v>
      </c>
      <c r="AC554" s="135">
        <v>0.0</v>
      </c>
      <c r="AD554" s="135">
        <v>0.0</v>
      </c>
      <c r="AE554" s="135">
        <v>0.0</v>
      </c>
      <c r="AF554" s="135">
        <v>0.0</v>
      </c>
      <c r="AG554" s="135">
        <v>0.0</v>
      </c>
      <c r="AH554" s="135">
        <v>0.0</v>
      </c>
      <c r="AI554" s="135">
        <v>0.0</v>
      </c>
      <c r="AJ554" s="135">
        <v>0.0</v>
      </c>
      <c r="AK554" s="135">
        <v>0.0</v>
      </c>
      <c r="AL554" s="135">
        <v>0.0</v>
      </c>
      <c r="AM554" s="135">
        <v>0.0</v>
      </c>
      <c r="AN554" s="137">
        <v>0.0</v>
      </c>
    </row>
    <row r="555">
      <c r="A555" s="98"/>
      <c r="B555" s="136" t="s">
        <v>200</v>
      </c>
      <c r="C555" s="137">
        <v>0.0</v>
      </c>
      <c r="D555" s="137">
        <v>0.0</v>
      </c>
      <c r="E555" s="137">
        <v>0.0</v>
      </c>
      <c r="F555" s="137">
        <v>0.0</v>
      </c>
      <c r="G555" s="137">
        <v>0.0</v>
      </c>
      <c r="H555" s="137">
        <v>0.0</v>
      </c>
      <c r="I555" s="137">
        <v>0.0</v>
      </c>
      <c r="J555" s="137">
        <v>0.0</v>
      </c>
      <c r="K555" s="137">
        <v>0.0</v>
      </c>
      <c r="L555" s="137">
        <v>0.0</v>
      </c>
      <c r="M555" s="137">
        <v>0.0</v>
      </c>
      <c r="N555" s="137">
        <v>0.0</v>
      </c>
      <c r="O555" s="137">
        <v>0.0</v>
      </c>
      <c r="P555" s="135">
        <v>0.0</v>
      </c>
      <c r="Q555" s="135">
        <v>0.0</v>
      </c>
      <c r="R555" s="135">
        <v>0.0</v>
      </c>
      <c r="S555" s="135">
        <v>0.0</v>
      </c>
      <c r="T555" s="135">
        <v>0.0</v>
      </c>
      <c r="U555" s="135">
        <v>0.0</v>
      </c>
      <c r="V555" s="135">
        <v>0.0</v>
      </c>
      <c r="W555" s="135">
        <v>0.0</v>
      </c>
      <c r="X555" s="135">
        <v>0.0</v>
      </c>
      <c r="Y555" s="135">
        <v>0.0</v>
      </c>
      <c r="Z555" s="135">
        <v>0.0</v>
      </c>
      <c r="AA555" s="135">
        <v>0.0</v>
      </c>
      <c r="AB555" s="135">
        <v>0.0</v>
      </c>
      <c r="AC555" s="135">
        <v>0.0</v>
      </c>
      <c r="AD555" s="135">
        <v>0.0</v>
      </c>
      <c r="AE555" s="135">
        <v>0.0</v>
      </c>
      <c r="AF555" s="135">
        <v>0.0</v>
      </c>
      <c r="AG555" s="135">
        <v>0.0</v>
      </c>
      <c r="AH555" s="135">
        <v>0.0</v>
      </c>
      <c r="AI555" s="135">
        <v>0.0</v>
      </c>
      <c r="AJ555" s="135">
        <v>0.0</v>
      </c>
      <c r="AK555" s="135">
        <v>0.0</v>
      </c>
      <c r="AL555" s="135">
        <v>0.0</v>
      </c>
      <c r="AM555" s="135">
        <v>0.0</v>
      </c>
      <c r="AN555" s="137">
        <v>0.0</v>
      </c>
    </row>
    <row r="556">
      <c r="A556" s="104"/>
      <c r="B556" s="136" t="s">
        <v>201</v>
      </c>
      <c r="C556" s="137">
        <v>0.0</v>
      </c>
      <c r="D556" s="137">
        <v>0.0</v>
      </c>
      <c r="E556" s="137">
        <v>0.0</v>
      </c>
      <c r="F556" s="137">
        <v>0.0</v>
      </c>
      <c r="G556" s="137">
        <v>0.0</v>
      </c>
      <c r="H556" s="137">
        <v>0.0</v>
      </c>
      <c r="I556" s="137">
        <v>0.0</v>
      </c>
      <c r="J556" s="137">
        <v>0.0</v>
      </c>
      <c r="K556" s="137">
        <v>0.0</v>
      </c>
      <c r="L556" s="137">
        <v>0.0</v>
      </c>
      <c r="M556" s="137">
        <v>0.0</v>
      </c>
      <c r="N556" s="137">
        <v>0.0</v>
      </c>
      <c r="O556" s="137">
        <v>0.0</v>
      </c>
      <c r="P556" s="135">
        <v>0.0</v>
      </c>
      <c r="Q556" s="135">
        <v>0.0</v>
      </c>
      <c r="R556" s="135">
        <v>0.0</v>
      </c>
      <c r="S556" s="135">
        <v>0.0</v>
      </c>
      <c r="T556" s="135">
        <v>0.0</v>
      </c>
      <c r="U556" s="135">
        <v>0.0</v>
      </c>
      <c r="V556" s="135">
        <v>0.0</v>
      </c>
      <c r="W556" s="135">
        <v>0.0</v>
      </c>
      <c r="X556" s="135">
        <v>0.0</v>
      </c>
      <c r="Y556" s="135">
        <v>0.0</v>
      </c>
      <c r="Z556" s="135">
        <v>0.0</v>
      </c>
      <c r="AA556" s="135">
        <v>0.0</v>
      </c>
      <c r="AB556" s="135">
        <v>0.0</v>
      </c>
      <c r="AC556" s="135">
        <v>0.0</v>
      </c>
      <c r="AD556" s="135">
        <v>0.0</v>
      </c>
      <c r="AE556" s="135">
        <v>0.0</v>
      </c>
      <c r="AF556" s="135">
        <v>0.0</v>
      </c>
      <c r="AG556" s="135">
        <v>0.0</v>
      </c>
      <c r="AH556" s="135">
        <v>0.0</v>
      </c>
      <c r="AI556" s="135">
        <v>0.0</v>
      </c>
      <c r="AJ556" s="135">
        <v>0.0</v>
      </c>
      <c r="AK556" s="135">
        <v>0.0</v>
      </c>
      <c r="AL556" s="135">
        <v>0.0</v>
      </c>
      <c r="AM556" s="135">
        <v>0.0</v>
      </c>
      <c r="AN556" s="137">
        <v>0.0</v>
      </c>
    </row>
    <row r="557">
      <c r="A557" s="138" t="s">
        <v>262</v>
      </c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</row>
    <row r="558">
      <c r="A558" s="132" t="s">
        <v>197</v>
      </c>
      <c r="B558" s="133" t="s">
        <v>198</v>
      </c>
      <c r="C558" s="134">
        <v>289370.0</v>
      </c>
      <c r="D558" s="134">
        <v>105582.0</v>
      </c>
      <c r="E558" s="134">
        <v>183788.0</v>
      </c>
      <c r="F558" s="135">
        <v>0.0</v>
      </c>
      <c r="G558" s="135">
        <v>0.0</v>
      </c>
      <c r="H558" s="135">
        <v>0.0</v>
      </c>
      <c r="I558" s="135">
        <v>0.0</v>
      </c>
      <c r="J558" s="135">
        <v>0.0</v>
      </c>
      <c r="K558" s="135">
        <v>0.0</v>
      </c>
      <c r="L558" s="137">
        <v>220.0</v>
      </c>
      <c r="M558" s="137">
        <v>360.0</v>
      </c>
      <c r="N558" s="137">
        <v>258.0</v>
      </c>
      <c r="O558" s="137">
        <v>568.0</v>
      </c>
      <c r="P558" s="137">
        <v>414.0</v>
      </c>
      <c r="Q558" s="134">
        <v>1198.0</v>
      </c>
      <c r="R558" s="137">
        <v>906.0</v>
      </c>
      <c r="S558" s="134">
        <v>2080.0</v>
      </c>
      <c r="T558" s="134">
        <v>1632.0</v>
      </c>
      <c r="U558" s="134">
        <v>3814.0</v>
      </c>
      <c r="V558" s="134">
        <v>3164.0</v>
      </c>
      <c r="W558" s="134">
        <v>7124.0</v>
      </c>
      <c r="X558" s="134">
        <v>5420.0</v>
      </c>
      <c r="Y558" s="134">
        <v>12614.0</v>
      </c>
      <c r="Z558" s="134">
        <v>9216.0</v>
      </c>
      <c r="AA558" s="134">
        <v>20074.0</v>
      </c>
      <c r="AB558" s="134">
        <v>12514.0</v>
      </c>
      <c r="AC558" s="134">
        <v>23438.0</v>
      </c>
      <c r="AD558" s="134">
        <v>14638.0</v>
      </c>
      <c r="AE558" s="134">
        <v>25010.0</v>
      </c>
      <c r="AF558" s="134">
        <v>15672.0</v>
      </c>
      <c r="AG558" s="134">
        <v>24688.0</v>
      </c>
      <c r="AH558" s="134">
        <v>15688.0</v>
      </c>
      <c r="AI558" s="134">
        <v>22492.0</v>
      </c>
      <c r="AJ558" s="134">
        <v>12270.0</v>
      </c>
      <c r="AK558" s="134">
        <v>17926.0</v>
      </c>
      <c r="AL558" s="134">
        <v>13570.0</v>
      </c>
      <c r="AM558" s="134">
        <v>22402.0</v>
      </c>
      <c r="AN558" s="134">
        <v>288638.0</v>
      </c>
    </row>
    <row r="559">
      <c r="A559" s="98"/>
      <c r="B559" s="136" t="s">
        <v>199</v>
      </c>
      <c r="C559" s="134">
        <v>166862.0</v>
      </c>
      <c r="D559" s="134">
        <v>59868.0</v>
      </c>
      <c r="E559" s="134">
        <v>106994.0</v>
      </c>
      <c r="F559" s="135">
        <v>0.0</v>
      </c>
      <c r="G559" s="135">
        <v>0.0</v>
      </c>
      <c r="H559" s="135">
        <v>0.0</v>
      </c>
      <c r="I559" s="135">
        <v>0.0</v>
      </c>
      <c r="J559" s="135">
        <v>0.0</v>
      </c>
      <c r="K559" s="135">
        <v>0.0</v>
      </c>
      <c r="L559" s="137">
        <v>48.0</v>
      </c>
      <c r="M559" s="137">
        <v>68.0</v>
      </c>
      <c r="N559" s="137">
        <v>76.0</v>
      </c>
      <c r="O559" s="137">
        <v>190.0</v>
      </c>
      <c r="P559" s="137">
        <v>154.0</v>
      </c>
      <c r="Q559" s="137">
        <v>422.0</v>
      </c>
      <c r="R559" s="137">
        <v>378.0</v>
      </c>
      <c r="S559" s="137">
        <v>812.0</v>
      </c>
      <c r="T559" s="137">
        <v>766.0</v>
      </c>
      <c r="U559" s="134">
        <v>1584.0</v>
      </c>
      <c r="V559" s="134">
        <v>1388.0</v>
      </c>
      <c r="W559" s="134">
        <v>3132.0</v>
      </c>
      <c r="X559" s="134">
        <v>2618.0</v>
      </c>
      <c r="Y559" s="134">
        <v>6344.0</v>
      </c>
      <c r="Z559" s="134">
        <v>4444.0</v>
      </c>
      <c r="AA559" s="134">
        <v>10104.0</v>
      </c>
      <c r="AB559" s="134">
        <v>6264.0</v>
      </c>
      <c r="AC559" s="134">
        <v>12878.0</v>
      </c>
      <c r="AD559" s="134">
        <v>7826.0</v>
      </c>
      <c r="AE559" s="134">
        <v>13960.0</v>
      </c>
      <c r="AF559" s="134">
        <v>9264.0</v>
      </c>
      <c r="AG559" s="134">
        <v>15450.0</v>
      </c>
      <c r="AH559" s="134">
        <v>9760.0</v>
      </c>
      <c r="AI559" s="134">
        <v>15116.0</v>
      </c>
      <c r="AJ559" s="134">
        <v>7688.0</v>
      </c>
      <c r="AK559" s="134">
        <v>12056.0</v>
      </c>
      <c r="AL559" s="134">
        <v>9194.0</v>
      </c>
      <c r="AM559" s="134">
        <v>14878.0</v>
      </c>
      <c r="AN559" s="134">
        <v>166028.0</v>
      </c>
    </row>
    <row r="560">
      <c r="A560" s="98"/>
      <c r="B560" s="136" t="s">
        <v>200</v>
      </c>
      <c r="C560" s="134">
        <v>107666.0</v>
      </c>
      <c r="D560" s="134">
        <v>36542.0</v>
      </c>
      <c r="E560" s="134">
        <v>71124.0</v>
      </c>
      <c r="F560" s="135">
        <v>0.0</v>
      </c>
      <c r="G560" s="135">
        <v>0.0</v>
      </c>
      <c r="H560" s="135">
        <v>0.0</v>
      </c>
      <c r="I560" s="135">
        <v>0.0</v>
      </c>
      <c r="J560" s="135">
        <v>0.0</v>
      </c>
      <c r="K560" s="135">
        <v>0.0</v>
      </c>
      <c r="L560" s="137">
        <v>94.0</v>
      </c>
      <c r="M560" s="137">
        <v>202.0</v>
      </c>
      <c r="N560" s="137">
        <v>94.0</v>
      </c>
      <c r="O560" s="137">
        <v>380.0</v>
      </c>
      <c r="P560" s="137">
        <v>230.0</v>
      </c>
      <c r="Q560" s="137">
        <v>688.0</v>
      </c>
      <c r="R560" s="137">
        <v>404.0</v>
      </c>
      <c r="S560" s="137">
        <v>986.0</v>
      </c>
      <c r="T560" s="137">
        <v>640.0</v>
      </c>
      <c r="U560" s="134">
        <v>1882.0</v>
      </c>
      <c r="V560" s="134">
        <v>1194.0</v>
      </c>
      <c r="W560" s="134">
        <v>3022.0</v>
      </c>
      <c r="X560" s="134">
        <v>2092.0</v>
      </c>
      <c r="Y560" s="134">
        <v>5382.0</v>
      </c>
      <c r="Z560" s="134">
        <v>3178.0</v>
      </c>
      <c r="AA560" s="134">
        <v>8132.0</v>
      </c>
      <c r="AB560" s="134">
        <v>4268.0</v>
      </c>
      <c r="AC560" s="134">
        <v>9346.0</v>
      </c>
      <c r="AD560" s="134">
        <v>5042.0</v>
      </c>
      <c r="AE560" s="134">
        <v>9434.0</v>
      </c>
      <c r="AF560" s="134">
        <v>5376.0</v>
      </c>
      <c r="AG560" s="134">
        <v>9572.0</v>
      </c>
      <c r="AH560" s="134">
        <v>5552.0</v>
      </c>
      <c r="AI560" s="134">
        <v>8694.0</v>
      </c>
      <c r="AJ560" s="134">
        <v>4186.0</v>
      </c>
      <c r="AK560" s="134">
        <v>6440.0</v>
      </c>
      <c r="AL560" s="134">
        <v>4192.0</v>
      </c>
      <c r="AM560" s="134">
        <v>6964.0</v>
      </c>
      <c r="AN560" s="134">
        <v>107436.0</v>
      </c>
    </row>
    <row r="561">
      <c r="A561" s="104"/>
      <c r="B561" s="136" t="s">
        <v>201</v>
      </c>
      <c r="C561" s="134">
        <v>12596.0</v>
      </c>
      <c r="D561" s="134">
        <v>5276.0</v>
      </c>
      <c r="E561" s="134">
        <v>7320.0</v>
      </c>
      <c r="F561" s="135">
        <v>0.0</v>
      </c>
      <c r="G561" s="135">
        <v>0.0</v>
      </c>
      <c r="H561" s="135">
        <v>0.0</v>
      </c>
      <c r="I561" s="135">
        <v>0.0</v>
      </c>
      <c r="J561" s="135">
        <v>0.0</v>
      </c>
      <c r="K561" s="135">
        <v>0.0</v>
      </c>
      <c r="L561" s="137">
        <v>32.0</v>
      </c>
      <c r="M561" s="137">
        <v>66.0</v>
      </c>
      <c r="N561" s="137">
        <v>44.0</v>
      </c>
      <c r="O561" s="137">
        <v>74.0</v>
      </c>
      <c r="P561" s="137">
        <v>74.0</v>
      </c>
      <c r="Q561" s="137">
        <v>84.0</v>
      </c>
      <c r="R561" s="137">
        <v>60.0</v>
      </c>
      <c r="S561" s="137">
        <v>138.0</v>
      </c>
      <c r="T561" s="137">
        <v>108.0</v>
      </c>
      <c r="U561" s="137">
        <v>130.0</v>
      </c>
      <c r="V561" s="137">
        <v>142.0</v>
      </c>
      <c r="W561" s="137">
        <v>322.0</v>
      </c>
      <c r="X561" s="137">
        <v>248.0</v>
      </c>
      <c r="Y561" s="137">
        <v>402.0</v>
      </c>
      <c r="Z561" s="137">
        <v>424.0</v>
      </c>
      <c r="AA561" s="137">
        <v>702.0</v>
      </c>
      <c r="AB561" s="137">
        <v>482.0</v>
      </c>
      <c r="AC561" s="137">
        <v>818.0</v>
      </c>
      <c r="AD561" s="137">
        <v>658.0</v>
      </c>
      <c r="AE561" s="137">
        <v>938.0</v>
      </c>
      <c r="AF561" s="137">
        <v>762.0</v>
      </c>
      <c r="AG561" s="137">
        <v>968.0</v>
      </c>
      <c r="AH561" s="137">
        <v>878.0</v>
      </c>
      <c r="AI561" s="137">
        <v>886.0</v>
      </c>
      <c r="AJ561" s="137">
        <v>606.0</v>
      </c>
      <c r="AK561" s="137">
        <v>826.0</v>
      </c>
      <c r="AL561" s="137">
        <v>758.0</v>
      </c>
      <c r="AM561" s="137">
        <v>966.0</v>
      </c>
      <c r="AN561" s="134">
        <v>12580.0</v>
      </c>
    </row>
    <row r="562">
      <c r="A562" s="132" t="s">
        <v>202</v>
      </c>
      <c r="B562" s="136" t="s">
        <v>198</v>
      </c>
      <c r="C562" s="137">
        <v>534.0</v>
      </c>
      <c r="D562" s="137">
        <v>256.0</v>
      </c>
      <c r="E562" s="137">
        <v>278.0</v>
      </c>
      <c r="F562" s="137">
        <v>2.0</v>
      </c>
      <c r="G562" s="137">
        <v>4.0</v>
      </c>
      <c r="H562" s="137">
        <v>2.0</v>
      </c>
      <c r="I562" s="137">
        <v>4.0</v>
      </c>
      <c r="J562" s="137">
        <v>0.0</v>
      </c>
      <c r="K562" s="137">
        <v>2.0</v>
      </c>
      <c r="L562" s="137">
        <v>0.0</v>
      </c>
      <c r="M562" s="137">
        <v>12.0</v>
      </c>
      <c r="N562" s="137">
        <v>6.0</v>
      </c>
      <c r="O562" s="137">
        <v>8.0</v>
      </c>
      <c r="P562" s="137">
        <v>8.0</v>
      </c>
      <c r="Q562" s="137">
        <v>10.0</v>
      </c>
      <c r="R562" s="137">
        <v>26.0</v>
      </c>
      <c r="S562" s="137">
        <v>12.0</v>
      </c>
      <c r="T562" s="137">
        <v>28.0</v>
      </c>
      <c r="U562" s="137">
        <v>12.0</v>
      </c>
      <c r="V562" s="137">
        <v>6.0</v>
      </c>
      <c r="W562" s="137">
        <v>20.0</v>
      </c>
      <c r="X562" s="137">
        <v>46.0</v>
      </c>
      <c r="Y562" s="137">
        <v>28.0</v>
      </c>
      <c r="Z562" s="137">
        <v>22.0</v>
      </c>
      <c r="AA562" s="137">
        <v>12.0</v>
      </c>
      <c r="AB562" s="137">
        <v>22.0</v>
      </c>
      <c r="AC562" s="137">
        <v>22.0</v>
      </c>
      <c r="AD562" s="137">
        <v>14.0</v>
      </c>
      <c r="AE562" s="137">
        <v>30.0</v>
      </c>
      <c r="AF562" s="137">
        <v>26.0</v>
      </c>
      <c r="AG562" s="137">
        <v>18.0</v>
      </c>
      <c r="AH562" s="137">
        <v>20.0</v>
      </c>
      <c r="AI562" s="137">
        <v>28.0</v>
      </c>
      <c r="AJ562" s="137">
        <v>14.0</v>
      </c>
      <c r="AK562" s="137">
        <v>32.0</v>
      </c>
      <c r="AL562" s="137">
        <v>14.0</v>
      </c>
      <c r="AM562" s="137">
        <v>24.0</v>
      </c>
      <c r="AN562" s="137">
        <v>528.0</v>
      </c>
    </row>
    <row r="563">
      <c r="A563" s="104"/>
      <c r="B563" s="136" t="s">
        <v>199</v>
      </c>
      <c r="C563" s="137">
        <v>960.0</v>
      </c>
      <c r="D563" s="137">
        <v>496.0</v>
      </c>
      <c r="E563" s="137">
        <v>464.0</v>
      </c>
      <c r="F563" s="137">
        <v>6.0</v>
      </c>
      <c r="G563" s="137">
        <v>0.0</v>
      </c>
      <c r="H563" s="137">
        <v>0.0</v>
      </c>
      <c r="I563" s="137">
        <v>6.0</v>
      </c>
      <c r="J563" s="137">
        <v>0.0</v>
      </c>
      <c r="K563" s="137">
        <v>2.0</v>
      </c>
      <c r="L563" s="137">
        <v>0.0</v>
      </c>
      <c r="M563" s="137">
        <v>14.0</v>
      </c>
      <c r="N563" s="137">
        <v>2.0</v>
      </c>
      <c r="O563" s="137">
        <v>0.0</v>
      </c>
      <c r="P563" s="137">
        <v>18.0</v>
      </c>
      <c r="Q563" s="137">
        <v>6.0</v>
      </c>
      <c r="R563" s="137">
        <v>246.0</v>
      </c>
      <c r="S563" s="137">
        <v>16.0</v>
      </c>
      <c r="T563" s="137">
        <v>30.0</v>
      </c>
      <c r="U563" s="137">
        <v>30.0</v>
      </c>
      <c r="V563" s="137">
        <v>6.0</v>
      </c>
      <c r="W563" s="137">
        <v>8.0</v>
      </c>
      <c r="X563" s="137">
        <v>90.0</v>
      </c>
      <c r="Y563" s="137">
        <v>148.0</v>
      </c>
      <c r="Z563" s="137">
        <v>12.0</v>
      </c>
      <c r="AA563" s="137">
        <v>8.0</v>
      </c>
      <c r="AB563" s="137">
        <v>38.0</v>
      </c>
      <c r="AC563" s="137">
        <v>6.0</v>
      </c>
      <c r="AD563" s="137">
        <v>6.0</v>
      </c>
      <c r="AE563" s="137">
        <v>4.0</v>
      </c>
      <c r="AF563" s="137">
        <v>18.0</v>
      </c>
      <c r="AG563" s="137">
        <v>16.0</v>
      </c>
      <c r="AH563" s="137">
        <v>8.0</v>
      </c>
      <c r="AI563" s="137">
        <v>16.0</v>
      </c>
      <c r="AJ563" s="137">
        <v>6.0</v>
      </c>
      <c r="AK563" s="137">
        <v>20.0</v>
      </c>
      <c r="AL563" s="137">
        <v>10.0</v>
      </c>
      <c r="AM563" s="137">
        <v>164.0</v>
      </c>
      <c r="AN563" s="137">
        <v>958.0</v>
      </c>
    </row>
    <row r="564">
      <c r="A564" s="132" t="s">
        <v>203</v>
      </c>
      <c r="B564" s="136" t="s">
        <v>198</v>
      </c>
      <c r="C564" s="134">
        <v>2506.0</v>
      </c>
      <c r="D564" s="134">
        <v>1254.0</v>
      </c>
      <c r="E564" s="134">
        <v>1252.0</v>
      </c>
      <c r="F564" s="135">
        <v>0.0</v>
      </c>
      <c r="G564" s="135">
        <v>0.0</v>
      </c>
      <c r="H564" s="135">
        <v>0.0</v>
      </c>
      <c r="I564" s="135">
        <v>0.0</v>
      </c>
      <c r="J564" s="135">
        <v>0.0</v>
      </c>
      <c r="K564" s="135">
        <v>0.0</v>
      </c>
      <c r="L564" s="135">
        <v>0.0</v>
      </c>
      <c r="M564" s="135">
        <v>0.0</v>
      </c>
      <c r="N564" s="135">
        <v>0.0</v>
      </c>
      <c r="O564" s="135">
        <v>0.0</v>
      </c>
      <c r="P564" s="135">
        <v>0.0</v>
      </c>
      <c r="Q564" s="135">
        <v>0.0</v>
      </c>
      <c r="R564" s="135">
        <v>0.0</v>
      </c>
      <c r="S564" s="135">
        <v>0.0</v>
      </c>
      <c r="T564" s="135">
        <v>0.0</v>
      </c>
      <c r="U564" s="135">
        <v>0.0</v>
      </c>
      <c r="V564" s="135">
        <v>0.0</v>
      </c>
      <c r="W564" s="135">
        <v>0.0</v>
      </c>
      <c r="X564" s="135">
        <v>0.0</v>
      </c>
      <c r="Y564" s="135">
        <v>0.0</v>
      </c>
      <c r="Z564" s="135">
        <v>0.0</v>
      </c>
      <c r="AA564" s="135">
        <v>0.0</v>
      </c>
      <c r="AB564" s="135">
        <v>0.0</v>
      </c>
      <c r="AC564" s="135">
        <v>0.0</v>
      </c>
      <c r="AD564" s="135">
        <v>0.0</v>
      </c>
      <c r="AE564" s="135">
        <v>0.0</v>
      </c>
      <c r="AF564" s="137">
        <v>250.0</v>
      </c>
      <c r="AG564" s="137">
        <v>278.0</v>
      </c>
      <c r="AH564" s="137">
        <v>332.0</v>
      </c>
      <c r="AI564" s="137">
        <v>300.0</v>
      </c>
      <c r="AJ564" s="137">
        <v>296.0</v>
      </c>
      <c r="AK564" s="137">
        <v>212.0</v>
      </c>
      <c r="AL564" s="137">
        <v>376.0</v>
      </c>
      <c r="AM564" s="137">
        <v>462.0</v>
      </c>
      <c r="AN564" s="134">
        <v>2506.0</v>
      </c>
    </row>
    <row r="565">
      <c r="A565" s="104"/>
      <c r="B565" s="136" t="s">
        <v>199</v>
      </c>
      <c r="C565" s="134">
        <v>1706.0</v>
      </c>
      <c r="D565" s="137">
        <v>654.0</v>
      </c>
      <c r="E565" s="134">
        <v>1052.0</v>
      </c>
      <c r="F565" s="135">
        <v>0.0</v>
      </c>
      <c r="G565" s="135">
        <v>0.0</v>
      </c>
      <c r="H565" s="135">
        <v>0.0</v>
      </c>
      <c r="I565" s="135">
        <v>0.0</v>
      </c>
      <c r="J565" s="135">
        <v>0.0</v>
      </c>
      <c r="K565" s="135">
        <v>0.0</v>
      </c>
      <c r="L565" s="135">
        <v>0.0</v>
      </c>
      <c r="M565" s="135">
        <v>0.0</v>
      </c>
      <c r="N565" s="135">
        <v>0.0</v>
      </c>
      <c r="O565" s="135">
        <v>0.0</v>
      </c>
      <c r="P565" s="135">
        <v>0.0</v>
      </c>
      <c r="Q565" s="135">
        <v>0.0</v>
      </c>
      <c r="R565" s="135">
        <v>0.0</v>
      </c>
      <c r="S565" s="135">
        <v>0.0</v>
      </c>
      <c r="T565" s="135">
        <v>0.0</v>
      </c>
      <c r="U565" s="135">
        <v>0.0</v>
      </c>
      <c r="V565" s="135">
        <v>0.0</v>
      </c>
      <c r="W565" s="135">
        <v>0.0</v>
      </c>
      <c r="X565" s="135">
        <v>0.0</v>
      </c>
      <c r="Y565" s="135">
        <v>0.0</v>
      </c>
      <c r="Z565" s="135">
        <v>0.0</v>
      </c>
      <c r="AA565" s="135">
        <v>0.0</v>
      </c>
      <c r="AB565" s="135">
        <v>0.0</v>
      </c>
      <c r="AC565" s="135">
        <v>0.0</v>
      </c>
      <c r="AD565" s="135">
        <v>0.0</v>
      </c>
      <c r="AE565" s="135">
        <v>0.0</v>
      </c>
      <c r="AF565" s="137">
        <v>168.0</v>
      </c>
      <c r="AG565" s="137">
        <v>304.0</v>
      </c>
      <c r="AH565" s="137">
        <v>186.0</v>
      </c>
      <c r="AI565" s="137">
        <v>314.0</v>
      </c>
      <c r="AJ565" s="137">
        <v>164.0</v>
      </c>
      <c r="AK565" s="137">
        <v>228.0</v>
      </c>
      <c r="AL565" s="137">
        <v>136.0</v>
      </c>
      <c r="AM565" s="137">
        <v>206.0</v>
      </c>
      <c r="AN565" s="134">
        <v>1704.0</v>
      </c>
    </row>
    <row r="566">
      <c r="A566" s="132" t="s">
        <v>204</v>
      </c>
      <c r="B566" s="136" t="s">
        <v>198</v>
      </c>
      <c r="C566" s="137">
        <v>168.0</v>
      </c>
      <c r="D566" s="137">
        <v>72.0</v>
      </c>
      <c r="E566" s="137">
        <v>96.0</v>
      </c>
      <c r="F566" s="135">
        <v>0.0</v>
      </c>
      <c r="G566" s="135">
        <v>0.0</v>
      </c>
      <c r="H566" s="135">
        <v>0.0</v>
      </c>
      <c r="I566" s="135">
        <v>0.0</v>
      </c>
      <c r="J566" s="135">
        <v>0.0</v>
      </c>
      <c r="K566" s="135">
        <v>0.0</v>
      </c>
      <c r="L566" s="135">
        <v>0.0</v>
      </c>
      <c r="M566" s="135">
        <v>0.0</v>
      </c>
      <c r="N566" s="135">
        <v>0.0</v>
      </c>
      <c r="O566" s="135">
        <v>0.0</v>
      </c>
      <c r="P566" s="135">
        <v>0.0</v>
      </c>
      <c r="Q566" s="135">
        <v>0.0</v>
      </c>
      <c r="R566" s="135">
        <v>0.0</v>
      </c>
      <c r="S566" s="135">
        <v>0.0</v>
      </c>
      <c r="T566" s="135">
        <v>0.0</v>
      </c>
      <c r="U566" s="135">
        <v>0.0</v>
      </c>
      <c r="V566" s="135">
        <v>0.0</v>
      </c>
      <c r="W566" s="135">
        <v>0.0</v>
      </c>
      <c r="X566" s="135">
        <v>0.0</v>
      </c>
      <c r="Y566" s="135">
        <v>0.0</v>
      </c>
      <c r="Z566" s="135">
        <v>0.0</v>
      </c>
      <c r="AA566" s="135">
        <v>0.0</v>
      </c>
      <c r="AB566" s="135">
        <v>0.0</v>
      </c>
      <c r="AC566" s="135">
        <v>0.0</v>
      </c>
      <c r="AD566" s="135">
        <v>0.0</v>
      </c>
      <c r="AE566" s="135">
        <v>0.0</v>
      </c>
      <c r="AF566" s="137">
        <v>12.0</v>
      </c>
      <c r="AG566" s="137">
        <v>14.0</v>
      </c>
      <c r="AH566" s="137">
        <v>22.0</v>
      </c>
      <c r="AI566" s="137">
        <v>22.0</v>
      </c>
      <c r="AJ566" s="137">
        <v>10.0</v>
      </c>
      <c r="AK566" s="137">
        <v>8.0</v>
      </c>
      <c r="AL566" s="137">
        <v>28.0</v>
      </c>
      <c r="AM566" s="137">
        <v>52.0</v>
      </c>
      <c r="AN566" s="137">
        <v>164.0</v>
      </c>
    </row>
    <row r="567">
      <c r="A567" s="104"/>
      <c r="B567" s="136" t="s">
        <v>199</v>
      </c>
      <c r="C567" s="134">
        <v>1290.0</v>
      </c>
      <c r="D567" s="137">
        <v>510.0</v>
      </c>
      <c r="E567" s="137">
        <v>780.0</v>
      </c>
      <c r="F567" s="135">
        <v>0.0</v>
      </c>
      <c r="G567" s="135">
        <v>0.0</v>
      </c>
      <c r="H567" s="135">
        <v>0.0</v>
      </c>
      <c r="I567" s="135">
        <v>0.0</v>
      </c>
      <c r="J567" s="135">
        <v>0.0</v>
      </c>
      <c r="K567" s="135">
        <v>0.0</v>
      </c>
      <c r="L567" s="135">
        <v>0.0</v>
      </c>
      <c r="M567" s="135">
        <v>0.0</v>
      </c>
      <c r="N567" s="135">
        <v>0.0</v>
      </c>
      <c r="O567" s="135">
        <v>0.0</v>
      </c>
      <c r="P567" s="135">
        <v>0.0</v>
      </c>
      <c r="Q567" s="135">
        <v>0.0</v>
      </c>
      <c r="R567" s="135">
        <v>0.0</v>
      </c>
      <c r="S567" s="135">
        <v>0.0</v>
      </c>
      <c r="T567" s="135">
        <v>0.0</v>
      </c>
      <c r="U567" s="135">
        <v>0.0</v>
      </c>
      <c r="V567" s="135">
        <v>0.0</v>
      </c>
      <c r="W567" s="135">
        <v>0.0</v>
      </c>
      <c r="X567" s="135">
        <v>0.0</v>
      </c>
      <c r="Y567" s="135">
        <v>0.0</v>
      </c>
      <c r="Z567" s="135">
        <v>0.0</v>
      </c>
      <c r="AA567" s="135">
        <v>0.0</v>
      </c>
      <c r="AB567" s="135">
        <v>0.0</v>
      </c>
      <c r="AC567" s="135">
        <v>0.0</v>
      </c>
      <c r="AD567" s="135">
        <v>0.0</v>
      </c>
      <c r="AE567" s="135">
        <v>0.0</v>
      </c>
      <c r="AF567" s="137">
        <v>64.0</v>
      </c>
      <c r="AG567" s="137">
        <v>104.0</v>
      </c>
      <c r="AH567" s="137">
        <v>92.0</v>
      </c>
      <c r="AI567" s="137">
        <v>164.0</v>
      </c>
      <c r="AJ567" s="137">
        <v>118.0</v>
      </c>
      <c r="AK567" s="137">
        <v>184.0</v>
      </c>
      <c r="AL567" s="137">
        <v>236.0</v>
      </c>
      <c r="AM567" s="137">
        <v>328.0</v>
      </c>
      <c r="AN567" s="134">
        <v>1304.0</v>
      </c>
    </row>
    <row r="568">
      <c r="A568" s="132" t="s">
        <v>205</v>
      </c>
      <c r="B568" s="136" t="s">
        <v>198</v>
      </c>
      <c r="C568" s="137">
        <v>180.0</v>
      </c>
      <c r="D568" s="137">
        <v>52.0</v>
      </c>
      <c r="E568" s="137">
        <v>128.0</v>
      </c>
      <c r="F568" s="137">
        <v>0.0</v>
      </c>
      <c r="G568" s="137">
        <v>2.0</v>
      </c>
      <c r="H568" s="137">
        <v>0.0</v>
      </c>
      <c r="I568" s="137">
        <v>0.0</v>
      </c>
      <c r="J568" s="137">
        <v>0.0</v>
      </c>
      <c r="K568" s="137">
        <v>0.0</v>
      </c>
      <c r="L568" s="137">
        <v>2.0</v>
      </c>
      <c r="M568" s="137">
        <v>0.0</v>
      </c>
      <c r="N568" s="137">
        <v>0.0</v>
      </c>
      <c r="O568" s="137">
        <v>0.0</v>
      </c>
      <c r="P568" s="137">
        <v>0.0</v>
      </c>
      <c r="Q568" s="137">
        <v>2.0</v>
      </c>
      <c r="R568" s="137">
        <v>0.0</v>
      </c>
      <c r="S568" s="137">
        <v>2.0</v>
      </c>
      <c r="T568" s="137">
        <v>0.0</v>
      </c>
      <c r="U568" s="137">
        <v>6.0</v>
      </c>
      <c r="V568" s="137">
        <v>0.0</v>
      </c>
      <c r="W568" s="137">
        <v>0.0</v>
      </c>
      <c r="X568" s="137">
        <v>6.0</v>
      </c>
      <c r="Y568" s="137">
        <v>8.0</v>
      </c>
      <c r="Z568" s="137">
        <v>4.0</v>
      </c>
      <c r="AA568" s="137">
        <v>16.0</v>
      </c>
      <c r="AB568" s="137">
        <v>6.0</v>
      </c>
      <c r="AC568" s="137">
        <v>22.0</v>
      </c>
      <c r="AD568" s="137">
        <v>4.0</v>
      </c>
      <c r="AE568" s="137">
        <v>18.0</v>
      </c>
      <c r="AF568" s="137">
        <v>6.0</v>
      </c>
      <c r="AG568" s="137">
        <v>16.0</v>
      </c>
      <c r="AH568" s="137">
        <v>10.0</v>
      </c>
      <c r="AI568" s="137">
        <v>6.0</v>
      </c>
      <c r="AJ568" s="137">
        <v>8.0</v>
      </c>
      <c r="AK568" s="137">
        <v>10.0</v>
      </c>
      <c r="AL568" s="137">
        <v>6.0</v>
      </c>
      <c r="AM568" s="137">
        <v>20.0</v>
      </c>
      <c r="AN568" s="137">
        <v>180.0</v>
      </c>
    </row>
    <row r="569">
      <c r="A569" s="98"/>
      <c r="B569" s="136" t="s">
        <v>199</v>
      </c>
      <c r="C569" s="137">
        <v>98.0</v>
      </c>
      <c r="D569" s="137">
        <v>34.0</v>
      </c>
      <c r="E569" s="137">
        <v>64.0</v>
      </c>
      <c r="F569" s="137">
        <v>0.0</v>
      </c>
      <c r="G569" s="137">
        <v>0.0</v>
      </c>
      <c r="H569" s="137">
        <v>2.0</v>
      </c>
      <c r="I569" s="137">
        <v>0.0</v>
      </c>
      <c r="J569" s="137">
        <v>2.0</v>
      </c>
      <c r="K569" s="137">
        <v>2.0</v>
      </c>
      <c r="L569" s="137">
        <v>0.0</v>
      </c>
      <c r="M569" s="137">
        <v>0.0</v>
      </c>
      <c r="N569" s="137">
        <v>0.0</v>
      </c>
      <c r="O569" s="137">
        <v>0.0</v>
      </c>
      <c r="P569" s="137">
        <v>0.0</v>
      </c>
      <c r="Q569" s="137">
        <v>0.0</v>
      </c>
      <c r="R569" s="137">
        <v>0.0</v>
      </c>
      <c r="S569" s="137">
        <v>0.0</v>
      </c>
      <c r="T569" s="137">
        <v>0.0</v>
      </c>
      <c r="U569" s="137">
        <v>2.0</v>
      </c>
      <c r="V569" s="137">
        <v>2.0</v>
      </c>
      <c r="W569" s="137">
        <v>0.0</v>
      </c>
      <c r="X569" s="137">
        <v>0.0</v>
      </c>
      <c r="Y569" s="137">
        <v>6.0</v>
      </c>
      <c r="Z569" s="137">
        <v>6.0</v>
      </c>
      <c r="AA569" s="137">
        <v>8.0</v>
      </c>
      <c r="AB569" s="137">
        <v>2.0</v>
      </c>
      <c r="AC569" s="137">
        <v>4.0</v>
      </c>
      <c r="AD569" s="137">
        <v>6.0</v>
      </c>
      <c r="AE569" s="137">
        <v>10.0</v>
      </c>
      <c r="AF569" s="137">
        <v>6.0</v>
      </c>
      <c r="AG569" s="137">
        <v>10.0</v>
      </c>
      <c r="AH569" s="137">
        <v>4.0</v>
      </c>
      <c r="AI569" s="137">
        <v>4.0</v>
      </c>
      <c r="AJ569" s="137">
        <v>4.0</v>
      </c>
      <c r="AK569" s="137">
        <v>10.0</v>
      </c>
      <c r="AL569" s="137">
        <v>0.0</v>
      </c>
      <c r="AM569" s="137">
        <v>8.0</v>
      </c>
      <c r="AN569" s="137">
        <v>98.0</v>
      </c>
    </row>
    <row r="570">
      <c r="A570" s="104"/>
      <c r="B570" s="136" t="s">
        <v>206</v>
      </c>
      <c r="C570" s="137">
        <v>42.0</v>
      </c>
      <c r="D570" s="137">
        <v>6.0</v>
      </c>
      <c r="E570" s="137">
        <v>36.0</v>
      </c>
      <c r="F570" s="137">
        <v>0.0</v>
      </c>
      <c r="G570" s="137">
        <v>0.0</v>
      </c>
      <c r="H570" s="137">
        <v>0.0</v>
      </c>
      <c r="I570" s="137">
        <v>0.0</v>
      </c>
      <c r="J570" s="137">
        <v>0.0</v>
      </c>
      <c r="K570" s="137">
        <v>0.0</v>
      </c>
      <c r="L570" s="137">
        <v>2.0</v>
      </c>
      <c r="M570" s="137">
        <v>2.0</v>
      </c>
      <c r="N570" s="137">
        <v>0.0</v>
      </c>
      <c r="O570" s="137">
        <v>6.0</v>
      </c>
      <c r="P570" s="137">
        <v>0.0</v>
      </c>
      <c r="Q570" s="137">
        <v>8.0</v>
      </c>
      <c r="R570" s="137">
        <v>2.0</v>
      </c>
      <c r="S570" s="137">
        <v>6.0</v>
      </c>
      <c r="T570" s="137">
        <v>0.0</v>
      </c>
      <c r="U570" s="137">
        <v>4.0</v>
      </c>
      <c r="V570" s="137">
        <v>0.0</v>
      </c>
      <c r="W570" s="137">
        <v>2.0</v>
      </c>
      <c r="X570" s="137">
        <v>0.0</v>
      </c>
      <c r="Y570" s="137">
        <v>0.0</v>
      </c>
      <c r="Z570" s="137">
        <v>0.0</v>
      </c>
      <c r="AA570" s="137">
        <v>4.0</v>
      </c>
      <c r="AB570" s="137">
        <v>0.0</v>
      </c>
      <c r="AC570" s="137">
        <v>2.0</v>
      </c>
      <c r="AD570" s="137">
        <v>0.0</v>
      </c>
      <c r="AE570" s="137">
        <v>0.0</v>
      </c>
      <c r="AF570" s="137">
        <v>0.0</v>
      </c>
      <c r="AG570" s="137">
        <v>0.0</v>
      </c>
      <c r="AH570" s="137">
        <v>0.0</v>
      </c>
      <c r="AI570" s="137">
        <v>0.0</v>
      </c>
      <c r="AJ570" s="137">
        <v>0.0</v>
      </c>
      <c r="AK570" s="137">
        <v>0.0</v>
      </c>
      <c r="AL570" s="137">
        <v>2.0</v>
      </c>
      <c r="AM570" s="137">
        <v>2.0</v>
      </c>
      <c r="AN570" s="137">
        <v>30.0</v>
      </c>
    </row>
    <row r="571">
      <c r="A571" s="132" t="s">
        <v>207</v>
      </c>
      <c r="B571" s="136" t="s">
        <v>198</v>
      </c>
      <c r="C571" s="134">
        <v>115048.0</v>
      </c>
      <c r="D571" s="134">
        <v>42740.0</v>
      </c>
      <c r="E571" s="134">
        <v>72308.0</v>
      </c>
      <c r="F571" s="134">
        <v>1262.0</v>
      </c>
      <c r="G571" s="134">
        <v>1182.0</v>
      </c>
      <c r="H571" s="137">
        <v>714.0</v>
      </c>
      <c r="I571" s="137">
        <v>600.0</v>
      </c>
      <c r="J571" s="137">
        <v>670.0</v>
      </c>
      <c r="K571" s="137">
        <v>808.0</v>
      </c>
      <c r="L571" s="137">
        <v>810.0</v>
      </c>
      <c r="M571" s="134">
        <v>1452.0</v>
      </c>
      <c r="N571" s="137">
        <v>622.0</v>
      </c>
      <c r="O571" s="134">
        <v>1542.0</v>
      </c>
      <c r="P571" s="137">
        <v>692.0</v>
      </c>
      <c r="Q571" s="134">
        <v>2144.0</v>
      </c>
      <c r="R571" s="137">
        <v>800.0</v>
      </c>
      <c r="S571" s="134">
        <v>2702.0</v>
      </c>
      <c r="T571" s="134">
        <v>1172.0</v>
      </c>
      <c r="U571" s="134">
        <v>3448.0</v>
      </c>
      <c r="V571" s="134">
        <v>1408.0</v>
      </c>
      <c r="W571" s="134">
        <v>4288.0</v>
      </c>
      <c r="X571" s="134">
        <v>1858.0</v>
      </c>
      <c r="Y571" s="134">
        <v>5664.0</v>
      </c>
      <c r="Z571" s="134">
        <v>4266.0</v>
      </c>
      <c r="AA571" s="134">
        <v>6592.0</v>
      </c>
      <c r="AB571" s="134">
        <v>4352.0</v>
      </c>
      <c r="AC571" s="134">
        <v>7418.0</v>
      </c>
      <c r="AD571" s="134">
        <v>4420.0</v>
      </c>
      <c r="AE571" s="134">
        <v>6700.0</v>
      </c>
      <c r="AF571" s="134">
        <v>4598.0</v>
      </c>
      <c r="AG571" s="134">
        <v>6778.0</v>
      </c>
      <c r="AH571" s="134">
        <v>4692.0</v>
      </c>
      <c r="AI571" s="134">
        <v>6672.0</v>
      </c>
      <c r="AJ571" s="134">
        <v>4780.0</v>
      </c>
      <c r="AK571" s="134">
        <v>5242.0</v>
      </c>
      <c r="AL571" s="134">
        <v>5624.0</v>
      </c>
      <c r="AM571" s="134">
        <v>9076.0</v>
      </c>
      <c r="AN571" s="134">
        <v>114286.0</v>
      </c>
    </row>
    <row r="572">
      <c r="A572" s="98"/>
      <c r="B572" s="136" t="s">
        <v>199</v>
      </c>
      <c r="C572" s="134">
        <v>23310.0</v>
      </c>
      <c r="D572" s="134">
        <v>9738.0</v>
      </c>
      <c r="E572" s="134">
        <v>13572.0</v>
      </c>
      <c r="F572" s="137">
        <v>146.0</v>
      </c>
      <c r="G572" s="137">
        <v>100.0</v>
      </c>
      <c r="H572" s="137">
        <v>114.0</v>
      </c>
      <c r="I572" s="137">
        <v>56.0</v>
      </c>
      <c r="J572" s="137">
        <v>150.0</v>
      </c>
      <c r="K572" s="137">
        <v>110.0</v>
      </c>
      <c r="L572" s="137">
        <v>108.0</v>
      </c>
      <c r="M572" s="137">
        <v>260.0</v>
      </c>
      <c r="N572" s="137">
        <v>184.0</v>
      </c>
      <c r="O572" s="137">
        <v>154.0</v>
      </c>
      <c r="P572" s="137">
        <v>60.0</v>
      </c>
      <c r="Q572" s="137">
        <v>232.0</v>
      </c>
      <c r="R572" s="137">
        <v>248.0</v>
      </c>
      <c r="S572" s="137">
        <v>200.0</v>
      </c>
      <c r="T572" s="137">
        <v>286.0</v>
      </c>
      <c r="U572" s="137">
        <v>362.0</v>
      </c>
      <c r="V572" s="137">
        <v>206.0</v>
      </c>
      <c r="W572" s="137">
        <v>338.0</v>
      </c>
      <c r="X572" s="137">
        <v>330.0</v>
      </c>
      <c r="Y572" s="137">
        <v>656.0</v>
      </c>
      <c r="Z572" s="137">
        <v>462.0</v>
      </c>
      <c r="AA572" s="134">
        <v>1068.0</v>
      </c>
      <c r="AB572" s="134">
        <v>1012.0</v>
      </c>
      <c r="AC572" s="134">
        <v>1214.0</v>
      </c>
      <c r="AD572" s="134">
        <v>1096.0</v>
      </c>
      <c r="AE572" s="134">
        <v>1654.0</v>
      </c>
      <c r="AF572" s="137">
        <v>830.0</v>
      </c>
      <c r="AG572" s="134">
        <v>1794.0</v>
      </c>
      <c r="AH572" s="134">
        <v>1540.0</v>
      </c>
      <c r="AI572" s="134">
        <v>2362.0</v>
      </c>
      <c r="AJ572" s="134">
        <v>1380.0</v>
      </c>
      <c r="AK572" s="134">
        <v>1164.0</v>
      </c>
      <c r="AL572" s="134">
        <v>1586.0</v>
      </c>
      <c r="AM572" s="134">
        <v>1848.0</v>
      </c>
      <c r="AN572" s="134">
        <v>23180.0</v>
      </c>
    </row>
    <row r="573">
      <c r="A573" s="98"/>
      <c r="B573" s="136" t="s">
        <v>206</v>
      </c>
      <c r="C573" s="137">
        <v>528.0</v>
      </c>
      <c r="D573" s="137">
        <v>112.0</v>
      </c>
      <c r="E573" s="137">
        <v>416.0</v>
      </c>
      <c r="F573" s="137">
        <v>28.0</v>
      </c>
      <c r="G573" s="137">
        <v>32.0</v>
      </c>
      <c r="H573" s="137">
        <v>2.0</v>
      </c>
      <c r="I573" s="137">
        <v>8.0</v>
      </c>
      <c r="J573" s="137">
        <v>0.0</v>
      </c>
      <c r="K573" s="137">
        <v>14.0</v>
      </c>
      <c r="L573" s="137">
        <v>60.0</v>
      </c>
      <c r="M573" s="137">
        <v>118.0</v>
      </c>
      <c r="N573" s="137">
        <v>4.0</v>
      </c>
      <c r="O573" s="137">
        <v>26.0</v>
      </c>
      <c r="P573" s="137">
        <v>0.0</v>
      </c>
      <c r="Q573" s="137">
        <v>36.0</v>
      </c>
      <c r="R573" s="137">
        <v>2.0</v>
      </c>
      <c r="S573" s="137">
        <v>40.0</v>
      </c>
      <c r="T573" s="137">
        <v>0.0</v>
      </c>
      <c r="U573" s="137">
        <v>22.0</v>
      </c>
      <c r="V573" s="137">
        <v>0.0</v>
      </c>
      <c r="W573" s="137">
        <v>32.0</v>
      </c>
      <c r="X573" s="137">
        <v>0.0</v>
      </c>
      <c r="Y573" s="137">
        <v>38.0</v>
      </c>
      <c r="Z573" s="137">
        <v>0.0</v>
      </c>
      <c r="AA573" s="137">
        <v>12.0</v>
      </c>
      <c r="AB573" s="137">
        <v>2.0</v>
      </c>
      <c r="AC573" s="137">
        <v>12.0</v>
      </c>
      <c r="AD573" s="137">
        <v>4.0</v>
      </c>
      <c r="AE573" s="137">
        <v>6.0</v>
      </c>
      <c r="AF573" s="137">
        <v>2.0</v>
      </c>
      <c r="AG573" s="137">
        <v>12.0</v>
      </c>
      <c r="AH573" s="137">
        <v>6.0</v>
      </c>
      <c r="AI573" s="137">
        <v>4.0</v>
      </c>
      <c r="AJ573" s="137">
        <v>0.0</v>
      </c>
      <c r="AK573" s="137">
        <v>4.0</v>
      </c>
      <c r="AL573" s="137">
        <v>2.0</v>
      </c>
      <c r="AM573" s="137">
        <v>0.0</v>
      </c>
      <c r="AN573" s="137">
        <v>522.0</v>
      </c>
    </row>
    <row r="574">
      <c r="A574" s="98"/>
      <c r="B574" s="136" t="s">
        <v>200</v>
      </c>
      <c r="C574" s="134">
        <v>8394.0</v>
      </c>
      <c r="D574" s="134">
        <v>2798.0</v>
      </c>
      <c r="E574" s="134">
        <v>5596.0</v>
      </c>
      <c r="F574" s="137">
        <v>976.0</v>
      </c>
      <c r="G574" s="137">
        <v>876.0</v>
      </c>
      <c r="H574" s="137">
        <v>328.0</v>
      </c>
      <c r="I574" s="137">
        <v>364.0</v>
      </c>
      <c r="J574" s="137">
        <v>172.0</v>
      </c>
      <c r="K574" s="137">
        <v>148.0</v>
      </c>
      <c r="L574" s="137">
        <v>44.0</v>
      </c>
      <c r="M574" s="137">
        <v>226.0</v>
      </c>
      <c r="N574" s="137">
        <v>40.0</v>
      </c>
      <c r="O574" s="137">
        <v>238.0</v>
      </c>
      <c r="P574" s="137">
        <v>50.0</v>
      </c>
      <c r="Q574" s="137">
        <v>354.0</v>
      </c>
      <c r="R574" s="137">
        <v>50.0</v>
      </c>
      <c r="S574" s="137">
        <v>352.0</v>
      </c>
      <c r="T574" s="137">
        <v>64.0</v>
      </c>
      <c r="U574" s="137">
        <v>382.0</v>
      </c>
      <c r="V574" s="137">
        <v>60.0</v>
      </c>
      <c r="W574" s="137">
        <v>370.0</v>
      </c>
      <c r="X574" s="137">
        <v>92.0</v>
      </c>
      <c r="Y574" s="137">
        <v>382.0</v>
      </c>
      <c r="Z574" s="137">
        <v>76.0</v>
      </c>
      <c r="AA574" s="137">
        <v>400.0</v>
      </c>
      <c r="AB574" s="137">
        <v>110.0</v>
      </c>
      <c r="AC574" s="137">
        <v>362.0</v>
      </c>
      <c r="AD574" s="137">
        <v>134.0</v>
      </c>
      <c r="AE574" s="137">
        <v>270.0</v>
      </c>
      <c r="AF574" s="137">
        <v>182.0</v>
      </c>
      <c r="AG574" s="137">
        <v>306.0</v>
      </c>
      <c r="AH574" s="137">
        <v>158.0</v>
      </c>
      <c r="AI574" s="137">
        <v>180.0</v>
      </c>
      <c r="AJ574" s="137">
        <v>112.0</v>
      </c>
      <c r="AK574" s="137">
        <v>178.0</v>
      </c>
      <c r="AL574" s="137">
        <v>150.0</v>
      </c>
      <c r="AM574" s="137">
        <v>208.0</v>
      </c>
      <c r="AN574" s="134">
        <v>8334.0</v>
      </c>
    </row>
    <row r="575">
      <c r="A575" s="104"/>
      <c r="B575" s="136" t="s">
        <v>201</v>
      </c>
      <c r="C575" s="134">
        <v>14688.0</v>
      </c>
      <c r="D575" s="134">
        <v>6012.0</v>
      </c>
      <c r="E575" s="134">
        <v>8676.0</v>
      </c>
      <c r="F575" s="137">
        <v>114.0</v>
      </c>
      <c r="G575" s="137">
        <v>180.0</v>
      </c>
      <c r="H575" s="137">
        <v>130.0</v>
      </c>
      <c r="I575" s="137">
        <v>200.0</v>
      </c>
      <c r="J575" s="137">
        <v>212.0</v>
      </c>
      <c r="K575" s="137">
        <v>190.0</v>
      </c>
      <c r="L575" s="137">
        <v>166.0</v>
      </c>
      <c r="M575" s="137">
        <v>220.0</v>
      </c>
      <c r="N575" s="137">
        <v>176.0</v>
      </c>
      <c r="O575" s="137">
        <v>372.0</v>
      </c>
      <c r="P575" s="137">
        <v>230.0</v>
      </c>
      <c r="Q575" s="137">
        <v>478.0</v>
      </c>
      <c r="R575" s="137">
        <v>286.0</v>
      </c>
      <c r="S575" s="137">
        <v>436.0</v>
      </c>
      <c r="T575" s="137">
        <v>242.0</v>
      </c>
      <c r="U575" s="137">
        <v>626.0</v>
      </c>
      <c r="V575" s="137">
        <v>356.0</v>
      </c>
      <c r="W575" s="137">
        <v>526.0</v>
      </c>
      <c r="X575" s="137">
        <v>438.0</v>
      </c>
      <c r="Y575" s="137">
        <v>678.0</v>
      </c>
      <c r="Z575" s="137">
        <v>462.0</v>
      </c>
      <c r="AA575" s="137">
        <v>724.0</v>
      </c>
      <c r="AB575" s="137">
        <v>508.0</v>
      </c>
      <c r="AC575" s="137">
        <v>744.0</v>
      </c>
      <c r="AD575" s="137">
        <v>468.0</v>
      </c>
      <c r="AE575" s="137">
        <v>710.0</v>
      </c>
      <c r="AF575" s="137">
        <v>540.0</v>
      </c>
      <c r="AG575" s="137">
        <v>698.0</v>
      </c>
      <c r="AH575" s="137">
        <v>784.0</v>
      </c>
      <c r="AI575" s="137">
        <v>686.0</v>
      </c>
      <c r="AJ575" s="137">
        <v>424.0</v>
      </c>
      <c r="AK575" s="137">
        <v>608.0</v>
      </c>
      <c r="AL575" s="137">
        <v>476.0</v>
      </c>
      <c r="AM575" s="137">
        <v>600.0</v>
      </c>
      <c r="AN575" s="134">
        <v>14560.0</v>
      </c>
    </row>
    <row r="576">
      <c r="A576" s="132" t="s">
        <v>208</v>
      </c>
      <c r="B576" s="136" t="s">
        <v>198</v>
      </c>
      <c r="C576" s="137">
        <v>204.0</v>
      </c>
      <c r="D576" s="137">
        <v>146.0</v>
      </c>
      <c r="E576" s="137">
        <v>58.0</v>
      </c>
      <c r="F576" s="137">
        <v>116.0</v>
      </c>
      <c r="G576" s="137">
        <v>42.0</v>
      </c>
      <c r="H576" s="137">
        <v>20.0</v>
      </c>
      <c r="I576" s="137">
        <v>4.0</v>
      </c>
      <c r="J576" s="137">
        <v>10.0</v>
      </c>
      <c r="K576" s="137">
        <v>6.0</v>
      </c>
      <c r="L576" s="137">
        <v>0.0</v>
      </c>
      <c r="M576" s="137">
        <v>4.0</v>
      </c>
      <c r="N576" s="137">
        <v>0.0</v>
      </c>
      <c r="O576" s="137">
        <v>2.0</v>
      </c>
      <c r="P576" s="135">
        <v>0.0</v>
      </c>
      <c r="Q576" s="135">
        <v>0.0</v>
      </c>
      <c r="R576" s="135">
        <v>0.0</v>
      </c>
      <c r="S576" s="135">
        <v>0.0</v>
      </c>
      <c r="T576" s="135">
        <v>0.0</v>
      </c>
      <c r="U576" s="135">
        <v>0.0</v>
      </c>
      <c r="V576" s="135">
        <v>0.0</v>
      </c>
      <c r="W576" s="135">
        <v>0.0</v>
      </c>
      <c r="X576" s="135">
        <v>0.0</v>
      </c>
      <c r="Y576" s="135">
        <v>0.0</v>
      </c>
      <c r="Z576" s="135">
        <v>0.0</v>
      </c>
      <c r="AA576" s="135">
        <v>0.0</v>
      </c>
      <c r="AB576" s="135">
        <v>0.0</v>
      </c>
      <c r="AC576" s="135">
        <v>0.0</v>
      </c>
      <c r="AD576" s="135">
        <v>0.0</v>
      </c>
      <c r="AE576" s="135">
        <v>0.0</v>
      </c>
      <c r="AF576" s="135">
        <v>0.0</v>
      </c>
      <c r="AG576" s="135">
        <v>0.0</v>
      </c>
      <c r="AH576" s="135">
        <v>0.0</v>
      </c>
      <c r="AI576" s="135">
        <v>0.0</v>
      </c>
      <c r="AJ576" s="135">
        <v>0.0</v>
      </c>
      <c r="AK576" s="135">
        <v>0.0</v>
      </c>
      <c r="AL576" s="135">
        <v>0.0</v>
      </c>
      <c r="AM576" s="135">
        <v>0.0</v>
      </c>
      <c r="AN576" s="137">
        <v>198.0</v>
      </c>
    </row>
    <row r="577">
      <c r="A577" s="98"/>
      <c r="B577" s="136" t="s">
        <v>199</v>
      </c>
      <c r="C577" s="134">
        <v>1388.0</v>
      </c>
      <c r="D577" s="137">
        <v>790.0</v>
      </c>
      <c r="E577" s="137">
        <v>598.0</v>
      </c>
      <c r="F577" s="137">
        <v>668.0</v>
      </c>
      <c r="G577" s="137">
        <v>510.0</v>
      </c>
      <c r="H577" s="137">
        <v>114.0</v>
      </c>
      <c r="I577" s="137">
        <v>70.0</v>
      </c>
      <c r="J577" s="137">
        <v>4.0</v>
      </c>
      <c r="K577" s="137">
        <v>12.0</v>
      </c>
      <c r="L577" s="137">
        <v>4.0</v>
      </c>
      <c r="M577" s="137">
        <v>4.0</v>
      </c>
      <c r="N577" s="137">
        <v>0.0</v>
      </c>
      <c r="O577" s="137">
        <v>2.0</v>
      </c>
      <c r="P577" s="135">
        <v>0.0</v>
      </c>
      <c r="Q577" s="135">
        <v>0.0</v>
      </c>
      <c r="R577" s="135">
        <v>0.0</v>
      </c>
      <c r="S577" s="135">
        <v>0.0</v>
      </c>
      <c r="T577" s="135">
        <v>0.0</v>
      </c>
      <c r="U577" s="135">
        <v>0.0</v>
      </c>
      <c r="V577" s="135">
        <v>0.0</v>
      </c>
      <c r="W577" s="135">
        <v>0.0</v>
      </c>
      <c r="X577" s="135">
        <v>0.0</v>
      </c>
      <c r="Y577" s="135">
        <v>0.0</v>
      </c>
      <c r="Z577" s="135">
        <v>0.0</v>
      </c>
      <c r="AA577" s="135">
        <v>0.0</v>
      </c>
      <c r="AB577" s="135">
        <v>0.0</v>
      </c>
      <c r="AC577" s="135">
        <v>0.0</v>
      </c>
      <c r="AD577" s="135">
        <v>0.0</v>
      </c>
      <c r="AE577" s="135">
        <v>0.0</v>
      </c>
      <c r="AF577" s="135">
        <v>0.0</v>
      </c>
      <c r="AG577" s="135">
        <v>0.0</v>
      </c>
      <c r="AH577" s="135">
        <v>0.0</v>
      </c>
      <c r="AI577" s="135">
        <v>0.0</v>
      </c>
      <c r="AJ577" s="135">
        <v>0.0</v>
      </c>
      <c r="AK577" s="135">
        <v>0.0</v>
      </c>
      <c r="AL577" s="135">
        <v>0.0</v>
      </c>
      <c r="AM577" s="135">
        <v>0.0</v>
      </c>
      <c r="AN577" s="134">
        <v>1352.0</v>
      </c>
    </row>
    <row r="578">
      <c r="A578" s="98"/>
      <c r="B578" s="136" t="s">
        <v>206</v>
      </c>
      <c r="C578" s="137">
        <v>64.0</v>
      </c>
      <c r="D578" s="137">
        <v>26.0</v>
      </c>
      <c r="E578" s="137">
        <v>38.0</v>
      </c>
      <c r="F578" s="137">
        <v>10.0</v>
      </c>
      <c r="G578" s="137">
        <v>8.0</v>
      </c>
      <c r="H578" s="137">
        <v>0.0</v>
      </c>
      <c r="I578" s="137">
        <v>0.0</v>
      </c>
      <c r="J578" s="137">
        <v>0.0</v>
      </c>
      <c r="K578" s="137">
        <v>2.0</v>
      </c>
      <c r="L578" s="137">
        <v>16.0</v>
      </c>
      <c r="M578" s="137">
        <v>26.0</v>
      </c>
      <c r="N578" s="137">
        <v>0.0</v>
      </c>
      <c r="O578" s="137">
        <v>2.0</v>
      </c>
      <c r="P578" s="135">
        <v>0.0</v>
      </c>
      <c r="Q578" s="135">
        <v>0.0</v>
      </c>
      <c r="R578" s="135">
        <v>0.0</v>
      </c>
      <c r="S578" s="135">
        <v>0.0</v>
      </c>
      <c r="T578" s="135">
        <v>0.0</v>
      </c>
      <c r="U578" s="135">
        <v>0.0</v>
      </c>
      <c r="V578" s="135">
        <v>0.0</v>
      </c>
      <c r="W578" s="135">
        <v>0.0</v>
      </c>
      <c r="X578" s="135">
        <v>0.0</v>
      </c>
      <c r="Y578" s="135">
        <v>0.0</v>
      </c>
      <c r="Z578" s="135">
        <v>0.0</v>
      </c>
      <c r="AA578" s="135">
        <v>0.0</v>
      </c>
      <c r="AB578" s="135">
        <v>0.0</v>
      </c>
      <c r="AC578" s="135">
        <v>0.0</v>
      </c>
      <c r="AD578" s="135">
        <v>0.0</v>
      </c>
      <c r="AE578" s="135">
        <v>0.0</v>
      </c>
      <c r="AF578" s="135">
        <v>0.0</v>
      </c>
      <c r="AG578" s="135">
        <v>0.0</v>
      </c>
      <c r="AH578" s="135">
        <v>0.0</v>
      </c>
      <c r="AI578" s="135">
        <v>0.0</v>
      </c>
      <c r="AJ578" s="135">
        <v>0.0</v>
      </c>
      <c r="AK578" s="135">
        <v>0.0</v>
      </c>
      <c r="AL578" s="135">
        <v>0.0</v>
      </c>
      <c r="AM578" s="135">
        <v>0.0</v>
      </c>
      <c r="AN578" s="137">
        <v>62.0</v>
      </c>
    </row>
    <row r="579">
      <c r="A579" s="98"/>
      <c r="B579" s="136" t="s">
        <v>200</v>
      </c>
      <c r="C579" s="137">
        <v>884.0</v>
      </c>
      <c r="D579" s="137">
        <v>538.0</v>
      </c>
      <c r="E579" s="137">
        <v>346.0</v>
      </c>
      <c r="F579" s="137">
        <v>480.0</v>
      </c>
      <c r="G579" s="137">
        <v>302.0</v>
      </c>
      <c r="H579" s="137">
        <v>44.0</v>
      </c>
      <c r="I579" s="137">
        <v>24.0</v>
      </c>
      <c r="J579" s="137">
        <v>6.0</v>
      </c>
      <c r="K579" s="137">
        <v>14.0</v>
      </c>
      <c r="L579" s="137">
        <v>6.0</v>
      </c>
      <c r="M579" s="137">
        <v>4.0</v>
      </c>
      <c r="N579" s="137">
        <v>2.0</v>
      </c>
      <c r="O579" s="137">
        <v>2.0</v>
      </c>
      <c r="P579" s="135">
        <v>0.0</v>
      </c>
      <c r="Q579" s="135">
        <v>0.0</v>
      </c>
      <c r="R579" s="135">
        <v>0.0</v>
      </c>
      <c r="S579" s="135">
        <v>0.0</v>
      </c>
      <c r="T579" s="135">
        <v>0.0</v>
      </c>
      <c r="U579" s="135">
        <v>0.0</v>
      </c>
      <c r="V579" s="135">
        <v>0.0</v>
      </c>
      <c r="W579" s="135">
        <v>0.0</v>
      </c>
      <c r="X579" s="135">
        <v>0.0</v>
      </c>
      <c r="Y579" s="135">
        <v>0.0</v>
      </c>
      <c r="Z579" s="135">
        <v>0.0</v>
      </c>
      <c r="AA579" s="135">
        <v>0.0</v>
      </c>
      <c r="AB579" s="135">
        <v>0.0</v>
      </c>
      <c r="AC579" s="135">
        <v>0.0</v>
      </c>
      <c r="AD579" s="135">
        <v>0.0</v>
      </c>
      <c r="AE579" s="135">
        <v>0.0</v>
      </c>
      <c r="AF579" s="135">
        <v>0.0</v>
      </c>
      <c r="AG579" s="135">
        <v>0.0</v>
      </c>
      <c r="AH579" s="135">
        <v>0.0</v>
      </c>
      <c r="AI579" s="135">
        <v>0.0</v>
      </c>
      <c r="AJ579" s="135">
        <v>0.0</v>
      </c>
      <c r="AK579" s="135">
        <v>0.0</v>
      </c>
      <c r="AL579" s="135">
        <v>0.0</v>
      </c>
      <c r="AM579" s="135">
        <v>0.0</v>
      </c>
      <c r="AN579" s="137">
        <v>860.0</v>
      </c>
    </row>
    <row r="580">
      <c r="A580" s="104"/>
      <c r="B580" s="136" t="s">
        <v>201</v>
      </c>
      <c r="C580" s="137">
        <v>2.0</v>
      </c>
      <c r="D580" s="137">
        <v>2.0</v>
      </c>
      <c r="E580" s="137">
        <v>0.0</v>
      </c>
      <c r="F580" s="137">
        <v>0.0</v>
      </c>
      <c r="G580" s="137">
        <v>0.0</v>
      </c>
      <c r="H580" s="137">
        <v>0.0</v>
      </c>
      <c r="I580" s="137">
        <v>0.0</v>
      </c>
      <c r="J580" s="137">
        <v>0.0</v>
      </c>
      <c r="K580" s="137">
        <v>0.0</v>
      </c>
      <c r="L580" s="137">
        <v>0.0</v>
      </c>
      <c r="M580" s="137">
        <v>0.0</v>
      </c>
      <c r="N580" s="137">
        <v>2.0</v>
      </c>
      <c r="O580" s="137">
        <v>0.0</v>
      </c>
      <c r="P580" s="135">
        <v>0.0</v>
      </c>
      <c r="Q580" s="135">
        <v>0.0</v>
      </c>
      <c r="R580" s="135">
        <v>0.0</v>
      </c>
      <c r="S580" s="135">
        <v>0.0</v>
      </c>
      <c r="T580" s="135">
        <v>0.0</v>
      </c>
      <c r="U580" s="135">
        <v>0.0</v>
      </c>
      <c r="V580" s="135">
        <v>0.0</v>
      </c>
      <c r="W580" s="135">
        <v>0.0</v>
      </c>
      <c r="X580" s="135">
        <v>0.0</v>
      </c>
      <c r="Y580" s="135">
        <v>0.0</v>
      </c>
      <c r="Z580" s="135">
        <v>0.0</v>
      </c>
      <c r="AA580" s="135">
        <v>0.0</v>
      </c>
      <c r="AB580" s="135">
        <v>0.0</v>
      </c>
      <c r="AC580" s="135">
        <v>0.0</v>
      </c>
      <c r="AD580" s="135">
        <v>0.0</v>
      </c>
      <c r="AE580" s="135">
        <v>0.0</v>
      </c>
      <c r="AF580" s="135">
        <v>0.0</v>
      </c>
      <c r="AG580" s="135">
        <v>0.0</v>
      </c>
      <c r="AH580" s="135">
        <v>0.0</v>
      </c>
      <c r="AI580" s="135">
        <v>0.0</v>
      </c>
      <c r="AJ580" s="135">
        <v>0.0</v>
      </c>
      <c r="AK580" s="135">
        <v>0.0</v>
      </c>
      <c r="AL580" s="135">
        <v>0.0</v>
      </c>
      <c r="AM580" s="135">
        <v>0.0</v>
      </c>
      <c r="AN580" s="137">
        <v>2.0</v>
      </c>
    </row>
    <row r="581">
      <c r="A581" s="138" t="s">
        <v>263</v>
      </c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</row>
    <row r="582">
      <c r="A582" s="132" t="s">
        <v>197</v>
      </c>
      <c r="B582" s="133" t="s">
        <v>198</v>
      </c>
      <c r="C582" s="134">
        <v>158150.0</v>
      </c>
      <c r="D582" s="134">
        <v>59354.0</v>
      </c>
      <c r="E582" s="134">
        <v>98796.0</v>
      </c>
      <c r="F582" s="135">
        <v>0.0</v>
      </c>
      <c r="G582" s="135">
        <v>0.0</v>
      </c>
      <c r="H582" s="135">
        <v>0.0</v>
      </c>
      <c r="I582" s="135">
        <v>0.0</v>
      </c>
      <c r="J582" s="135">
        <v>0.0</v>
      </c>
      <c r="K582" s="135">
        <v>0.0</v>
      </c>
      <c r="L582" s="137">
        <v>146.0</v>
      </c>
      <c r="M582" s="137">
        <v>164.0</v>
      </c>
      <c r="N582" s="137">
        <v>130.0</v>
      </c>
      <c r="O582" s="137">
        <v>302.0</v>
      </c>
      <c r="P582" s="137">
        <v>336.0</v>
      </c>
      <c r="Q582" s="137">
        <v>684.0</v>
      </c>
      <c r="R582" s="137">
        <v>542.0</v>
      </c>
      <c r="S582" s="134">
        <v>1052.0</v>
      </c>
      <c r="T582" s="134">
        <v>1020.0</v>
      </c>
      <c r="U582" s="134">
        <v>1934.0</v>
      </c>
      <c r="V582" s="134">
        <v>1648.0</v>
      </c>
      <c r="W582" s="134">
        <v>3282.0</v>
      </c>
      <c r="X582" s="134">
        <v>3062.0</v>
      </c>
      <c r="Y582" s="134">
        <v>6158.0</v>
      </c>
      <c r="Z582" s="134">
        <v>5424.0</v>
      </c>
      <c r="AA582" s="134">
        <v>10822.0</v>
      </c>
      <c r="AB582" s="134">
        <v>7590.0</v>
      </c>
      <c r="AC582" s="134">
        <v>13140.0</v>
      </c>
      <c r="AD582" s="134">
        <v>8292.0</v>
      </c>
      <c r="AE582" s="134">
        <v>13712.0</v>
      </c>
      <c r="AF582" s="134">
        <v>8764.0</v>
      </c>
      <c r="AG582" s="134">
        <v>13438.0</v>
      </c>
      <c r="AH582" s="134">
        <v>8430.0</v>
      </c>
      <c r="AI582" s="134">
        <v>12126.0</v>
      </c>
      <c r="AJ582" s="134">
        <v>6414.0</v>
      </c>
      <c r="AK582" s="134">
        <v>10112.0</v>
      </c>
      <c r="AL582" s="134">
        <v>7552.0</v>
      </c>
      <c r="AM582" s="134">
        <v>11862.0</v>
      </c>
      <c r="AN582" s="134">
        <v>157402.0</v>
      </c>
    </row>
    <row r="583">
      <c r="A583" s="98"/>
      <c r="B583" s="136" t="s">
        <v>199</v>
      </c>
      <c r="C583" s="134">
        <v>77928.0</v>
      </c>
      <c r="D583" s="134">
        <v>28608.0</v>
      </c>
      <c r="E583" s="134">
        <v>49320.0</v>
      </c>
      <c r="F583" s="135">
        <v>0.0</v>
      </c>
      <c r="G583" s="135">
        <v>0.0</v>
      </c>
      <c r="H583" s="135">
        <v>0.0</v>
      </c>
      <c r="I583" s="135">
        <v>0.0</v>
      </c>
      <c r="J583" s="135">
        <v>0.0</v>
      </c>
      <c r="K583" s="135">
        <v>0.0</v>
      </c>
      <c r="L583" s="137">
        <v>8.0</v>
      </c>
      <c r="M583" s="137">
        <v>10.0</v>
      </c>
      <c r="N583" s="137">
        <v>56.0</v>
      </c>
      <c r="O583" s="137">
        <v>70.0</v>
      </c>
      <c r="P583" s="137">
        <v>76.0</v>
      </c>
      <c r="Q583" s="137">
        <v>198.0</v>
      </c>
      <c r="R583" s="137">
        <v>208.0</v>
      </c>
      <c r="S583" s="137">
        <v>272.0</v>
      </c>
      <c r="T583" s="137">
        <v>330.0</v>
      </c>
      <c r="U583" s="137">
        <v>598.0</v>
      </c>
      <c r="V583" s="137">
        <v>546.0</v>
      </c>
      <c r="W583" s="134">
        <v>1300.0</v>
      </c>
      <c r="X583" s="134">
        <v>1150.0</v>
      </c>
      <c r="Y583" s="134">
        <v>2430.0</v>
      </c>
      <c r="Z583" s="134">
        <v>2074.0</v>
      </c>
      <c r="AA583" s="134">
        <v>4556.0</v>
      </c>
      <c r="AB583" s="134">
        <v>3096.0</v>
      </c>
      <c r="AC583" s="134">
        <v>6156.0</v>
      </c>
      <c r="AD583" s="134">
        <v>3820.0</v>
      </c>
      <c r="AE583" s="134">
        <v>6662.0</v>
      </c>
      <c r="AF583" s="134">
        <v>4654.0</v>
      </c>
      <c r="AG583" s="134">
        <v>7576.0</v>
      </c>
      <c r="AH583" s="134">
        <v>4504.0</v>
      </c>
      <c r="AI583" s="134">
        <v>6924.0</v>
      </c>
      <c r="AJ583" s="134">
        <v>3780.0</v>
      </c>
      <c r="AK583" s="134">
        <v>5698.0</v>
      </c>
      <c r="AL583" s="134">
        <v>4306.0</v>
      </c>
      <c r="AM583" s="134">
        <v>6864.0</v>
      </c>
      <c r="AN583" s="134">
        <v>77396.0</v>
      </c>
    </row>
    <row r="584">
      <c r="A584" s="98"/>
      <c r="B584" s="136" t="s">
        <v>200</v>
      </c>
      <c r="C584" s="134">
        <v>28192.0</v>
      </c>
      <c r="D584" s="134">
        <v>9366.0</v>
      </c>
      <c r="E584" s="134">
        <v>18826.0</v>
      </c>
      <c r="F584" s="135">
        <v>0.0</v>
      </c>
      <c r="G584" s="135">
        <v>0.0</v>
      </c>
      <c r="H584" s="135">
        <v>0.0</v>
      </c>
      <c r="I584" s="135">
        <v>0.0</v>
      </c>
      <c r="J584" s="135">
        <v>0.0</v>
      </c>
      <c r="K584" s="135">
        <v>0.0</v>
      </c>
      <c r="L584" s="137">
        <v>14.0</v>
      </c>
      <c r="M584" s="137">
        <v>26.0</v>
      </c>
      <c r="N584" s="137">
        <v>24.0</v>
      </c>
      <c r="O584" s="137">
        <v>88.0</v>
      </c>
      <c r="P584" s="137">
        <v>82.0</v>
      </c>
      <c r="Q584" s="137">
        <v>178.0</v>
      </c>
      <c r="R584" s="137">
        <v>134.0</v>
      </c>
      <c r="S584" s="137">
        <v>256.0</v>
      </c>
      <c r="T584" s="137">
        <v>208.0</v>
      </c>
      <c r="U584" s="137">
        <v>482.0</v>
      </c>
      <c r="V584" s="137">
        <v>330.0</v>
      </c>
      <c r="W584" s="137">
        <v>838.0</v>
      </c>
      <c r="X584" s="137">
        <v>604.0</v>
      </c>
      <c r="Y584" s="134">
        <v>1484.0</v>
      </c>
      <c r="Z584" s="137">
        <v>868.0</v>
      </c>
      <c r="AA584" s="134">
        <v>2324.0</v>
      </c>
      <c r="AB584" s="134">
        <v>1256.0</v>
      </c>
      <c r="AC584" s="134">
        <v>2724.0</v>
      </c>
      <c r="AD584" s="134">
        <v>1426.0</v>
      </c>
      <c r="AE584" s="134">
        <v>2790.0</v>
      </c>
      <c r="AF584" s="134">
        <v>1328.0</v>
      </c>
      <c r="AG584" s="134">
        <v>2578.0</v>
      </c>
      <c r="AH584" s="134">
        <v>1214.0</v>
      </c>
      <c r="AI584" s="134">
        <v>2024.0</v>
      </c>
      <c r="AJ584" s="137">
        <v>926.0</v>
      </c>
      <c r="AK584" s="134">
        <v>1514.0</v>
      </c>
      <c r="AL584" s="137">
        <v>950.0</v>
      </c>
      <c r="AM584" s="134">
        <v>1512.0</v>
      </c>
      <c r="AN584" s="134">
        <v>27438.0</v>
      </c>
    </row>
    <row r="585">
      <c r="A585" s="104"/>
      <c r="B585" s="136" t="s">
        <v>201</v>
      </c>
      <c r="C585" s="137">
        <v>2.0</v>
      </c>
      <c r="D585" s="137">
        <v>0.0</v>
      </c>
      <c r="E585" s="137">
        <v>2.0</v>
      </c>
      <c r="F585" s="135">
        <v>0.0</v>
      </c>
      <c r="G585" s="135">
        <v>0.0</v>
      </c>
      <c r="H585" s="135">
        <v>0.0</v>
      </c>
      <c r="I585" s="135">
        <v>0.0</v>
      </c>
      <c r="J585" s="135">
        <v>0.0</v>
      </c>
      <c r="K585" s="135">
        <v>0.0</v>
      </c>
      <c r="L585" s="137">
        <v>0.0</v>
      </c>
      <c r="M585" s="137">
        <v>0.0</v>
      </c>
      <c r="N585" s="137">
        <v>0.0</v>
      </c>
      <c r="O585" s="137">
        <v>0.0</v>
      </c>
      <c r="P585" s="137">
        <v>0.0</v>
      </c>
      <c r="Q585" s="137">
        <v>0.0</v>
      </c>
      <c r="R585" s="137">
        <v>0.0</v>
      </c>
      <c r="S585" s="137">
        <v>0.0</v>
      </c>
      <c r="T585" s="137">
        <v>0.0</v>
      </c>
      <c r="U585" s="137">
        <v>0.0</v>
      </c>
      <c r="V585" s="137">
        <v>0.0</v>
      </c>
      <c r="W585" s="137">
        <v>0.0</v>
      </c>
      <c r="X585" s="137">
        <v>0.0</v>
      </c>
      <c r="Y585" s="137">
        <v>0.0</v>
      </c>
      <c r="Z585" s="137">
        <v>0.0</v>
      </c>
      <c r="AA585" s="137">
        <v>0.0</v>
      </c>
      <c r="AB585" s="137">
        <v>0.0</v>
      </c>
      <c r="AC585" s="137">
        <v>0.0</v>
      </c>
      <c r="AD585" s="137">
        <v>0.0</v>
      </c>
      <c r="AE585" s="137">
        <v>0.0</v>
      </c>
      <c r="AF585" s="137">
        <v>0.0</v>
      </c>
      <c r="AG585" s="137">
        <v>0.0</v>
      </c>
      <c r="AH585" s="137">
        <v>0.0</v>
      </c>
      <c r="AI585" s="137">
        <v>0.0</v>
      </c>
      <c r="AJ585" s="137">
        <v>0.0</v>
      </c>
      <c r="AK585" s="137">
        <v>2.0</v>
      </c>
      <c r="AL585" s="137">
        <v>0.0</v>
      </c>
      <c r="AM585" s="137">
        <v>0.0</v>
      </c>
      <c r="AN585" s="137">
        <v>2.0</v>
      </c>
    </row>
    <row r="586">
      <c r="A586" s="132" t="s">
        <v>202</v>
      </c>
      <c r="B586" s="136" t="s">
        <v>198</v>
      </c>
      <c r="C586" s="137">
        <v>354.0</v>
      </c>
      <c r="D586" s="137">
        <v>152.0</v>
      </c>
      <c r="E586" s="137">
        <v>202.0</v>
      </c>
      <c r="F586" s="137">
        <v>8.0</v>
      </c>
      <c r="G586" s="137">
        <v>2.0</v>
      </c>
      <c r="H586" s="137">
        <v>6.0</v>
      </c>
      <c r="I586" s="137">
        <v>2.0</v>
      </c>
      <c r="J586" s="137">
        <v>6.0</v>
      </c>
      <c r="K586" s="137">
        <v>2.0</v>
      </c>
      <c r="L586" s="137">
        <v>4.0</v>
      </c>
      <c r="M586" s="137">
        <v>6.0</v>
      </c>
      <c r="N586" s="137">
        <v>0.0</v>
      </c>
      <c r="O586" s="137">
        <v>32.0</v>
      </c>
      <c r="P586" s="137">
        <v>2.0</v>
      </c>
      <c r="Q586" s="137">
        <v>14.0</v>
      </c>
      <c r="R586" s="137">
        <v>16.0</v>
      </c>
      <c r="S586" s="137">
        <v>8.0</v>
      </c>
      <c r="T586" s="137">
        <v>4.0</v>
      </c>
      <c r="U586" s="137">
        <v>6.0</v>
      </c>
      <c r="V586" s="137">
        <v>4.0</v>
      </c>
      <c r="W586" s="137">
        <v>10.0</v>
      </c>
      <c r="X586" s="137">
        <v>4.0</v>
      </c>
      <c r="Y586" s="137">
        <v>12.0</v>
      </c>
      <c r="Z586" s="137">
        <v>16.0</v>
      </c>
      <c r="AA586" s="137">
        <v>14.0</v>
      </c>
      <c r="AB586" s="137">
        <v>20.0</v>
      </c>
      <c r="AC586" s="137">
        <v>10.0</v>
      </c>
      <c r="AD586" s="137">
        <v>20.0</v>
      </c>
      <c r="AE586" s="137">
        <v>34.0</v>
      </c>
      <c r="AF586" s="137">
        <v>8.0</v>
      </c>
      <c r="AG586" s="137">
        <v>24.0</v>
      </c>
      <c r="AH586" s="137">
        <v>4.0</v>
      </c>
      <c r="AI586" s="137">
        <v>4.0</v>
      </c>
      <c r="AJ586" s="137">
        <v>26.0</v>
      </c>
      <c r="AK586" s="137">
        <v>8.0</v>
      </c>
      <c r="AL586" s="137">
        <v>4.0</v>
      </c>
      <c r="AM586" s="137">
        <v>14.0</v>
      </c>
      <c r="AN586" s="137">
        <v>342.0</v>
      </c>
    </row>
    <row r="587">
      <c r="A587" s="104"/>
      <c r="B587" s="136" t="s">
        <v>199</v>
      </c>
      <c r="C587" s="137">
        <v>162.0</v>
      </c>
      <c r="D587" s="137">
        <v>96.0</v>
      </c>
      <c r="E587" s="137">
        <v>66.0</v>
      </c>
      <c r="F587" s="137">
        <v>10.0</v>
      </c>
      <c r="G587" s="137">
        <v>0.0</v>
      </c>
      <c r="H587" s="137">
        <v>26.0</v>
      </c>
      <c r="I587" s="137">
        <v>2.0</v>
      </c>
      <c r="J587" s="137">
        <v>4.0</v>
      </c>
      <c r="K587" s="137">
        <v>8.0</v>
      </c>
      <c r="L587" s="137">
        <v>0.0</v>
      </c>
      <c r="M587" s="137">
        <v>4.0</v>
      </c>
      <c r="N587" s="137">
        <v>6.0</v>
      </c>
      <c r="O587" s="137">
        <v>6.0</v>
      </c>
      <c r="P587" s="137">
        <v>2.0</v>
      </c>
      <c r="Q587" s="137">
        <v>18.0</v>
      </c>
      <c r="R587" s="137">
        <v>10.0</v>
      </c>
      <c r="S587" s="137">
        <v>0.0</v>
      </c>
      <c r="T587" s="137">
        <v>2.0</v>
      </c>
      <c r="U587" s="137">
        <v>4.0</v>
      </c>
      <c r="V587" s="137">
        <v>4.0</v>
      </c>
      <c r="W587" s="137">
        <v>2.0</v>
      </c>
      <c r="X587" s="137">
        <v>4.0</v>
      </c>
      <c r="Y587" s="137">
        <v>0.0</v>
      </c>
      <c r="Z587" s="137">
        <v>10.0</v>
      </c>
      <c r="AA587" s="137">
        <v>0.0</v>
      </c>
      <c r="AB587" s="137">
        <v>6.0</v>
      </c>
      <c r="AC587" s="137">
        <v>2.0</v>
      </c>
      <c r="AD587" s="137">
        <v>4.0</v>
      </c>
      <c r="AE587" s="137">
        <v>6.0</v>
      </c>
      <c r="AF587" s="137">
        <v>2.0</v>
      </c>
      <c r="AG587" s="137">
        <v>6.0</v>
      </c>
      <c r="AH587" s="137">
        <v>4.0</v>
      </c>
      <c r="AI587" s="137">
        <v>2.0</v>
      </c>
      <c r="AJ587" s="137">
        <v>2.0</v>
      </c>
      <c r="AK587" s="137">
        <v>2.0</v>
      </c>
      <c r="AL587" s="137">
        <v>0.0</v>
      </c>
      <c r="AM587" s="137">
        <v>4.0</v>
      </c>
      <c r="AN587" s="137">
        <v>156.0</v>
      </c>
    </row>
    <row r="588">
      <c r="A588" s="132" t="s">
        <v>203</v>
      </c>
      <c r="B588" s="136" t="s">
        <v>198</v>
      </c>
      <c r="C588" s="137">
        <v>4.0</v>
      </c>
      <c r="D588" s="137">
        <v>2.0</v>
      </c>
      <c r="E588" s="137">
        <v>2.0</v>
      </c>
      <c r="F588" s="135">
        <v>0.0</v>
      </c>
      <c r="G588" s="135">
        <v>0.0</v>
      </c>
      <c r="H588" s="135">
        <v>0.0</v>
      </c>
      <c r="I588" s="135">
        <v>0.0</v>
      </c>
      <c r="J588" s="135">
        <v>0.0</v>
      </c>
      <c r="K588" s="135">
        <v>0.0</v>
      </c>
      <c r="L588" s="135">
        <v>0.0</v>
      </c>
      <c r="M588" s="135">
        <v>0.0</v>
      </c>
      <c r="N588" s="135">
        <v>0.0</v>
      </c>
      <c r="O588" s="135">
        <v>0.0</v>
      </c>
      <c r="P588" s="135">
        <v>0.0</v>
      </c>
      <c r="Q588" s="135">
        <v>0.0</v>
      </c>
      <c r="R588" s="135">
        <v>0.0</v>
      </c>
      <c r="S588" s="135">
        <v>0.0</v>
      </c>
      <c r="T588" s="135">
        <v>0.0</v>
      </c>
      <c r="U588" s="135">
        <v>0.0</v>
      </c>
      <c r="V588" s="135">
        <v>0.0</v>
      </c>
      <c r="W588" s="135">
        <v>0.0</v>
      </c>
      <c r="X588" s="135">
        <v>0.0</v>
      </c>
      <c r="Y588" s="135">
        <v>0.0</v>
      </c>
      <c r="Z588" s="135">
        <v>0.0</v>
      </c>
      <c r="AA588" s="135">
        <v>0.0</v>
      </c>
      <c r="AB588" s="135">
        <v>0.0</v>
      </c>
      <c r="AC588" s="135">
        <v>0.0</v>
      </c>
      <c r="AD588" s="135">
        <v>0.0</v>
      </c>
      <c r="AE588" s="135">
        <v>0.0</v>
      </c>
      <c r="AF588" s="137">
        <v>0.0</v>
      </c>
      <c r="AG588" s="137">
        <v>0.0</v>
      </c>
      <c r="AH588" s="137">
        <v>0.0</v>
      </c>
      <c r="AI588" s="137">
        <v>0.0</v>
      </c>
      <c r="AJ588" s="137">
        <v>2.0</v>
      </c>
      <c r="AK588" s="137">
        <v>2.0</v>
      </c>
      <c r="AL588" s="137">
        <v>0.0</v>
      </c>
      <c r="AM588" s="137">
        <v>0.0</v>
      </c>
      <c r="AN588" s="137">
        <v>4.0</v>
      </c>
    </row>
    <row r="589">
      <c r="A589" s="104"/>
      <c r="B589" s="136" t="s">
        <v>199</v>
      </c>
      <c r="C589" s="137">
        <v>374.0</v>
      </c>
      <c r="D589" s="137">
        <v>120.0</v>
      </c>
      <c r="E589" s="137">
        <v>254.0</v>
      </c>
      <c r="F589" s="135">
        <v>0.0</v>
      </c>
      <c r="G589" s="135">
        <v>0.0</v>
      </c>
      <c r="H589" s="135">
        <v>0.0</v>
      </c>
      <c r="I589" s="135">
        <v>0.0</v>
      </c>
      <c r="J589" s="135">
        <v>0.0</v>
      </c>
      <c r="K589" s="135">
        <v>0.0</v>
      </c>
      <c r="L589" s="135">
        <v>0.0</v>
      </c>
      <c r="M589" s="135">
        <v>0.0</v>
      </c>
      <c r="N589" s="135">
        <v>0.0</v>
      </c>
      <c r="O589" s="135">
        <v>0.0</v>
      </c>
      <c r="P589" s="135">
        <v>0.0</v>
      </c>
      <c r="Q589" s="135">
        <v>0.0</v>
      </c>
      <c r="R589" s="135">
        <v>0.0</v>
      </c>
      <c r="S589" s="135">
        <v>0.0</v>
      </c>
      <c r="T589" s="135">
        <v>0.0</v>
      </c>
      <c r="U589" s="135">
        <v>0.0</v>
      </c>
      <c r="V589" s="135">
        <v>0.0</v>
      </c>
      <c r="W589" s="135">
        <v>0.0</v>
      </c>
      <c r="X589" s="135">
        <v>0.0</v>
      </c>
      <c r="Y589" s="135">
        <v>0.0</v>
      </c>
      <c r="Z589" s="135">
        <v>0.0</v>
      </c>
      <c r="AA589" s="135">
        <v>0.0</v>
      </c>
      <c r="AB589" s="135">
        <v>0.0</v>
      </c>
      <c r="AC589" s="135">
        <v>0.0</v>
      </c>
      <c r="AD589" s="135">
        <v>0.0</v>
      </c>
      <c r="AE589" s="135">
        <v>0.0</v>
      </c>
      <c r="AF589" s="137">
        <v>34.0</v>
      </c>
      <c r="AG589" s="137">
        <v>90.0</v>
      </c>
      <c r="AH589" s="137">
        <v>34.0</v>
      </c>
      <c r="AI589" s="137">
        <v>80.0</v>
      </c>
      <c r="AJ589" s="137">
        <v>30.0</v>
      </c>
      <c r="AK589" s="137">
        <v>44.0</v>
      </c>
      <c r="AL589" s="137">
        <v>22.0</v>
      </c>
      <c r="AM589" s="137">
        <v>40.0</v>
      </c>
      <c r="AN589" s="137">
        <v>364.0</v>
      </c>
    </row>
    <row r="590">
      <c r="A590" s="132" t="s">
        <v>204</v>
      </c>
      <c r="B590" s="136" t="s">
        <v>198</v>
      </c>
      <c r="C590" s="137">
        <v>2.0</v>
      </c>
      <c r="D590" s="137">
        <v>0.0</v>
      </c>
      <c r="E590" s="137">
        <v>2.0</v>
      </c>
      <c r="F590" s="135">
        <v>0.0</v>
      </c>
      <c r="G590" s="135">
        <v>0.0</v>
      </c>
      <c r="H590" s="135">
        <v>0.0</v>
      </c>
      <c r="I590" s="135">
        <v>0.0</v>
      </c>
      <c r="J590" s="135">
        <v>0.0</v>
      </c>
      <c r="K590" s="135">
        <v>0.0</v>
      </c>
      <c r="L590" s="135">
        <v>0.0</v>
      </c>
      <c r="M590" s="135">
        <v>0.0</v>
      </c>
      <c r="N590" s="135">
        <v>0.0</v>
      </c>
      <c r="O590" s="135">
        <v>0.0</v>
      </c>
      <c r="P590" s="135">
        <v>0.0</v>
      </c>
      <c r="Q590" s="135">
        <v>0.0</v>
      </c>
      <c r="R590" s="135">
        <v>0.0</v>
      </c>
      <c r="S590" s="135">
        <v>0.0</v>
      </c>
      <c r="T590" s="135">
        <v>0.0</v>
      </c>
      <c r="U590" s="135">
        <v>0.0</v>
      </c>
      <c r="V590" s="135">
        <v>0.0</v>
      </c>
      <c r="W590" s="135">
        <v>0.0</v>
      </c>
      <c r="X590" s="135">
        <v>0.0</v>
      </c>
      <c r="Y590" s="135">
        <v>0.0</v>
      </c>
      <c r="Z590" s="135">
        <v>0.0</v>
      </c>
      <c r="AA590" s="135">
        <v>0.0</v>
      </c>
      <c r="AB590" s="135">
        <v>0.0</v>
      </c>
      <c r="AC590" s="135">
        <v>0.0</v>
      </c>
      <c r="AD590" s="135">
        <v>0.0</v>
      </c>
      <c r="AE590" s="135">
        <v>0.0</v>
      </c>
      <c r="AF590" s="137">
        <v>0.0</v>
      </c>
      <c r="AG590" s="137">
        <v>0.0</v>
      </c>
      <c r="AH590" s="137">
        <v>0.0</v>
      </c>
      <c r="AI590" s="137">
        <v>0.0</v>
      </c>
      <c r="AJ590" s="137">
        <v>0.0</v>
      </c>
      <c r="AK590" s="137">
        <v>0.0</v>
      </c>
      <c r="AL590" s="137">
        <v>0.0</v>
      </c>
      <c r="AM590" s="137">
        <v>2.0</v>
      </c>
      <c r="AN590" s="137">
        <v>2.0</v>
      </c>
    </row>
    <row r="591">
      <c r="A591" s="104"/>
      <c r="B591" s="136" t="s">
        <v>199</v>
      </c>
      <c r="C591" s="137">
        <v>194.0</v>
      </c>
      <c r="D591" s="137">
        <v>62.0</v>
      </c>
      <c r="E591" s="137">
        <v>132.0</v>
      </c>
      <c r="F591" s="135">
        <v>0.0</v>
      </c>
      <c r="G591" s="135">
        <v>0.0</v>
      </c>
      <c r="H591" s="135">
        <v>0.0</v>
      </c>
      <c r="I591" s="135">
        <v>0.0</v>
      </c>
      <c r="J591" s="135">
        <v>0.0</v>
      </c>
      <c r="K591" s="135">
        <v>0.0</v>
      </c>
      <c r="L591" s="135">
        <v>0.0</v>
      </c>
      <c r="M591" s="135">
        <v>0.0</v>
      </c>
      <c r="N591" s="135">
        <v>0.0</v>
      </c>
      <c r="O591" s="135">
        <v>0.0</v>
      </c>
      <c r="P591" s="135">
        <v>0.0</v>
      </c>
      <c r="Q591" s="135">
        <v>0.0</v>
      </c>
      <c r="R591" s="135">
        <v>0.0</v>
      </c>
      <c r="S591" s="135">
        <v>0.0</v>
      </c>
      <c r="T591" s="135">
        <v>0.0</v>
      </c>
      <c r="U591" s="135">
        <v>0.0</v>
      </c>
      <c r="V591" s="135">
        <v>0.0</v>
      </c>
      <c r="W591" s="135">
        <v>0.0</v>
      </c>
      <c r="X591" s="135">
        <v>0.0</v>
      </c>
      <c r="Y591" s="135">
        <v>0.0</v>
      </c>
      <c r="Z591" s="135">
        <v>0.0</v>
      </c>
      <c r="AA591" s="135">
        <v>0.0</v>
      </c>
      <c r="AB591" s="135">
        <v>0.0</v>
      </c>
      <c r="AC591" s="135">
        <v>0.0</v>
      </c>
      <c r="AD591" s="135">
        <v>0.0</v>
      </c>
      <c r="AE591" s="135">
        <v>0.0</v>
      </c>
      <c r="AF591" s="137">
        <v>6.0</v>
      </c>
      <c r="AG591" s="137">
        <v>30.0</v>
      </c>
      <c r="AH591" s="137">
        <v>10.0</v>
      </c>
      <c r="AI591" s="137">
        <v>36.0</v>
      </c>
      <c r="AJ591" s="137">
        <v>18.0</v>
      </c>
      <c r="AK591" s="137">
        <v>24.0</v>
      </c>
      <c r="AL591" s="137">
        <v>28.0</v>
      </c>
      <c r="AM591" s="137">
        <v>42.0</v>
      </c>
      <c r="AN591" s="137">
        <v>192.0</v>
      </c>
    </row>
    <row r="592">
      <c r="A592" s="132" t="s">
        <v>205</v>
      </c>
      <c r="B592" s="136" t="s">
        <v>198</v>
      </c>
      <c r="C592" s="137">
        <v>30.0</v>
      </c>
      <c r="D592" s="137">
        <v>2.0</v>
      </c>
      <c r="E592" s="137">
        <v>28.0</v>
      </c>
      <c r="F592" s="137">
        <v>0.0</v>
      </c>
      <c r="G592" s="137">
        <v>0.0</v>
      </c>
      <c r="H592" s="137">
        <v>0.0</v>
      </c>
      <c r="I592" s="137">
        <v>0.0</v>
      </c>
      <c r="J592" s="137">
        <v>2.0</v>
      </c>
      <c r="K592" s="137">
        <v>0.0</v>
      </c>
      <c r="L592" s="137">
        <v>0.0</v>
      </c>
      <c r="M592" s="137">
        <v>0.0</v>
      </c>
      <c r="N592" s="137">
        <v>0.0</v>
      </c>
      <c r="O592" s="137">
        <v>0.0</v>
      </c>
      <c r="P592" s="137">
        <v>0.0</v>
      </c>
      <c r="Q592" s="137">
        <v>0.0</v>
      </c>
      <c r="R592" s="137">
        <v>0.0</v>
      </c>
      <c r="S592" s="137">
        <v>2.0</v>
      </c>
      <c r="T592" s="137">
        <v>0.0</v>
      </c>
      <c r="U592" s="137">
        <v>0.0</v>
      </c>
      <c r="V592" s="137">
        <v>0.0</v>
      </c>
      <c r="W592" s="137">
        <v>2.0</v>
      </c>
      <c r="X592" s="137">
        <v>0.0</v>
      </c>
      <c r="Y592" s="137">
        <v>2.0</v>
      </c>
      <c r="Z592" s="137">
        <v>0.0</v>
      </c>
      <c r="AA592" s="137">
        <v>6.0</v>
      </c>
      <c r="AB592" s="137">
        <v>0.0</v>
      </c>
      <c r="AC592" s="137">
        <v>8.0</v>
      </c>
      <c r="AD592" s="137">
        <v>0.0</v>
      </c>
      <c r="AE592" s="137">
        <v>2.0</v>
      </c>
      <c r="AF592" s="137">
        <v>0.0</v>
      </c>
      <c r="AG592" s="137">
        <v>2.0</v>
      </c>
      <c r="AH592" s="137">
        <v>0.0</v>
      </c>
      <c r="AI592" s="137">
        <v>2.0</v>
      </c>
      <c r="AJ592" s="137">
        <v>0.0</v>
      </c>
      <c r="AK592" s="137">
        <v>2.0</v>
      </c>
      <c r="AL592" s="137">
        <v>0.0</v>
      </c>
      <c r="AM592" s="137">
        <v>0.0</v>
      </c>
      <c r="AN592" s="137">
        <v>30.0</v>
      </c>
    </row>
    <row r="593">
      <c r="A593" s="98"/>
      <c r="B593" s="136" t="s">
        <v>199</v>
      </c>
      <c r="C593" s="137">
        <v>0.0</v>
      </c>
      <c r="D593" s="137">
        <v>0.0</v>
      </c>
      <c r="E593" s="137">
        <v>0.0</v>
      </c>
      <c r="F593" s="137">
        <v>0.0</v>
      </c>
      <c r="G593" s="137">
        <v>0.0</v>
      </c>
      <c r="H593" s="137">
        <v>0.0</v>
      </c>
      <c r="I593" s="137">
        <v>0.0</v>
      </c>
      <c r="J593" s="137">
        <v>0.0</v>
      </c>
      <c r="K593" s="137">
        <v>0.0</v>
      </c>
      <c r="L593" s="137">
        <v>0.0</v>
      </c>
      <c r="M593" s="137">
        <v>0.0</v>
      </c>
      <c r="N593" s="137">
        <v>0.0</v>
      </c>
      <c r="O593" s="137">
        <v>0.0</v>
      </c>
      <c r="P593" s="137">
        <v>0.0</v>
      </c>
      <c r="Q593" s="137">
        <v>0.0</v>
      </c>
      <c r="R593" s="137">
        <v>0.0</v>
      </c>
      <c r="S593" s="137">
        <v>0.0</v>
      </c>
      <c r="T593" s="137">
        <v>0.0</v>
      </c>
      <c r="U593" s="137">
        <v>0.0</v>
      </c>
      <c r="V593" s="137">
        <v>0.0</v>
      </c>
      <c r="W593" s="137">
        <v>0.0</v>
      </c>
      <c r="X593" s="137">
        <v>0.0</v>
      </c>
      <c r="Y593" s="137">
        <v>0.0</v>
      </c>
      <c r="Z593" s="137">
        <v>0.0</v>
      </c>
      <c r="AA593" s="137">
        <v>0.0</v>
      </c>
      <c r="AB593" s="137">
        <v>0.0</v>
      </c>
      <c r="AC593" s="137">
        <v>0.0</v>
      </c>
      <c r="AD593" s="137">
        <v>0.0</v>
      </c>
      <c r="AE593" s="137">
        <v>0.0</v>
      </c>
      <c r="AF593" s="137">
        <v>0.0</v>
      </c>
      <c r="AG593" s="137">
        <v>0.0</v>
      </c>
      <c r="AH593" s="137">
        <v>0.0</v>
      </c>
      <c r="AI593" s="137">
        <v>0.0</v>
      </c>
      <c r="AJ593" s="137">
        <v>0.0</v>
      </c>
      <c r="AK593" s="137">
        <v>0.0</v>
      </c>
      <c r="AL593" s="137">
        <v>0.0</v>
      </c>
      <c r="AM593" s="137">
        <v>0.0</v>
      </c>
      <c r="AN593" s="137">
        <v>0.0</v>
      </c>
    </row>
    <row r="594">
      <c r="A594" s="104"/>
      <c r="B594" s="136" t="s">
        <v>206</v>
      </c>
      <c r="C594" s="137">
        <v>662.0</v>
      </c>
      <c r="D594" s="137">
        <v>144.0</v>
      </c>
      <c r="E594" s="137">
        <v>518.0</v>
      </c>
      <c r="F594" s="137">
        <v>0.0</v>
      </c>
      <c r="G594" s="137">
        <v>0.0</v>
      </c>
      <c r="H594" s="137">
        <v>0.0</v>
      </c>
      <c r="I594" s="137">
        <v>0.0</v>
      </c>
      <c r="J594" s="137">
        <v>0.0</v>
      </c>
      <c r="K594" s="137">
        <v>2.0</v>
      </c>
      <c r="L594" s="137">
        <v>2.0</v>
      </c>
      <c r="M594" s="137">
        <v>18.0</v>
      </c>
      <c r="N594" s="137">
        <v>0.0</v>
      </c>
      <c r="O594" s="137">
        <v>12.0</v>
      </c>
      <c r="P594" s="137">
        <v>0.0</v>
      </c>
      <c r="Q594" s="137">
        <v>16.0</v>
      </c>
      <c r="R594" s="137">
        <v>2.0</v>
      </c>
      <c r="S594" s="137">
        <v>12.0</v>
      </c>
      <c r="T594" s="137">
        <v>2.0</v>
      </c>
      <c r="U594" s="137">
        <v>12.0</v>
      </c>
      <c r="V594" s="137">
        <v>6.0</v>
      </c>
      <c r="W594" s="137">
        <v>8.0</v>
      </c>
      <c r="X594" s="137">
        <v>6.0</v>
      </c>
      <c r="Y594" s="137">
        <v>16.0</v>
      </c>
      <c r="Z594" s="137">
        <v>10.0</v>
      </c>
      <c r="AA594" s="137">
        <v>42.0</v>
      </c>
      <c r="AB594" s="137">
        <v>12.0</v>
      </c>
      <c r="AC594" s="137">
        <v>58.0</v>
      </c>
      <c r="AD594" s="137">
        <v>16.0</v>
      </c>
      <c r="AE594" s="137">
        <v>68.0</v>
      </c>
      <c r="AF594" s="137">
        <v>20.0</v>
      </c>
      <c r="AG594" s="137">
        <v>74.0</v>
      </c>
      <c r="AH594" s="137">
        <v>26.0</v>
      </c>
      <c r="AI594" s="137">
        <v>70.0</v>
      </c>
      <c r="AJ594" s="137">
        <v>16.0</v>
      </c>
      <c r="AK594" s="137">
        <v>64.0</v>
      </c>
      <c r="AL594" s="137">
        <v>26.0</v>
      </c>
      <c r="AM594" s="137">
        <v>46.0</v>
      </c>
      <c r="AN594" s="137">
        <v>660.0</v>
      </c>
    </row>
    <row r="595">
      <c r="A595" s="132" t="s">
        <v>207</v>
      </c>
      <c r="B595" s="136" t="s">
        <v>198</v>
      </c>
      <c r="C595" s="134">
        <v>32956.0</v>
      </c>
      <c r="D595" s="134">
        <v>8132.0</v>
      </c>
      <c r="E595" s="134">
        <v>24824.0</v>
      </c>
      <c r="F595" s="137">
        <v>160.0</v>
      </c>
      <c r="G595" s="137">
        <v>118.0</v>
      </c>
      <c r="H595" s="137">
        <v>134.0</v>
      </c>
      <c r="I595" s="137">
        <v>106.0</v>
      </c>
      <c r="J595" s="137">
        <v>214.0</v>
      </c>
      <c r="K595" s="137">
        <v>154.0</v>
      </c>
      <c r="L595" s="137">
        <v>216.0</v>
      </c>
      <c r="M595" s="137">
        <v>476.0</v>
      </c>
      <c r="N595" s="137">
        <v>156.0</v>
      </c>
      <c r="O595" s="137">
        <v>500.0</v>
      </c>
      <c r="P595" s="137">
        <v>254.0</v>
      </c>
      <c r="Q595" s="137">
        <v>750.0</v>
      </c>
      <c r="R595" s="137">
        <v>224.0</v>
      </c>
      <c r="S595" s="137">
        <v>892.0</v>
      </c>
      <c r="T595" s="137">
        <v>202.0</v>
      </c>
      <c r="U595" s="134">
        <v>1074.0</v>
      </c>
      <c r="V595" s="137">
        <v>310.0</v>
      </c>
      <c r="W595" s="134">
        <v>1342.0</v>
      </c>
      <c r="X595" s="137">
        <v>426.0</v>
      </c>
      <c r="Y595" s="134">
        <v>1798.0</v>
      </c>
      <c r="Z595" s="137">
        <v>632.0</v>
      </c>
      <c r="AA595" s="134">
        <v>2792.0</v>
      </c>
      <c r="AB595" s="137">
        <v>820.0</v>
      </c>
      <c r="AC595" s="134">
        <v>2986.0</v>
      </c>
      <c r="AD595" s="137">
        <v>928.0</v>
      </c>
      <c r="AE595" s="134">
        <v>2996.0</v>
      </c>
      <c r="AF595" s="137">
        <v>866.0</v>
      </c>
      <c r="AG595" s="134">
        <v>2708.0</v>
      </c>
      <c r="AH595" s="137">
        <v>866.0</v>
      </c>
      <c r="AI595" s="134">
        <v>2248.0</v>
      </c>
      <c r="AJ595" s="137">
        <v>762.0</v>
      </c>
      <c r="AK595" s="134">
        <v>1826.0</v>
      </c>
      <c r="AL595" s="137">
        <v>962.0</v>
      </c>
      <c r="AM595" s="134">
        <v>2058.0</v>
      </c>
      <c r="AN595" s="134">
        <v>32800.0</v>
      </c>
    </row>
    <row r="596">
      <c r="A596" s="98"/>
      <c r="B596" s="136" t="s">
        <v>199</v>
      </c>
      <c r="C596" s="134">
        <v>2054.0</v>
      </c>
      <c r="D596" s="137">
        <v>620.0</v>
      </c>
      <c r="E596" s="134">
        <v>1434.0</v>
      </c>
      <c r="F596" s="137">
        <v>6.0</v>
      </c>
      <c r="G596" s="137">
        <v>14.0</v>
      </c>
      <c r="H596" s="137">
        <v>4.0</v>
      </c>
      <c r="I596" s="137">
        <v>0.0</v>
      </c>
      <c r="J596" s="137">
        <v>0.0</v>
      </c>
      <c r="K596" s="137">
        <v>4.0</v>
      </c>
      <c r="L596" s="137">
        <v>0.0</v>
      </c>
      <c r="M596" s="137">
        <v>0.0</v>
      </c>
      <c r="N596" s="137">
        <v>0.0</v>
      </c>
      <c r="O596" s="137">
        <v>4.0</v>
      </c>
      <c r="P596" s="137">
        <v>6.0</v>
      </c>
      <c r="Q596" s="137">
        <v>14.0</v>
      </c>
      <c r="R596" s="137">
        <v>8.0</v>
      </c>
      <c r="S596" s="137">
        <v>4.0</v>
      </c>
      <c r="T596" s="137">
        <v>8.0</v>
      </c>
      <c r="U596" s="137">
        <v>26.0</v>
      </c>
      <c r="V596" s="137">
        <v>2.0</v>
      </c>
      <c r="W596" s="137">
        <v>24.0</v>
      </c>
      <c r="X596" s="137">
        <v>16.0</v>
      </c>
      <c r="Y596" s="137">
        <v>66.0</v>
      </c>
      <c r="Z596" s="137">
        <v>14.0</v>
      </c>
      <c r="AA596" s="137">
        <v>140.0</v>
      </c>
      <c r="AB596" s="137">
        <v>54.0</v>
      </c>
      <c r="AC596" s="137">
        <v>200.0</v>
      </c>
      <c r="AD596" s="137">
        <v>78.0</v>
      </c>
      <c r="AE596" s="137">
        <v>220.0</v>
      </c>
      <c r="AF596" s="137">
        <v>114.0</v>
      </c>
      <c r="AG596" s="137">
        <v>204.0</v>
      </c>
      <c r="AH596" s="137">
        <v>100.0</v>
      </c>
      <c r="AI596" s="137">
        <v>198.0</v>
      </c>
      <c r="AJ596" s="137">
        <v>106.0</v>
      </c>
      <c r="AK596" s="137">
        <v>152.0</v>
      </c>
      <c r="AL596" s="137">
        <v>104.0</v>
      </c>
      <c r="AM596" s="137">
        <v>164.0</v>
      </c>
      <c r="AN596" s="134">
        <v>2054.0</v>
      </c>
    </row>
    <row r="597">
      <c r="A597" s="98"/>
      <c r="B597" s="136" t="s">
        <v>206</v>
      </c>
      <c r="C597" s="137">
        <v>18.0</v>
      </c>
      <c r="D597" s="137">
        <v>10.0</v>
      </c>
      <c r="E597" s="137">
        <v>8.0</v>
      </c>
      <c r="F597" s="137">
        <v>0.0</v>
      </c>
      <c r="G597" s="137">
        <v>0.0</v>
      </c>
      <c r="H597" s="137">
        <v>0.0</v>
      </c>
      <c r="I597" s="137">
        <v>0.0</v>
      </c>
      <c r="J597" s="137">
        <v>8.0</v>
      </c>
      <c r="K597" s="137">
        <v>0.0</v>
      </c>
      <c r="L597" s="137">
        <v>0.0</v>
      </c>
      <c r="M597" s="137">
        <v>2.0</v>
      </c>
      <c r="N597" s="137">
        <v>0.0</v>
      </c>
      <c r="O597" s="137">
        <v>0.0</v>
      </c>
      <c r="P597" s="137">
        <v>0.0</v>
      </c>
      <c r="Q597" s="137">
        <v>0.0</v>
      </c>
      <c r="R597" s="137">
        <v>0.0</v>
      </c>
      <c r="S597" s="137">
        <v>0.0</v>
      </c>
      <c r="T597" s="137">
        <v>0.0</v>
      </c>
      <c r="U597" s="137">
        <v>0.0</v>
      </c>
      <c r="V597" s="137">
        <v>0.0</v>
      </c>
      <c r="W597" s="137">
        <v>0.0</v>
      </c>
      <c r="X597" s="137">
        <v>0.0</v>
      </c>
      <c r="Y597" s="137">
        <v>0.0</v>
      </c>
      <c r="Z597" s="137">
        <v>0.0</v>
      </c>
      <c r="AA597" s="137">
        <v>2.0</v>
      </c>
      <c r="AB597" s="137">
        <v>0.0</v>
      </c>
      <c r="AC597" s="137">
        <v>0.0</v>
      </c>
      <c r="AD597" s="137">
        <v>0.0</v>
      </c>
      <c r="AE597" s="137">
        <v>2.0</v>
      </c>
      <c r="AF597" s="137">
        <v>0.0</v>
      </c>
      <c r="AG597" s="137">
        <v>2.0</v>
      </c>
      <c r="AH597" s="137">
        <v>0.0</v>
      </c>
      <c r="AI597" s="137">
        <v>0.0</v>
      </c>
      <c r="AJ597" s="137">
        <v>0.0</v>
      </c>
      <c r="AK597" s="137">
        <v>0.0</v>
      </c>
      <c r="AL597" s="137">
        <v>2.0</v>
      </c>
      <c r="AM597" s="137">
        <v>0.0</v>
      </c>
      <c r="AN597" s="137">
        <v>18.0</v>
      </c>
    </row>
    <row r="598">
      <c r="A598" s="98"/>
      <c r="B598" s="136" t="s">
        <v>200</v>
      </c>
      <c r="C598" s="134">
        <v>7604.0</v>
      </c>
      <c r="D598" s="134">
        <v>2290.0</v>
      </c>
      <c r="E598" s="134">
        <v>5314.0</v>
      </c>
      <c r="F598" s="134">
        <v>1178.0</v>
      </c>
      <c r="G598" s="134">
        <v>1186.0</v>
      </c>
      <c r="H598" s="137">
        <v>378.0</v>
      </c>
      <c r="I598" s="137">
        <v>538.0</v>
      </c>
      <c r="J598" s="137">
        <v>222.0</v>
      </c>
      <c r="K598" s="137">
        <v>282.0</v>
      </c>
      <c r="L598" s="137">
        <v>50.0</v>
      </c>
      <c r="M598" s="137">
        <v>298.0</v>
      </c>
      <c r="N598" s="137">
        <v>26.0</v>
      </c>
      <c r="O598" s="137">
        <v>254.0</v>
      </c>
      <c r="P598" s="137">
        <v>38.0</v>
      </c>
      <c r="Q598" s="137">
        <v>392.0</v>
      </c>
      <c r="R598" s="137">
        <v>26.0</v>
      </c>
      <c r="S598" s="137">
        <v>342.0</v>
      </c>
      <c r="T598" s="137">
        <v>26.0</v>
      </c>
      <c r="U598" s="137">
        <v>316.0</v>
      </c>
      <c r="V598" s="137">
        <v>46.0</v>
      </c>
      <c r="W598" s="137">
        <v>338.0</v>
      </c>
      <c r="X598" s="137">
        <v>28.0</v>
      </c>
      <c r="Y598" s="137">
        <v>274.0</v>
      </c>
      <c r="Z598" s="137">
        <v>68.0</v>
      </c>
      <c r="AA598" s="137">
        <v>292.0</v>
      </c>
      <c r="AB598" s="137">
        <v>38.0</v>
      </c>
      <c r="AC598" s="137">
        <v>304.0</v>
      </c>
      <c r="AD598" s="137">
        <v>30.0</v>
      </c>
      <c r="AE598" s="137">
        <v>126.0</v>
      </c>
      <c r="AF598" s="137">
        <v>42.0</v>
      </c>
      <c r="AG598" s="137">
        <v>138.0</v>
      </c>
      <c r="AH598" s="137">
        <v>44.0</v>
      </c>
      <c r="AI598" s="137">
        <v>122.0</v>
      </c>
      <c r="AJ598" s="137">
        <v>26.0</v>
      </c>
      <c r="AK598" s="137">
        <v>52.0</v>
      </c>
      <c r="AL598" s="137">
        <v>24.0</v>
      </c>
      <c r="AM598" s="137">
        <v>60.0</v>
      </c>
      <c r="AN598" s="134">
        <v>7456.0</v>
      </c>
    </row>
    <row r="599">
      <c r="A599" s="104"/>
      <c r="B599" s="136" t="s">
        <v>201</v>
      </c>
      <c r="C599" s="137">
        <v>96.0</v>
      </c>
      <c r="D599" s="137">
        <v>34.0</v>
      </c>
      <c r="E599" s="137">
        <v>62.0</v>
      </c>
      <c r="F599" s="137">
        <v>0.0</v>
      </c>
      <c r="G599" s="137">
        <v>0.0</v>
      </c>
      <c r="H599" s="137">
        <v>0.0</v>
      </c>
      <c r="I599" s="137">
        <v>2.0</v>
      </c>
      <c r="J599" s="137">
        <v>0.0</v>
      </c>
      <c r="K599" s="137">
        <v>4.0</v>
      </c>
      <c r="L599" s="137">
        <v>2.0</v>
      </c>
      <c r="M599" s="137">
        <v>4.0</v>
      </c>
      <c r="N599" s="137">
        <v>0.0</v>
      </c>
      <c r="O599" s="137">
        <v>4.0</v>
      </c>
      <c r="P599" s="137">
        <v>0.0</v>
      </c>
      <c r="Q599" s="137">
        <v>4.0</v>
      </c>
      <c r="R599" s="137">
        <v>0.0</v>
      </c>
      <c r="S599" s="137">
        <v>0.0</v>
      </c>
      <c r="T599" s="137">
        <v>4.0</v>
      </c>
      <c r="U599" s="137">
        <v>0.0</v>
      </c>
      <c r="V599" s="137">
        <v>2.0</v>
      </c>
      <c r="W599" s="137">
        <v>4.0</v>
      </c>
      <c r="X599" s="137">
        <v>2.0</v>
      </c>
      <c r="Y599" s="137">
        <v>6.0</v>
      </c>
      <c r="Z599" s="137">
        <v>2.0</v>
      </c>
      <c r="AA599" s="137">
        <v>4.0</v>
      </c>
      <c r="AB599" s="137">
        <v>4.0</v>
      </c>
      <c r="AC599" s="137">
        <v>0.0</v>
      </c>
      <c r="AD599" s="137">
        <v>0.0</v>
      </c>
      <c r="AE599" s="137">
        <v>2.0</v>
      </c>
      <c r="AF599" s="137">
        <v>4.0</v>
      </c>
      <c r="AG599" s="137">
        <v>6.0</v>
      </c>
      <c r="AH599" s="137">
        <v>2.0</v>
      </c>
      <c r="AI599" s="137">
        <v>6.0</v>
      </c>
      <c r="AJ599" s="137">
        <v>2.0</v>
      </c>
      <c r="AK599" s="137">
        <v>6.0</v>
      </c>
      <c r="AL599" s="137">
        <v>10.0</v>
      </c>
      <c r="AM599" s="137">
        <v>10.0</v>
      </c>
      <c r="AN599" s="137">
        <v>96.0</v>
      </c>
    </row>
    <row r="600">
      <c r="A600" s="132" t="s">
        <v>208</v>
      </c>
      <c r="B600" s="136" t="s">
        <v>198</v>
      </c>
      <c r="C600" s="137">
        <v>264.0</v>
      </c>
      <c r="D600" s="137">
        <v>186.0</v>
      </c>
      <c r="E600" s="137">
        <v>78.0</v>
      </c>
      <c r="F600" s="137">
        <v>82.0</v>
      </c>
      <c r="G600" s="137">
        <v>34.0</v>
      </c>
      <c r="H600" s="137">
        <v>62.0</v>
      </c>
      <c r="I600" s="137">
        <v>18.0</v>
      </c>
      <c r="J600" s="137">
        <v>38.0</v>
      </c>
      <c r="K600" s="137">
        <v>22.0</v>
      </c>
      <c r="L600" s="137">
        <v>2.0</v>
      </c>
      <c r="M600" s="137">
        <v>4.0</v>
      </c>
      <c r="N600" s="137">
        <v>2.0</v>
      </c>
      <c r="O600" s="137">
        <v>0.0</v>
      </c>
      <c r="P600" s="135">
        <v>0.0</v>
      </c>
      <c r="Q600" s="135">
        <v>0.0</v>
      </c>
      <c r="R600" s="135">
        <v>0.0</v>
      </c>
      <c r="S600" s="135">
        <v>0.0</v>
      </c>
      <c r="T600" s="135">
        <v>0.0</v>
      </c>
      <c r="U600" s="135">
        <v>0.0</v>
      </c>
      <c r="V600" s="135">
        <v>0.0</v>
      </c>
      <c r="W600" s="135">
        <v>0.0</v>
      </c>
      <c r="X600" s="135">
        <v>0.0</v>
      </c>
      <c r="Y600" s="135">
        <v>0.0</v>
      </c>
      <c r="Z600" s="135">
        <v>0.0</v>
      </c>
      <c r="AA600" s="135">
        <v>0.0</v>
      </c>
      <c r="AB600" s="135">
        <v>0.0</v>
      </c>
      <c r="AC600" s="135">
        <v>0.0</v>
      </c>
      <c r="AD600" s="135">
        <v>0.0</v>
      </c>
      <c r="AE600" s="135">
        <v>0.0</v>
      </c>
      <c r="AF600" s="135">
        <v>0.0</v>
      </c>
      <c r="AG600" s="135">
        <v>0.0</v>
      </c>
      <c r="AH600" s="135">
        <v>0.0</v>
      </c>
      <c r="AI600" s="135">
        <v>0.0</v>
      </c>
      <c r="AJ600" s="135">
        <v>0.0</v>
      </c>
      <c r="AK600" s="135">
        <v>0.0</v>
      </c>
      <c r="AL600" s="135">
        <v>0.0</v>
      </c>
      <c r="AM600" s="135">
        <v>0.0</v>
      </c>
      <c r="AN600" s="137">
        <v>232.0</v>
      </c>
    </row>
    <row r="601">
      <c r="A601" s="98"/>
      <c r="B601" s="136" t="s">
        <v>199</v>
      </c>
      <c r="C601" s="137">
        <v>382.0</v>
      </c>
      <c r="D601" s="137">
        <v>194.0</v>
      </c>
      <c r="E601" s="137">
        <v>188.0</v>
      </c>
      <c r="F601" s="137">
        <v>108.0</v>
      </c>
      <c r="G601" s="137">
        <v>128.0</v>
      </c>
      <c r="H601" s="137">
        <v>50.0</v>
      </c>
      <c r="I601" s="137">
        <v>28.0</v>
      </c>
      <c r="J601" s="137">
        <v>36.0</v>
      </c>
      <c r="K601" s="137">
        <v>24.0</v>
      </c>
      <c r="L601" s="137">
        <v>0.0</v>
      </c>
      <c r="M601" s="137">
        <v>8.0</v>
      </c>
      <c r="N601" s="137">
        <v>0.0</v>
      </c>
      <c r="O601" s="137">
        <v>0.0</v>
      </c>
      <c r="P601" s="135">
        <v>0.0</v>
      </c>
      <c r="Q601" s="135">
        <v>0.0</v>
      </c>
      <c r="R601" s="135">
        <v>0.0</v>
      </c>
      <c r="S601" s="135">
        <v>0.0</v>
      </c>
      <c r="T601" s="135">
        <v>0.0</v>
      </c>
      <c r="U601" s="135">
        <v>0.0</v>
      </c>
      <c r="V601" s="135">
        <v>0.0</v>
      </c>
      <c r="W601" s="135">
        <v>0.0</v>
      </c>
      <c r="X601" s="135">
        <v>0.0</v>
      </c>
      <c r="Y601" s="135">
        <v>0.0</v>
      </c>
      <c r="Z601" s="135">
        <v>0.0</v>
      </c>
      <c r="AA601" s="135">
        <v>0.0</v>
      </c>
      <c r="AB601" s="135">
        <v>0.0</v>
      </c>
      <c r="AC601" s="135">
        <v>0.0</v>
      </c>
      <c r="AD601" s="135">
        <v>0.0</v>
      </c>
      <c r="AE601" s="135">
        <v>0.0</v>
      </c>
      <c r="AF601" s="135">
        <v>0.0</v>
      </c>
      <c r="AG601" s="135">
        <v>0.0</v>
      </c>
      <c r="AH601" s="135">
        <v>0.0</v>
      </c>
      <c r="AI601" s="135">
        <v>0.0</v>
      </c>
      <c r="AJ601" s="135">
        <v>0.0</v>
      </c>
      <c r="AK601" s="135">
        <v>0.0</v>
      </c>
      <c r="AL601" s="135">
        <v>0.0</v>
      </c>
      <c r="AM601" s="135">
        <v>0.0</v>
      </c>
      <c r="AN601" s="137">
        <v>360.0</v>
      </c>
    </row>
    <row r="602">
      <c r="A602" s="98"/>
      <c r="B602" s="136" t="s">
        <v>206</v>
      </c>
      <c r="C602" s="137">
        <v>2.0</v>
      </c>
      <c r="D602" s="137">
        <v>0.0</v>
      </c>
      <c r="E602" s="137">
        <v>2.0</v>
      </c>
      <c r="F602" s="137">
        <v>0.0</v>
      </c>
      <c r="G602" s="137">
        <v>0.0</v>
      </c>
      <c r="H602" s="137">
        <v>0.0</v>
      </c>
      <c r="I602" s="137">
        <v>2.0</v>
      </c>
      <c r="J602" s="137">
        <v>0.0</v>
      </c>
      <c r="K602" s="137">
        <v>0.0</v>
      </c>
      <c r="L602" s="137">
        <v>0.0</v>
      </c>
      <c r="M602" s="137">
        <v>0.0</v>
      </c>
      <c r="N602" s="137">
        <v>0.0</v>
      </c>
      <c r="O602" s="137">
        <v>0.0</v>
      </c>
      <c r="P602" s="135">
        <v>0.0</v>
      </c>
      <c r="Q602" s="135">
        <v>0.0</v>
      </c>
      <c r="R602" s="135">
        <v>0.0</v>
      </c>
      <c r="S602" s="135">
        <v>0.0</v>
      </c>
      <c r="T602" s="135">
        <v>0.0</v>
      </c>
      <c r="U602" s="135">
        <v>0.0</v>
      </c>
      <c r="V602" s="135">
        <v>0.0</v>
      </c>
      <c r="W602" s="135">
        <v>0.0</v>
      </c>
      <c r="X602" s="135">
        <v>0.0</v>
      </c>
      <c r="Y602" s="135">
        <v>0.0</v>
      </c>
      <c r="Z602" s="135">
        <v>0.0</v>
      </c>
      <c r="AA602" s="135">
        <v>0.0</v>
      </c>
      <c r="AB602" s="135">
        <v>0.0</v>
      </c>
      <c r="AC602" s="135">
        <v>0.0</v>
      </c>
      <c r="AD602" s="135">
        <v>0.0</v>
      </c>
      <c r="AE602" s="135">
        <v>0.0</v>
      </c>
      <c r="AF602" s="135">
        <v>0.0</v>
      </c>
      <c r="AG602" s="135">
        <v>0.0</v>
      </c>
      <c r="AH602" s="135">
        <v>0.0</v>
      </c>
      <c r="AI602" s="135">
        <v>0.0</v>
      </c>
      <c r="AJ602" s="135">
        <v>0.0</v>
      </c>
      <c r="AK602" s="135">
        <v>0.0</v>
      </c>
      <c r="AL602" s="135">
        <v>0.0</v>
      </c>
      <c r="AM602" s="135">
        <v>0.0</v>
      </c>
      <c r="AN602" s="137">
        <v>2.0</v>
      </c>
    </row>
    <row r="603">
      <c r="A603" s="98"/>
      <c r="B603" s="136" t="s">
        <v>200</v>
      </c>
      <c r="C603" s="137">
        <v>144.0</v>
      </c>
      <c r="D603" s="137">
        <v>84.0</v>
      </c>
      <c r="E603" s="137">
        <v>60.0</v>
      </c>
      <c r="F603" s="137">
        <v>60.0</v>
      </c>
      <c r="G603" s="137">
        <v>50.0</v>
      </c>
      <c r="H603" s="137">
        <v>16.0</v>
      </c>
      <c r="I603" s="137">
        <v>4.0</v>
      </c>
      <c r="J603" s="137">
        <v>6.0</v>
      </c>
      <c r="K603" s="137">
        <v>2.0</v>
      </c>
      <c r="L603" s="137">
        <v>2.0</v>
      </c>
      <c r="M603" s="137">
        <v>2.0</v>
      </c>
      <c r="N603" s="137">
        <v>0.0</v>
      </c>
      <c r="O603" s="137">
        <v>2.0</v>
      </c>
      <c r="P603" s="135">
        <v>0.0</v>
      </c>
      <c r="Q603" s="135">
        <v>0.0</v>
      </c>
      <c r="R603" s="135">
        <v>0.0</v>
      </c>
      <c r="S603" s="135">
        <v>0.0</v>
      </c>
      <c r="T603" s="135">
        <v>0.0</v>
      </c>
      <c r="U603" s="135">
        <v>0.0</v>
      </c>
      <c r="V603" s="135">
        <v>0.0</v>
      </c>
      <c r="W603" s="135">
        <v>0.0</v>
      </c>
      <c r="X603" s="135">
        <v>0.0</v>
      </c>
      <c r="Y603" s="135">
        <v>0.0</v>
      </c>
      <c r="Z603" s="135">
        <v>0.0</v>
      </c>
      <c r="AA603" s="135">
        <v>0.0</v>
      </c>
      <c r="AB603" s="135">
        <v>0.0</v>
      </c>
      <c r="AC603" s="135">
        <v>0.0</v>
      </c>
      <c r="AD603" s="135">
        <v>0.0</v>
      </c>
      <c r="AE603" s="135">
        <v>0.0</v>
      </c>
      <c r="AF603" s="135">
        <v>0.0</v>
      </c>
      <c r="AG603" s="135">
        <v>0.0</v>
      </c>
      <c r="AH603" s="135">
        <v>0.0</v>
      </c>
      <c r="AI603" s="135">
        <v>0.0</v>
      </c>
      <c r="AJ603" s="135">
        <v>0.0</v>
      </c>
      <c r="AK603" s="135">
        <v>0.0</v>
      </c>
      <c r="AL603" s="135">
        <v>0.0</v>
      </c>
      <c r="AM603" s="135">
        <v>0.0</v>
      </c>
      <c r="AN603" s="137">
        <v>126.0</v>
      </c>
    </row>
    <row r="604">
      <c r="A604" s="104"/>
      <c r="B604" s="136" t="s">
        <v>201</v>
      </c>
      <c r="C604" s="137">
        <v>2.0</v>
      </c>
      <c r="D604" s="137">
        <v>2.0</v>
      </c>
      <c r="E604" s="137">
        <v>0.0</v>
      </c>
      <c r="F604" s="137">
        <v>0.0</v>
      </c>
      <c r="G604" s="137">
        <v>0.0</v>
      </c>
      <c r="H604" s="137">
        <v>0.0</v>
      </c>
      <c r="I604" s="137">
        <v>0.0</v>
      </c>
      <c r="J604" s="137">
        <v>2.0</v>
      </c>
      <c r="K604" s="137">
        <v>0.0</v>
      </c>
      <c r="L604" s="137">
        <v>0.0</v>
      </c>
      <c r="M604" s="137">
        <v>0.0</v>
      </c>
      <c r="N604" s="137">
        <v>0.0</v>
      </c>
      <c r="O604" s="137">
        <v>0.0</v>
      </c>
      <c r="P604" s="135">
        <v>0.0</v>
      </c>
      <c r="Q604" s="135">
        <v>0.0</v>
      </c>
      <c r="R604" s="135">
        <v>0.0</v>
      </c>
      <c r="S604" s="135">
        <v>0.0</v>
      </c>
      <c r="T604" s="135">
        <v>0.0</v>
      </c>
      <c r="U604" s="135">
        <v>0.0</v>
      </c>
      <c r="V604" s="135">
        <v>0.0</v>
      </c>
      <c r="W604" s="135">
        <v>0.0</v>
      </c>
      <c r="X604" s="135">
        <v>0.0</v>
      </c>
      <c r="Y604" s="135">
        <v>0.0</v>
      </c>
      <c r="Z604" s="135">
        <v>0.0</v>
      </c>
      <c r="AA604" s="135">
        <v>0.0</v>
      </c>
      <c r="AB604" s="135">
        <v>0.0</v>
      </c>
      <c r="AC604" s="135">
        <v>0.0</v>
      </c>
      <c r="AD604" s="135">
        <v>0.0</v>
      </c>
      <c r="AE604" s="135">
        <v>0.0</v>
      </c>
      <c r="AF604" s="135">
        <v>0.0</v>
      </c>
      <c r="AG604" s="135">
        <v>0.0</v>
      </c>
      <c r="AH604" s="135">
        <v>0.0</v>
      </c>
      <c r="AI604" s="135">
        <v>0.0</v>
      </c>
      <c r="AJ604" s="135">
        <v>0.0</v>
      </c>
      <c r="AK604" s="135">
        <v>0.0</v>
      </c>
      <c r="AL604" s="135">
        <v>0.0</v>
      </c>
      <c r="AM604" s="135">
        <v>0.0</v>
      </c>
      <c r="AN604" s="137">
        <v>2.0</v>
      </c>
    </row>
    <row r="605">
      <c r="A605" s="138" t="s">
        <v>264</v>
      </c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</row>
    <row r="606">
      <c r="A606" s="132" t="s">
        <v>197</v>
      </c>
      <c r="B606" s="133" t="s">
        <v>198</v>
      </c>
      <c r="C606" s="134">
        <v>103140.0</v>
      </c>
      <c r="D606" s="134">
        <v>38046.0</v>
      </c>
      <c r="E606" s="134">
        <v>65094.0</v>
      </c>
      <c r="F606" s="135">
        <v>0.0</v>
      </c>
      <c r="G606" s="135">
        <v>0.0</v>
      </c>
      <c r="H606" s="135">
        <v>0.0</v>
      </c>
      <c r="I606" s="135">
        <v>0.0</v>
      </c>
      <c r="J606" s="135">
        <v>0.0</v>
      </c>
      <c r="K606" s="135">
        <v>0.0</v>
      </c>
      <c r="L606" s="137">
        <v>38.0</v>
      </c>
      <c r="M606" s="137">
        <v>44.0</v>
      </c>
      <c r="N606" s="137">
        <v>76.0</v>
      </c>
      <c r="O606" s="137">
        <v>136.0</v>
      </c>
      <c r="P606" s="137">
        <v>232.0</v>
      </c>
      <c r="Q606" s="137">
        <v>430.0</v>
      </c>
      <c r="R606" s="137">
        <v>338.0</v>
      </c>
      <c r="S606" s="137">
        <v>654.0</v>
      </c>
      <c r="T606" s="137">
        <v>554.0</v>
      </c>
      <c r="U606" s="134">
        <v>1126.0</v>
      </c>
      <c r="V606" s="134">
        <v>1166.0</v>
      </c>
      <c r="W606" s="134">
        <v>2316.0</v>
      </c>
      <c r="X606" s="134">
        <v>2092.0</v>
      </c>
      <c r="Y606" s="134">
        <v>4098.0</v>
      </c>
      <c r="Z606" s="134">
        <v>3350.0</v>
      </c>
      <c r="AA606" s="134">
        <v>7128.0</v>
      </c>
      <c r="AB606" s="134">
        <v>4874.0</v>
      </c>
      <c r="AC606" s="134">
        <v>8636.0</v>
      </c>
      <c r="AD606" s="134">
        <v>5176.0</v>
      </c>
      <c r="AE606" s="134">
        <v>9160.0</v>
      </c>
      <c r="AF606" s="134">
        <v>5612.0</v>
      </c>
      <c r="AG606" s="134">
        <v>8680.0</v>
      </c>
      <c r="AH606" s="134">
        <v>5286.0</v>
      </c>
      <c r="AI606" s="134">
        <v>8070.0</v>
      </c>
      <c r="AJ606" s="134">
        <v>4372.0</v>
      </c>
      <c r="AK606" s="134">
        <v>6548.0</v>
      </c>
      <c r="AL606" s="134">
        <v>4880.0</v>
      </c>
      <c r="AM606" s="134">
        <v>8068.0</v>
      </c>
      <c r="AN606" s="134">
        <v>103048.0</v>
      </c>
    </row>
    <row r="607">
      <c r="A607" s="98"/>
      <c r="B607" s="136" t="s">
        <v>199</v>
      </c>
      <c r="C607" s="134">
        <v>47878.0</v>
      </c>
      <c r="D607" s="134">
        <v>17112.0</v>
      </c>
      <c r="E607" s="134">
        <v>30766.0</v>
      </c>
      <c r="F607" s="135">
        <v>0.0</v>
      </c>
      <c r="G607" s="135">
        <v>0.0</v>
      </c>
      <c r="H607" s="135">
        <v>0.0</v>
      </c>
      <c r="I607" s="135">
        <v>0.0</v>
      </c>
      <c r="J607" s="135">
        <v>0.0</v>
      </c>
      <c r="K607" s="135">
        <v>0.0</v>
      </c>
      <c r="L607" s="137">
        <v>4.0</v>
      </c>
      <c r="M607" s="137">
        <v>8.0</v>
      </c>
      <c r="N607" s="137">
        <v>10.0</v>
      </c>
      <c r="O607" s="137">
        <v>32.0</v>
      </c>
      <c r="P607" s="137">
        <v>78.0</v>
      </c>
      <c r="Q607" s="137">
        <v>154.0</v>
      </c>
      <c r="R607" s="137">
        <v>74.0</v>
      </c>
      <c r="S607" s="137">
        <v>194.0</v>
      </c>
      <c r="T607" s="137">
        <v>172.0</v>
      </c>
      <c r="U607" s="137">
        <v>338.0</v>
      </c>
      <c r="V607" s="137">
        <v>370.0</v>
      </c>
      <c r="W607" s="137">
        <v>864.0</v>
      </c>
      <c r="X607" s="137">
        <v>656.0</v>
      </c>
      <c r="Y607" s="134">
        <v>1638.0</v>
      </c>
      <c r="Z607" s="134">
        <v>1254.0</v>
      </c>
      <c r="AA607" s="134">
        <v>2752.0</v>
      </c>
      <c r="AB607" s="134">
        <v>1938.0</v>
      </c>
      <c r="AC607" s="134">
        <v>3894.0</v>
      </c>
      <c r="AD607" s="134">
        <v>2270.0</v>
      </c>
      <c r="AE607" s="134">
        <v>4262.0</v>
      </c>
      <c r="AF607" s="134">
        <v>2672.0</v>
      </c>
      <c r="AG607" s="134">
        <v>4434.0</v>
      </c>
      <c r="AH607" s="134">
        <v>2774.0</v>
      </c>
      <c r="AI607" s="134">
        <v>4370.0</v>
      </c>
      <c r="AJ607" s="134">
        <v>2190.0</v>
      </c>
      <c r="AK607" s="134">
        <v>3278.0</v>
      </c>
      <c r="AL607" s="134">
        <v>2650.0</v>
      </c>
      <c r="AM607" s="134">
        <v>4548.0</v>
      </c>
      <c r="AN607" s="134">
        <v>47870.0</v>
      </c>
    </row>
    <row r="608">
      <c r="A608" s="98"/>
      <c r="B608" s="136" t="s">
        <v>200</v>
      </c>
      <c r="C608" s="134">
        <v>34984.0</v>
      </c>
      <c r="D608" s="134">
        <v>12310.0</v>
      </c>
      <c r="E608" s="134">
        <v>22674.0</v>
      </c>
      <c r="F608" s="135">
        <v>0.0</v>
      </c>
      <c r="G608" s="135">
        <v>0.0</v>
      </c>
      <c r="H608" s="135">
        <v>0.0</v>
      </c>
      <c r="I608" s="135">
        <v>0.0</v>
      </c>
      <c r="J608" s="135">
        <v>0.0</v>
      </c>
      <c r="K608" s="135">
        <v>0.0</v>
      </c>
      <c r="L608" s="137">
        <v>14.0</v>
      </c>
      <c r="M608" s="137">
        <v>28.0</v>
      </c>
      <c r="N608" s="137">
        <v>36.0</v>
      </c>
      <c r="O608" s="137">
        <v>74.0</v>
      </c>
      <c r="P608" s="137">
        <v>102.0</v>
      </c>
      <c r="Q608" s="137">
        <v>196.0</v>
      </c>
      <c r="R608" s="137">
        <v>138.0</v>
      </c>
      <c r="S608" s="137">
        <v>304.0</v>
      </c>
      <c r="T608" s="137">
        <v>190.0</v>
      </c>
      <c r="U608" s="137">
        <v>500.0</v>
      </c>
      <c r="V608" s="137">
        <v>442.0</v>
      </c>
      <c r="W608" s="137">
        <v>986.0</v>
      </c>
      <c r="X608" s="137">
        <v>692.0</v>
      </c>
      <c r="Y608" s="134">
        <v>1696.0</v>
      </c>
      <c r="Z608" s="134">
        <v>1132.0</v>
      </c>
      <c r="AA608" s="134">
        <v>2650.0</v>
      </c>
      <c r="AB608" s="134">
        <v>1382.0</v>
      </c>
      <c r="AC608" s="134">
        <v>3062.0</v>
      </c>
      <c r="AD608" s="134">
        <v>1636.0</v>
      </c>
      <c r="AE608" s="134">
        <v>3138.0</v>
      </c>
      <c r="AF608" s="134">
        <v>1802.0</v>
      </c>
      <c r="AG608" s="134">
        <v>3076.0</v>
      </c>
      <c r="AH608" s="134">
        <v>1630.0</v>
      </c>
      <c r="AI608" s="134">
        <v>2712.0</v>
      </c>
      <c r="AJ608" s="134">
        <v>1712.0</v>
      </c>
      <c r="AK608" s="134">
        <v>2146.0</v>
      </c>
      <c r="AL608" s="134">
        <v>1402.0</v>
      </c>
      <c r="AM608" s="134">
        <v>2106.0</v>
      </c>
      <c r="AN608" s="134">
        <v>34574.0</v>
      </c>
    </row>
    <row r="609">
      <c r="A609" s="104"/>
      <c r="B609" s="136" t="s">
        <v>201</v>
      </c>
      <c r="C609" s="137">
        <v>650.0</v>
      </c>
      <c r="D609" s="137">
        <v>238.0</v>
      </c>
      <c r="E609" s="137">
        <v>412.0</v>
      </c>
      <c r="F609" s="135">
        <v>0.0</v>
      </c>
      <c r="G609" s="135">
        <v>0.0</v>
      </c>
      <c r="H609" s="135">
        <v>0.0</v>
      </c>
      <c r="I609" s="135">
        <v>0.0</v>
      </c>
      <c r="J609" s="135">
        <v>0.0</v>
      </c>
      <c r="K609" s="135">
        <v>0.0</v>
      </c>
      <c r="L609" s="137">
        <v>0.0</v>
      </c>
      <c r="M609" s="137">
        <v>0.0</v>
      </c>
      <c r="N609" s="137">
        <v>0.0</v>
      </c>
      <c r="O609" s="137">
        <v>2.0</v>
      </c>
      <c r="P609" s="137">
        <v>0.0</v>
      </c>
      <c r="Q609" s="137">
        <v>2.0</v>
      </c>
      <c r="R609" s="137">
        <v>0.0</v>
      </c>
      <c r="S609" s="137">
        <v>4.0</v>
      </c>
      <c r="T609" s="137">
        <v>2.0</v>
      </c>
      <c r="U609" s="137">
        <v>4.0</v>
      </c>
      <c r="V609" s="137">
        <v>10.0</v>
      </c>
      <c r="W609" s="137">
        <v>28.0</v>
      </c>
      <c r="X609" s="137">
        <v>28.0</v>
      </c>
      <c r="Y609" s="137">
        <v>30.0</v>
      </c>
      <c r="Z609" s="137">
        <v>30.0</v>
      </c>
      <c r="AA609" s="137">
        <v>56.0</v>
      </c>
      <c r="AB609" s="137">
        <v>36.0</v>
      </c>
      <c r="AC609" s="137">
        <v>56.0</v>
      </c>
      <c r="AD609" s="137">
        <v>28.0</v>
      </c>
      <c r="AE609" s="137">
        <v>44.0</v>
      </c>
      <c r="AF609" s="137">
        <v>36.0</v>
      </c>
      <c r="AG609" s="137">
        <v>64.0</v>
      </c>
      <c r="AH609" s="137">
        <v>30.0</v>
      </c>
      <c r="AI609" s="137">
        <v>54.0</v>
      </c>
      <c r="AJ609" s="137">
        <v>26.0</v>
      </c>
      <c r="AK609" s="137">
        <v>38.0</v>
      </c>
      <c r="AL609" s="137">
        <v>12.0</v>
      </c>
      <c r="AM609" s="137">
        <v>30.0</v>
      </c>
      <c r="AN609" s="137">
        <v>650.0</v>
      </c>
    </row>
    <row r="610">
      <c r="A610" s="132" t="s">
        <v>202</v>
      </c>
      <c r="B610" s="136" t="s">
        <v>198</v>
      </c>
      <c r="C610" s="137">
        <v>374.0</v>
      </c>
      <c r="D610" s="137">
        <v>212.0</v>
      </c>
      <c r="E610" s="137">
        <v>162.0</v>
      </c>
      <c r="F610" s="137">
        <v>0.0</v>
      </c>
      <c r="G610" s="137">
        <v>0.0</v>
      </c>
      <c r="H610" s="137">
        <v>2.0</v>
      </c>
      <c r="I610" s="137">
        <v>0.0</v>
      </c>
      <c r="J610" s="137">
        <v>0.0</v>
      </c>
      <c r="K610" s="137">
        <v>0.0</v>
      </c>
      <c r="L610" s="137">
        <v>0.0</v>
      </c>
      <c r="M610" s="137">
        <v>0.0</v>
      </c>
      <c r="N610" s="137">
        <v>2.0</v>
      </c>
      <c r="O610" s="137">
        <v>26.0</v>
      </c>
      <c r="P610" s="137">
        <v>16.0</v>
      </c>
      <c r="Q610" s="137">
        <v>22.0</v>
      </c>
      <c r="R610" s="137">
        <v>24.0</v>
      </c>
      <c r="S610" s="137">
        <v>4.0</v>
      </c>
      <c r="T610" s="137">
        <v>22.0</v>
      </c>
      <c r="U610" s="137">
        <v>0.0</v>
      </c>
      <c r="V610" s="137">
        <v>22.0</v>
      </c>
      <c r="W610" s="137">
        <v>4.0</v>
      </c>
      <c r="X610" s="137">
        <v>18.0</v>
      </c>
      <c r="Y610" s="137">
        <v>30.0</v>
      </c>
      <c r="Z610" s="137">
        <v>18.0</v>
      </c>
      <c r="AA610" s="137">
        <v>6.0</v>
      </c>
      <c r="AB610" s="137">
        <v>18.0</v>
      </c>
      <c r="AC610" s="137">
        <v>4.0</v>
      </c>
      <c r="AD610" s="137">
        <v>20.0</v>
      </c>
      <c r="AE610" s="137">
        <v>2.0</v>
      </c>
      <c r="AF610" s="137">
        <v>6.0</v>
      </c>
      <c r="AG610" s="137">
        <v>30.0</v>
      </c>
      <c r="AH610" s="137">
        <v>4.0</v>
      </c>
      <c r="AI610" s="137">
        <v>14.0</v>
      </c>
      <c r="AJ610" s="137">
        <v>28.0</v>
      </c>
      <c r="AK610" s="137">
        <v>0.0</v>
      </c>
      <c r="AL610" s="137">
        <v>12.0</v>
      </c>
      <c r="AM610" s="137">
        <v>20.0</v>
      </c>
      <c r="AN610" s="137">
        <v>372.0</v>
      </c>
    </row>
    <row r="611">
      <c r="A611" s="104"/>
      <c r="B611" s="136" t="s">
        <v>199</v>
      </c>
      <c r="C611" s="137">
        <v>88.0</v>
      </c>
      <c r="D611" s="137">
        <v>38.0</v>
      </c>
      <c r="E611" s="137">
        <v>50.0</v>
      </c>
      <c r="F611" s="137">
        <v>0.0</v>
      </c>
      <c r="G611" s="137">
        <v>0.0</v>
      </c>
      <c r="H611" s="137">
        <v>0.0</v>
      </c>
      <c r="I611" s="137">
        <v>0.0</v>
      </c>
      <c r="J611" s="137">
        <v>0.0</v>
      </c>
      <c r="K611" s="137">
        <v>0.0</v>
      </c>
      <c r="L611" s="137">
        <v>0.0</v>
      </c>
      <c r="M611" s="137">
        <v>0.0</v>
      </c>
      <c r="N611" s="137">
        <v>2.0</v>
      </c>
      <c r="O611" s="137">
        <v>8.0</v>
      </c>
      <c r="P611" s="137">
        <v>4.0</v>
      </c>
      <c r="Q611" s="137">
        <v>8.0</v>
      </c>
      <c r="R611" s="137">
        <v>6.0</v>
      </c>
      <c r="S611" s="137">
        <v>2.0</v>
      </c>
      <c r="T611" s="137">
        <v>4.0</v>
      </c>
      <c r="U611" s="137">
        <v>0.0</v>
      </c>
      <c r="V611" s="137">
        <v>0.0</v>
      </c>
      <c r="W611" s="137">
        <v>0.0</v>
      </c>
      <c r="X611" s="137">
        <v>2.0</v>
      </c>
      <c r="Y611" s="137">
        <v>2.0</v>
      </c>
      <c r="Z611" s="137">
        <v>6.0</v>
      </c>
      <c r="AA611" s="137">
        <v>6.0</v>
      </c>
      <c r="AB611" s="137">
        <v>2.0</v>
      </c>
      <c r="AC611" s="137">
        <v>2.0</v>
      </c>
      <c r="AD611" s="137">
        <v>8.0</v>
      </c>
      <c r="AE611" s="137">
        <v>0.0</v>
      </c>
      <c r="AF611" s="137">
        <v>0.0</v>
      </c>
      <c r="AG611" s="137">
        <v>4.0</v>
      </c>
      <c r="AH611" s="137">
        <v>2.0</v>
      </c>
      <c r="AI611" s="137">
        <v>8.0</v>
      </c>
      <c r="AJ611" s="137">
        <v>2.0</v>
      </c>
      <c r="AK611" s="137">
        <v>0.0</v>
      </c>
      <c r="AL611" s="137">
        <v>0.0</v>
      </c>
      <c r="AM611" s="137">
        <v>10.0</v>
      </c>
      <c r="AN611" s="137">
        <v>88.0</v>
      </c>
    </row>
    <row r="612">
      <c r="A612" s="132" t="s">
        <v>203</v>
      </c>
      <c r="B612" s="136" t="s">
        <v>198</v>
      </c>
      <c r="C612" s="137">
        <v>10.0</v>
      </c>
      <c r="D612" s="137">
        <v>4.0</v>
      </c>
      <c r="E612" s="137">
        <v>6.0</v>
      </c>
      <c r="F612" s="135">
        <v>0.0</v>
      </c>
      <c r="G612" s="135">
        <v>0.0</v>
      </c>
      <c r="H612" s="135">
        <v>0.0</v>
      </c>
      <c r="I612" s="135">
        <v>0.0</v>
      </c>
      <c r="J612" s="135">
        <v>0.0</v>
      </c>
      <c r="K612" s="135">
        <v>0.0</v>
      </c>
      <c r="L612" s="135">
        <v>0.0</v>
      </c>
      <c r="M612" s="135">
        <v>0.0</v>
      </c>
      <c r="N612" s="135">
        <v>0.0</v>
      </c>
      <c r="O612" s="135">
        <v>0.0</v>
      </c>
      <c r="P612" s="135">
        <v>0.0</v>
      </c>
      <c r="Q612" s="135">
        <v>0.0</v>
      </c>
      <c r="R612" s="135">
        <v>0.0</v>
      </c>
      <c r="S612" s="135">
        <v>0.0</v>
      </c>
      <c r="T612" s="135">
        <v>0.0</v>
      </c>
      <c r="U612" s="135">
        <v>0.0</v>
      </c>
      <c r="V612" s="135">
        <v>0.0</v>
      </c>
      <c r="W612" s="135">
        <v>0.0</v>
      </c>
      <c r="X612" s="135">
        <v>0.0</v>
      </c>
      <c r="Y612" s="135">
        <v>0.0</v>
      </c>
      <c r="Z612" s="135">
        <v>0.0</v>
      </c>
      <c r="AA612" s="135">
        <v>0.0</v>
      </c>
      <c r="AB612" s="135">
        <v>0.0</v>
      </c>
      <c r="AC612" s="135">
        <v>0.0</v>
      </c>
      <c r="AD612" s="135">
        <v>0.0</v>
      </c>
      <c r="AE612" s="135">
        <v>0.0</v>
      </c>
      <c r="AF612" s="137">
        <v>4.0</v>
      </c>
      <c r="AG612" s="137">
        <v>0.0</v>
      </c>
      <c r="AH612" s="137">
        <v>0.0</v>
      </c>
      <c r="AI612" s="137">
        <v>2.0</v>
      </c>
      <c r="AJ612" s="137">
        <v>0.0</v>
      </c>
      <c r="AK612" s="137">
        <v>2.0</v>
      </c>
      <c r="AL612" s="137">
        <v>0.0</v>
      </c>
      <c r="AM612" s="137">
        <v>2.0</v>
      </c>
      <c r="AN612" s="137">
        <v>10.0</v>
      </c>
    </row>
    <row r="613">
      <c r="A613" s="104"/>
      <c r="B613" s="136" t="s">
        <v>199</v>
      </c>
      <c r="C613" s="137">
        <v>580.0</v>
      </c>
      <c r="D613" s="137">
        <v>218.0</v>
      </c>
      <c r="E613" s="137">
        <v>362.0</v>
      </c>
      <c r="F613" s="135">
        <v>0.0</v>
      </c>
      <c r="G613" s="135">
        <v>0.0</v>
      </c>
      <c r="H613" s="135">
        <v>0.0</v>
      </c>
      <c r="I613" s="135">
        <v>0.0</v>
      </c>
      <c r="J613" s="135">
        <v>0.0</v>
      </c>
      <c r="K613" s="135">
        <v>0.0</v>
      </c>
      <c r="L613" s="135">
        <v>0.0</v>
      </c>
      <c r="M613" s="135">
        <v>0.0</v>
      </c>
      <c r="N613" s="135">
        <v>0.0</v>
      </c>
      <c r="O613" s="135">
        <v>0.0</v>
      </c>
      <c r="P613" s="135">
        <v>0.0</v>
      </c>
      <c r="Q613" s="135">
        <v>0.0</v>
      </c>
      <c r="R613" s="135">
        <v>0.0</v>
      </c>
      <c r="S613" s="135">
        <v>0.0</v>
      </c>
      <c r="T613" s="135">
        <v>0.0</v>
      </c>
      <c r="U613" s="135">
        <v>0.0</v>
      </c>
      <c r="V613" s="135">
        <v>0.0</v>
      </c>
      <c r="W613" s="135">
        <v>0.0</v>
      </c>
      <c r="X613" s="135">
        <v>0.0</v>
      </c>
      <c r="Y613" s="135">
        <v>0.0</v>
      </c>
      <c r="Z613" s="135">
        <v>0.0</v>
      </c>
      <c r="AA613" s="135">
        <v>0.0</v>
      </c>
      <c r="AB613" s="135">
        <v>0.0</v>
      </c>
      <c r="AC613" s="135">
        <v>0.0</v>
      </c>
      <c r="AD613" s="135">
        <v>0.0</v>
      </c>
      <c r="AE613" s="135">
        <v>0.0</v>
      </c>
      <c r="AF613" s="137">
        <v>48.0</v>
      </c>
      <c r="AG613" s="137">
        <v>78.0</v>
      </c>
      <c r="AH613" s="137">
        <v>62.0</v>
      </c>
      <c r="AI613" s="137">
        <v>104.0</v>
      </c>
      <c r="AJ613" s="137">
        <v>68.0</v>
      </c>
      <c r="AK613" s="137">
        <v>82.0</v>
      </c>
      <c r="AL613" s="137">
        <v>40.0</v>
      </c>
      <c r="AM613" s="137">
        <v>98.0</v>
      </c>
      <c r="AN613" s="137">
        <v>574.0</v>
      </c>
    </row>
    <row r="614">
      <c r="A614" s="132" t="s">
        <v>204</v>
      </c>
      <c r="B614" s="136" t="s">
        <v>198</v>
      </c>
      <c r="C614" s="137">
        <v>24.0</v>
      </c>
      <c r="D614" s="137">
        <v>6.0</v>
      </c>
      <c r="E614" s="137">
        <v>18.0</v>
      </c>
      <c r="F614" s="135">
        <v>0.0</v>
      </c>
      <c r="G614" s="135">
        <v>0.0</v>
      </c>
      <c r="H614" s="135">
        <v>0.0</v>
      </c>
      <c r="I614" s="135">
        <v>0.0</v>
      </c>
      <c r="J614" s="135">
        <v>0.0</v>
      </c>
      <c r="K614" s="135">
        <v>0.0</v>
      </c>
      <c r="L614" s="135">
        <v>0.0</v>
      </c>
      <c r="M614" s="135">
        <v>0.0</v>
      </c>
      <c r="N614" s="135">
        <v>0.0</v>
      </c>
      <c r="O614" s="135">
        <v>0.0</v>
      </c>
      <c r="P614" s="135">
        <v>0.0</v>
      </c>
      <c r="Q614" s="135">
        <v>0.0</v>
      </c>
      <c r="R614" s="135">
        <v>0.0</v>
      </c>
      <c r="S614" s="135">
        <v>0.0</v>
      </c>
      <c r="T614" s="135">
        <v>0.0</v>
      </c>
      <c r="U614" s="135">
        <v>0.0</v>
      </c>
      <c r="V614" s="135">
        <v>0.0</v>
      </c>
      <c r="W614" s="135">
        <v>0.0</v>
      </c>
      <c r="X614" s="135">
        <v>0.0</v>
      </c>
      <c r="Y614" s="135">
        <v>0.0</v>
      </c>
      <c r="Z614" s="135">
        <v>0.0</v>
      </c>
      <c r="AA614" s="135">
        <v>0.0</v>
      </c>
      <c r="AB614" s="135">
        <v>0.0</v>
      </c>
      <c r="AC614" s="135">
        <v>0.0</v>
      </c>
      <c r="AD614" s="135">
        <v>0.0</v>
      </c>
      <c r="AE614" s="135">
        <v>0.0</v>
      </c>
      <c r="AF614" s="137">
        <v>0.0</v>
      </c>
      <c r="AG614" s="137">
        <v>4.0</v>
      </c>
      <c r="AH614" s="137">
        <v>2.0</v>
      </c>
      <c r="AI614" s="137">
        <v>4.0</v>
      </c>
      <c r="AJ614" s="137">
        <v>2.0</v>
      </c>
      <c r="AK614" s="137">
        <v>6.0</v>
      </c>
      <c r="AL614" s="137">
        <v>2.0</v>
      </c>
      <c r="AM614" s="137">
        <v>4.0</v>
      </c>
      <c r="AN614" s="137">
        <v>24.0</v>
      </c>
    </row>
    <row r="615">
      <c r="A615" s="104"/>
      <c r="B615" s="136" t="s">
        <v>199</v>
      </c>
      <c r="C615" s="137">
        <v>522.0</v>
      </c>
      <c r="D615" s="137">
        <v>186.0</v>
      </c>
      <c r="E615" s="137">
        <v>336.0</v>
      </c>
      <c r="F615" s="135">
        <v>0.0</v>
      </c>
      <c r="G615" s="135">
        <v>0.0</v>
      </c>
      <c r="H615" s="135">
        <v>0.0</v>
      </c>
      <c r="I615" s="135">
        <v>0.0</v>
      </c>
      <c r="J615" s="135">
        <v>0.0</v>
      </c>
      <c r="K615" s="135">
        <v>0.0</v>
      </c>
      <c r="L615" s="135">
        <v>0.0</v>
      </c>
      <c r="M615" s="135">
        <v>0.0</v>
      </c>
      <c r="N615" s="135">
        <v>0.0</v>
      </c>
      <c r="O615" s="135">
        <v>0.0</v>
      </c>
      <c r="P615" s="135">
        <v>0.0</v>
      </c>
      <c r="Q615" s="135">
        <v>0.0</v>
      </c>
      <c r="R615" s="135">
        <v>0.0</v>
      </c>
      <c r="S615" s="135">
        <v>0.0</v>
      </c>
      <c r="T615" s="135">
        <v>0.0</v>
      </c>
      <c r="U615" s="135">
        <v>0.0</v>
      </c>
      <c r="V615" s="135">
        <v>0.0</v>
      </c>
      <c r="W615" s="135">
        <v>0.0</v>
      </c>
      <c r="X615" s="135">
        <v>0.0</v>
      </c>
      <c r="Y615" s="135">
        <v>0.0</v>
      </c>
      <c r="Z615" s="135">
        <v>0.0</v>
      </c>
      <c r="AA615" s="135">
        <v>0.0</v>
      </c>
      <c r="AB615" s="135">
        <v>0.0</v>
      </c>
      <c r="AC615" s="135">
        <v>0.0</v>
      </c>
      <c r="AD615" s="135">
        <v>0.0</v>
      </c>
      <c r="AE615" s="135">
        <v>0.0</v>
      </c>
      <c r="AF615" s="137">
        <v>18.0</v>
      </c>
      <c r="AG615" s="137">
        <v>42.0</v>
      </c>
      <c r="AH615" s="137">
        <v>42.0</v>
      </c>
      <c r="AI615" s="137">
        <v>86.0</v>
      </c>
      <c r="AJ615" s="137">
        <v>34.0</v>
      </c>
      <c r="AK615" s="137">
        <v>60.0</v>
      </c>
      <c r="AL615" s="137">
        <v>92.0</v>
      </c>
      <c r="AM615" s="137">
        <v>148.0</v>
      </c>
      <c r="AN615" s="137">
        <v>518.0</v>
      </c>
    </row>
    <row r="616">
      <c r="A616" s="132" t="s">
        <v>205</v>
      </c>
      <c r="B616" s="136" t="s">
        <v>198</v>
      </c>
      <c r="C616" s="137">
        <v>8.0</v>
      </c>
      <c r="D616" s="137">
        <v>2.0</v>
      </c>
      <c r="E616" s="137">
        <v>6.0</v>
      </c>
      <c r="F616" s="137">
        <v>0.0</v>
      </c>
      <c r="G616" s="137">
        <v>0.0</v>
      </c>
      <c r="H616" s="137">
        <v>0.0</v>
      </c>
      <c r="I616" s="137">
        <v>0.0</v>
      </c>
      <c r="J616" s="137">
        <v>0.0</v>
      </c>
      <c r="K616" s="137">
        <v>0.0</v>
      </c>
      <c r="L616" s="137">
        <v>0.0</v>
      </c>
      <c r="M616" s="137">
        <v>0.0</v>
      </c>
      <c r="N616" s="137">
        <v>0.0</v>
      </c>
      <c r="O616" s="137">
        <v>0.0</v>
      </c>
      <c r="P616" s="137">
        <v>0.0</v>
      </c>
      <c r="Q616" s="137">
        <v>2.0</v>
      </c>
      <c r="R616" s="137">
        <v>0.0</v>
      </c>
      <c r="S616" s="137">
        <v>0.0</v>
      </c>
      <c r="T616" s="137">
        <v>0.0</v>
      </c>
      <c r="U616" s="137">
        <v>0.0</v>
      </c>
      <c r="V616" s="137">
        <v>0.0</v>
      </c>
      <c r="W616" s="137">
        <v>2.0</v>
      </c>
      <c r="X616" s="137">
        <v>0.0</v>
      </c>
      <c r="Y616" s="137">
        <v>0.0</v>
      </c>
      <c r="Z616" s="137">
        <v>2.0</v>
      </c>
      <c r="AA616" s="137">
        <v>0.0</v>
      </c>
      <c r="AB616" s="137">
        <v>0.0</v>
      </c>
      <c r="AC616" s="137">
        <v>0.0</v>
      </c>
      <c r="AD616" s="137">
        <v>0.0</v>
      </c>
      <c r="AE616" s="137">
        <v>2.0</v>
      </c>
      <c r="AF616" s="137">
        <v>0.0</v>
      </c>
      <c r="AG616" s="137">
        <v>0.0</v>
      </c>
      <c r="AH616" s="137">
        <v>0.0</v>
      </c>
      <c r="AI616" s="137">
        <v>0.0</v>
      </c>
      <c r="AJ616" s="137">
        <v>0.0</v>
      </c>
      <c r="AK616" s="137">
        <v>0.0</v>
      </c>
      <c r="AL616" s="137">
        <v>0.0</v>
      </c>
      <c r="AM616" s="137">
        <v>0.0</v>
      </c>
      <c r="AN616" s="137">
        <v>8.0</v>
      </c>
    </row>
    <row r="617">
      <c r="A617" s="98"/>
      <c r="B617" s="136" t="s">
        <v>199</v>
      </c>
      <c r="C617" s="137">
        <v>4.0</v>
      </c>
      <c r="D617" s="137">
        <v>4.0</v>
      </c>
      <c r="E617" s="137">
        <v>0.0</v>
      </c>
      <c r="F617" s="137">
        <v>0.0</v>
      </c>
      <c r="G617" s="137">
        <v>0.0</v>
      </c>
      <c r="H617" s="137">
        <v>0.0</v>
      </c>
      <c r="I617" s="137">
        <v>0.0</v>
      </c>
      <c r="J617" s="137">
        <v>0.0</v>
      </c>
      <c r="K617" s="137">
        <v>0.0</v>
      </c>
      <c r="L617" s="137">
        <v>0.0</v>
      </c>
      <c r="M617" s="137">
        <v>0.0</v>
      </c>
      <c r="N617" s="137">
        <v>0.0</v>
      </c>
      <c r="O617" s="137">
        <v>0.0</v>
      </c>
      <c r="P617" s="137">
        <v>0.0</v>
      </c>
      <c r="Q617" s="137">
        <v>0.0</v>
      </c>
      <c r="R617" s="137">
        <v>0.0</v>
      </c>
      <c r="S617" s="137">
        <v>0.0</v>
      </c>
      <c r="T617" s="137">
        <v>0.0</v>
      </c>
      <c r="U617" s="137">
        <v>0.0</v>
      </c>
      <c r="V617" s="137">
        <v>0.0</v>
      </c>
      <c r="W617" s="137">
        <v>0.0</v>
      </c>
      <c r="X617" s="137">
        <v>0.0</v>
      </c>
      <c r="Y617" s="137">
        <v>0.0</v>
      </c>
      <c r="Z617" s="137">
        <v>0.0</v>
      </c>
      <c r="AA617" s="137">
        <v>0.0</v>
      </c>
      <c r="AB617" s="137">
        <v>0.0</v>
      </c>
      <c r="AC617" s="137">
        <v>0.0</v>
      </c>
      <c r="AD617" s="137">
        <v>0.0</v>
      </c>
      <c r="AE617" s="137">
        <v>0.0</v>
      </c>
      <c r="AF617" s="137">
        <v>0.0</v>
      </c>
      <c r="AG617" s="137">
        <v>0.0</v>
      </c>
      <c r="AH617" s="137">
        <v>2.0</v>
      </c>
      <c r="AI617" s="137">
        <v>0.0</v>
      </c>
      <c r="AJ617" s="137">
        <v>0.0</v>
      </c>
      <c r="AK617" s="137">
        <v>0.0</v>
      </c>
      <c r="AL617" s="137">
        <v>2.0</v>
      </c>
      <c r="AM617" s="137">
        <v>0.0</v>
      </c>
      <c r="AN617" s="137">
        <v>4.0</v>
      </c>
    </row>
    <row r="618">
      <c r="A618" s="104"/>
      <c r="B618" s="136" t="s">
        <v>206</v>
      </c>
      <c r="C618" s="137">
        <v>120.0</v>
      </c>
      <c r="D618" s="137">
        <v>44.0</v>
      </c>
      <c r="E618" s="137">
        <v>76.0</v>
      </c>
      <c r="F618" s="137">
        <v>0.0</v>
      </c>
      <c r="G618" s="137">
        <v>0.0</v>
      </c>
      <c r="H618" s="137">
        <v>0.0</v>
      </c>
      <c r="I618" s="137">
        <v>0.0</v>
      </c>
      <c r="J618" s="137">
        <v>0.0</v>
      </c>
      <c r="K618" s="137">
        <v>0.0</v>
      </c>
      <c r="L618" s="137">
        <v>2.0</v>
      </c>
      <c r="M618" s="137">
        <v>0.0</v>
      </c>
      <c r="N618" s="137">
        <v>14.0</v>
      </c>
      <c r="O618" s="137">
        <v>18.0</v>
      </c>
      <c r="P618" s="137">
        <v>4.0</v>
      </c>
      <c r="Q618" s="137">
        <v>20.0</v>
      </c>
      <c r="R618" s="137">
        <v>0.0</v>
      </c>
      <c r="S618" s="137">
        <v>4.0</v>
      </c>
      <c r="T618" s="137">
        <v>2.0</v>
      </c>
      <c r="U618" s="137">
        <v>8.0</v>
      </c>
      <c r="V618" s="137">
        <v>2.0</v>
      </c>
      <c r="W618" s="137">
        <v>6.0</v>
      </c>
      <c r="X618" s="137">
        <v>4.0</v>
      </c>
      <c r="Y618" s="137">
        <v>6.0</v>
      </c>
      <c r="Z618" s="137">
        <v>4.0</v>
      </c>
      <c r="AA618" s="137">
        <v>0.0</v>
      </c>
      <c r="AB618" s="137">
        <v>2.0</v>
      </c>
      <c r="AC618" s="137">
        <v>6.0</v>
      </c>
      <c r="AD618" s="137">
        <v>0.0</v>
      </c>
      <c r="AE618" s="137">
        <v>2.0</v>
      </c>
      <c r="AF618" s="137">
        <v>0.0</v>
      </c>
      <c r="AG618" s="137">
        <v>2.0</v>
      </c>
      <c r="AH618" s="137">
        <v>2.0</v>
      </c>
      <c r="AI618" s="137">
        <v>0.0</v>
      </c>
      <c r="AJ618" s="137">
        <v>4.0</v>
      </c>
      <c r="AK618" s="137">
        <v>4.0</v>
      </c>
      <c r="AL618" s="137">
        <v>4.0</v>
      </c>
      <c r="AM618" s="137">
        <v>0.0</v>
      </c>
      <c r="AN618" s="137">
        <v>120.0</v>
      </c>
    </row>
    <row r="619">
      <c r="A619" s="132" t="s">
        <v>207</v>
      </c>
      <c r="B619" s="136" t="s">
        <v>198</v>
      </c>
      <c r="C619" s="134">
        <v>19296.0</v>
      </c>
      <c r="D619" s="134">
        <v>4570.0</v>
      </c>
      <c r="E619" s="134">
        <v>14726.0</v>
      </c>
      <c r="F619" s="137">
        <v>98.0</v>
      </c>
      <c r="G619" s="137">
        <v>66.0</v>
      </c>
      <c r="H619" s="137">
        <v>76.0</v>
      </c>
      <c r="I619" s="137">
        <v>106.0</v>
      </c>
      <c r="J619" s="137">
        <v>102.0</v>
      </c>
      <c r="K619" s="137">
        <v>96.0</v>
      </c>
      <c r="L619" s="137">
        <v>88.0</v>
      </c>
      <c r="M619" s="137">
        <v>196.0</v>
      </c>
      <c r="N619" s="137">
        <v>94.0</v>
      </c>
      <c r="O619" s="137">
        <v>308.0</v>
      </c>
      <c r="P619" s="137">
        <v>118.0</v>
      </c>
      <c r="Q619" s="137">
        <v>556.0</v>
      </c>
      <c r="R619" s="137">
        <v>94.0</v>
      </c>
      <c r="S619" s="137">
        <v>410.0</v>
      </c>
      <c r="T619" s="137">
        <v>118.0</v>
      </c>
      <c r="U619" s="137">
        <v>536.0</v>
      </c>
      <c r="V619" s="137">
        <v>186.0</v>
      </c>
      <c r="W619" s="137">
        <v>798.0</v>
      </c>
      <c r="X619" s="137">
        <v>274.0</v>
      </c>
      <c r="Y619" s="134">
        <v>1240.0</v>
      </c>
      <c r="Z619" s="137">
        <v>404.0</v>
      </c>
      <c r="AA619" s="134">
        <v>1760.0</v>
      </c>
      <c r="AB619" s="137">
        <v>408.0</v>
      </c>
      <c r="AC619" s="134">
        <v>1916.0</v>
      </c>
      <c r="AD619" s="137">
        <v>592.0</v>
      </c>
      <c r="AE619" s="134">
        <v>1758.0</v>
      </c>
      <c r="AF619" s="137">
        <v>496.0</v>
      </c>
      <c r="AG619" s="134">
        <v>1434.0</v>
      </c>
      <c r="AH619" s="137">
        <v>550.0</v>
      </c>
      <c r="AI619" s="134">
        <v>1390.0</v>
      </c>
      <c r="AJ619" s="137">
        <v>404.0</v>
      </c>
      <c r="AK619" s="134">
        <v>1020.0</v>
      </c>
      <c r="AL619" s="137">
        <v>468.0</v>
      </c>
      <c r="AM619" s="134">
        <v>1136.0</v>
      </c>
      <c r="AN619" s="134">
        <v>19262.0</v>
      </c>
    </row>
    <row r="620">
      <c r="A620" s="98"/>
      <c r="B620" s="136" t="s">
        <v>199</v>
      </c>
      <c r="C620" s="134">
        <v>1498.0</v>
      </c>
      <c r="D620" s="137">
        <v>338.0</v>
      </c>
      <c r="E620" s="134">
        <v>1160.0</v>
      </c>
      <c r="F620" s="137">
        <v>6.0</v>
      </c>
      <c r="G620" s="137">
        <v>8.0</v>
      </c>
      <c r="H620" s="137">
        <v>6.0</v>
      </c>
      <c r="I620" s="137">
        <v>4.0</v>
      </c>
      <c r="J620" s="137">
        <v>2.0</v>
      </c>
      <c r="K620" s="137">
        <v>0.0</v>
      </c>
      <c r="L620" s="137">
        <v>0.0</v>
      </c>
      <c r="M620" s="137">
        <v>0.0</v>
      </c>
      <c r="N620" s="137">
        <v>0.0</v>
      </c>
      <c r="O620" s="137">
        <v>2.0</v>
      </c>
      <c r="P620" s="137">
        <v>0.0</v>
      </c>
      <c r="Q620" s="137">
        <v>4.0</v>
      </c>
      <c r="R620" s="137">
        <v>0.0</v>
      </c>
      <c r="S620" s="137">
        <v>0.0</v>
      </c>
      <c r="T620" s="137">
        <v>2.0</v>
      </c>
      <c r="U620" s="137">
        <v>10.0</v>
      </c>
      <c r="V620" s="137">
        <v>2.0</v>
      </c>
      <c r="W620" s="137">
        <v>8.0</v>
      </c>
      <c r="X620" s="137">
        <v>2.0</v>
      </c>
      <c r="Y620" s="137">
        <v>24.0</v>
      </c>
      <c r="Z620" s="137">
        <v>12.0</v>
      </c>
      <c r="AA620" s="137">
        <v>62.0</v>
      </c>
      <c r="AB620" s="137">
        <v>4.0</v>
      </c>
      <c r="AC620" s="137">
        <v>120.0</v>
      </c>
      <c r="AD620" s="137">
        <v>36.0</v>
      </c>
      <c r="AE620" s="137">
        <v>110.0</v>
      </c>
      <c r="AF620" s="137">
        <v>30.0</v>
      </c>
      <c r="AG620" s="137">
        <v>178.0</v>
      </c>
      <c r="AH620" s="137">
        <v>70.0</v>
      </c>
      <c r="AI620" s="137">
        <v>208.0</v>
      </c>
      <c r="AJ620" s="137">
        <v>68.0</v>
      </c>
      <c r="AK620" s="137">
        <v>218.0</v>
      </c>
      <c r="AL620" s="137">
        <v>98.0</v>
      </c>
      <c r="AM620" s="137">
        <v>204.0</v>
      </c>
      <c r="AN620" s="134">
        <v>1498.0</v>
      </c>
    </row>
    <row r="621">
      <c r="A621" s="98"/>
      <c r="B621" s="136" t="s">
        <v>206</v>
      </c>
      <c r="C621" s="137">
        <v>346.0</v>
      </c>
      <c r="D621" s="137">
        <v>140.0</v>
      </c>
      <c r="E621" s="137">
        <v>206.0</v>
      </c>
      <c r="F621" s="137">
        <v>96.0</v>
      </c>
      <c r="G621" s="137">
        <v>78.0</v>
      </c>
      <c r="H621" s="137">
        <v>34.0</v>
      </c>
      <c r="I621" s="137">
        <v>26.0</v>
      </c>
      <c r="J621" s="137">
        <v>8.0</v>
      </c>
      <c r="K621" s="137">
        <v>8.0</v>
      </c>
      <c r="L621" s="137">
        <v>0.0</v>
      </c>
      <c r="M621" s="137">
        <v>6.0</v>
      </c>
      <c r="N621" s="137">
        <v>0.0</v>
      </c>
      <c r="O621" s="137">
        <v>16.0</v>
      </c>
      <c r="P621" s="137">
        <v>0.0</v>
      </c>
      <c r="Q621" s="137">
        <v>24.0</v>
      </c>
      <c r="R621" s="137">
        <v>0.0</v>
      </c>
      <c r="S621" s="137">
        <v>12.0</v>
      </c>
      <c r="T621" s="137">
        <v>0.0</v>
      </c>
      <c r="U621" s="137">
        <v>12.0</v>
      </c>
      <c r="V621" s="137">
        <v>0.0</v>
      </c>
      <c r="W621" s="137">
        <v>4.0</v>
      </c>
      <c r="X621" s="137">
        <v>0.0</v>
      </c>
      <c r="Y621" s="137">
        <v>10.0</v>
      </c>
      <c r="Z621" s="137">
        <v>0.0</v>
      </c>
      <c r="AA621" s="137">
        <v>2.0</v>
      </c>
      <c r="AB621" s="137">
        <v>0.0</v>
      </c>
      <c r="AC621" s="137">
        <v>4.0</v>
      </c>
      <c r="AD621" s="137">
        <v>0.0</v>
      </c>
      <c r="AE621" s="137">
        <v>0.0</v>
      </c>
      <c r="AF621" s="137">
        <v>0.0</v>
      </c>
      <c r="AG621" s="137">
        <v>2.0</v>
      </c>
      <c r="AH621" s="137">
        <v>2.0</v>
      </c>
      <c r="AI621" s="137">
        <v>2.0</v>
      </c>
      <c r="AJ621" s="137">
        <v>0.0</v>
      </c>
      <c r="AK621" s="137">
        <v>0.0</v>
      </c>
      <c r="AL621" s="137">
        <v>0.0</v>
      </c>
      <c r="AM621" s="137">
        <v>0.0</v>
      </c>
      <c r="AN621" s="137">
        <v>346.0</v>
      </c>
    </row>
    <row r="622">
      <c r="A622" s="98"/>
      <c r="B622" s="136" t="s">
        <v>200</v>
      </c>
      <c r="C622" s="134">
        <v>14626.0</v>
      </c>
      <c r="D622" s="134">
        <v>5494.0</v>
      </c>
      <c r="E622" s="134">
        <v>9132.0</v>
      </c>
      <c r="F622" s="134">
        <v>3110.0</v>
      </c>
      <c r="G622" s="134">
        <v>2738.0</v>
      </c>
      <c r="H622" s="134">
        <v>1048.0</v>
      </c>
      <c r="I622" s="134">
        <v>1168.0</v>
      </c>
      <c r="J622" s="137">
        <v>448.0</v>
      </c>
      <c r="K622" s="137">
        <v>452.0</v>
      </c>
      <c r="L622" s="137">
        <v>94.0</v>
      </c>
      <c r="M622" s="137">
        <v>494.0</v>
      </c>
      <c r="N622" s="137">
        <v>38.0</v>
      </c>
      <c r="O622" s="137">
        <v>670.0</v>
      </c>
      <c r="P622" s="137">
        <v>48.0</v>
      </c>
      <c r="Q622" s="137">
        <v>806.0</v>
      </c>
      <c r="R622" s="137">
        <v>28.0</v>
      </c>
      <c r="S622" s="137">
        <v>648.0</v>
      </c>
      <c r="T622" s="137">
        <v>30.0</v>
      </c>
      <c r="U622" s="137">
        <v>400.0</v>
      </c>
      <c r="V622" s="137">
        <v>54.0</v>
      </c>
      <c r="W622" s="137">
        <v>336.0</v>
      </c>
      <c r="X622" s="137">
        <v>74.0</v>
      </c>
      <c r="Y622" s="137">
        <v>284.0</v>
      </c>
      <c r="Z622" s="137">
        <v>90.0</v>
      </c>
      <c r="AA622" s="137">
        <v>280.0</v>
      </c>
      <c r="AB622" s="137">
        <v>92.0</v>
      </c>
      <c r="AC622" s="137">
        <v>230.0</v>
      </c>
      <c r="AD622" s="137">
        <v>68.0</v>
      </c>
      <c r="AE622" s="137">
        <v>176.0</v>
      </c>
      <c r="AF622" s="137">
        <v>72.0</v>
      </c>
      <c r="AG622" s="137">
        <v>170.0</v>
      </c>
      <c r="AH622" s="137">
        <v>78.0</v>
      </c>
      <c r="AI622" s="137">
        <v>122.0</v>
      </c>
      <c r="AJ622" s="137">
        <v>48.0</v>
      </c>
      <c r="AK622" s="137">
        <v>80.0</v>
      </c>
      <c r="AL622" s="137">
        <v>74.0</v>
      </c>
      <c r="AM622" s="137">
        <v>78.0</v>
      </c>
      <c r="AN622" s="134">
        <v>14606.0</v>
      </c>
    </row>
    <row r="623">
      <c r="A623" s="104"/>
      <c r="B623" s="136" t="s">
        <v>201</v>
      </c>
      <c r="C623" s="137">
        <v>144.0</v>
      </c>
      <c r="D623" s="137">
        <v>34.0</v>
      </c>
      <c r="E623" s="137">
        <v>110.0</v>
      </c>
      <c r="F623" s="137">
        <v>0.0</v>
      </c>
      <c r="G623" s="137">
        <v>2.0</v>
      </c>
      <c r="H623" s="137">
        <v>0.0</v>
      </c>
      <c r="I623" s="137">
        <v>0.0</v>
      </c>
      <c r="J623" s="137">
        <v>4.0</v>
      </c>
      <c r="K623" s="137">
        <v>0.0</v>
      </c>
      <c r="L623" s="137">
        <v>0.0</v>
      </c>
      <c r="M623" s="137">
        <v>0.0</v>
      </c>
      <c r="N623" s="137">
        <v>0.0</v>
      </c>
      <c r="O623" s="137">
        <v>0.0</v>
      </c>
      <c r="P623" s="137">
        <v>0.0</v>
      </c>
      <c r="Q623" s="137">
        <v>0.0</v>
      </c>
      <c r="R623" s="137">
        <v>2.0</v>
      </c>
      <c r="S623" s="137">
        <v>6.0</v>
      </c>
      <c r="T623" s="137">
        <v>2.0</v>
      </c>
      <c r="U623" s="137">
        <v>6.0</v>
      </c>
      <c r="V623" s="137">
        <v>0.0</v>
      </c>
      <c r="W623" s="137">
        <v>32.0</v>
      </c>
      <c r="X623" s="137">
        <v>2.0</v>
      </c>
      <c r="Y623" s="137">
        <v>2.0</v>
      </c>
      <c r="Z623" s="137">
        <v>0.0</v>
      </c>
      <c r="AA623" s="137">
        <v>12.0</v>
      </c>
      <c r="AB623" s="137">
        <v>10.0</v>
      </c>
      <c r="AC623" s="137">
        <v>4.0</v>
      </c>
      <c r="AD623" s="137">
        <v>6.0</v>
      </c>
      <c r="AE623" s="137">
        <v>16.0</v>
      </c>
      <c r="AF623" s="137">
        <v>4.0</v>
      </c>
      <c r="AG623" s="137">
        <v>12.0</v>
      </c>
      <c r="AH623" s="137">
        <v>4.0</v>
      </c>
      <c r="AI623" s="137">
        <v>0.0</v>
      </c>
      <c r="AJ623" s="137">
        <v>0.0</v>
      </c>
      <c r="AK623" s="137">
        <v>2.0</v>
      </c>
      <c r="AL623" s="137">
        <v>0.0</v>
      </c>
      <c r="AM623" s="137">
        <v>16.0</v>
      </c>
      <c r="AN623" s="137">
        <v>144.0</v>
      </c>
    </row>
    <row r="624">
      <c r="A624" s="132" t="s">
        <v>208</v>
      </c>
      <c r="B624" s="136" t="s">
        <v>198</v>
      </c>
      <c r="C624" s="137">
        <v>14.0</v>
      </c>
      <c r="D624" s="137">
        <v>6.0</v>
      </c>
      <c r="E624" s="137">
        <v>8.0</v>
      </c>
      <c r="F624" s="137">
        <v>2.0</v>
      </c>
      <c r="G624" s="137">
        <v>8.0</v>
      </c>
      <c r="H624" s="137">
        <v>2.0</v>
      </c>
      <c r="I624" s="137">
        <v>0.0</v>
      </c>
      <c r="J624" s="137">
        <v>2.0</v>
      </c>
      <c r="K624" s="137">
        <v>0.0</v>
      </c>
      <c r="L624" s="137">
        <v>0.0</v>
      </c>
      <c r="M624" s="137">
        <v>0.0</v>
      </c>
      <c r="N624" s="137">
        <v>0.0</v>
      </c>
      <c r="O624" s="137">
        <v>0.0</v>
      </c>
      <c r="P624" s="135">
        <v>0.0</v>
      </c>
      <c r="Q624" s="135">
        <v>0.0</v>
      </c>
      <c r="R624" s="135">
        <v>0.0</v>
      </c>
      <c r="S624" s="135">
        <v>0.0</v>
      </c>
      <c r="T624" s="135">
        <v>0.0</v>
      </c>
      <c r="U624" s="135">
        <v>0.0</v>
      </c>
      <c r="V624" s="135">
        <v>0.0</v>
      </c>
      <c r="W624" s="135">
        <v>0.0</v>
      </c>
      <c r="X624" s="135">
        <v>0.0</v>
      </c>
      <c r="Y624" s="135">
        <v>0.0</v>
      </c>
      <c r="Z624" s="135">
        <v>0.0</v>
      </c>
      <c r="AA624" s="135">
        <v>0.0</v>
      </c>
      <c r="AB624" s="135">
        <v>0.0</v>
      </c>
      <c r="AC624" s="135">
        <v>0.0</v>
      </c>
      <c r="AD624" s="135">
        <v>0.0</v>
      </c>
      <c r="AE624" s="135">
        <v>0.0</v>
      </c>
      <c r="AF624" s="135">
        <v>0.0</v>
      </c>
      <c r="AG624" s="135">
        <v>0.0</v>
      </c>
      <c r="AH624" s="135">
        <v>0.0</v>
      </c>
      <c r="AI624" s="135">
        <v>0.0</v>
      </c>
      <c r="AJ624" s="135">
        <v>0.0</v>
      </c>
      <c r="AK624" s="135">
        <v>0.0</v>
      </c>
      <c r="AL624" s="135">
        <v>0.0</v>
      </c>
      <c r="AM624" s="135">
        <v>0.0</v>
      </c>
      <c r="AN624" s="137">
        <v>14.0</v>
      </c>
    </row>
    <row r="625">
      <c r="A625" s="98"/>
      <c r="B625" s="136" t="s">
        <v>199</v>
      </c>
      <c r="C625" s="137">
        <v>136.0</v>
      </c>
      <c r="D625" s="137">
        <v>82.0</v>
      </c>
      <c r="E625" s="137">
        <v>54.0</v>
      </c>
      <c r="F625" s="137">
        <v>50.0</v>
      </c>
      <c r="G625" s="137">
        <v>44.0</v>
      </c>
      <c r="H625" s="137">
        <v>18.0</v>
      </c>
      <c r="I625" s="137">
        <v>10.0</v>
      </c>
      <c r="J625" s="137">
        <v>12.0</v>
      </c>
      <c r="K625" s="137">
        <v>0.0</v>
      </c>
      <c r="L625" s="137">
        <v>2.0</v>
      </c>
      <c r="M625" s="137">
        <v>0.0</v>
      </c>
      <c r="N625" s="137">
        <v>0.0</v>
      </c>
      <c r="O625" s="137">
        <v>0.0</v>
      </c>
      <c r="P625" s="135">
        <v>0.0</v>
      </c>
      <c r="Q625" s="135">
        <v>0.0</v>
      </c>
      <c r="R625" s="135">
        <v>0.0</v>
      </c>
      <c r="S625" s="135">
        <v>0.0</v>
      </c>
      <c r="T625" s="135">
        <v>0.0</v>
      </c>
      <c r="U625" s="135">
        <v>0.0</v>
      </c>
      <c r="V625" s="135">
        <v>0.0</v>
      </c>
      <c r="W625" s="135">
        <v>0.0</v>
      </c>
      <c r="X625" s="135">
        <v>0.0</v>
      </c>
      <c r="Y625" s="135">
        <v>0.0</v>
      </c>
      <c r="Z625" s="135">
        <v>0.0</v>
      </c>
      <c r="AA625" s="135">
        <v>0.0</v>
      </c>
      <c r="AB625" s="135">
        <v>0.0</v>
      </c>
      <c r="AC625" s="135">
        <v>0.0</v>
      </c>
      <c r="AD625" s="135">
        <v>0.0</v>
      </c>
      <c r="AE625" s="135">
        <v>0.0</v>
      </c>
      <c r="AF625" s="135">
        <v>0.0</v>
      </c>
      <c r="AG625" s="135">
        <v>0.0</v>
      </c>
      <c r="AH625" s="135">
        <v>0.0</v>
      </c>
      <c r="AI625" s="135">
        <v>0.0</v>
      </c>
      <c r="AJ625" s="135">
        <v>0.0</v>
      </c>
      <c r="AK625" s="135">
        <v>0.0</v>
      </c>
      <c r="AL625" s="135">
        <v>0.0</v>
      </c>
      <c r="AM625" s="135">
        <v>0.0</v>
      </c>
      <c r="AN625" s="137">
        <v>136.0</v>
      </c>
    </row>
    <row r="626">
      <c r="A626" s="98"/>
      <c r="B626" s="136" t="s">
        <v>206</v>
      </c>
      <c r="C626" s="137">
        <v>12.0</v>
      </c>
      <c r="D626" s="137">
        <v>4.0</v>
      </c>
      <c r="E626" s="137">
        <v>8.0</v>
      </c>
      <c r="F626" s="137">
        <v>0.0</v>
      </c>
      <c r="G626" s="137">
        <v>2.0</v>
      </c>
      <c r="H626" s="137">
        <v>0.0</v>
      </c>
      <c r="I626" s="137">
        <v>0.0</v>
      </c>
      <c r="J626" s="137">
        <v>4.0</v>
      </c>
      <c r="K626" s="137">
        <v>6.0</v>
      </c>
      <c r="L626" s="137">
        <v>0.0</v>
      </c>
      <c r="M626" s="137">
        <v>0.0</v>
      </c>
      <c r="N626" s="137">
        <v>0.0</v>
      </c>
      <c r="O626" s="137">
        <v>0.0</v>
      </c>
      <c r="P626" s="135">
        <v>0.0</v>
      </c>
      <c r="Q626" s="135">
        <v>0.0</v>
      </c>
      <c r="R626" s="135">
        <v>0.0</v>
      </c>
      <c r="S626" s="135">
        <v>0.0</v>
      </c>
      <c r="T626" s="135">
        <v>0.0</v>
      </c>
      <c r="U626" s="135">
        <v>0.0</v>
      </c>
      <c r="V626" s="135">
        <v>0.0</v>
      </c>
      <c r="W626" s="135">
        <v>0.0</v>
      </c>
      <c r="X626" s="135">
        <v>0.0</v>
      </c>
      <c r="Y626" s="135">
        <v>0.0</v>
      </c>
      <c r="Z626" s="135">
        <v>0.0</v>
      </c>
      <c r="AA626" s="135">
        <v>0.0</v>
      </c>
      <c r="AB626" s="135">
        <v>0.0</v>
      </c>
      <c r="AC626" s="135">
        <v>0.0</v>
      </c>
      <c r="AD626" s="135">
        <v>0.0</v>
      </c>
      <c r="AE626" s="135">
        <v>0.0</v>
      </c>
      <c r="AF626" s="135">
        <v>0.0</v>
      </c>
      <c r="AG626" s="135">
        <v>0.0</v>
      </c>
      <c r="AH626" s="135">
        <v>0.0</v>
      </c>
      <c r="AI626" s="135">
        <v>0.0</v>
      </c>
      <c r="AJ626" s="135">
        <v>0.0</v>
      </c>
      <c r="AK626" s="135">
        <v>0.0</v>
      </c>
      <c r="AL626" s="135">
        <v>0.0</v>
      </c>
      <c r="AM626" s="135">
        <v>0.0</v>
      </c>
      <c r="AN626" s="137">
        <v>12.0</v>
      </c>
    </row>
    <row r="627">
      <c r="A627" s="98"/>
      <c r="B627" s="136" t="s">
        <v>200</v>
      </c>
      <c r="C627" s="137">
        <v>34.0</v>
      </c>
      <c r="D627" s="137">
        <v>18.0</v>
      </c>
      <c r="E627" s="137">
        <v>16.0</v>
      </c>
      <c r="F627" s="137">
        <v>16.0</v>
      </c>
      <c r="G627" s="137">
        <v>8.0</v>
      </c>
      <c r="H627" s="137">
        <v>2.0</v>
      </c>
      <c r="I627" s="137">
        <v>8.0</v>
      </c>
      <c r="J627" s="137">
        <v>0.0</v>
      </c>
      <c r="K627" s="137">
        <v>0.0</v>
      </c>
      <c r="L627" s="137">
        <v>0.0</v>
      </c>
      <c r="M627" s="137">
        <v>0.0</v>
      </c>
      <c r="N627" s="137">
        <v>0.0</v>
      </c>
      <c r="O627" s="137">
        <v>0.0</v>
      </c>
      <c r="P627" s="135">
        <v>0.0</v>
      </c>
      <c r="Q627" s="135">
        <v>0.0</v>
      </c>
      <c r="R627" s="135">
        <v>0.0</v>
      </c>
      <c r="S627" s="135">
        <v>0.0</v>
      </c>
      <c r="T627" s="135">
        <v>0.0</v>
      </c>
      <c r="U627" s="135">
        <v>0.0</v>
      </c>
      <c r="V627" s="135">
        <v>0.0</v>
      </c>
      <c r="W627" s="135">
        <v>0.0</v>
      </c>
      <c r="X627" s="135">
        <v>0.0</v>
      </c>
      <c r="Y627" s="135">
        <v>0.0</v>
      </c>
      <c r="Z627" s="135">
        <v>0.0</v>
      </c>
      <c r="AA627" s="135">
        <v>0.0</v>
      </c>
      <c r="AB627" s="135">
        <v>0.0</v>
      </c>
      <c r="AC627" s="135">
        <v>0.0</v>
      </c>
      <c r="AD627" s="135">
        <v>0.0</v>
      </c>
      <c r="AE627" s="135">
        <v>0.0</v>
      </c>
      <c r="AF627" s="135">
        <v>0.0</v>
      </c>
      <c r="AG627" s="135">
        <v>0.0</v>
      </c>
      <c r="AH627" s="135">
        <v>0.0</v>
      </c>
      <c r="AI627" s="135">
        <v>0.0</v>
      </c>
      <c r="AJ627" s="135">
        <v>0.0</v>
      </c>
      <c r="AK627" s="135">
        <v>0.0</v>
      </c>
      <c r="AL627" s="135">
        <v>0.0</v>
      </c>
      <c r="AM627" s="135">
        <v>0.0</v>
      </c>
      <c r="AN627" s="137">
        <v>34.0</v>
      </c>
    </row>
    <row r="628">
      <c r="A628" s="104"/>
      <c r="B628" s="136" t="s">
        <v>201</v>
      </c>
      <c r="C628" s="137">
        <v>0.0</v>
      </c>
      <c r="D628" s="137">
        <v>0.0</v>
      </c>
      <c r="E628" s="137">
        <v>0.0</v>
      </c>
      <c r="F628" s="137">
        <v>0.0</v>
      </c>
      <c r="G628" s="137">
        <v>0.0</v>
      </c>
      <c r="H628" s="137">
        <v>0.0</v>
      </c>
      <c r="I628" s="137">
        <v>0.0</v>
      </c>
      <c r="J628" s="137">
        <v>0.0</v>
      </c>
      <c r="K628" s="137">
        <v>0.0</v>
      </c>
      <c r="L628" s="137">
        <v>0.0</v>
      </c>
      <c r="M628" s="137">
        <v>0.0</v>
      </c>
      <c r="N628" s="137">
        <v>0.0</v>
      </c>
      <c r="O628" s="137">
        <v>0.0</v>
      </c>
      <c r="P628" s="135">
        <v>0.0</v>
      </c>
      <c r="Q628" s="135">
        <v>0.0</v>
      </c>
      <c r="R628" s="135">
        <v>0.0</v>
      </c>
      <c r="S628" s="135">
        <v>0.0</v>
      </c>
      <c r="T628" s="135">
        <v>0.0</v>
      </c>
      <c r="U628" s="135">
        <v>0.0</v>
      </c>
      <c r="V628" s="135">
        <v>0.0</v>
      </c>
      <c r="W628" s="135">
        <v>0.0</v>
      </c>
      <c r="X628" s="135">
        <v>0.0</v>
      </c>
      <c r="Y628" s="135">
        <v>0.0</v>
      </c>
      <c r="Z628" s="135">
        <v>0.0</v>
      </c>
      <c r="AA628" s="135">
        <v>0.0</v>
      </c>
      <c r="AB628" s="135">
        <v>0.0</v>
      </c>
      <c r="AC628" s="135">
        <v>0.0</v>
      </c>
      <c r="AD628" s="135">
        <v>0.0</v>
      </c>
      <c r="AE628" s="135">
        <v>0.0</v>
      </c>
      <c r="AF628" s="135">
        <v>0.0</v>
      </c>
      <c r="AG628" s="135">
        <v>0.0</v>
      </c>
      <c r="AH628" s="135">
        <v>0.0</v>
      </c>
      <c r="AI628" s="135">
        <v>0.0</v>
      </c>
      <c r="AJ628" s="135">
        <v>0.0</v>
      </c>
      <c r="AK628" s="135">
        <v>0.0</v>
      </c>
      <c r="AL628" s="135">
        <v>0.0</v>
      </c>
      <c r="AM628" s="135">
        <v>0.0</v>
      </c>
      <c r="AN628" s="137">
        <v>0.0</v>
      </c>
    </row>
    <row r="629">
      <c r="A629" s="138" t="s">
        <v>265</v>
      </c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</row>
    <row r="630">
      <c r="A630" s="132" t="s">
        <v>197</v>
      </c>
      <c r="B630" s="133" t="s">
        <v>198</v>
      </c>
      <c r="C630" s="134">
        <v>125740.0</v>
      </c>
      <c r="D630" s="134">
        <v>45816.0</v>
      </c>
      <c r="E630" s="134">
        <v>79924.0</v>
      </c>
      <c r="F630" s="135">
        <v>0.0</v>
      </c>
      <c r="G630" s="135">
        <v>0.0</v>
      </c>
      <c r="H630" s="135">
        <v>0.0</v>
      </c>
      <c r="I630" s="135">
        <v>0.0</v>
      </c>
      <c r="J630" s="135">
        <v>0.0</v>
      </c>
      <c r="K630" s="135">
        <v>0.0</v>
      </c>
      <c r="L630" s="137">
        <v>74.0</v>
      </c>
      <c r="M630" s="137">
        <v>120.0</v>
      </c>
      <c r="N630" s="137">
        <v>102.0</v>
      </c>
      <c r="O630" s="137">
        <v>246.0</v>
      </c>
      <c r="P630" s="137">
        <v>202.0</v>
      </c>
      <c r="Q630" s="137">
        <v>496.0</v>
      </c>
      <c r="R630" s="137">
        <v>352.0</v>
      </c>
      <c r="S630" s="137">
        <v>976.0</v>
      </c>
      <c r="T630" s="137">
        <v>774.0</v>
      </c>
      <c r="U630" s="134">
        <v>1722.0</v>
      </c>
      <c r="V630" s="134">
        <v>1440.0</v>
      </c>
      <c r="W630" s="134">
        <v>3104.0</v>
      </c>
      <c r="X630" s="134">
        <v>2446.0</v>
      </c>
      <c r="Y630" s="134">
        <v>5510.0</v>
      </c>
      <c r="Z630" s="134">
        <v>4440.0</v>
      </c>
      <c r="AA630" s="134">
        <v>9270.0</v>
      </c>
      <c r="AB630" s="134">
        <v>5874.0</v>
      </c>
      <c r="AC630" s="134">
        <v>11102.0</v>
      </c>
      <c r="AD630" s="134">
        <v>6538.0</v>
      </c>
      <c r="AE630" s="134">
        <v>10596.0</v>
      </c>
      <c r="AF630" s="134">
        <v>6654.0</v>
      </c>
      <c r="AG630" s="134">
        <v>10506.0</v>
      </c>
      <c r="AH630" s="134">
        <v>6564.0</v>
      </c>
      <c r="AI630" s="134">
        <v>9914.0</v>
      </c>
      <c r="AJ630" s="134">
        <v>4946.0</v>
      </c>
      <c r="AK630" s="134">
        <v>7768.0</v>
      </c>
      <c r="AL630" s="134">
        <v>5398.0</v>
      </c>
      <c r="AM630" s="134">
        <v>8584.0</v>
      </c>
      <c r="AN630" s="134">
        <v>123946.0</v>
      </c>
    </row>
    <row r="631">
      <c r="A631" s="98"/>
      <c r="B631" s="136" t="s">
        <v>199</v>
      </c>
      <c r="C631" s="134">
        <v>63920.0</v>
      </c>
      <c r="D631" s="134">
        <v>23132.0</v>
      </c>
      <c r="E631" s="134">
        <v>40774.0</v>
      </c>
      <c r="F631" s="135">
        <v>0.0</v>
      </c>
      <c r="G631" s="135">
        <v>0.0</v>
      </c>
      <c r="H631" s="135">
        <v>0.0</v>
      </c>
      <c r="I631" s="135">
        <v>0.0</v>
      </c>
      <c r="J631" s="135">
        <v>0.0</v>
      </c>
      <c r="K631" s="135">
        <v>0.0</v>
      </c>
      <c r="L631" s="137">
        <v>8.0</v>
      </c>
      <c r="M631" s="137">
        <v>14.0</v>
      </c>
      <c r="N631" s="137">
        <v>24.0</v>
      </c>
      <c r="O631" s="137">
        <v>42.0</v>
      </c>
      <c r="P631" s="137">
        <v>60.0</v>
      </c>
      <c r="Q631" s="137">
        <v>156.0</v>
      </c>
      <c r="R631" s="137">
        <v>130.0</v>
      </c>
      <c r="S631" s="137">
        <v>362.0</v>
      </c>
      <c r="T631" s="137">
        <v>250.0</v>
      </c>
      <c r="U631" s="137">
        <v>618.0</v>
      </c>
      <c r="V631" s="137">
        <v>472.0</v>
      </c>
      <c r="W631" s="134">
        <v>1274.0</v>
      </c>
      <c r="X631" s="134">
        <v>1026.0</v>
      </c>
      <c r="Y631" s="134">
        <v>2482.0</v>
      </c>
      <c r="Z631" s="134">
        <v>2018.0</v>
      </c>
      <c r="AA631" s="134">
        <v>4568.0</v>
      </c>
      <c r="AB631" s="134">
        <v>2666.0</v>
      </c>
      <c r="AC631" s="134">
        <v>5432.0</v>
      </c>
      <c r="AD631" s="134">
        <v>3346.0</v>
      </c>
      <c r="AE631" s="134">
        <v>5852.0</v>
      </c>
      <c r="AF631" s="134">
        <v>3330.0</v>
      </c>
      <c r="AG631" s="134">
        <v>5814.0</v>
      </c>
      <c r="AH631" s="134">
        <v>3838.0</v>
      </c>
      <c r="AI631" s="134">
        <v>5312.0</v>
      </c>
      <c r="AJ631" s="134">
        <v>2930.0</v>
      </c>
      <c r="AK631" s="134">
        <v>4206.0</v>
      </c>
      <c r="AL631" s="134">
        <v>3042.0</v>
      </c>
      <c r="AM631" s="134">
        <v>4662.0</v>
      </c>
      <c r="AN631" s="134">
        <v>63094.0</v>
      </c>
    </row>
    <row r="632">
      <c r="A632" s="98"/>
      <c r="B632" s="136" t="s">
        <v>200</v>
      </c>
      <c r="C632" s="134">
        <v>52026.0</v>
      </c>
      <c r="D632" s="134">
        <v>17512.0</v>
      </c>
      <c r="E632" s="134">
        <v>34514.0</v>
      </c>
      <c r="F632" s="135">
        <v>0.0</v>
      </c>
      <c r="G632" s="135">
        <v>0.0</v>
      </c>
      <c r="H632" s="135">
        <v>0.0</v>
      </c>
      <c r="I632" s="135">
        <v>0.0</v>
      </c>
      <c r="J632" s="135">
        <v>0.0</v>
      </c>
      <c r="K632" s="135">
        <v>0.0</v>
      </c>
      <c r="L632" s="137">
        <v>22.0</v>
      </c>
      <c r="M632" s="137">
        <v>32.0</v>
      </c>
      <c r="N632" s="137">
        <v>38.0</v>
      </c>
      <c r="O632" s="137">
        <v>68.0</v>
      </c>
      <c r="P632" s="137">
        <v>100.0</v>
      </c>
      <c r="Q632" s="137">
        <v>272.0</v>
      </c>
      <c r="R632" s="137">
        <v>162.0</v>
      </c>
      <c r="S632" s="137">
        <v>434.0</v>
      </c>
      <c r="T632" s="137">
        <v>282.0</v>
      </c>
      <c r="U632" s="137">
        <v>748.0</v>
      </c>
      <c r="V632" s="137">
        <v>588.0</v>
      </c>
      <c r="W632" s="134">
        <v>1408.0</v>
      </c>
      <c r="X632" s="137">
        <v>872.0</v>
      </c>
      <c r="Y632" s="134">
        <v>2536.0</v>
      </c>
      <c r="Z632" s="134">
        <v>1734.0</v>
      </c>
      <c r="AA632" s="134">
        <v>4426.0</v>
      </c>
      <c r="AB632" s="134">
        <v>2144.0</v>
      </c>
      <c r="AC632" s="134">
        <v>4928.0</v>
      </c>
      <c r="AD632" s="134">
        <v>2466.0</v>
      </c>
      <c r="AE632" s="134">
        <v>4832.0</v>
      </c>
      <c r="AF632" s="134">
        <v>2598.0</v>
      </c>
      <c r="AG632" s="134">
        <v>4566.0</v>
      </c>
      <c r="AH632" s="134">
        <v>2574.0</v>
      </c>
      <c r="AI632" s="134">
        <v>4044.0</v>
      </c>
      <c r="AJ632" s="134">
        <v>2054.0</v>
      </c>
      <c r="AK632" s="134">
        <v>3148.0</v>
      </c>
      <c r="AL632" s="134">
        <v>1878.0</v>
      </c>
      <c r="AM632" s="134">
        <v>3072.0</v>
      </c>
      <c r="AN632" s="134">
        <v>51504.0</v>
      </c>
    </row>
    <row r="633">
      <c r="A633" s="104"/>
      <c r="B633" s="136" t="s">
        <v>201</v>
      </c>
      <c r="C633" s="134">
        <v>4642.0</v>
      </c>
      <c r="D633" s="134">
        <v>2082.0</v>
      </c>
      <c r="E633" s="134">
        <v>2560.0</v>
      </c>
      <c r="F633" s="135">
        <v>0.0</v>
      </c>
      <c r="G633" s="135">
        <v>0.0</v>
      </c>
      <c r="H633" s="135">
        <v>0.0</v>
      </c>
      <c r="I633" s="135">
        <v>0.0</v>
      </c>
      <c r="J633" s="135">
        <v>0.0</v>
      </c>
      <c r="K633" s="135">
        <v>0.0</v>
      </c>
      <c r="L633" s="137">
        <v>0.0</v>
      </c>
      <c r="M633" s="137">
        <v>4.0</v>
      </c>
      <c r="N633" s="137">
        <v>6.0</v>
      </c>
      <c r="O633" s="137">
        <v>16.0</v>
      </c>
      <c r="P633" s="137">
        <v>0.0</v>
      </c>
      <c r="Q633" s="137">
        <v>4.0</v>
      </c>
      <c r="R633" s="137">
        <v>22.0</v>
      </c>
      <c r="S633" s="137">
        <v>20.0</v>
      </c>
      <c r="T633" s="137">
        <v>62.0</v>
      </c>
      <c r="U633" s="137">
        <v>28.0</v>
      </c>
      <c r="V633" s="137">
        <v>100.0</v>
      </c>
      <c r="W633" s="137">
        <v>128.0</v>
      </c>
      <c r="X633" s="137">
        <v>136.0</v>
      </c>
      <c r="Y633" s="137">
        <v>170.0</v>
      </c>
      <c r="Z633" s="137">
        <v>122.0</v>
      </c>
      <c r="AA633" s="137">
        <v>236.0</v>
      </c>
      <c r="AB633" s="137">
        <v>288.0</v>
      </c>
      <c r="AC633" s="137">
        <v>250.0</v>
      </c>
      <c r="AD633" s="137">
        <v>294.0</v>
      </c>
      <c r="AE633" s="137">
        <v>334.0</v>
      </c>
      <c r="AF633" s="137">
        <v>238.0</v>
      </c>
      <c r="AG633" s="137">
        <v>384.0</v>
      </c>
      <c r="AH633" s="137">
        <v>240.0</v>
      </c>
      <c r="AI633" s="137">
        <v>312.0</v>
      </c>
      <c r="AJ633" s="137">
        <v>176.0</v>
      </c>
      <c r="AK633" s="137">
        <v>320.0</v>
      </c>
      <c r="AL633" s="137">
        <v>398.0</v>
      </c>
      <c r="AM633" s="137">
        <v>352.0</v>
      </c>
      <c r="AN633" s="134">
        <v>4596.0</v>
      </c>
    </row>
    <row r="634">
      <c r="A634" s="132" t="s">
        <v>202</v>
      </c>
      <c r="B634" s="136" t="s">
        <v>198</v>
      </c>
      <c r="C634" s="137">
        <v>614.0</v>
      </c>
      <c r="D634" s="137">
        <v>356.0</v>
      </c>
      <c r="E634" s="137">
        <v>258.0</v>
      </c>
      <c r="F634" s="137">
        <v>4.0</v>
      </c>
      <c r="G634" s="137">
        <v>2.0</v>
      </c>
      <c r="H634" s="137">
        <v>0.0</v>
      </c>
      <c r="I634" s="137">
        <v>2.0</v>
      </c>
      <c r="J634" s="137">
        <v>2.0</v>
      </c>
      <c r="K634" s="137">
        <v>0.0</v>
      </c>
      <c r="L634" s="137">
        <v>40.0</v>
      </c>
      <c r="M634" s="137">
        <v>34.0</v>
      </c>
      <c r="N634" s="137">
        <v>14.0</v>
      </c>
      <c r="O634" s="137">
        <v>12.0</v>
      </c>
      <c r="P634" s="137">
        <v>28.0</v>
      </c>
      <c r="Q634" s="137">
        <v>26.0</v>
      </c>
      <c r="R634" s="137">
        <v>42.0</v>
      </c>
      <c r="S634" s="137">
        <v>4.0</v>
      </c>
      <c r="T634" s="137">
        <v>30.0</v>
      </c>
      <c r="U634" s="137">
        <v>10.0</v>
      </c>
      <c r="V634" s="137">
        <v>6.0</v>
      </c>
      <c r="W634" s="137">
        <v>10.0</v>
      </c>
      <c r="X634" s="137">
        <v>18.0</v>
      </c>
      <c r="Y634" s="137">
        <v>12.0</v>
      </c>
      <c r="Z634" s="137">
        <v>34.0</v>
      </c>
      <c r="AA634" s="137">
        <v>24.0</v>
      </c>
      <c r="AB634" s="137">
        <v>32.0</v>
      </c>
      <c r="AC634" s="137">
        <v>26.0</v>
      </c>
      <c r="AD634" s="137">
        <v>22.0</v>
      </c>
      <c r="AE634" s="137">
        <v>14.0</v>
      </c>
      <c r="AF634" s="137">
        <v>26.0</v>
      </c>
      <c r="AG634" s="137">
        <v>16.0</v>
      </c>
      <c r="AH634" s="137">
        <v>18.0</v>
      </c>
      <c r="AI634" s="137">
        <v>42.0</v>
      </c>
      <c r="AJ634" s="137">
        <v>16.0</v>
      </c>
      <c r="AK634" s="137">
        <v>4.0</v>
      </c>
      <c r="AL634" s="137">
        <v>24.0</v>
      </c>
      <c r="AM634" s="137">
        <v>20.0</v>
      </c>
      <c r="AN634" s="137">
        <v>570.0</v>
      </c>
    </row>
    <row r="635">
      <c r="A635" s="104"/>
      <c r="B635" s="136" t="s">
        <v>199</v>
      </c>
      <c r="C635" s="137">
        <v>470.0</v>
      </c>
      <c r="D635" s="137">
        <v>336.0</v>
      </c>
      <c r="E635" s="137">
        <v>134.0</v>
      </c>
      <c r="F635" s="137">
        <v>20.0</v>
      </c>
      <c r="G635" s="137">
        <v>6.0</v>
      </c>
      <c r="H635" s="137">
        <v>4.0</v>
      </c>
      <c r="I635" s="137">
        <v>4.0</v>
      </c>
      <c r="J635" s="137">
        <v>0.0</v>
      </c>
      <c r="K635" s="137">
        <v>2.0</v>
      </c>
      <c r="L635" s="137">
        <v>20.0</v>
      </c>
      <c r="M635" s="137">
        <v>42.0</v>
      </c>
      <c r="N635" s="137">
        <v>20.0</v>
      </c>
      <c r="O635" s="137">
        <v>4.0</v>
      </c>
      <c r="P635" s="137">
        <v>24.0</v>
      </c>
      <c r="Q635" s="137">
        <v>2.0</v>
      </c>
      <c r="R635" s="137">
        <v>12.0</v>
      </c>
      <c r="S635" s="137">
        <v>2.0</v>
      </c>
      <c r="T635" s="137">
        <v>134.0</v>
      </c>
      <c r="U635" s="137">
        <v>4.0</v>
      </c>
      <c r="V635" s="137">
        <v>0.0</v>
      </c>
      <c r="W635" s="137">
        <v>0.0</v>
      </c>
      <c r="X635" s="137">
        <v>4.0</v>
      </c>
      <c r="Y635" s="137">
        <v>2.0</v>
      </c>
      <c r="Z635" s="137">
        <v>18.0</v>
      </c>
      <c r="AA635" s="137">
        <v>10.0</v>
      </c>
      <c r="AB635" s="137">
        <v>22.0</v>
      </c>
      <c r="AC635" s="137">
        <v>2.0</v>
      </c>
      <c r="AD635" s="137">
        <v>14.0</v>
      </c>
      <c r="AE635" s="137">
        <v>14.0</v>
      </c>
      <c r="AF635" s="137">
        <v>12.0</v>
      </c>
      <c r="AG635" s="137">
        <v>2.0</v>
      </c>
      <c r="AH635" s="137">
        <v>14.0</v>
      </c>
      <c r="AI635" s="137">
        <v>18.0</v>
      </c>
      <c r="AJ635" s="137">
        <v>8.0</v>
      </c>
      <c r="AK635" s="137">
        <v>6.0</v>
      </c>
      <c r="AL635" s="137">
        <v>10.0</v>
      </c>
      <c r="AM635" s="137">
        <v>14.0</v>
      </c>
      <c r="AN635" s="137">
        <v>462.0</v>
      </c>
    </row>
    <row r="636">
      <c r="A636" s="132" t="s">
        <v>203</v>
      </c>
      <c r="B636" s="136" t="s">
        <v>198</v>
      </c>
      <c r="C636" s="137">
        <v>18.0</v>
      </c>
      <c r="D636" s="137">
        <v>12.0</v>
      </c>
      <c r="E636" s="137">
        <v>6.0</v>
      </c>
      <c r="F636" s="135">
        <v>0.0</v>
      </c>
      <c r="G636" s="135">
        <v>0.0</v>
      </c>
      <c r="H636" s="135">
        <v>0.0</v>
      </c>
      <c r="I636" s="135">
        <v>0.0</v>
      </c>
      <c r="J636" s="135">
        <v>0.0</v>
      </c>
      <c r="K636" s="135">
        <v>0.0</v>
      </c>
      <c r="L636" s="135">
        <v>0.0</v>
      </c>
      <c r="M636" s="135">
        <v>0.0</v>
      </c>
      <c r="N636" s="135">
        <v>0.0</v>
      </c>
      <c r="O636" s="135">
        <v>0.0</v>
      </c>
      <c r="P636" s="135">
        <v>0.0</v>
      </c>
      <c r="Q636" s="135">
        <v>0.0</v>
      </c>
      <c r="R636" s="135">
        <v>0.0</v>
      </c>
      <c r="S636" s="135">
        <v>0.0</v>
      </c>
      <c r="T636" s="135">
        <v>0.0</v>
      </c>
      <c r="U636" s="135">
        <v>0.0</v>
      </c>
      <c r="V636" s="135">
        <v>0.0</v>
      </c>
      <c r="W636" s="135">
        <v>0.0</v>
      </c>
      <c r="X636" s="135">
        <v>0.0</v>
      </c>
      <c r="Y636" s="135">
        <v>0.0</v>
      </c>
      <c r="Z636" s="135">
        <v>0.0</v>
      </c>
      <c r="AA636" s="135">
        <v>0.0</v>
      </c>
      <c r="AB636" s="135">
        <v>0.0</v>
      </c>
      <c r="AC636" s="135">
        <v>0.0</v>
      </c>
      <c r="AD636" s="135">
        <v>0.0</v>
      </c>
      <c r="AE636" s="135">
        <v>0.0</v>
      </c>
      <c r="AF636" s="137">
        <v>2.0</v>
      </c>
      <c r="AG636" s="137">
        <v>2.0</v>
      </c>
      <c r="AH636" s="137">
        <v>2.0</v>
      </c>
      <c r="AI636" s="137">
        <v>0.0</v>
      </c>
      <c r="AJ636" s="137">
        <v>0.0</v>
      </c>
      <c r="AK636" s="137">
        <v>2.0</v>
      </c>
      <c r="AL636" s="137">
        <v>8.0</v>
      </c>
      <c r="AM636" s="137">
        <v>2.0</v>
      </c>
      <c r="AN636" s="137">
        <v>18.0</v>
      </c>
    </row>
    <row r="637">
      <c r="A637" s="104"/>
      <c r="B637" s="136" t="s">
        <v>199</v>
      </c>
      <c r="C637" s="134">
        <v>1238.0</v>
      </c>
      <c r="D637" s="137">
        <v>524.0</v>
      </c>
      <c r="E637" s="137">
        <v>746.0</v>
      </c>
      <c r="F637" s="135">
        <v>0.0</v>
      </c>
      <c r="G637" s="135">
        <v>0.0</v>
      </c>
      <c r="H637" s="135">
        <v>0.0</v>
      </c>
      <c r="I637" s="135">
        <v>0.0</v>
      </c>
      <c r="J637" s="135">
        <v>0.0</v>
      </c>
      <c r="K637" s="135">
        <v>0.0</v>
      </c>
      <c r="L637" s="135">
        <v>0.0</v>
      </c>
      <c r="M637" s="135">
        <v>0.0</v>
      </c>
      <c r="N637" s="135">
        <v>0.0</v>
      </c>
      <c r="O637" s="135">
        <v>0.0</v>
      </c>
      <c r="P637" s="135">
        <v>0.0</v>
      </c>
      <c r="Q637" s="135">
        <v>0.0</v>
      </c>
      <c r="R637" s="135">
        <v>0.0</v>
      </c>
      <c r="S637" s="135">
        <v>0.0</v>
      </c>
      <c r="T637" s="135">
        <v>0.0</v>
      </c>
      <c r="U637" s="135">
        <v>0.0</v>
      </c>
      <c r="V637" s="135">
        <v>0.0</v>
      </c>
      <c r="W637" s="135">
        <v>0.0</v>
      </c>
      <c r="X637" s="135">
        <v>0.0</v>
      </c>
      <c r="Y637" s="135">
        <v>0.0</v>
      </c>
      <c r="Z637" s="135">
        <v>0.0</v>
      </c>
      <c r="AA637" s="135">
        <v>0.0</v>
      </c>
      <c r="AB637" s="135">
        <v>0.0</v>
      </c>
      <c r="AC637" s="135">
        <v>0.0</v>
      </c>
      <c r="AD637" s="135">
        <v>0.0</v>
      </c>
      <c r="AE637" s="135">
        <v>0.0</v>
      </c>
      <c r="AF637" s="137">
        <v>110.0</v>
      </c>
      <c r="AG637" s="137">
        <v>208.0</v>
      </c>
      <c r="AH637" s="137">
        <v>146.0</v>
      </c>
      <c r="AI637" s="137">
        <v>216.0</v>
      </c>
      <c r="AJ637" s="137">
        <v>124.0</v>
      </c>
      <c r="AK637" s="137">
        <v>182.0</v>
      </c>
      <c r="AL637" s="137">
        <v>112.0</v>
      </c>
      <c r="AM637" s="137">
        <v>140.0</v>
      </c>
      <c r="AN637" s="134">
        <v>1222.0</v>
      </c>
    </row>
    <row r="638">
      <c r="A638" s="132" t="s">
        <v>204</v>
      </c>
      <c r="B638" s="136" t="s">
        <v>198</v>
      </c>
      <c r="C638" s="137">
        <v>12.0</v>
      </c>
      <c r="D638" s="137">
        <v>4.0</v>
      </c>
      <c r="E638" s="137">
        <v>8.0</v>
      </c>
      <c r="F638" s="135">
        <v>0.0</v>
      </c>
      <c r="G638" s="135">
        <v>0.0</v>
      </c>
      <c r="H638" s="135">
        <v>0.0</v>
      </c>
      <c r="I638" s="135">
        <v>0.0</v>
      </c>
      <c r="J638" s="135">
        <v>0.0</v>
      </c>
      <c r="K638" s="135">
        <v>0.0</v>
      </c>
      <c r="L638" s="135">
        <v>0.0</v>
      </c>
      <c r="M638" s="135">
        <v>0.0</v>
      </c>
      <c r="N638" s="135">
        <v>0.0</v>
      </c>
      <c r="O638" s="135">
        <v>0.0</v>
      </c>
      <c r="P638" s="135">
        <v>0.0</v>
      </c>
      <c r="Q638" s="135">
        <v>0.0</v>
      </c>
      <c r="R638" s="135">
        <v>0.0</v>
      </c>
      <c r="S638" s="135">
        <v>0.0</v>
      </c>
      <c r="T638" s="135">
        <v>0.0</v>
      </c>
      <c r="U638" s="135">
        <v>0.0</v>
      </c>
      <c r="V638" s="135">
        <v>0.0</v>
      </c>
      <c r="W638" s="135">
        <v>0.0</v>
      </c>
      <c r="X638" s="135">
        <v>0.0</v>
      </c>
      <c r="Y638" s="135">
        <v>0.0</v>
      </c>
      <c r="Z638" s="135">
        <v>0.0</v>
      </c>
      <c r="AA638" s="135">
        <v>0.0</v>
      </c>
      <c r="AB638" s="135">
        <v>0.0</v>
      </c>
      <c r="AC638" s="135">
        <v>0.0</v>
      </c>
      <c r="AD638" s="135">
        <v>0.0</v>
      </c>
      <c r="AE638" s="135">
        <v>0.0</v>
      </c>
      <c r="AF638" s="137">
        <v>0.0</v>
      </c>
      <c r="AG638" s="137">
        <v>0.0</v>
      </c>
      <c r="AH638" s="137">
        <v>0.0</v>
      </c>
      <c r="AI638" s="137">
        <v>0.0</v>
      </c>
      <c r="AJ638" s="137">
        <v>0.0</v>
      </c>
      <c r="AK638" s="137">
        <v>4.0</v>
      </c>
      <c r="AL638" s="137">
        <v>4.0</v>
      </c>
      <c r="AM638" s="137">
        <v>4.0</v>
      </c>
      <c r="AN638" s="137">
        <v>6.0</v>
      </c>
    </row>
    <row r="639">
      <c r="A639" s="104"/>
      <c r="B639" s="136" t="s">
        <v>199</v>
      </c>
      <c r="C639" s="137">
        <v>714.0</v>
      </c>
      <c r="D639" s="137">
        <v>250.0</v>
      </c>
      <c r="E639" s="137">
        <v>464.0</v>
      </c>
      <c r="F639" s="135">
        <v>0.0</v>
      </c>
      <c r="G639" s="135">
        <v>0.0</v>
      </c>
      <c r="H639" s="135">
        <v>0.0</v>
      </c>
      <c r="I639" s="135">
        <v>0.0</v>
      </c>
      <c r="J639" s="135">
        <v>0.0</v>
      </c>
      <c r="K639" s="135">
        <v>0.0</v>
      </c>
      <c r="L639" s="135">
        <v>0.0</v>
      </c>
      <c r="M639" s="135">
        <v>0.0</v>
      </c>
      <c r="N639" s="135">
        <v>0.0</v>
      </c>
      <c r="O639" s="135">
        <v>0.0</v>
      </c>
      <c r="P639" s="135">
        <v>0.0</v>
      </c>
      <c r="Q639" s="135">
        <v>0.0</v>
      </c>
      <c r="R639" s="135">
        <v>0.0</v>
      </c>
      <c r="S639" s="135">
        <v>0.0</v>
      </c>
      <c r="T639" s="135">
        <v>0.0</v>
      </c>
      <c r="U639" s="135">
        <v>0.0</v>
      </c>
      <c r="V639" s="135">
        <v>0.0</v>
      </c>
      <c r="W639" s="135">
        <v>0.0</v>
      </c>
      <c r="X639" s="135">
        <v>0.0</v>
      </c>
      <c r="Y639" s="135">
        <v>0.0</v>
      </c>
      <c r="Z639" s="135">
        <v>0.0</v>
      </c>
      <c r="AA639" s="135">
        <v>0.0</v>
      </c>
      <c r="AB639" s="135">
        <v>0.0</v>
      </c>
      <c r="AC639" s="135">
        <v>0.0</v>
      </c>
      <c r="AD639" s="135">
        <v>0.0</v>
      </c>
      <c r="AE639" s="135">
        <v>0.0</v>
      </c>
      <c r="AF639" s="137">
        <v>28.0</v>
      </c>
      <c r="AG639" s="137">
        <v>48.0</v>
      </c>
      <c r="AH639" s="137">
        <v>52.0</v>
      </c>
      <c r="AI639" s="137">
        <v>94.0</v>
      </c>
      <c r="AJ639" s="137">
        <v>58.0</v>
      </c>
      <c r="AK639" s="137">
        <v>90.0</v>
      </c>
      <c r="AL639" s="137">
        <v>112.0</v>
      </c>
      <c r="AM639" s="137">
        <v>232.0</v>
      </c>
      <c r="AN639" s="137">
        <v>700.0</v>
      </c>
    </row>
    <row r="640">
      <c r="A640" s="132" t="s">
        <v>205</v>
      </c>
      <c r="B640" s="136" t="s">
        <v>198</v>
      </c>
      <c r="C640" s="137">
        <v>234.0</v>
      </c>
      <c r="D640" s="137">
        <v>32.0</v>
      </c>
      <c r="E640" s="137">
        <v>202.0</v>
      </c>
      <c r="F640" s="137">
        <v>0.0</v>
      </c>
      <c r="G640" s="137">
        <v>4.0</v>
      </c>
      <c r="H640" s="137">
        <v>0.0</v>
      </c>
      <c r="I640" s="137">
        <v>0.0</v>
      </c>
      <c r="J640" s="137">
        <v>0.0</v>
      </c>
      <c r="K640" s="137">
        <v>0.0</v>
      </c>
      <c r="L640" s="137">
        <v>2.0</v>
      </c>
      <c r="M640" s="137">
        <v>16.0</v>
      </c>
      <c r="N640" s="137">
        <v>8.0</v>
      </c>
      <c r="O640" s="137">
        <v>14.0</v>
      </c>
      <c r="P640" s="137">
        <v>2.0</v>
      </c>
      <c r="Q640" s="137">
        <v>16.0</v>
      </c>
      <c r="R640" s="137">
        <v>2.0</v>
      </c>
      <c r="S640" s="137">
        <v>22.0</v>
      </c>
      <c r="T640" s="137">
        <v>2.0</v>
      </c>
      <c r="U640" s="137">
        <v>10.0</v>
      </c>
      <c r="V640" s="137">
        <v>0.0</v>
      </c>
      <c r="W640" s="137">
        <v>16.0</v>
      </c>
      <c r="X640" s="137">
        <v>4.0</v>
      </c>
      <c r="Y640" s="137">
        <v>10.0</v>
      </c>
      <c r="Z640" s="137">
        <v>2.0</v>
      </c>
      <c r="AA640" s="137">
        <v>8.0</v>
      </c>
      <c r="AB640" s="137">
        <v>2.0</v>
      </c>
      <c r="AC640" s="137">
        <v>18.0</v>
      </c>
      <c r="AD640" s="137">
        <v>0.0</v>
      </c>
      <c r="AE640" s="137">
        <v>18.0</v>
      </c>
      <c r="AF640" s="137">
        <v>2.0</v>
      </c>
      <c r="AG640" s="137">
        <v>6.0</v>
      </c>
      <c r="AH640" s="137">
        <v>2.0</v>
      </c>
      <c r="AI640" s="137">
        <v>18.0</v>
      </c>
      <c r="AJ640" s="137">
        <v>2.0</v>
      </c>
      <c r="AK640" s="137">
        <v>18.0</v>
      </c>
      <c r="AL640" s="137">
        <v>2.0</v>
      </c>
      <c r="AM640" s="137">
        <v>8.0</v>
      </c>
      <c r="AN640" s="137">
        <v>228.0</v>
      </c>
    </row>
    <row r="641">
      <c r="A641" s="98"/>
      <c r="B641" s="136" t="s">
        <v>199</v>
      </c>
      <c r="C641" s="137">
        <v>10.0</v>
      </c>
      <c r="D641" s="137">
        <v>2.0</v>
      </c>
      <c r="E641" s="137">
        <v>8.0</v>
      </c>
      <c r="F641" s="137">
        <v>2.0</v>
      </c>
      <c r="G641" s="137">
        <v>2.0</v>
      </c>
      <c r="H641" s="137">
        <v>0.0</v>
      </c>
      <c r="I641" s="137">
        <v>0.0</v>
      </c>
      <c r="J641" s="137">
        <v>0.0</v>
      </c>
      <c r="K641" s="137">
        <v>2.0</v>
      </c>
      <c r="L641" s="137">
        <v>0.0</v>
      </c>
      <c r="M641" s="137">
        <v>2.0</v>
      </c>
      <c r="N641" s="137">
        <v>0.0</v>
      </c>
      <c r="O641" s="137">
        <v>0.0</v>
      </c>
      <c r="P641" s="137">
        <v>0.0</v>
      </c>
      <c r="Q641" s="137">
        <v>0.0</v>
      </c>
      <c r="R641" s="137">
        <v>0.0</v>
      </c>
      <c r="S641" s="137">
        <v>0.0</v>
      </c>
      <c r="T641" s="137">
        <v>0.0</v>
      </c>
      <c r="U641" s="137">
        <v>0.0</v>
      </c>
      <c r="V641" s="137">
        <v>0.0</v>
      </c>
      <c r="W641" s="137">
        <v>0.0</v>
      </c>
      <c r="X641" s="137">
        <v>0.0</v>
      </c>
      <c r="Y641" s="137">
        <v>0.0</v>
      </c>
      <c r="Z641" s="137">
        <v>0.0</v>
      </c>
      <c r="AA641" s="137">
        <v>0.0</v>
      </c>
      <c r="AB641" s="137">
        <v>0.0</v>
      </c>
      <c r="AC641" s="137">
        <v>0.0</v>
      </c>
      <c r="AD641" s="137">
        <v>0.0</v>
      </c>
      <c r="AE641" s="137">
        <v>0.0</v>
      </c>
      <c r="AF641" s="137">
        <v>0.0</v>
      </c>
      <c r="AG641" s="137">
        <v>0.0</v>
      </c>
      <c r="AH641" s="137">
        <v>0.0</v>
      </c>
      <c r="AI641" s="137">
        <v>0.0</v>
      </c>
      <c r="AJ641" s="137">
        <v>0.0</v>
      </c>
      <c r="AK641" s="137">
        <v>0.0</v>
      </c>
      <c r="AL641" s="137">
        <v>0.0</v>
      </c>
      <c r="AM641" s="137">
        <v>2.0</v>
      </c>
      <c r="AN641" s="137">
        <v>10.0</v>
      </c>
    </row>
    <row r="642">
      <c r="A642" s="104"/>
      <c r="B642" s="136" t="s">
        <v>206</v>
      </c>
      <c r="C642" s="134">
        <v>1104.0</v>
      </c>
      <c r="D642" s="137">
        <v>186.0</v>
      </c>
      <c r="E642" s="137">
        <v>918.0</v>
      </c>
      <c r="F642" s="137">
        <v>0.0</v>
      </c>
      <c r="G642" s="137">
        <v>16.0</v>
      </c>
      <c r="H642" s="137">
        <v>0.0</v>
      </c>
      <c r="I642" s="137">
        <v>14.0</v>
      </c>
      <c r="J642" s="137">
        <v>0.0</v>
      </c>
      <c r="K642" s="137">
        <v>6.0</v>
      </c>
      <c r="L642" s="137">
        <v>34.0</v>
      </c>
      <c r="M642" s="137">
        <v>126.0</v>
      </c>
      <c r="N642" s="137">
        <v>62.0</v>
      </c>
      <c r="O642" s="137">
        <v>190.0</v>
      </c>
      <c r="P642" s="137">
        <v>38.0</v>
      </c>
      <c r="Q642" s="137">
        <v>196.0</v>
      </c>
      <c r="R642" s="137">
        <v>12.0</v>
      </c>
      <c r="S642" s="137">
        <v>100.0</v>
      </c>
      <c r="T642" s="137">
        <v>12.0</v>
      </c>
      <c r="U642" s="137">
        <v>104.0</v>
      </c>
      <c r="V642" s="137">
        <v>0.0</v>
      </c>
      <c r="W642" s="137">
        <v>58.0</v>
      </c>
      <c r="X642" s="137">
        <v>0.0</v>
      </c>
      <c r="Y642" s="137">
        <v>36.0</v>
      </c>
      <c r="Z642" s="137">
        <v>10.0</v>
      </c>
      <c r="AA642" s="137">
        <v>26.0</v>
      </c>
      <c r="AB642" s="137">
        <v>12.0</v>
      </c>
      <c r="AC642" s="137">
        <v>18.0</v>
      </c>
      <c r="AD642" s="137">
        <v>2.0</v>
      </c>
      <c r="AE642" s="137">
        <v>8.0</v>
      </c>
      <c r="AF642" s="137">
        <v>4.0</v>
      </c>
      <c r="AG642" s="137">
        <v>2.0</v>
      </c>
      <c r="AH642" s="137">
        <v>0.0</v>
      </c>
      <c r="AI642" s="137">
        <v>4.0</v>
      </c>
      <c r="AJ642" s="137">
        <v>0.0</v>
      </c>
      <c r="AK642" s="137">
        <v>10.0</v>
      </c>
      <c r="AL642" s="137">
        <v>0.0</v>
      </c>
      <c r="AM642" s="137">
        <v>4.0</v>
      </c>
      <c r="AN642" s="134">
        <v>1104.0</v>
      </c>
    </row>
    <row r="643">
      <c r="A643" s="132" t="s">
        <v>207</v>
      </c>
      <c r="B643" s="136" t="s">
        <v>198</v>
      </c>
      <c r="C643" s="134">
        <v>34796.0</v>
      </c>
      <c r="D643" s="134">
        <v>10118.0</v>
      </c>
      <c r="E643" s="134">
        <v>24678.0</v>
      </c>
      <c r="F643" s="134">
        <v>1120.0</v>
      </c>
      <c r="G643" s="137">
        <v>750.0</v>
      </c>
      <c r="H643" s="137">
        <v>708.0</v>
      </c>
      <c r="I643" s="137">
        <v>508.0</v>
      </c>
      <c r="J643" s="137">
        <v>502.0</v>
      </c>
      <c r="K643" s="137">
        <v>392.0</v>
      </c>
      <c r="L643" s="137">
        <v>354.0</v>
      </c>
      <c r="M643" s="137">
        <v>392.0</v>
      </c>
      <c r="N643" s="137">
        <v>176.0</v>
      </c>
      <c r="O643" s="137">
        <v>478.0</v>
      </c>
      <c r="P643" s="137">
        <v>146.0</v>
      </c>
      <c r="Q643" s="137">
        <v>726.0</v>
      </c>
      <c r="R643" s="137">
        <v>198.0</v>
      </c>
      <c r="S643" s="137">
        <v>776.0</v>
      </c>
      <c r="T643" s="137">
        <v>234.0</v>
      </c>
      <c r="U643" s="137">
        <v>998.0</v>
      </c>
      <c r="V643" s="137">
        <v>332.0</v>
      </c>
      <c r="W643" s="134">
        <v>1222.0</v>
      </c>
      <c r="X643" s="137">
        <v>396.0</v>
      </c>
      <c r="Y643" s="134">
        <v>1864.0</v>
      </c>
      <c r="Z643" s="137">
        <v>602.0</v>
      </c>
      <c r="AA643" s="134">
        <v>2534.0</v>
      </c>
      <c r="AB643" s="137">
        <v>718.0</v>
      </c>
      <c r="AC643" s="134">
        <v>2828.0</v>
      </c>
      <c r="AD643" s="137">
        <v>950.0</v>
      </c>
      <c r="AE643" s="134">
        <v>2786.0</v>
      </c>
      <c r="AF643" s="137">
        <v>880.0</v>
      </c>
      <c r="AG643" s="134">
        <v>2538.0</v>
      </c>
      <c r="AH643" s="137">
        <v>950.0</v>
      </c>
      <c r="AI643" s="134">
        <v>2192.0</v>
      </c>
      <c r="AJ643" s="137">
        <v>808.0</v>
      </c>
      <c r="AK643" s="134">
        <v>1788.0</v>
      </c>
      <c r="AL643" s="134">
        <v>1058.0</v>
      </c>
      <c r="AM643" s="134">
        <v>1892.0</v>
      </c>
      <c r="AN643" s="134">
        <v>33838.0</v>
      </c>
    </row>
    <row r="644">
      <c r="A644" s="98"/>
      <c r="B644" s="136" t="s">
        <v>199</v>
      </c>
      <c r="C644" s="134">
        <v>2468.0</v>
      </c>
      <c r="D644" s="137">
        <v>884.0</v>
      </c>
      <c r="E644" s="134">
        <v>1584.0</v>
      </c>
      <c r="F644" s="137">
        <v>68.0</v>
      </c>
      <c r="G644" s="137">
        <v>74.0</v>
      </c>
      <c r="H644" s="137">
        <v>26.0</v>
      </c>
      <c r="I644" s="137">
        <v>16.0</v>
      </c>
      <c r="J644" s="137">
        <v>10.0</v>
      </c>
      <c r="K644" s="137">
        <v>12.0</v>
      </c>
      <c r="L644" s="137">
        <v>14.0</v>
      </c>
      <c r="M644" s="137">
        <v>26.0</v>
      </c>
      <c r="N644" s="137">
        <v>24.0</v>
      </c>
      <c r="O644" s="137">
        <v>12.0</v>
      </c>
      <c r="P644" s="137">
        <v>4.0</v>
      </c>
      <c r="Q644" s="137">
        <v>22.0</v>
      </c>
      <c r="R644" s="137">
        <v>2.0</v>
      </c>
      <c r="S644" s="137">
        <v>38.0</v>
      </c>
      <c r="T644" s="137">
        <v>4.0</v>
      </c>
      <c r="U644" s="137">
        <v>16.0</v>
      </c>
      <c r="V644" s="137">
        <v>22.0</v>
      </c>
      <c r="W644" s="137">
        <v>48.0</v>
      </c>
      <c r="X644" s="137">
        <v>40.0</v>
      </c>
      <c r="Y644" s="137">
        <v>58.0</v>
      </c>
      <c r="Z644" s="137">
        <v>64.0</v>
      </c>
      <c r="AA644" s="137">
        <v>170.0</v>
      </c>
      <c r="AB644" s="137">
        <v>70.0</v>
      </c>
      <c r="AC644" s="137">
        <v>176.0</v>
      </c>
      <c r="AD644" s="137">
        <v>116.0</v>
      </c>
      <c r="AE644" s="137">
        <v>248.0</v>
      </c>
      <c r="AF644" s="137">
        <v>76.0</v>
      </c>
      <c r="AG644" s="137">
        <v>228.0</v>
      </c>
      <c r="AH644" s="137">
        <v>96.0</v>
      </c>
      <c r="AI644" s="137">
        <v>172.0</v>
      </c>
      <c r="AJ644" s="137">
        <v>122.0</v>
      </c>
      <c r="AK644" s="137">
        <v>80.0</v>
      </c>
      <c r="AL644" s="137">
        <v>126.0</v>
      </c>
      <c r="AM644" s="137">
        <v>188.0</v>
      </c>
      <c r="AN644" s="134">
        <v>2440.0</v>
      </c>
    </row>
    <row r="645">
      <c r="A645" s="98"/>
      <c r="B645" s="136" t="s">
        <v>206</v>
      </c>
      <c r="C645" s="137">
        <v>110.0</v>
      </c>
      <c r="D645" s="137">
        <v>4.0</v>
      </c>
      <c r="E645" s="137">
        <v>106.0</v>
      </c>
      <c r="F645" s="137">
        <v>4.0</v>
      </c>
      <c r="G645" s="137">
        <v>4.0</v>
      </c>
      <c r="H645" s="137">
        <v>0.0</v>
      </c>
      <c r="I645" s="137">
        <v>0.0</v>
      </c>
      <c r="J645" s="137">
        <v>0.0</v>
      </c>
      <c r="K645" s="137">
        <v>6.0</v>
      </c>
      <c r="L645" s="137">
        <v>0.0</v>
      </c>
      <c r="M645" s="137">
        <v>2.0</v>
      </c>
      <c r="N645" s="137">
        <v>0.0</v>
      </c>
      <c r="O645" s="137">
        <v>8.0</v>
      </c>
      <c r="P645" s="137">
        <v>0.0</v>
      </c>
      <c r="Q645" s="137">
        <v>26.0</v>
      </c>
      <c r="R645" s="137">
        <v>0.0</v>
      </c>
      <c r="S645" s="137">
        <v>22.0</v>
      </c>
      <c r="T645" s="137">
        <v>0.0</v>
      </c>
      <c r="U645" s="137">
        <v>10.0</v>
      </c>
      <c r="V645" s="137">
        <v>0.0</v>
      </c>
      <c r="W645" s="137">
        <v>8.0</v>
      </c>
      <c r="X645" s="137">
        <v>0.0</v>
      </c>
      <c r="Y645" s="137">
        <v>4.0</v>
      </c>
      <c r="Z645" s="137">
        <v>0.0</v>
      </c>
      <c r="AA645" s="137">
        <v>10.0</v>
      </c>
      <c r="AB645" s="137">
        <v>0.0</v>
      </c>
      <c r="AC645" s="137">
        <v>4.0</v>
      </c>
      <c r="AD645" s="137">
        <v>0.0</v>
      </c>
      <c r="AE645" s="137">
        <v>2.0</v>
      </c>
      <c r="AF645" s="137">
        <v>0.0</v>
      </c>
      <c r="AG645" s="137">
        <v>0.0</v>
      </c>
      <c r="AH645" s="137">
        <v>0.0</v>
      </c>
      <c r="AI645" s="137">
        <v>0.0</v>
      </c>
      <c r="AJ645" s="137">
        <v>0.0</v>
      </c>
      <c r="AK645" s="137">
        <v>0.0</v>
      </c>
      <c r="AL645" s="137">
        <v>0.0</v>
      </c>
      <c r="AM645" s="137">
        <v>0.0</v>
      </c>
      <c r="AN645" s="137">
        <v>94.0</v>
      </c>
    </row>
    <row r="646">
      <c r="A646" s="98"/>
      <c r="B646" s="136" t="s">
        <v>200</v>
      </c>
      <c r="C646" s="134">
        <v>4874.0</v>
      </c>
      <c r="D646" s="134">
        <v>1834.0</v>
      </c>
      <c r="E646" s="134">
        <v>3040.0</v>
      </c>
      <c r="F646" s="137">
        <v>878.0</v>
      </c>
      <c r="G646" s="137">
        <v>902.0</v>
      </c>
      <c r="H646" s="137">
        <v>542.0</v>
      </c>
      <c r="I646" s="137">
        <v>420.0</v>
      </c>
      <c r="J646" s="137">
        <v>160.0</v>
      </c>
      <c r="K646" s="137">
        <v>194.0</v>
      </c>
      <c r="L646" s="137">
        <v>6.0</v>
      </c>
      <c r="M646" s="137">
        <v>120.0</v>
      </c>
      <c r="N646" s="137">
        <v>8.0</v>
      </c>
      <c r="O646" s="137">
        <v>146.0</v>
      </c>
      <c r="P646" s="137">
        <v>12.0</v>
      </c>
      <c r="Q646" s="137">
        <v>212.0</v>
      </c>
      <c r="R646" s="137">
        <v>10.0</v>
      </c>
      <c r="S646" s="137">
        <v>146.0</v>
      </c>
      <c r="T646" s="137">
        <v>10.0</v>
      </c>
      <c r="U646" s="137">
        <v>116.0</v>
      </c>
      <c r="V646" s="137">
        <v>18.0</v>
      </c>
      <c r="W646" s="137">
        <v>90.0</v>
      </c>
      <c r="X646" s="137">
        <v>18.0</v>
      </c>
      <c r="Y646" s="137">
        <v>132.0</v>
      </c>
      <c r="Z646" s="137">
        <v>30.0</v>
      </c>
      <c r="AA646" s="137">
        <v>148.0</v>
      </c>
      <c r="AB646" s="137">
        <v>44.0</v>
      </c>
      <c r="AC646" s="137">
        <v>120.0</v>
      </c>
      <c r="AD646" s="137">
        <v>26.0</v>
      </c>
      <c r="AE646" s="137">
        <v>80.0</v>
      </c>
      <c r="AF646" s="137">
        <v>16.0</v>
      </c>
      <c r="AG646" s="137">
        <v>64.0</v>
      </c>
      <c r="AH646" s="137">
        <v>12.0</v>
      </c>
      <c r="AI646" s="137">
        <v>76.0</v>
      </c>
      <c r="AJ646" s="137">
        <v>16.0</v>
      </c>
      <c r="AK646" s="137">
        <v>34.0</v>
      </c>
      <c r="AL646" s="137">
        <v>28.0</v>
      </c>
      <c r="AM646" s="137">
        <v>40.0</v>
      </c>
      <c r="AN646" s="134">
        <v>4786.0</v>
      </c>
    </row>
    <row r="647">
      <c r="A647" s="104"/>
      <c r="B647" s="136" t="s">
        <v>201</v>
      </c>
      <c r="C647" s="134">
        <v>17512.0</v>
      </c>
      <c r="D647" s="134">
        <v>7676.0</v>
      </c>
      <c r="E647" s="134">
        <v>9836.0</v>
      </c>
      <c r="F647" s="137">
        <v>464.0</v>
      </c>
      <c r="G647" s="137">
        <v>410.0</v>
      </c>
      <c r="H647" s="137">
        <v>550.0</v>
      </c>
      <c r="I647" s="137">
        <v>446.0</v>
      </c>
      <c r="J647" s="137">
        <v>518.0</v>
      </c>
      <c r="K647" s="137">
        <v>500.0</v>
      </c>
      <c r="L647" s="137">
        <v>282.0</v>
      </c>
      <c r="M647" s="137">
        <v>420.0</v>
      </c>
      <c r="N647" s="137">
        <v>242.0</v>
      </c>
      <c r="O647" s="137">
        <v>520.0</v>
      </c>
      <c r="P647" s="137">
        <v>272.0</v>
      </c>
      <c r="Q647" s="137">
        <v>568.0</v>
      </c>
      <c r="R647" s="137">
        <v>236.0</v>
      </c>
      <c r="S647" s="137">
        <v>600.0</v>
      </c>
      <c r="T647" s="137">
        <v>234.0</v>
      </c>
      <c r="U647" s="137">
        <v>482.0</v>
      </c>
      <c r="V647" s="137">
        <v>440.0</v>
      </c>
      <c r="W647" s="137">
        <v>660.0</v>
      </c>
      <c r="X647" s="137">
        <v>376.0</v>
      </c>
      <c r="Y647" s="137">
        <v>774.0</v>
      </c>
      <c r="Z647" s="137">
        <v>600.0</v>
      </c>
      <c r="AA647" s="137">
        <v>738.0</v>
      </c>
      <c r="AB647" s="137">
        <v>646.0</v>
      </c>
      <c r="AC647" s="137">
        <v>564.0</v>
      </c>
      <c r="AD647" s="137">
        <v>452.0</v>
      </c>
      <c r="AE647" s="137">
        <v>726.0</v>
      </c>
      <c r="AF647" s="137">
        <v>552.0</v>
      </c>
      <c r="AG647" s="137">
        <v>656.0</v>
      </c>
      <c r="AH647" s="137">
        <v>594.0</v>
      </c>
      <c r="AI647" s="137">
        <v>610.0</v>
      </c>
      <c r="AJ647" s="137">
        <v>576.0</v>
      </c>
      <c r="AK647" s="137">
        <v>544.0</v>
      </c>
      <c r="AL647" s="137">
        <v>616.0</v>
      </c>
      <c r="AM647" s="137">
        <v>644.0</v>
      </c>
      <c r="AN647" s="134">
        <v>16952.0</v>
      </c>
    </row>
    <row r="648">
      <c r="A648" s="132" t="s">
        <v>208</v>
      </c>
      <c r="B648" s="136" t="s">
        <v>198</v>
      </c>
      <c r="C648" s="137">
        <v>62.0</v>
      </c>
      <c r="D648" s="137">
        <v>32.0</v>
      </c>
      <c r="E648" s="137">
        <v>30.0</v>
      </c>
      <c r="F648" s="137">
        <v>4.0</v>
      </c>
      <c r="G648" s="137">
        <v>10.0</v>
      </c>
      <c r="H648" s="137">
        <v>18.0</v>
      </c>
      <c r="I648" s="137">
        <v>14.0</v>
      </c>
      <c r="J648" s="137">
        <v>8.0</v>
      </c>
      <c r="K648" s="137">
        <v>2.0</v>
      </c>
      <c r="L648" s="137">
        <v>2.0</v>
      </c>
      <c r="M648" s="137">
        <v>4.0</v>
      </c>
      <c r="N648" s="137">
        <v>0.0</v>
      </c>
      <c r="O648" s="137">
        <v>0.0</v>
      </c>
      <c r="P648" s="135">
        <v>0.0</v>
      </c>
      <c r="Q648" s="135">
        <v>0.0</v>
      </c>
      <c r="R648" s="135">
        <v>0.0</v>
      </c>
      <c r="S648" s="135">
        <v>0.0</v>
      </c>
      <c r="T648" s="135">
        <v>0.0</v>
      </c>
      <c r="U648" s="135">
        <v>0.0</v>
      </c>
      <c r="V648" s="135">
        <v>0.0</v>
      </c>
      <c r="W648" s="135">
        <v>0.0</v>
      </c>
      <c r="X648" s="135">
        <v>0.0</v>
      </c>
      <c r="Y648" s="135">
        <v>0.0</v>
      </c>
      <c r="Z648" s="135">
        <v>0.0</v>
      </c>
      <c r="AA648" s="135">
        <v>0.0</v>
      </c>
      <c r="AB648" s="135">
        <v>0.0</v>
      </c>
      <c r="AC648" s="135">
        <v>0.0</v>
      </c>
      <c r="AD648" s="135">
        <v>0.0</v>
      </c>
      <c r="AE648" s="135">
        <v>0.0</v>
      </c>
      <c r="AF648" s="135">
        <v>0.0</v>
      </c>
      <c r="AG648" s="135">
        <v>0.0</v>
      </c>
      <c r="AH648" s="135">
        <v>0.0</v>
      </c>
      <c r="AI648" s="135">
        <v>0.0</v>
      </c>
      <c r="AJ648" s="135">
        <v>0.0</v>
      </c>
      <c r="AK648" s="135">
        <v>0.0</v>
      </c>
      <c r="AL648" s="135">
        <v>0.0</v>
      </c>
      <c r="AM648" s="135">
        <v>0.0</v>
      </c>
      <c r="AN648" s="137">
        <v>60.0</v>
      </c>
    </row>
    <row r="649">
      <c r="A649" s="98"/>
      <c r="B649" s="136" t="s">
        <v>199</v>
      </c>
      <c r="C649" s="137">
        <v>154.0</v>
      </c>
      <c r="D649" s="137">
        <v>82.0</v>
      </c>
      <c r="E649" s="137">
        <v>72.0</v>
      </c>
      <c r="F649" s="137">
        <v>66.0</v>
      </c>
      <c r="G649" s="137">
        <v>70.0</v>
      </c>
      <c r="H649" s="137">
        <v>14.0</v>
      </c>
      <c r="I649" s="137">
        <v>2.0</v>
      </c>
      <c r="J649" s="137">
        <v>0.0</v>
      </c>
      <c r="K649" s="137">
        <v>0.0</v>
      </c>
      <c r="L649" s="137">
        <v>0.0</v>
      </c>
      <c r="M649" s="137">
        <v>0.0</v>
      </c>
      <c r="N649" s="137">
        <v>2.0</v>
      </c>
      <c r="O649" s="137">
        <v>0.0</v>
      </c>
      <c r="P649" s="135">
        <v>0.0</v>
      </c>
      <c r="Q649" s="135">
        <v>0.0</v>
      </c>
      <c r="R649" s="135">
        <v>0.0</v>
      </c>
      <c r="S649" s="135">
        <v>0.0</v>
      </c>
      <c r="T649" s="135">
        <v>0.0</v>
      </c>
      <c r="U649" s="135">
        <v>0.0</v>
      </c>
      <c r="V649" s="135">
        <v>0.0</v>
      </c>
      <c r="W649" s="135">
        <v>0.0</v>
      </c>
      <c r="X649" s="135">
        <v>0.0</v>
      </c>
      <c r="Y649" s="135">
        <v>0.0</v>
      </c>
      <c r="Z649" s="135">
        <v>0.0</v>
      </c>
      <c r="AA649" s="135">
        <v>0.0</v>
      </c>
      <c r="AB649" s="135">
        <v>0.0</v>
      </c>
      <c r="AC649" s="135">
        <v>0.0</v>
      </c>
      <c r="AD649" s="135">
        <v>0.0</v>
      </c>
      <c r="AE649" s="135">
        <v>0.0</v>
      </c>
      <c r="AF649" s="135">
        <v>0.0</v>
      </c>
      <c r="AG649" s="135">
        <v>0.0</v>
      </c>
      <c r="AH649" s="135">
        <v>0.0</v>
      </c>
      <c r="AI649" s="135">
        <v>0.0</v>
      </c>
      <c r="AJ649" s="135">
        <v>0.0</v>
      </c>
      <c r="AK649" s="135">
        <v>0.0</v>
      </c>
      <c r="AL649" s="135">
        <v>0.0</v>
      </c>
      <c r="AM649" s="135">
        <v>0.0</v>
      </c>
      <c r="AN649" s="137">
        <v>136.0</v>
      </c>
    </row>
    <row r="650">
      <c r="A650" s="98"/>
      <c r="B650" s="136" t="s">
        <v>206</v>
      </c>
      <c r="C650" s="137">
        <v>0.0</v>
      </c>
      <c r="D650" s="137">
        <v>0.0</v>
      </c>
      <c r="E650" s="137">
        <v>0.0</v>
      </c>
      <c r="F650" s="137">
        <v>0.0</v>
      </c>
      <c r="G650" s="137">
        <v>0.0</v>
      </c>
      <c r="H650" s="137">
        <v>0.0</v>
      </c>
      <c r="I650" s="137">
        <v>0.0</v>
      </c>
      <c r="J650" s="137">
        <v>0.0</v>
      </c>
      <c r="K650" s="137">
        <v>0.0</v>
      </c>
      <c r="L650" s="137">
        <v>0.0</v>
      </c>
      <c r="M650" s="137">
        <v>0.0</v>
      </c>
      <c r="N650" s="137">
        <v>0.0</v>
      </c>
      <c r="O650" s="137">
        <v>0.0</v>
      </c>
      <c r="P650" s="135">
        <v>0.0</v>
      </c>
      <c r="Q650" s="135">
        <v>0.0</v>
      </c>
      <c r="R650" s="135">
        <v>0.0</v>
      </c>
      <c r="S650" s="135">
        <v>0.0</v>
      </c>
      <c r="T650" s="135">
        <v>0.0</v>
      </c>
      <c r="U650" s="135">
        <v>0.0</v>
      </c>
      <c r="V650" s="135">
        <v>0.0</v>
      </c>
      <c r="W650" s="135">
        <v>0.0</v>
      </c>
      <c r="X650" s="135">
        <v>0.0</v>
      </c>
      <c r="Y650" s="135">
        <v>0.0</v>
      </c>
      <c r="Z650" s="135">
        <v>0.0</v>
      </c>
      <c r="AA650" s="135">
        <v>0.0</v>
      </c>
      <c r="AB650" s="135">
        <v>0.0</v>
      </c>
      <c r="AC650" s="135">
        <v>0.0</v>
      </c>
      <c r="AD650" s="135">
        <v>0.0</v>
      </c>
      <c r="AE650" s="135">
        <v>0.0</v>
      </c>
      <c r="AF650" s="135">
        <v>0.0</v>
      </c>
      <c r="AG650" s="135">
        <v>0.0</v>
      </c>
      <c r="AH650" s="135">
        <v>0.0</v>
      </c>
      <c r="AI650" s="135">
        <v>0.0</v>
      </c>
      <c r="AJ650" s="135">
        <v>0.0</v>
      </c>
      <c r="AK650" s="135">
        <v>0.0</v>
      </c>
      <c r="AL650" s="135">
        <v>0.0</v>
      </c>
      <c r="AM650" s="135">
        <v>0.0</v>
      </c>
      <c r="AN650" s="137">
        <v>0.0</v>
      </c>
    </row>
    <row r="651">
      <c r="A651" s="98"/>
      <c r="B651" s="136" t="s">
        <v>200</v>
      </c>
      <c r="C651" s="137">
        <v>226.0</v>
      </c>
      <c r="D651" s="137">
        <v>90.0</v>
      </c>
      <c r="E651" s="137">
        <v>136.0</v>
      </c>
      <c r="F651" s="137">
        <v>68.0</v>
      </c>
      <c r="G651" s="137">
        <v>68.0</v>
      </c>
      <c r="H651" s="137">
        <v>8.0</v>
      </c>
      <c r="I651" s="137">
        <v>42.0</v>
      </c>
      <c r="J651" s="137">
        <v>6.0</v>
      </c>
      <c r="K651" s="137">
        <v>4.0</v>
      </c>
      <c r="L651" s="137">
        <v>8.0</v>
      </c>
      <c r="M651" s="137">
        <v>20.0</v>
      </c>
      <c r="N651" s="137">
        <v>0.0</v>
      </c>
      <c r="O651" s="137">
        <v>2.0</v>
      </c>
      <c r="P651" s="135">
        <v>0.0</v>
      </c>
      <c r="Q651" s="135">
        <v>0.0</v>
      </c>
      <c r="R651" s="135">
        <v>0.0</v>
      </c>
      <c r="S651" s="135">
        <v>0.0</v>
      </c>
      <c r="T651" s="135">
        <v>0.0</v>
      </c>
      <c r="U651" s="135">
        <v>0.0</v>
      </c>
      <c r="V651" s="135">
        <v>0.0</v>
      </c>
      <c r="W651" s="135">
        <v>0.0</v>
      </c>
      <c r="X651" s="135">
        <v>0.0</v>
      </c>
      <c r="Y651" s="135">
        <v>0.0</v>
      </c>
      <c r="Z651" s="135">
        <v>0.0</v>
      </c>
      <c r="AA651" s="135">
        <v>0.0</v>
      </c>
      <c r="AB651" s="135">
        <v>0.0</v>
      </c>
      <c r="AC651" s="135">
        <v>0.0</v>
      </c>
      <c r="AD651" s="135">
        <v>0.0</v>
      </c>
      <c r="AE651" s="135">
        <v>0.0</v>
      </c>
      <c r="AF651" s="135">
        <v>0.0</v>
      </c>
      <c r="AG651" s="135">
        <v>0.0</v>
      </c>
      <c r="AH651" s="135">
        <v>0.0</v>
      </c>
      <c r="AI651" s="135">
        <v>0.0</v>
      </c>
      <c r="AJ651" s="135">
        <v>0.0</v>
      </c>
      <c r="AK651" s="135">
        <v>0.0</v>
      </c>
      <c r="AL651" s="135">
        <v>0.0</v>
      </c>
      <c r="AM651" s="135">
        <v>0.0</v>
      </c>
      <c r="AN651" s="137">
        <v>224.0</v>
      </c>
    </row>
    <row r="652">
      <c r="A652" s="104"/>
      <c r="B652" s="136" t="s">
        <v>201</v>
      </c>
      <c r="C652" s="137">
        <v>0.0</v>
      </c>
      <c r="D652" s="137">
        <v>0.0</v>
      </c>
      <c r="E652" s="137">
        <v>0.0</v>
      </c>
      <c r="F652" s="137">
        <v>0.0</v>
      </c>
      <c r="G652" s="137">
        <v>0.0</v>
      </c>
      <c r="H652" s="137">
        <v>0.0</v>
      </c>
      <c r="I652" s="137">
        <v>0.0</v>
      </c>
      <c r="J652" s="137">
        <v>0.0</v>
      </c>
      <c r="K652" s="137">
        <v>0.0</v>
      </c>
      <c r="L652" s="137">
        <v>0.0</v>
      </c>
      <c r="M652" s="137">
        <v>0.0</v>
      </c>
      <c r="N652" s="137">
        <v>0.0</v>
      </c>
      <c r="O652" s="137">
        <v>0.0</v>
      </c>
      <c r="P652" s="135">
        <v>0.0</v>
      </c>
      <c r="Q652" s="135">
        <v>0.0</v>
      </c>
      <c r="R652" s="135">
        <v>0.0</v>
      </c>
      <c r="S652" s="135">
        <v>0.0</v>
      </c>
      <c r="T652" s="135">
        <v>0.0</v>
      </c>
      <c r="U652" s="135">
        <v>0.0</v>
      </c>
      <c r="V652" s="135">
        <v>0.0</v>
      </c>
      <c r="W652" s="135">
        <v>0.0</v>
      </c>
      <c r="X652" s="135">
        <v>0.0</v>
      </c>
      <c r="Y652" s="135">
        <v>0.0</v>
      </c>
      <c r="Z652" s="135">
        <v>0.0</v>
      </c>
      <c r="AA652" s="135">
        <v>0.0</v>
      </c>
      <c r="AB652" s="135">
        <v>0.0</v>
      </c>
      <c r="AC652" s="135">
        <v>0.0</v>
      </c>
      <c r="AD652" s="135">
        <v>0.0</v>
      </c>
      <c r="AE652" s="135">
        <v>0.0</v>
      </c>
      <c r="AF652" s="135">
        <v>0.0</v>
      </c>
      <c r="AG652" s="135">
        <v>0.0</v>
      </c>
      <c r="AH652" s="135">
        <v>0.0</v>
      </c>
      <c r="AI652" s="135">
        <v>0.0</v>
      </c>
      <c r="AJ652" s="135">
        <v>0.0</v>
      </c>
      <c r="AK652" s="135">
        <v>0.0</v>
      </c>
      <c r="AL652" s="135">
        <v>0.0</v>
      </c>
      <c r="AM652" s="135">
        <v>0.0</v>
      </c>
      <c r="AN652" s="137">
        <v>0.0</v>
      </c>
    </row>
    <row r="653">
      <c r="A653" s="138" t="s">
        <v>266</v>
      </c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</row>
    <row r="654">
      <c r="A654" s="132" t="s">
        <v>197</v>
      </c>
      <c r="B654" s="133" t="s">
        <v>198</v>
      </c>
      <c r="C654" s="134">
        <v>62340.0</v>
      </c>
      <c r="D654" s="134">
        <v>22892.0</v>
      </c>
      <c r="E654" s="134">
        <v>39448.0</v>
      </c>
      <c r="F654" s="135">
        <v>0.0</v>
      </c>
      <c r="G654" s="135">
        <v>0.0</v>
      </c>
      <c r="H654" s="135">
        <v>0.0</v>
      </c>
      <c r="I654" s="135">
        <v>0.0</v>
      </c>
      <c r="J654" s="135">
        <v>0.0</v>
      </c>
      <c r="K654" s="135">
        <v>0.0</v>
      </c>
      <c r="L654" s="137">
        <v>64.0</v>
      </c>
      <c r="M654" s="137">
        <v>58.0</v>
      </c>
      <c r="N654" s="137">
        <v>80.0</v>
      </c>
      <c r="O654" s="137">
        <v>114.0</v>
      </c>
      <c r="P654" s="137">
        <v>194.0</v>
      </c>
      <c r="Q654" s="137">
        <v>330.0</v>
      </c>
      <c r="R654" s="137">
        <v>258.0</v>
      </c>
      <c r="S654" s="137">
        <v>566.0</v>
      </c>
      <c r="T654" s="137">
        <v>480.0</v>
      </c>
      <c r="U654" s="134">
        <v>1024.0</v>
      </c>
      <c r="V654" s="137">
        <v>960.0</v>
      </c>
      <c r="W654" s="134">
        <v>1764.0</v>
      </c>
      <c r="X654" s="134">
        <v>1494.0</v>
      </c>
      <c r="Y654" s="134">
        <v>2978.0</v>
      </c>
      <c r="Z654" s="134">
        <v>2342.0</v>
      </c>
      <c r="AA654" s="134">
        <v>4658.0</v>
      </c>
      <c r="AB654" s="134">
        <v>3042.0</v>
      </c>
      <c r="AC654" s="134">
        <v>5066.0</v>
      </c>
      <c r="AD654" s="134">
        <v>3090.0</v>
      </c>
      <c r="AE654" s="134">
        <v>5150.0</v>
      </c>
      <c r="AF654" s="134">
        <v>3170.0</v>
      </c>
      <c r="AG654" s="134">
        <v>4826.0</v>
      </c>
      <c r="AH654" s="134">
        <v>3024.0</v>
      </c>
      <c r="AI654" s="134">
        <v>4516.0</v>
      </c>
      <c r="AJ654" s="134">
        <v>2436.0</v>
      </c>
      <c r="AK654" s="134">
        <v>4018.0</v>
      </c>
      <c r="AL654" s="134">
        <v>2258.0</v>
      </c>
      <c r="AM654" s="134">
        <v>4380.0</v>
      </c>
      <c r="AN654" s="134">
        <v>60690.0</v>
      </c>
    </row>
    <row r="655">
      <c r="A655" s="98"/>
      <c r="B655" s="136" t="s">
        <v>199</v>
      </c>
      <c r="C655" s="134">
        <v>41254.0</v>
      </c>
      <c r="D655" s="134">
        <v>14992.0</v>
      </c>
      <c r="E655" s="134">
        <v>26262.0</v>
      </c>
      <c r="F655" s="135">
        <v>0.0</v>
      </c>
      <c r="G655" s="135">
        <v>0.0</v>
      </c>
      <c r="H655" s="135">
        <v>0.0</v>
      </c>
      <c r="I655" s="135">
        <v>0.0</v>
      </c>
      <c r="J655" s="135">
        <v>0.0</v>
      </c>
      <c r="K655" s="135">
        <v>0.0</v>
      </c>
      <c r="L655" s="137">
        <v>8.0</v>
      </c>
      <c r="M655" s="137">
        <v>18.0</v>
      </c>
      <c r="N655" s="137">
        <v>20.0</v>
      </c>
      <c r="O655" s="137">
        <v>28.0</v>
      </c>
      <c r="P655" s="137">
        <v>62.0</v>
      </c>
      <c r="Q655" s="137">
        <v>118.0</v>
      </c>
      <c r="R655" s="137">
        <v>116.0</v>
      </c>
      <c r="S655" s="137">
        <v>266.0</v>
      </c>
      <c r="T655" s="137">
        <v>194.0</v>
      </c>
      <c r="U655" s="137">
        <v>520.0</v>
      </c>
      <c r="V655" s="137">
        <v>506.0</v>
      </c>
      <c r="W655" s="137">
        <v>912.0</v>
      </c>
      <c r="X655" s="137">
        <v>754.0</v>
      </c>
      <c r="Y655" s="134">
        <v>1674.0</v>
      </c>
      <c r="Z655" s="134">
        <v>1388.0</v>
      </c>
      <c r="AA655" s="134">
        <v>2818.0</v>
      </c>
      <c r="AB655" s="134">
        <v>1852.0</v>
      </c>
      <c r="AC655" s="134">
        <v>3074.0</v>
      </c>
      <c r="AD655" s="134">
        <v>1824.0</v>
      </c>
      <c r="AE655" s="134">
        <v>3364.0</v>
      </c>
      <c r="AF655" s="134">
        <v>2262.0</v>
      </c>
      <c r="AG655" s="134">
        <v>3702.0</v>
      </c>
      <c r="AH655" s="134">
        <v>2270.0</v>
      </c>
      <c r="AI655" s="134">
        <v>3398.0</v>
      </c>
      <c r="AJ655" s="134">
        <v>1804.0</v>
      </c>
      <c r="AK655" s="134">
        <v>2872.0</v>
      </c>
      <c r="AL655" s="134">
        <v>1932.0</v>
      </c>
      <c r="AM655" s="134">
        <v>3498.0</v>
      </c>
      <c r="AN655" s="134">
        <v>40082.0</v>
      </c>
    </row>
    <row r="656">
      <c r="A656" s="98"/>
      <c r="B656" s="136" t="s">
        <v>200</v>
      </c>
      <c r="C656" s="134">
        <v>43046.0</v>
      </c>
      <c r="D656" s="134">
        <v>14976.0</v>
      </c>
      <c r="E656" s="134">
        <v>28070.0</v>
      </c>
      <c r="F656" s="135">
        <v>0.0</v>
      </c>
      <c r="G656" s="135">
        <v>0.0</v>
      </c>
      <c r="H656" s="135">
        <v>0.0</v>
      </c>
      <c r="I656" s="135">
        <v>0.0</v>
      </c>
      <c r="J656" s="135">
        <v>0.0</v>
      </c>
      <c r="K656" s="135">
        <v>0.0</v>
      </c>
      <c r="L656" s="137">
        <v>10.0</v>
      </c>
      <c r="M656" s="137">
        <v>20.0</v>
      </c>
      <c r="N656" s="137">
        <v>40.0</v>
      </c>
      <c r="O656" s="137">
        <v>74.0</v>
      </c>
      <c r="P656" s="137">
        <v>102.0</v>
      </c>
      <c r="Q656" s="137">
        <v>220.0</v>
      </c>
      <c r="R656" s="137">
        <v>154.0</v>
      </c>
      <c r="S656" s="137">
        <v>448.0</v>
      </c>
      <c r="T656" s="137">
        <v>292.0</v>
      </c>
      <c r="U656" s="137">
        <v>678.0</v>
      </c>
      <c r="V656" s="137">
        <v>588.0</v>
      </c>
      <c r="W656" s="134">
        <v>1274.0</v>
      </c>
      <c r="X656" s="137">
        <v>948.0</v>
      </c>
      <c r="Y656" s="134">
        <v>2118.0</v>
      </c>
      <c r="Z656" s="134">
        <v>1596.0</v>
      </c>
      <c r="AA656" s="134">
        <v>3418.0</v>
      </c>
      <c r="AB656" s="134">
        <v>1816.0</v>
      </c>
      <c r="AC656" s="134">
        <v>3466.0</v>
      </c>
      <c r="AD656" s="134">
        <v>1986.0</v>
      </c>
      <c r="AE656" s="134">
        <v>3708.0</v>
      </c>
      <c r="AF656" s="134">
        <v>2098.0</v>
      </c>
      <c r="AG656" s="134">
        <v>3514.0</v>
      </c>
      <c r="AH656" s="134">
        <v>2214.0</v>
      </c>
      <c r="AI656" s="134">
        <v>3316.0</v>
      </c>
      <c r="AJ656" s="134">
        <v>1580.0</v>
      </c>
      <c r="AK656" s="134">
        <v>2654.0</v>
      </c>
      <c r="AL656" s="134">
        <v>1552.0</v>
      </c>
      <c r="AM656" s="134">
        <v>3162.0</v>
      </c>
      <c r="AN656" s="134">
        <v>42322.0</v>
      </c>
    </row>
    <row r="657">
      <c r="A657" s="104"/>
      <c r="B657" s="136" t="s">
        <v>201</v>
      </c>
      <c r="C657" s="134">
        <v>9738.0</v>
      </c>
      <c r="D657" s="134">
        <v>4058.0</v>
      </c>
      <c r="E657" s="134">
        <v>5680.0</v>
      </c>
      <c r="F657" s="135">
        <v>0.0</v>
      </c>
      <c r="G657" s="135">
        <v>0.0</v>
      </c>
      <c r="H657" s="135">
        <v>0.0</v>
      </c>
      <c r="I657" s="135">
        <v>0.0</v>
      </c>
      <c r="J657" s="135">
        <v>0.0</v>
      </c>
      <c r="K657" s="135">
        <v>0.0</v>
      </c>
      <c r="L657" s="137">
        <v>26.0</v>
      </c>
      <c r="M657" s="137">
        <v>24.0</v>
      </c>
      <c r="N657" s="137">
        <v>28.0</v>
      </c>
      <c r="O657" s="137">
        <v>132.0</v>
      </c>
      <c r="P657" s="137">
        <v>68.0</v>
      </c>
      <c r="Q657" s="137">
        <v>196.0</v>
      </c>
      <c r="R657" s="137">
        <v>100.0</v>
      </c>
      <c r="S657" s="137">
        <v>160.0</v>
      </c>
      <c r="T657" s="137">
        <v>168.0</v>
      </c>
      <c r="U657" s="137">
        <v>250.0</v>
      </c>
      <c r="V657" s="137">
        <v>204.0</v>
      </c>
      <c r="W657" s="137">
        <v>388.0</v>
      </c>
      <c r="X657" s="137">
        <v>320.0</v>
      </c>
      <c r="Y657" s="137">
        <v>396.0</v>
      </c>
      <c r="Z657" s="137">
        <v>430.0</v>
      </c>
      <c r="AA657" s="137">
        <v>548.0</v>
      </c>
      <c r="AB657" s="137">
        <v>430.0</v>
      </c>
      <c r="AC657" s="137">
        <v>608.0</v>
      </c>
      <c r="AD657" s="137">
        <v>448.0</v>
      </c>
      <c r="AE657" s="137">
        <v>624.0</v>
      </c>
      <c r="AF657" s="137">
        <v>574.0</v>
      </c>
      <c r="AG657" s="137">
        <v>560.0</v>
      </c>
      <c r="AH657" s="137">
        <v>478.0</v>
      </c>
      <c r="AI657" s="137">
        <v>596.0</v>
      </c>
      <c r="AJ657" s="137">
        <v>366.0</v>
      </c>
      <c r="AK657" s="137">
        <v>546.0</v>
      </c>
      <c r="AL657" s="137">
        <v>418.0</v>
      </c>
      <c r="AM657" s="137">
        <v>652.0</v>
      </c>
      <c r="AN657" s="134">
        <v>9156.0</v>
      </c>
    </row>
    <row r="658">
      <c r="A658" s="132" t="s">
        <v>202</v>
      </c>
      <c r="B658" s="136" t="s">
        <v>198</v>
      </c>
      <c r="C658" s="137">
        <v>390.0</v>
      </c>
      <c r="D658" s="137">
        <v>240.0</v>
      </c>
      <c r="E658" s="137">
        <v>150.0</v>
      </c>
      <c r="F658" s="137">
        <v>30.0</v>
      </c>
      <c r="G658" s="137">
        <v>10.0</v>
      </c>
      <c r="H658" s="137">
        <v>14.0</v>
      </c>
      <c r="I658" s="137">
        <v>14.0</v>
      </c>
      <c r="J658" s="137">
        <v>26.0</v>
      </c>
      <c r="K658" s="137">
        <v>8.0</v>
      </c>
      <c r="L658" s="137">
        <v>2.0</v>
      </c>
      <c r="M658" s="137">
        <v>0.0</v>
      </c>
      <c r="N658" s="137">
        <v>16.0</v>
      </c>
      <c r="O658" s="137">
        <v>8.0</v>
      </c>
      <c r="P658" s="137">
        <v>22.0</v>
      </c>
      <c r="Q658" s="137">
        <v>12.0</v>
      </c>
      <c r="R658" s="137">
        <v>16.0</v>
      </c>
      <c r="S658" s="137">
        <v>16.0</v>
      </c>
      <c r="T658" s="137">
        <v>34.0</v>
      </c>
      <c r="U658" s="137">
        <v>18.0</v>
      </c>
      <c r="V658" s="137">
        <v>6.0</v>
      </c>
      <c r="W658" s="137">
        <v>4.0</v>
      </c>
      <c r="X658" s="137">
        <v>20.0</v>
      </c>
      <c r="Y658" s="137">
        <v>6.0</v>
      </c>
      <c r="Z658" s="137">
        <v>14.0</v>
      </c>
      <c r="AA658" s="137">
        <v>16.0</v>
      </c>
      <c r="AB658" s="137">
        <v>2.0</v>
      </c>
      <c r="AC658" s="137">
        <v>4.0</v>
      </c>
      <c r="AD658" s="137">
        <v>12.0</v>
      </c>
      <c r="AE658" s="137">
        <v>12.0</v>
      </c>
      <c r="AF658" s="137">
        <v>14.0</v>
      </c>
      <c r="AG658" s="137">
        <v>2.0</v>
      </c>
      <c r="AH658" s="137">
        <v>8.0</v>
      </c>
      <c r="AI658" s="137">
        <v>2.0</v>
      </c>
      <c r="AJ658" s="137">
        <v>0.0</v>
      </c>
      <c r="AK658" s="137">
        <v>0.0</v>
      </c>
      <c r="AL658" s="137">
        <v>4.0</v>
      </c>
      <c r="AM658" s="137">
        <v>18.0</v>
      </c>
      <c r="AN658" s="137">
        <v>316.0</v>
      </c>
    </row>
    <row r="659">
      <c r="A659" s="104"/>
      <c r="B659" s="136" t="s">
        <v>199</v>
      </c>
      <c r="C659" s="137">
        <v>102.0</v>
      </c>
      <c r="D659" s="137">
        <v>60.0</v>
      </c>
      <c r="E659" s="137">
        <v>42.0</v>
      </c>
      <c r="F659" s="137">
        <v>0.0</v>
      </c>
      <c r="G659" s="137">
        <v>2.0</v>
      </c>
      <c r="H659" s="137">
        <v>2.0</v>
      </c>
      <c r="I659" s="137">
        <v>2.0</v>
      </c>
      <c r="J659" s="137">
        <v>0.0</v>
      </c>
      <c r="K659" s="137">
        <v>0.0</v>
      </c>
      <c r="L659" s="137">
        <v>0.0</v>
      </c>
      <c r="M659" s="137">
        <v>0.0</v>
      </c>
      <c r="N659" s="137">
        <v>0.0</v>
      </c>
      <c r="O659" s="137">
        <v>0.0</v>
      </c>
      <c r="P659" s="137">
        <v>10.0</v>
      </c>
      <c r="Q659" s="137">
        <v>0.0</v>
      </c>
      <c r="R659" s="137">
        <v>0.0</v>
      </c>
      <c r="S659" s="137">
        <v>16.0</v>
      </c>
      <c r="T659" s="137">
        <v>4.0</v>
      </c>
      <c r="U659" s="137">
        <v>2.0</v>
      </c>
      <c r="V659" s="137">
        <v>0.0</v>
      </c>
      <c r="W659" s="137">
        <v>4.0</v>
      </c>
      <c r="X659" s="137">
        <v>18.0</v>
      </c>
      <c r="Y659" s="137">
        <v>0.0</v>
      </c>
      <c r="Z659" s="137">
        <v>4.0</v>
      </c>
      <c r="AA659" s="137">
        <v>0.0</v>
      </c>
      <c r="AB659" s="137">
        <v>0.0</v>
      </c>
      <c r="AC659" s="137">
        <v>0.0</v>
      </c>
      <c r="AD659" s="137">
        <v>8.0</v>
      </c>
      <c r="AE659" s="137">
        <v>6.0</v>
      </c>
      <c r="AF659" s="137">
        <v>2.0</v>
      </c>
      <c r="AG659" s="137">
        <v>2.0</v>
      </c>
      <c r="AH659" s="137">
        <v>6.0</v>
      </c>
      <c r="AI659" s="137">
        <v>2.0</v>
      </c>
      <c r="AJ659" s="137">
        <v>2.0</v>
      </c>
      <c r="AK659" s="137">
        <v>0.0</v>
      </c>
      <c r="AL659" s="137">
        <v>4.0</v>
      </c>
      <c r="AM659" s="137">
        <v>6.0</v>
      </c>
      <c r="AN659" s="137">
        <v>90.0</v>
      </c>
    </row>
    <row r="660">
      <c r="A660" s="132" t="s">
        <v>203</v>
      </c>
      <c r="B660" s="136" t="s">
        <v>198</v>
      </c>
      <c r="C660" s="137">
        <v>28.0</v>
      </c>
      <c r="D660" s="137">
        <v>10.0</v>
      </c>
      <c r="E660" s="137">
        <v>18.0</v>
      </c>
      <c r="F660" s="135">
        <v>0.0</v>
      </c>
      <c r="G660" s="135">
        <v>0.0</v>
      </c>
      <c r="H660" s="135">
        <v>0.0</v>
      </c>
      <c r="I660" s="135">
        <v>0.0</v>
      </c>
      <c r="J660" s="135">
        <v>0.0</v>
      </c>
      <c r="K660" s="135">
        <v>0.0</v>
      </c>
      <c r="L660" s="135">
        <v>0.0</v>
      </c>
      <c r="M660" s="135">
        <v>0.0</v>
      </c>
      <c r="N660" s="135">
        <v>0.0</v>
      </c>
      <c r="O660" s="135">
        <v>0.0</v>
      </c>
      <c r="P660" s="135">
        <v>0.0</v>
      </c>
      <c r="Q660" s="135">
        <v>0.0</v>
      </c>
      <c r="R660" s="135">
        <v>0.0</v>
      </c>
      <c r="S660" s="135">
        <v>0.0</v>
      </c>
      <c r="T660" s="135">
        <v>0.0</v>
      </c>
      <c r="U660" s="135">
        <v>0.0</v>
      </c>
      <c r="V660" s="135">
        <v>0.0</v>
      </c>
      <c r="W660" s="135">
        <v>0.0</v>
      </c>
      <c r="X660" s="135">
        <v>0.0</v>
      </c>
      <c r="Y660" s="135">
        <v>0.0</v>
      </c>
      <c r="Z660" s="135">
        <v>0.0</v>
      </c>
      <c r="AA660" s="135">
        <v>0.0</v>
      </c>
      <c r="AB660" s="135">
        <v>0.0</v>
      </c>
      <c r="AC660" s="135">
        <v>0.0</v>
      </c>
      <c r="AD660" s="135">
        <v>0.0</v>
      </c>
      <c r="AE660" s="135">
        <v>0.0</v>
      </c>
      <c r="AF660" s="137">
        <v>0.0</v>
      </c>
      <c r="AG660" s="137">
        <v>0.0</v>
      </c>
      <c r="AH660" s="137">
        <v>8.0</v>
      </c>
      <c r="AI660" s="137">
        <v>6.0</v>
      </c>
      <c r="AJ660" s="137">
        <v>2.0</v>
      </c>
      <c r="AK660" s="137">
        <v>4.0</v>
      </c>
      <c r="AL660" s="137">
        <v>0.0</v>
      </c>
      <c r="AM660" s="137">
        <v>8.0</v>
      </c>
      <c r="AN660" s="137">
        <v>24.0</v>
      </c>
    </row>
    <row r="661">
      <c r="A661" s="104"/>
      <c r="B661" s="136" t="s">
        <v>199</v>
      </c>
      <c r="C661" s="134">
        <v>1370.0</v>
      </c>
      <c r="D661" s="137">
        <v>550.0</v>
      </c>
      <c r="E661" s="137">
        <v>820.0</v>
      </c>
      <c r="F661" s="135">
        <v>0.0</v>
      </c>
      <c r="G661" s="135">
        <v>0.0</v>
      </c>
      <c r="H661" s="135">
        <v>0.0</v>
      </c>
      <c r="I661" s="135">
        <v>0.0</v>
      </c>
      <c r="J661" s="135">
        <v>0.0</v>
      </c>
      <c r="K661" s="135">
        <v>0.0</v>
      </c>
      <c r="L661" s="135">
        <v>0.0</v>
      </c>
      <c r="M661" s="135">
        <v>0.0</v>
      </c>
      <c r="N661" s="135">
        <v>0.0</v>
      </c>
      <c r="O661" s="135">
        <v>0.0</v>
      </c>
      <c r="P661" s="135">
        <v>0.0</v>
      </c>
      <c r="Q661" s="135">
        <v>0.0</v>
      </c>
      <c r="R661" s="135">
        <v>0.0</v>
      </c>
      <c r="S661" s="135">
        <v>0.0</v>
      </c>
      <c r="T661" s="135">
        <v>0.0</v>
      </c>
      <c r="U661" s="135">
        <v>0.0</v>
      </c>
      <c r="V661" s="135">
        <v>0.0</v>
      </c>
      <c r="W661" s="135">
        <v>0.0</v>
      </c>
      <c r="X661" s="135">
        <v>0.0</v>
      </c>
      <c r="Y661" s="135">
        <v>0.0</v>
      </c>
      <c r="Z661" s="135">
        <v>0.0</v>
      </c>
      <c r="AA661" s="135">
        <v>0.0</v>
      </c>
      <c r="AB661" s="135">
        <v>0.0</v>
      </c>
      <c r="AC661" s="135">
        <v>0.0</v>
      </c>
      <c r="AD661" s="135">
        <v>0.0</v>
      </c>
      <c r="AE661" s="135">
        <v>0.0</v>
      </c>
      <c r="AF661" s="137">
        <v>124.0</v>
      </c>
      <c r="AG661" s="137">
        <v>236.0</v>
      </c>
      <c r="AH661" s="137">
        <v>164.0</v>
      </c>
      <c r="AI661" s="137">
        <v>244.0</v>
      </c>
      <c r="AJ661" s="137">
        <v>134.0</v>
      </c>
      <c r="AK661" s="137">
        <v>138.0</v>
      </c>
      <c r="AL661" s="137">
        <v>128.0</v>
      </c>
      <c r="AM661" s="137">
        <v>202.0</v>
      </c>
      <c r="AN661" s="134">
        <v>1362.0</v>
      </c>
    </row>
    <row r="662">
      <c r="A662" s="132" t="s">
        <v>204</v>
      </c>
      <c r="B662" s="136" t="s">
        <v>198</v>
      </c>
      <c r="C662" s="137">
        <v>4.0</v>
      </c>
      <c r="D662" s="137">
        <v>0.0</v>
      </c>
      <c r="E662" s="137">
        <v>4.0</v>
      </c>
      <c r="F662" s="135">
        <v>0.0</v>
      </c>
      <c r="G662" s="135">
        <v>0.0</v>
      </c>
      <c r="H662" s="135">
        <v>0.0</v>
      </c>
      <c r="I662" s="135">
        <v>0.0</v>
      </c>
      <c r="J662" s="135">
        <v>0.0</v>
      </c>
      <c r="K662" s="135">
        <v>0.0</v>
      </c>
      <c r="L662" s="135">
        <v>0.0</v>
      </c>
      <c r="M662" s="135">
        <v>0.0</v>
      </c>
      <c r="N662" s="135">
        <v>0.0</v>
      </c>
      <c r="O662" s="135">
        <v>0.0</v>
      </c>
      <c r="P662" s="135">
        <v>0.0</v>
      </c>
      <c r="Q662" s="135">
        <v>0.0</v>
      </c>
      <c r="R662" s="135">
        <v>0.0</v>
      </c>
      <c r="S662" s="135">
        <v>0.0</v>
      </c>
      <c r="T662" s="135">
        <v>0.0</v>
      </c>
      <c r="U662" s="135">
        <v>0.0</v>
      </c>
      <c r="V662" s="135">
        <v>0.0</v>
      </c>
      <c r="W662" s="135">
        <v>0.0</v>
      </c>
      <c r="X662" s="135">
        <v>0.0</v>
      </c>
      <c r="Y662" s="135">
        <v>0.0</v>
      </c>
      <c r="Z662" s="135">
        <v>0.0</v>
      </c>
      <c r="AA662" s="135">
        <v>0.0</v>
      </c>
      <c r="AB662" s="135">
        <v>0.0</v>
      </c>
      <c r="AC662" s="135">
        <v>0.0</v>
      </c>
      <c r="AD662" s="135">
        <v>0.0</v>
      </c>
      <c r="AE662" s="135">
        <v>0.0</v>
      </c>
      <c r="AF662" s="137">
        <v>0.0</v>
      </c>
      <c r="AG662" s="137">
        <v>0.0</v>
      </c>
      <c r="AH662" s="137">
        <v>0.0</v>
      </c>
      <c r="AI662" s="137">
        <v>0.0</v>
      </c>
      <c r="AJ662" s="137">
        <v>0.0</v>
      </c>
      <c r="AK662" s="137">
        <v>2.0</v>
      </c>
      <c r="AL662" s="137">
        <v>0.0</v>
      </c>
      <c r="AM662" s="137">
        <v>2.0</v>
      </c>
      <c r="AN662" s="137">
        <v>4.0</v>
      </c>
    </row>
    <row r="663">
      <c r="A663" s="104"/>
      <c r="B663" s="136" t="s">
        <v>199</v>
      </c>
      <c r="C663" s="137">
        <v>900.0</v>
      </c>
      <c r="D663" s="137">
        <v>370.0</v>
      </c>
      <c r="E663" s="137">
        <v>530.0</v>
      </c>
      <c r="F663" s="135">
        <v>0.0</v>
      </c>
      <c r="G663" s="135">
        <v>0.0</v>
      </c>
      <c r="H663" s="135">
        <v>0.0</v>
      </c>
      <c r="I663" s="135">
        <v>0.0</v>
      </c>
      <c r="J663" s="135">
        <v>0.0</v>
      </c>
      <c r="K663" s="135">
        <v>0.0</v>
      </c>
      <c r="L663" s="135">
        <v>0.0</v>
      </c>
      <c r="M663" s="135">
        <v>0.0</v>
      </c>
      <c r="N663" s="135">
        <v>0.0</v>
      </c>
      <c r="O663" s="135">
        <v>0.0</v>
      </c>
      <c r="P663" s="135">
        <v>0.0</v>
      </c>
      <c r="Q663" s="135">
        <v>0.0</v>
      </c>
      <c r="R663" s="135">
        <v>0.0</v>
      </c>
      <c r="S663" s="135">
        <v>0.0</v>
      </c>
      <c r="T663" s="135">
        <v>0.0</v>
      </c>
      <c r="U663" s="135">
        <v>0.0</v>
      </c>
      <c r="V663" s="135">
        <v>0.0</v>
      </c>
      <c r="W663" s="135">
        <v>0.0</v>
      </c>
      <c r="X663" s="135">
        <v>0.0</v>
      </c>
      <c r="Y663" s="135">
        <v>0.0</v>
      </c>
      <c r="Z663" s="135">
        <v>0.0</v>
      </c>
      <c r="AA663" s="135">
        <v>0.0</v>
      </c>
      <c r="AB663" s="135">
        <v>0.0</v>
      </c>
      <c r="AC663" s="135">
        <v>0.0</v>
      </c>
      <c r="AD663" s="135">
        <v>0.0</v>
      </c>
      <c r="AE663" s="135">
        <v>0.0</v>
      </c>
      <c r="AF663" s="137">
        <v>68.0</v>
      </c>
      <c r="AG663" s="137">
        <v>100.0</v>
      </c>
      <c r="AH663" s="137">
        <v>68.0</v>
      </c>
      <c r="AI663" s="137">
        <v>78.0</v>
      </c>
      <c r="AJ663" s="137">
        <v>88.0</v>
      </c>
      <c r="AK663" s="137">
        <v>128.0</v>
      </c>
      <c r="AL663" s="137">
        <v>146.0</v>
      </c>
      <c r="AM663" s="137">
        <v>224.0</v>
      </c>
      <c r="AN663" s="137">
        <v>890.0</v>
      </c>
    </row>
    <row r="664">
      <c r="A664" s="132" t="s">
        <v>205</v>
      </c>
      <c r="B664" s="136" t="s">
        <v>198</v>
      </c>
      <c r="C664" s="137">
        <v>12.0</v>
      </c>
      <c r="D664" s="137">
        <v>2.0</v>
      </c>
      <c r="E664" s="137">
        <v>10.0</v>
      </c>
      <c r="F664" s="137">
        <v>0.0</v>
      </c>
      <c r="G664" s="137">
        <v>0.0</v>
      </c>
      <c r="H664" s="137">
        <v>0.0</v>
      </c>
      <c r="I664" s="137">
        <v>0.0</v>
      </c>
      <c r="J664" s="137">
        <v>0.0</v>
      </c>
      <c r="K664" s="137">
        <v>0.0</v>
      </c>
      <c r="L664" s="137">
        <v>0.0</v>
      </c>
      <c r="M664" s="137">
        <v>2.0</v>
      </c>
      <c r="N664" s="137">
        <v>0.0</v>
      </c>
      <c r="O664" s="137">
        <v>0.0</v>
      </c>
      <c r="P664" s="137">
        <v>0.0</v>
      </c>
      <c r="Q664" s="137">
        <v>0.0</v>
      </c>
      <c r="R664" s="137">
        <v>0.0</v>
      </c>
      <c r="S664" s="137">
        <v>0.0</v>
      </c>
      <c r="T664" s="137">
        <v>0.0</v>
      </c>
      <c r="U664" s="137">
        <v>2.0</v>
      </c>
      <c r="V664" s="137">
        <v>0.0</v>
      </c>
      <c r="W664" s="137">
        <v>0.0</v>
      </c>
      <c r="X664" s="137">
        <v>0.0</v>
      </c>
      <c r="Y664" s="137">
        <v>0.0</v>
      </c>
      <c r="Z664" s="137">
        <v>2.0</v>
      </c>
      <c r="AA664" s="137">
        <v>0.0</v>
      </c>
      <c r="AB664" s="137">
        <v>0.0</v>
      </c>
      <c r="AC664" s="137">
        <v>0.0</v>
      </c>
      <c r="AD664" s="137">
        <v>0.0</v>
      </c>
      <c r="AE664" s="137">
        <v>4.0</v>
      </c>
      <c r="AF664" s="137">
        <v>0.0</v>
      </c>
      <c r="AG664" s="137">
        <v>2.0</v>
      </c>
      <c r="AH664" s="137">
        <v>0.0</v>
      </c>
      <c r="AI664" s="137">
        <v>0.0</v>
      </c>
      <c r="AJ664" s="137">
        <v>0.0</v>
      </c>
      <c r="AK664" s="137">
        <v>0.0</v>
      </c>
      <c r="AL664" s="137">
        <v>0.0</v>
      </c>
      <c r="AM664" s="137">
        <v>0.0</v>
      </c>
      <c r="AN664" s="137">
        <v>8.0</v>
      </c>
    </row>
    <row r="665">
      <c r="A665" s="98"/>
      <c r="B665" s="136" t="s">
        <v>199</v>
      </c>
      <c r="C665" s="137">
        <v>0.0</v>
      </c>
      <c r="D665" s="137">
        <v>0.0</v>
      </c>
      <c r="E665" s="137">
        <v>0.0</v>
      </c>
      <c r="F665" s="137">
        <v>0.0</v>
      </c>
      <c r="G665" s="137">
        <v>0.0</v>
      </c>
      <c r="H665" s="137">
        <v>0.0</v>
      </c>
      <c r="I665" s="137">
        <v>0.0</v>
      </c>
      <c r="J665" s="137">
        <v>0.0</v>
      </c>
      <c r="K665" s="137">
        <v>0.0</v>
      </c>
      <c r="L665" s="137">
        <v>0.0</v>
      </c>
      <c r="M665" s="137">
        <v>0.0</v>
      </c>
      <c r="N665" s="137">
        <v>0.0</v>
      </c>
      <c r="O665" s="137">
        <v>0.0</v>
      </c>
      <c r="P665" s="137">
        <v>0.0</v>
      </c>
      <c r="Q665" s="137">
        <v>0.0</v>
      </c>
      <c r="R665" s="137">
        <v>0.0</v>
      </c>
      <c r="S665" s="137">
        <v>0.0</v>
      </c>
      <c r="T665" s="137">
        <v>0.0</v>
      </c>
      <c r="U665" s="137">
        <v>0.0</v>
      </c>
      <c r="V665" s="137">
        <v>0.0</v>
      </c>
      <c r="W665" s="137">
        <v>0.0</v>
      </c>
      <c r="X665" s="137">
        <v>0.0</v>
      </c>
      <c r="Y665" s="137">
        <v>0.0</v>
      </c>
      <c r="Z665" s="137">
        <v>0.0</v>
      </c>
      <c r="AA665" s="137">
        <v>0.0</v>
      </c>
      <c r="AB665" s="137">
        <v>0.0</v>
      </c>
      <c r="AC665" s="137">
        <v>0.0</v>
      </c>
      <c r="AD665" s="137">
        <v>0.0</v>
      </c>
      <c r="AE665" s="137">
        <v>0.0</v>
      </c>
      <c r="AF665" s="137">
        <v>0.0</v>
      </c>
      <c r="AG665" s="137">
        <v>0.0</v>
      </c>
      <c r="AH665" s="137">
        <v>0.0</v>
      </c>
      <c r="AI665" s="137">
        <v>0.0</v>
      </c>
      <c r="AJ665" s="137">
        <v>0.0</v>
      </c>
      <c r="AK665" s="137">
        <v>0.0</v>
      </c>
      <c r="AL665" s="137">
        <v>0.0</v>
      </c>
      <c r="AM665" s="137">
        <v>0.0</v>
      </c>
      <c r="AN665" s="137">
        <v>0.0</v>
      </c>
    </row>
    <row r="666">
      <c r="A666" s="104"/>
      <c r="B666" s="136" t="s">
        <v>206</v>
      </c>
      <c r="C666" s="137">
        <v>12.0</v>
      </c>
      <c r="D666" s="137">
        <v>0.0</v>
      </c>
      <c r="E666" s="137">
        <v>12.0</v>
      </c>
      <c r="F666" s="137">
        <v>0.0</v>
      </c>
      <c r="G666" s="137">
        <v>0.0</v>
      </c>
      <c r="H666" s="137">
        <v>0.0</v>
      </c>
      <c r="I666" s="137">
        <v>0.0</v>
      </c>
      <c r="J666" s="137">
        <v>0.0</v>
      </c>
      <c r="K666" s="137">
        <v>0.0</v>
      </c>
      <c r="L666" s="137">
        <v>0.0</v>
      </c>
      <c r="M666" s="137">
        <v>0.0</v>
      </c>
      <c r="N666" s="137">
        <v>0.0</v>
      </c>
      <c r="O666" s="137">
        <v>6.0</v>
      </c>
      <c r="P666" s="137">
        <v>0.0</v>
      </c>
      <c r="Q666" s="137">
        <v>0.0</v>
      </c>
      <c r="R666" s="137">
        <v>0.0</v>
      </c>
      <c r="S666" s="137">
        <v>4.0</v>
      </c>
      <c r="T666" s="137">
        <v>0.0</v>
      </c>
      <c r="U666" s="137">
        <v>2.0</v>
      </c>
      <c r="V666" s="137">
        <v>0.0</v>
      </c>
      <c r="W666" s="137">
        <v>0.0</v>
      </c>
      <c r="X666" s="137">
        <v>0.0</v>
      </c>
      <c r="Y666" s="137">
        <v>0.0</v>
      </c>
      <c r="Z666" s="137">
        <v>0.0</v>
      </c>
      <c r="AA666" s="137">
        <v>0.0</v>
      </c>
      <c r="AB666" s="137">
        <v>0.0</v>
      </c>
      <c r="AC666" s="137">
        <v>0.0</v>
      </c>
      <c r="AD666" s="137">
        <v>0.0</v>
      </c>
      <c r="AE666" s="137">
        <v>0.0</v>
      </c>
      <c r="AF666" s="137">
        <v>0.0</v>
      </c>
      <c r="AG666" s="137">
        <v>0.0</v>
      </c>
      <c r="AH666" s="137">
        <v>0.0</v>
      </c>
      <c r="AI666" s="137">
        <v>0.0</v>
      </c>
      <c r="AJ666" s="137">
        <v>0.0</v>
      </c>
      <c r="AK666" s="137">
        <v>0.0</v>
      </c>
      <c r="AL666" s="137">
        <v>0.0</v>
      </c>
      <c r="AM666" s="137">
        <v>0.0</v>
      </c>
      <c r="AN666" s="137">
        <v>12.0</v>
      </c>
    </row>
    <row r="667">
      <c r="A667" s="132" t="s">
        <v>207</v>
      </c>
      <c r="B667" s="136" t="s">
        <v>198</v>
      </c>
      <c r="C667" s="134">
        <v>11422.0</v>
      </c>
      <c r="D667" s="134">
        <v>3410.0</v>
      </c>
      <c r="E667" s="134">
        <v>8012.0</v>
      </c>
      <c r="F667" s="137">
        <v>196.0</v>
      </c>
      <c r="G667" s="137">
        <v>258.0</v>
      </c>
      <c r="H667" s="137">
        <v>92.0</v>
      </c>
      <c r="I667" s="137">
        <v>144.0</v>
      </c>
      <c r="J667" s="137">
        <v>120.0</v>
      </c>
      <c r="K667" s="137">
        <v>120.0</v>
      </c>
      <c r="L667" s="137">
        <v>114.0</v>
      </c>
      <c r="M667" s="137">
        <v>182.0</v>
      </c>
      <c r="N667" s="137">
        <v>96.0</v>
      </c>
      <c r="O667" s="137">
        <v>158.0</v>
      </c>
      <c r="P667" s="137">
        <v>114.0</v>
      </c>
      <c r="Q667" s="137">
        <v>318.0</v>
      </c>
      <c r="R667" s="137">
        <v>126.0</v>
      </c>
      <c r="S667" s="137">
        <v>334.0</v>
      </c>
      <c r="T667" s="137">
        <v>132.0</v>
      </c>
      <c r="U667" s="137">
        <v>428.0</v>
      </c>
      <c r="V667" s="137">
        <v>176.0</v>
      </c>
      <c r="W667" s="137">
        <v>506.0</v>
      </c>
      <c r="X667" s="137">
        <v>202.0</v>
      </c>
      <c r="Y667" s="137">
        <v>610.0</v>
      </c>
      <c r="Z667" s="137">
        <v>240.0</v>
      </c>
      <c r="AA667" s="137">
        <v>774.0</v>
      </c>
      <c r="AB667" s="137">
        <v>328.0</v>
      </c>
      <c r="AC667" s="137">
        <v>892.0</v>
      </c>
      <c r="AD667" s="137">
        <v>324.0</v>
      </c>
      <c r="AE667" s="137">
        <v>794.0</v>
      </c>
      <c r="AF667" s="137">
        <v>322.0</v>
      </c>
      <c r="AG667" s="137">
        <v>804.0</v>
      </c>
      <c r="AH667" s="137">
        <v>322.0</v>
      </c>
      <c r="AI667" s="137">
        <v>576.0</v>
      </c>
      <c r="AJ667" s="137">
        <v>228.0</v>
      </c>
      <c r="AK667" s="137">
        <v>450.0</v>
      </c>
      <c r="AL667" s="137">
        <v>278.0</v>
      </c>
      <c r="AM667" s="137">
        <v>664.0</v>
      </c>
      <c r="AN667" s="134">
        <v>11072.0</v>
      </c>
    </row>
    <row r="668">
      <c r="A668" s="98"/>
      <c r="B668" s="136" t="s">
        <v>199</v>
      </c>
      <c r="C668" s="134">
        <v>1540.0</v>
      </c>
      <c r="D668" s="137">
        <v>572.0</v>
      </c>
      <c r="E668" s="137">
        <v>968.0</v>
      </c>
      <c r="F668" s="137">
        <v>58.0</v>
      </c>
      <c r="G668" s="137">
        <v>78.0</v>
      </c>
      <c r="H668" s="137">
        <v>34.0</v>
      </c>
      <c r="I668" s="137">
        <v>26.0</v>
      </c>
      <c r="J668" s="137">
        <v>0.0</v>
      </c>
      <c r="K668" s="137">
        <v>2.0</v>
      </c>
      <c r="L668" s="137">
        <v>4.0</v>
      </c>
      <c r="M668" s="137">
        <v>6.0</v>
      </c>
      <c r="N668" s="137">
        <v>6.0</v>
      </c>
      <c r="O668" s="137">
        <v>6.0</v>
      </c>
      <c r="P668" s="137">
        <v>6.0</v>
      </c>
      <c r="Q668" s="137">
        <v>12.0</v>
      </c>
      <c r="R668" s="137">
        <v>36.0</v>
      </c>
      <c r="S668" s="137">
        <v>16.0</v>
      </c>
      <c r="T668" s="137">
        <v>10.0</v>
      </c>
      <c r="U668" s="137">
        <v>40.0</v>
      </c>
      <c r="V668" s="137">
        <v>16.0</v>
      </c>
      <c r="W668" s="137">
        <v>38.0</v>
      </c>
      <c r="X668" s="137">
        <v>30.0</v>
      </c>
      <c r="Y668" s="137">
        <v>44.0</v>
      </c>
      <c r="Z668" s="137">
        <v>48.0</v>
      </c>
      <c r="AA668" s="137">
        <v>68.0</v>
      </c>
      <c r="AB668" s="137">
        <v>32.0</v>
      </c>
      <c r="AC668" s="137">
        <v>66.0</v>
      </c>
      <c r="AD668" s="137">
        <v>28.0</v>
      </c>
      <c r="AE668" s="137">
        <v>90.0</v>
      </c>
      <c r="AF668" s="137">
        <v>76.0</v>
      </c>
      <c r="AG668" s="137">
        <v>108.0</v>
      </c>
      <c r="AH668" s="137">
        <v>64.0</v>
      </c>
      <c r="AI668" s="137">
        <v>124.0</v>
      </c>
      <c r="AJ668" s="137">
        <v>66.0</v>
      </c>
      <c r="AK668" s="137">
        <v>102.0</v>
      </c>
      <c r="AL668" s="137">
        <v>58.0</v>
      </c>
      <c r="AM668" s="137">
        <v>142.0</v>
      </c>
      <c r="AN668" s="134">
        <v>1474.0</v>
      </c>
    </row>
    <row r="669">
      <c r="A669" s="98"/>
      <c r="B669" s="136" t="s">
        <v>206</v>
      </c>
      <c r="C669" s="137">
        <v>880.0</v>
      </c>
      <c r="D669" s="137">
        <v>22.0</v>
      </c>
      <c r="E669" s="137">
        <v>858.0</v>
      </c>
      <c r="F669" s="137">
        <v>18.0</v>
      </c>
      <c r="G669" s="137">
        <v>4.0</v>
      </c>
      <c r="H669" s="137">
        <v>0.0</v>
      </c>
      <c r="I669" s="137">
        <v>0.0</v>
      </c>
      <c r="J669" s="137">
        <v>0.0</v>
      </c>
      <c r="K669" s="137">
        <v>0.0</v>
      </c>
      <c r="L669" s="137">
        <v>0.0</v>
      </c>
      <c r="M669" s="137">
        <v>16.0</v>
      </c>
      <c r="N669" s="137">
        <v>0.0</v>
      </c>
      <c r="O669" s="137">
        <v>24.0</v>
      </c>
      <c r="P669" s="137">
        <v>0.0</v>
      </c>
      <c r="Q669" s="137">
        <v>28.0</v>
      </c>
      <c r="R669" s="137">
        <v>0.0</v>
      </c>
      <c r="S669" s="137">
        <v>36.0</v>
      </c>
      <c r="T669" s="137">
        <v>0.0</v>
      </c>
      <c r="U669" s="137">
        <v>60.0</v>
      </c>
      <c r="V669" s="137">
        <v>2.0</v>
      </c>
      <c r="W669" s="137">
        <v>130.0</v>
      </c>
      <c r="X669" s="137">
        <v>2.0</v>
      </c>
      <c r="Y669" s="137">
        <v>120.0</v>
      </c>
      <c r="Z669" s="137">
        <v>0.0</v>
      </c>
      <c r="AA669" s="137">
        <v>182.0</v>
      </c>
      <c r="AB669" s="137">
        <v>0.0</v>
      </c>
      <c r="AC669" s="137">
        <v>88.0</v>
      </c>
      <c r="AD669" s="137">
        <v>0.0</v>
      </c>
      <c r="AE669" s="137">
        <v>98.0</v>
      </c>
      <c r="AF669" s="137">
        <v>0.0</v>
      </c>
      <c r="AG669" s="137">
        <v>44.0</v>
      </c>
      <c r="AH669" s="137">
        <v>0.0</v>
      </c>
      <c r="AI669" s="137">
        <v>22.0</v>
      </c>
      <c r="AJ669" s="137">
        <v>0.0</v>
      </c>
      <c r="AK669" s="137">
        <v>4.0</v>
      </c>
      <c r="AL669" s="137">
        <v>0.0</v>
      </c>
      <c r="AM669" s="137">
        <v>2.0</v>
      </c>
      <c r="AN669" s="137">
        <v>844.0</v>
      </c>
    </row>
    <row r="670">
      <c r="A670" s="98"/>
      <c r="B670" s="136" t="s">
        <v>200</v>
      </c>
      <c r="C670" s="134">
        <v>5790.0</v>
      </c>
      <c r="D670" s="134">
        <v>2282.0</v>
      </c>
      <c r="E670" s="134">
        <v>3508.0</v>
      </c>
      <c r="F670" s="134">
        <v>1322.0</v>
      </c>
      <c r="G670" s="134">
        <v>1190.0</v>
      </c>
      <c r="H670" s="137">
        <v>480.0</v>
      </c>
      <c r="I670" s="137">
        <v>672.0</v>
      </c>
      <c r="J670" s="137">
        <v>126.0</v>
      </c>
      <c r="K670" s="137">
        <v>94.0</v>
      </c>
      <c r="L670" s="137">
        <v>38.0</v>
      </c>
      <c r="M670" s="137">
        <v>80.0</v>
      </c>
      <c r="N670" s="137">
        <v>32.0</v>
      </c>
      <c r="O670" s="137">
        <v>136.0</v>
      </c>
      <c r="P670" s="137">
        <v>16.0</v>
      </c>
      <c r="Q670" s="137">
        <v>306.0</v>
      </c>
      <c r="R670" s="137">
        <v>10.0</v>
      </c>
      <c r="S670" s="137">
        <v>236.0</v>
      </c>
      <c r="T670" s="137">
        <v>24.0</v>
      </c>
      <c r="U670" s="137">
        <v>208.0</v>
      </c>
      <c r="V670" s="137">
        <v>36.0</v>
      </c>
      <c r="W670" s="137">
        <v>146.0</v>
      </c>
      <c r="X670" s="137">
        <v>14.0</v>
      </c>
      <c r="Y670" s="137">
        <v>74.0</v>
      </c>
      <c r="Z670" s="137">
        <v>38.0</v>
      </c>
      <c r="AA670" s="137">
        <v>70.0</v>
      </c>
      <c r="AB670" s="137">
        <v>32.0</v>
      </c>
      <c r="AC670" s="137">
        <v>74.0</v>
      </c>
      <c r="AD670" s="137">
        <v>32.0</v>
      </c>
      <c r="AE670" s="137">
        <v>52.0</v>
      </c>
      <c r="AF670" s="137">
        <v>26.0</v>
      </c>
      <c r="AG670" s="137">
        <v>52.0</v>
      </c>
      <c r="AH670" s="137">
        <v>12.0</v>
      </c>
      <c r="AI670" s="137">
        <v>42.0</v>
      </c>
      <c r="AJ670" s="137">
        <v>16.0</v>
      </c>
      <c r="AK670" s="137">
        <v>32.0</v>
      </c>
      <c r="AL670" s="137">
        <v>28.0</v>
      </c>
      <c r="AM670" s="137">
        <v>44.0</v>
      </c>
      <c r="AN670" s="134">
        <v>5766.0</v>
      </c>
    </row>
    <row r="671">
      <c r="A671" s="104"/>
      <c r="B671" s="136" t="s">
        <v>201</v>
      </c>
      <c r="C671" s="134">
        <v>11170.0</v>
      </c>
      <c r="D671" s="134">
        <v>4706.0</v>
      </c>
      <c r="E671" s="134">
        <v>6464.0</v>
      </c>
      <c r="F671" s="137">
        <v>158.0</v>
      </c>
      <c r="G671" s="137">
        <v>236.0</v>
      </c>
      <c r="H671" s="137">
        <v>206.0</v>
      </c>
      <c r="I671" s="137">
        <v>234.0</v>
      </c>
      <c r="J671" s="137">
        <v>234.0</v>
      </c>
      <c r="K671" s="137">
        <v>242.0</v>
      </c>
      <c r="L671" s="137">
        <v>152.0</v>
      </c>
      <c r="M671" s="137">
        <v>256.0</v>
      </c>
      <c r="N671" s="137">
        <v>178.0</v>
      </c>
      <c r="O671" s="137">
        <v>212.0</v>
      </c>
      <c r="P671" s="137">
        <v>206.0</v>
      </c>
      <c r="Q671" s="137">
        <v>316.0</v>
      </c>
      <c r="R671" s="137">
        <v>202.0</v>
      </c>
      <c r="S671" s="137">
        <v>292.0</v>
      </c>
      <c r="T671" s="137">
        <v>216.0</v>
      </c>
      <c r="U671" s="137">
        <v>374.0</v>
      </c>
      <c r="V671" s="137">
        <v>296.0</v>
      </c>
      <c r="W671" s="137">
        <v>334.0</v>
      </c>
      <c r="X671" s="137">
        <v>322.0</v>
      </c>
      <c r="Y671" s="137">
        <v>450.0</v>
      </c>
      <c r="Z671" s="137">
        <v>330.0</v>
      </c>
      <c r="AA671" s="137">
        <v>424.0</v>
      </c>
      <c r="AB671" s="137">
        <v>304.0</v>
      </c>
      <c r="AC671" s="137">
        <v>424.0</v>
      </c>
      <c r="AD671" s="137">
        <v>316.0</v>
      </c>
      <c r="AE671" s="137">
        <v>468.0</v>
      </c>
      <c r="AF671" s="137">
        <v>550.0</v>
      </c>
      <c r="AG671" s="137">
        <v>522.0</v>
      </c>
      <c r="AH671" s="137">
        <v>338.0</v>
      </c>
      <c r="AI671" s="137">
        <v>562.0</v>
      </c>
      <c r="AJ671" s="137">
        <v>286.0</v>
      </c>
      <c r="AK671" s="137">
        <v>446.0</v>
      </c>
      <c r="AL671" s="137">
        <v>412.0</v>
      </c>
      <c r="AM671" s="137">
        <v>672.0</v>
      </c>
      <c r="AN671" s="134">
        <v>11010.0</v>
      </c>
    </row>
    <row r="672">
      <c r="A672" s="132" t="s">
        <v>208</v>
      </c>
      <c r="B672" s="136" t="s">
        <v>198</v>
      </c>
      <c r="C672" s="137">
        <v>4.0</v>
      </c>
      <c r="D672" s="137">
        <v>2.0</v>
      </c>
      <c r="E672" s="137">
        <v>2.0</v>
      </c>
      <c r="F672" s="137">
        <v>0.0</v>
      </c>
      <c r="G672" s="137">
        <v>0.0</v>
      </c>
      <c r="H672" s="137">
        <v>2.0</v>
      </c>
      <c r="I672" s="137">
        <v>0.0</v>
      </c>
      <c r="J672" s="137">
        <v>0.0</v>
      </c>
      <c r="K672" s="137">
        <v>0.0</v>
      </c>
      <c r="L672" s="137">
        <v>0.0</v>
      </c>
      <c r="M672" s="137">
        <v>0.0</v>
      </c>
      <c r="N672" s="137">
        <v>0.0</v>
      </c>
      <c r="O672" s="137">
        <v>2.0</v>
      </c>
      <c r="P672" s="135">
        <v>0.0</v>
      </c>
      <c r="Q672" s="135">
        <v>0.0</v>
      </c>
      <c r="R672" s="135">
        <v>0.0</v>
      </c>
      <c r="S672" s="135">
        <v>0.0</v>
      </c>
      <c r="T672" s="135">
        <v>0.0</v>
      </c>
      <c r="U672" s="135">
        <v>0.0</v>
      </c>
      <c r="V672" s="135">
        <v>0.0</v>
      </c>
      <c r="W672" s="135">
        <v>0.0</v>
      </c>
      <c r="X672" s="135">
        <v>0.0</v>
      </c>
      <c r="Y672" s="135">
        <v>0.0</v>
      </c>
      <c r="Z672" s="135">
        <v>0.0</v>
      </c>
      <c r="AA672" s="135">
        <v>0.0</v>
      </c>
      <c r="AB672" s="135">
        <v>0.0</v>
      </c>
      <c r="AC672" s="135">
        <v>0.0</v>
      </c>
      <c r="AD672" s="135">
        <v>0.0</v>
      </c>
      <c r="AE672" s="135">
        <v>0.0</v>
      </c>
      <c r="AF672" s="135">
        <v>0.0</v>
      </c>
      <c r="AG672" s="135">
        <v>0.0</v>
      </c>
      <c r="AH672" s="135">
        <v>0.0</v>
      </c>
      <c r="AI672" s="135">
        <v>0.0</v>
      </c>
      <c r="AJ672" s="135">
        <v>0.0</v>
      </c>
      <c r="AK672" s="135">
        <v>0.0</v>
      </c>
      <c r="AL672" s="135">
        <v>0.0</v>
      </c>
      <c r="AM672" s="135">
        <v>0.0</v>
      </c>
      <c r="AN672" s="137">
        <v>4.0</v>
      </c>
    </row>
    <row r="673">
      <c r="A673" s="98"/>
      <c r="B673" s="136" t="s">
        <v>199</v>
      </c>
      <c r="C673" s="137">
        <v>76.0</v>
      </c>
      <c r="D673" s="137">
        <v>46.0</v>
      </c>
      <c r="E673" s="137">
        <v>30.0</v>
      </c>
      <c r="F673" s="137">
        <v>38.0</v>
      </c>
      <c r="G673" s="137">
        <v>24.0</v>
      </c>
      <c r="H673" s="137">
        <v>4.0</v>
      </c>
      <c r="I673" s="137">
        <v>6.0</v>
      </c>
      <c r="J673" s="137">
        <v>4.0</v>
      </c>
      <c r="K673" s="137">
        <v>0.0</v>
      </c>
      <c r="L673" s="137">
        <v>0.0</v>
      </c>
      <c r="M673" s="137">
        <v>0.0</v>
      </c>
      <c r="N673" s="137">
        <v>0.0</v>
      </c>
      <c r="O673" s="137">
        <v>0.0</v>
      </c>
      <c r="P673" s="135">
        <v>0.0</v>
      </c>
      <c r="Q673" s="135">
        <v>0.0</v>
      </c>
      <c r="R673" s="135">
        <v>0.0</v>
      </c>
      <c r="S673" s="135">
        <v>0.0</v>
      </c>
      <c r="T673" s="135">
        <v>0.0</v>
      </c>
      <c r="U673" s="135">
        <v>0.0</v>
      </c>
      <c r="V673" s="135">
        <v>0.0</v>
      </c>
      <c r="W673" s="135">
        <v>0.0</v>
      </c>
      <c r="X673" s="135">
        <v>0.0</v>
      </c>
      <c r="Y673" s="135">
        <v>0.0</v>
      </c>
      <c r="Z673" s="135">
        <v>0.0</v>
      </c>
      <c r="AA673" s="135">
        <v>0.0</v>
      </c>
      <c r="AB673" s="135">
        <v>0.0</v>
      </c>
      <c r="AC673" s="135">
        <v>0.0</v>
      </c>
      <c r="AD673" s="135">
        <v>0.0</v>
      </c>
      <c r="AE673" s="135">
        <v>0.0</v>
      </c>
      <c r="AF673" s="135">
        <v>0.0</v>
      </c>
      <c r="AG673" s="135">
        <v>0.0</v>
      </c>
      <c r="AH673" s="135">
        <v>0.0</v>
      </c>
      <c r="AI673" s="135">
        <v>0.0</v>
      </c>
      <c r="AJ673" s="135">
        <v>0.0</v>
      </c>
      <c r="AK673" s="135">
        <v>0.0</v>
      </c>
      <c r="AL673" s="135">
        <v>0.0</v>
      </c>
      <c r="AM673" s="135">
        <v>0.0</v>
      </c>
      <c r="AN673" s="137">
        <v>70.0</v>
      </c>
    </row>
    <row r="674">
      <c r="A674" s="98"/>
      <c r="B674" s="136" t="s">
        <v>206</v>
      </c>
      <c r="C674" s="137">
        <v>0.0</v>
      </c>
      <c r="D674" s="137">
        <v>0.0</v>
      </c>
      <c r="E674" s="137">
        <v>0.0</v>
      </c>
      <c r="F674" s="137">
        <v>0.0</v>
      </c>
      <c r="G674" s="137">
        <v>0.0</v>
      </c>
      <c r="H674" s="137">
        <v>0.0</v>
      </c>
      <c r="I674" s="137">
        <v>0.0</v>
      </c>
      <c r="J674" s="137">
        <v>0.0</v>
      </c>
      <c r="K674" s="137">
        <v>0.0</v>
      </c>
      <c r="L674" s="137">
        <v>0.0</v>
      </c>
      <c r="M674" s="137">
        <v>0.0</v>
      </c>
      <c r="N674" s="137">
        <v>0.0</v>
      </c>
      <c r="O674" s="137">
        <v>0.0</v>
      </c>
      <c r="P674" s="135">
        <v>0.0</v>
      </c>
      <c r="Q674" s="135">
        <v>0.0</v>
      </c>
      <c r="R674" s="135">
        <v>0.0</v>
      </c>
      <c r="S674" s="135">
        <v>0.0</v>
      </c>
      <c r="T674" s="135">
        <v>0.0</v>
      </c>
      <c r="U674" s="135">
        <v>0.0</v>
      </c>
      <c r="V674" s="135">
        <v>0.0</v>
      </c>
      <c r="W674" s="135">
        <v>0.0</v>
      </c>
      <c r="X674" s="135">
        <v>0.0</v>
      </c>
      <c r="Y674" s="135">
        <v>0.0</v>
      </c>
      <c r="Z674" s="135">
        <v>0.0</v>
      </c>
      <c r="AA674" s="135">
        <v>0.0</v>
      </c>
      <c r="AB674" s="135">
        <v>0.0</v>
      </c>
      <c r="AC674" s="135">
        <v>0.0</v>
      </c>
      <c r="AD674" s="135">
        <v>0.0</v>
      </c>
      <c r="AE674" s="135">
        <v>0.0</v>
      </c>
      <c r="AF674" s="135">
        <v>0.0</v>
      </c>
      <c r="AG674" s="135">
        <v>0.0</v>
      </c>
      <c r="AH674" s="135">
        <v>0.0</v>
      </c>
      <c r="AI674" s="135">
        <v>0.0</v>
      </c>
      <c r="AJ674" s="135">
        <v>0.0</v>
      </c>
      <c r="AK674" s="135">
        <v>0.0</v>
      </c>
      <c r="AL674" s="135">
        <v>0.0</v>
      </c>
      <c r="AM674" s="135">
        <v>0.0</v>
      </c>
      <c r="AN674" s="137">
        <v>0.0</v>
      </c>
    </row>
    <row r="675">
      <c r="A675" s="98"/>
      <c r="B675" s="136" t="s">
        <v>200</v>
      </c>
      <c r="C675" s="137">
        <v>10.0</v>
      </c>
      <c r="D675" s="137">
        <v>0.0</v>
      </c>
      <c r="E675" s="137">
        <v>10.0</v>
      </c>
      <c r="F675" s="137">
        <v>0.0</v>
      </c>
      <c r="G675" s="137">
        <v>10.0</v>
      </c>
      <c r="H675" s="137">
        <v>0.0</v>
      </c>
      <c r="I675" s="137">
        <v>0.0</v>
      </c>
      <c r="J675" s="137">
        <v>0.0</v>
      </c>
      <c r="K675" s="137">
        <v>0.0</v>
      </c>
      <c r="L675" s="137">
        <v>0.0</v>
      </c>
      <c r="M675" s="137">
        <v>0.0</v>
      </c>
      <c r="N675" s="137">
        <v>0.0</v>
      </c>
      <c r="O675" s="137">
        <v>0.0</v>
      </c>
      <c r="P675" s="135">
        <v>0.0</v>
      </c>
      <c r="Q675" s="135">
        <v>0.0</v>
      </c>
      <c r="R675" s="135">
        <v>0.0</v>
      </c>
      <c r="S675" s="135">
        <v>0.0</v>
      </c>
      <c r="T675" s="135">
        <v>0.0</v>
      </c>
      <c r="U675" s="135">
        <v>0.0</v>
      </c>
      <c r="V675" s="135">
        <v>0.0</v>
      </c>
      <c r="W675" s="135">
        <v>0.0</v>
      </c>
      <c r="X675" s="135">
        <v>0.0</v>
      </c>
      <c r="Y675" s="135">
        <v>0.0</v>
      </c>
      <c r="Z675" s="135">
        <v>0.0</v>
      </c>
      <c r="AA675" s="135">
        <v>0.0</v>
      </c>
      <c r="AB675" s="135">
        <v>0.0</v>
      </c>
      <c r="AC675" s="135">
        <v>0.0</v>
      </c>
      <c r="AD675" s="135">
        <v>0.0</v>
      </c>
      <c r="AE675" s="135">
        <v>0.0</v>
      </c>
      <c r="AF675" s="135">
        <v>0.0</v>
      </c>
      <c r="AG675" s="135">
        <v>0.0</v>
      </c>
      <c r="AH675" s="135">
        <v>0.0</v>
      </c>
      <c r="AI675" s="135">
        <v>0.0</v>
      </c>
      <c r="AJ675" s="135">
        <v>0.0</v>
      </c>
      <c r="AK675" s="135">
        <v>0.0</v>
      </c>
      <c r="AL675" s="135">
        <v>0.0</v>
      </c>
      <c r="AM675" s="135">
        <v>0.0</v>
      </c>
      <c r="AN675" s="137">
        <v>8.0</v>
      </c>
    </row>
    <row r="676">
      <c r="A676" s="104"/>
      <c r="B676" s="136" t="s">
        <v>201</v>
      </c>
      <c r="C676" s="137">
        <v>0.0</v>
      </c>
      <c r="D676" s="137">
        <v>0.0</v>
      </c>
      <c r="E676" s="137">
        <v>0.0</v>
      </c>
      <c r="F676" s="137">
        <v>0.0</v>
      </c>
      <c r="G676" s="137">
        <v>0.0</v>
      </c>
      <c r="H676" s="137">
        <v>0.0</v>
      </c>
      <c r="I676" s="137">
        <v>0.0</v>
      </c>
      <c r="J676" s="137">
        <v>0.0</v>
      </c>
      <c r="K676" s="137">
        <v>0.0</v>
      </c>
      <c r="L676" s="137">
        <v>0.0</v>
      </c>
      <c r="M676" s="137">
        <v>0.0</v>
      </c>
      <c r="N676" s="137">
        <v>0.0</v>
      </c>
      <c r="O676" s="137">
        <v>0.0</v>
      </c>
      <c r="P676" s="135">
        <v>0.0</v>
      </c>
      <c r="Q676" s="135">
        <v>0.0</v>
      </c>
      <c r="R676" s="135">
        <v>0.0</v>
      </c>
      <c r="S676" s="135">
        <v>0.0</v>
      </c>
      <c r="T676" s="135">
        <v>0.0</v>
      </c>
      <c r="U676" s="135">
        <v>0.0</v>
      </c>
      <c r="V676" s="135">
        <v>0.0</v>
      </c>
      <c r="W676" s="135">
        <v>0.0</v>
      </c>
      <c r="X676" s="135">
        <v>0.0</v>
      </c>
      <c r="Y676" s="135">
        <v>0.0</v>
      </c>
      <c r="Z676" s="135">
        <v>0.0</v>
      </c>
      <c r="AA676" s="135">
        <v>0.0</v>
      </c>
      <c r="AB676" s="135">
        <v>0.0</v>
      </c>
      <c r="AC676" s="135">
        <v>0.0</v>
      </c>
      <c r="AD676" s="135">
        <v>0.0</v>
      </c>
      <c r="AE676" s="135">
        <v>0.0</v>
      </c>
      <c r="AF676" s="135">
        <v>0.0</v>
      </c>
      <c r="AG676" s="135">
        <v>0.0</v>
      </c>
      <c r="AH676" s="135">
        <v>0.0</v>
      </c>
      <c r="AI676" s="135">
        <v>0.0</v>
      </c>
      <c r="AJ676" s="135">
        <v>0.0</v>
      </c>
      <c r="AK676" s="135">
        <v>0.0</v>
      </c>
      <c r="AL676" s="135">
        <v>0.0</v>
      </c>
      <c r="AM676" s="135">
        <v>0.0</v>
      </c>
      <c r="AN676" s="137">
        <v>0.0</v>
      </c>
    </row>
    <row r="677">
      <c r="A677" s="138" t="s">
        <v>267</v>
      </c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</row>
    <row r="678">
      <c r="A678" s="132" t="s">
        <v>197</v>
      </c>
      <c r="B678" s="133" t="s">
        <v>198</v>
      </c>
      <c r="C678" s="134">
        <v>36114.0</v>
      </c>
      <c r="D678" s="134">
        <v>14050.0</v>
      </c>
      <c r="E678" s="134">
        <v>22064.0</v>
      </c>
      <c r="F678" s="135">
        <v>0.0</v>
      </c>
      <c r="G678" s="135">
        <v>0.0</v>
      </c>
      <c r="H678" s="135">
        <v>0.0</v>
      </c>
      <c r="I678" s="135">
        <v>0.0</v>
      </c>
      <c r="J678" s="135">
        <v>0.0</v>
      </c>
      <c r="K678" s="135">
        <v>0.0</v>
      </c>
      <c r="L678" s="137">
        <v>16.0</v>
      </c>
      <c r="M678" s="137">
        <v>18.0</v>
      </c>
      <c r="N678" s="137">
        <v>22.0</v>
      </c>
      <c r="O678" s="137">
        <v>56.0</v>
      </c>
      <c r="P678" s="137">
        <v>68.0</v>
      </c>
      <c r="Q678" s="137">
        <v>162.0</v>
      </c>
      <c r="R678" s="137">
        <v>152.0</v>
      </c>
      <c r="S678" s="137">
        <v>306.0</v>
      </c>
      <c r="T678" s="137">
        <v>256.0</v>
      </c>
      <c r="U678" s="137">
        <v>396.0</v>
      </c>
      <c r="V678" s="137">
        <v>520.0</v>
      </c>
      <c r="W678" s="137">
        <v>884.0</v>
      </c>
      <c r="X678" s="137">
        <v>686.0</v>
      </c>
      <c r="Y678" s="134">
        <v>1540.0</v>
      </c>
      <c r="Z678" s="134">
        <v>1422.0</v>
      </c>
      <c r="AA678" s="134">
        <v>2408.0</v>
      </c>
      <c r="AB678" s="134">
        <v>1828.0</v>
      </c>
      <c r="AC678" s="134">
        <v>2806.0</v>
      </c>
      <c r="AD678" s="134">
        <v>1824.0</v>
      </c>
      <c r="AE678" s="134">
        <v>3302.0</v>
      </c>
      <c r="AF678" s="134">
        <v>2074.0</v>
      </c>
      <c r="AG678" s="134">
        <v>3048.0</v>
      </c>
      <c r="AH678" s="134">
        <v>2042.0</v>
      </c>
      <c r="AI678" s="134">
        <v>2492.0</v>
      </c>
      <c r="AJ678" s="134">
        <v>1594.0</v>
      </c>
      <c r="AK678" s="134">
        <v>2354.0</v>
      </c>
      <c r="AL678" s="134">
        <v>1546.0</v>
      </c>
      <c r="AM678" s="134">
        <v>2292.0</v>
      </c>
      <c r="AN678" s="134">
        <v>35674.0</v>
      </c>
    </row>
    <row r="679">
      <c r="A679" s="98"/>
      <c r="B679" s="136" t="s">
        <v>199</v>
      </c>
      <c r="C679" s="134">
        <v>11122.0</v>
      </c>
      <c r="D679" s="134">
        <v>4322.0</v>
      </c>
      <c r="E679" s="134">
        <v>6800.0</v>
      </c>
      <c r="F679" s="135">
        <v>0.0</v>
      </c>
      <c r="G679" s="135">
        <v>0.0</v>
      </c>
      <c r="H679" s="135">
        <v>0.0</v>
      </c>
      <c r="I679" s="135">
        <v>0.0</v>
      </c>
      <c r="J679" s="135">
        <v>0.0</v>
      </c>
      <c r="K679" s="135">
        <v>0.0</v>
      </c>
      <c r="L679" s="137">
        <v>0.0</v>
      </c>
      <c r="M679" s="137">
        <v>0.0</v>
      </c>
      <c r="N679" s="137">
        <v>0.0</v>
      </c>
      <c r="O679" s="137">
        <v>22.0</v>
      </c>
      <c r="P679" s="137">
        <v>18.0</v>
      </c>
      <c r="Q679" s="137">
        <v>46.0</v>
      </c>
      <c r="R679" s="137">
        <v>52.0</v>
      </c>
      <c r="S679" s="137">
        <v>80.0</v>
      </c>
      <c r="T679" s="137">
        <v>84.0</v>
      </c>
      <c r="U679" s="137">
        <v>98.0</v>
      </c>
      <c r="V679" s="137">
        <v>158.0</v>
      </c>
      <c r="W679" s="137">
        <v>236.0</v>
      </c>
      <c r="X679" s="137">
        <v>206.0</v>
      </c>
      <c r="Y679" s="137">
        <v>452.0</v>
      </c>
      <c r="Z679" s="137">
        <v>462.0</v>
      </c>
      <c r="AA679" s="137">
        <v>774.0</v>
      </c>
      <c r="AB679" s="137">
        <v>614.0</v>
      </c>
      <c r="AC679" s="137">
        <v>892.0</v>
      </c>
      <c r="AD679" s="137">
        <v>574.0</v>
      </c>
      <c r="AE679" s="134">
        <v>1086.0</v>
      </c>
      <c r="AF679" s="137">
        <v>642.0</v>
      </c>
      <c r="AG679" s="137">
        <v>934.0</v>
      </c>
      <c r="AH679" s="137">
        <v>638.0</v>
      </c>
      <c r="AI679" s="137">
        <v>800.0</v>
      </c>
      <c r="AJ679" s="137">
        <v>444.0</v>
      </c>
      <c r="AK679" s="137">
        <v>636.0</v>
      </c>
      <c r="AL679" s="137">
        <v>430.0</v>
      </c>
      <c r="AM679" s="137">
        <v>744.0</v>
      </c>
      <c r="AN679" s="134">
        <v>11014.0</v>
      </c>
    </row>
    <row r="680">
      <c r="A680" s="98"/>
      <c r="B680" s="136" t="s">
        <v>200</v>
      </c>
      <c r="C680" s="134">
        <v>6210.0</v>
      </c>
      <c r="D680" s="134">
        <v>2060.0</v>
      </c>
      <c r="E680" s="134">
        <v>4150.0</v>
      </c>
      <c r="F680" s="135">
        <v>0.0</v>
      </c>
      <c r="G680" s="135">
        <v>0.0</v>
      </c>
      <c r="H680" s="135">
        <v>0.0</v>
      </c>
      <c r="I680" s="135">
        <v>0.0</v>
      </c>
      <c r="J680" s="135">
        <v>0.0</v>
      </c>
      <c r="K680" s="135">
        <v>0.0</v>
      </c>
      <c r="L680" s="137">
        <v>16.0</v>
      </c>
      <c r="M680" s="137">
        <v>14.0</v>
      </c>
      <c r="N680" s="137">
        <v>4.0</v>
      </c>
      <c r="O680" s="137">
        <v>24.0</v>
      </c>
      <c r="P680" s="137">
        <v>32.0</v>
      </c>
      <c r="Q680" s="137">
        <v>44.0</v>
      </c>
      <c r="R680" s="137">
        <v>30.0</v>
      </c>
      <c r="S680" s="137">
        <v>76.0</v>
      </c>
      <c r="T680" s="137">
        <v>68.0</v>
      </c>
      <c r="U680" s="137">
        <v>120.0</v>
      </c>
      <c r="V680" s="137">
        <v>102.0</v>
      </c>
      <c r="W680" s="137">
        <v>226.0</v>
      </c>
      <c r="X680" s="137">
        <v>140.0</v>
      </c>
      <c r="Y680" s="137">
        <v>374.0</v>
      </c>
      <c r="Z680" s="137">
        <v>238.0</v>
      </c>
      <c r="AA680" s="137">
        <v>580.0</v>
      </c>
      <c r="AB680" s="137">
        <v>290.0</v>
      </c>
      <c r="AC680" s="137">
        <v>552.0</v>
      </c>
      <c r="AD680" s="137">
        <v>300.0</v>
      </c>
      <c r="AE680" s="137">
        <v>660.0</v>
      </c>
      <c r="AF680" s="137">
        <v>254.0</v>
      </c>
      <c r="AG680" s="137">
        <v>526.0</v>
      </c>
      <c r="AH680" s="137">
        <v>284.0</v>
      </c>
      <c r="AI680" s="137">
        <v>406.0</v>
      </c>
      <c r="AJ680" s="137">
        <v>146.0</v>
      </c>
      <c r="AK680" s="137">
        <v>282.0</v>
      </c>
      <c r="AL680" s="137">
        <v>156.0</v>
      </c>
      <c r="AM680" s="137">
        <v>266.0</v>
      </c>
      <c r="AN680" s="134">
        <v>6120.0</v>
      </c>
    </row>
    <row r="681">
      <c r="A681" s="104"/>
      <c r="B681" s="136" t="s">
        <v>201</v>
      </c>
      <c r="C681" s="137">
        <v>430.0</v>
      </c>
      <c r="D681" s="137">
        <v>182.0</v>
      </c>
      <c r="E681" s="137">
        <v>248.0</v>
      </c>
      <c r="F681" s="135">
        <v>0.0</v>
      </c>
      <c r="G681" s="135">
        <v>0.0</v>
      </c>
      <c r="H681" s="135">
        <v>0.0</v>
      </c>
      <c r="I681" s="135">
        <v>0.0</v>
      </c>
      <c r="J681" s="135">
        <v>0.0</v>
      </c>
      <c r="K681" s="135">
        <v>0.0</v>
      </c>
      <c r="L681" s="137">
        <v>8.0</v>
      </c>
      <c r="M681" s="137">
        <v>0.0</v>
      </c>
      <c r="N681" s="137">
        <v>4.0</v>
      </c>
      <c r="O681" s="137">
        <v>2.0</v>
      </c>
      <c r="P681" s="137">
        <v>10.0</v>
      </c>
      <c r="Q681" s="137">
        <v>14.0</v>
      </c>
      <c r="R681" s="137">
        <v>4.0</v>
      </c>
      <c r="S681" s="137">
        <v>24.0</v>
      </c>
      <c r="T681" s="137">
        <v>4.0</v>
      </c>
      <c r="U681" s="137">
        <v>20.0</v>
      </c>
      <c r="V681" s="137">
        <v>8.0</v>
      </c>
      <c r="W681" s="137">
        <v>44.0</v>
      </c>
      <c r="X681" s="137">
        <v>12.0</v>
      </c>
      <c r="Y681" s="137">
        <v>8.0</v>
      </c>
      <c r="Z681" s="137">
        <v>10.0</v>
      </c>
      <c r="AA681" s="137">
        <v>30.0</v>
      </c>
      <c r="AB681" s="137">
        <v>14.0</v>
      </c>
      <c r="AC681" s="137">
        <v>16.0</v>
      </c>
      <c r="AD681" s="137">
        <v>8.0</v>
      </c>
      <c r="AE681" s="137">
        <v>22.0</v>
      </c>
      <c r="AF681" s="137">
        <v>22.0</v>
      </c>
      <c r="AG681" s="137">
        <v>6.0</v>
      </c>
      <c r="AH681" s="137">
        <v>12.0</v>
      </c>
      <c r="AI681" s="137">
        <v>46.0</v>
      </c>
      <c r="AJ681" s="137">
        <v>20.0</v>
      </c>
      <c r="AK681" s="137">
        <v>2.0</v>
      </c>
      <c r="AL681" s="137">
        <v>46.0</v>
      </c>
      <c r="AM681" s="137">
        <v>14.0</v>
      </c>
      <c r="AN681" s="137">
        <v>430.0</v>
      </c>
    </row>
    <row r="682">
      <c r="A682" s="132" t="s">
        <v>202</v>
      </c>
      <c r="B682" s="136" t="s">
        <v>198</v>
      </c>
      <c r="C682" s="137">
        <v>32.0</v>
      </c>
      <c r="D682" s="137">
        <v>20.0</v>
      </c>
      <c r="E682" s="137">
        <v>12.0</v>
      </c>
      <c r="F682" s="137">
        <v>0.0</v>
      </c>
      <c r="G682" s="137">
        <v>2.0</v>
      </c>
      <c r="H682" s="137">
        <v>0.0</v>
      </c>
      <c r="I682" s="137">
        <v>0.0</v>
      </c>
      <c r="J682" s="137">
        <v>0.0</v>
      </c>
      <c r="K682" s="137">
        <v>0.0</v>
      </c>
      <c r="L682" s="137">
        <v>0.0</v>
      </c>
      <c r="M682" s="137">
        <v>0.0</v>
      </c>
      <c r="N682" s="137">
        <v>0.0</v>
      </c>
      <c r="O682" s="137">
        <v>0.0</v>
      </c>
      <c r="P682" s="137">
        <v>10.0</v>
      </c>
      <c r="Q682" s="137">
        <v>0.0</v>
      </c>
      <c r="R682" s="137">
        <v>0.0</v>
      </c>
      <c r="S682" s="137">
        <v>2.0</v>
      </c>
      <c r="T682" s="137">
        <v>0.0</v>
      </c>
      <c r="U682" s="137">
        <v>0.0</v>
      </c>
      <c r="V682" s="137">
        <v>0.0</v>
      </c>
      <c r="W682" s="137">
        <v>0.0</v>
      </c>
      <c r="X682" s="137">
        <v>0.0</v>
      </c>
      <c r="Y682" s="137">
        <v>0.0</v>
      </c>
      <c r="Z682" s="137">
        <v>0.0</v>
      </c>
      <c r="AA682" s="137">
        <v>8.0</v>
      </c>
      <c r="AB682" s="137">
        <v>6.0</v>
      </c>
      <c r="AC682" s="137">
        <v>0.0</v>
      </c>
      <c r="AD682" s="137">
        <v>0.0</v>
      </c>
      <c r="AE682" s="137">
        <v>0.0</v>
      </c>
      <c r="AF682" s="137">
        <v>2.0</v>
      </c>
      <c r="AG682" s="137">
        <v>0.0</v>
      </c>
      <c r="AH682" s="137">
        <v>0.0</v>
      </c>
      <c r="AI682" s="137">
        <v>0.0</v>
      </c>
      <c r="AJ682" s="137">
        <v>0.0</v>
      </c>
      <c r="AK682" s="137">
        <v>0.0</v>
      </c>
      <c r="AL682" s="137">
        <v>2.0</v>
      </c>
      <c r="AM682" s="137">
        <v>0.0</v>
      </c>
      <c r="AN682" s="137">
        <v>32.0</v>
      </c>
    </row>
    <row r="683">
      <c r="A683" s="104"/>
      <c r="B683" s="136" t="s">
        <v>199</v>
      </c>
      <c r="C683" s="137">
        <v>8.0</v>
      </c>
      <c r="D683" s="137">
        <v>6.0</v>
      </c>
      <c r="E683" s="137">
        <v>2.0</v>
      </c>
      <c r="F683" s="137">
        <v>0.0</v>
      </c>
      <c r="G683" s="137">
        <v>0.0</v>
      </c>
      <c r="H683" s="137">
        <v>0.0</v>
      </c>
      <c r="I683" s="137">
        <v>0.0</v>
      </c>
      <c r="J683" s="137">
        <v>0.0</v>
      </c>
      <c r="K683" s="137">
        <v>0.0</v>
      </c>
      <c r="L683" s="137">
        <v>2.0</v>
      </c>
      <c r="M683" s="137">
        <v>0.0</v>
      </c>
      <c r="N683" s="137">
        <v>0.0</v>
      </c>
      <c r="O683" s="137">
        <v>0.0</v>
      </c>
      <c r="P683" s="137">
        <v>0.0</v>
      </c>
      <c r="Q683" s="137">
        <v>0.0</v>
      </c>
      <c r="R683" s="137">
        <v>2.0</v>
      </c>
      <c r="S683" s="137">
        <v>0.0</v>
      </c>
      <c r="T683" s="137">
        <v>0.0</v>
      </c>
      <c r="U683" s="137">
        <v>0.0</v>
      </c>
      <c r="V683" s="137">
        <v>0.0</v>
      </c>
      <c r="W683" s="137">
        <v>0.0</v>
      </c>
      <c r="X683" s="137">
        <v>0.0</v>
      </c>
      <c r="Y683" s="137">
        <v>0.0</v>
      </c>
      <c r="Z683" s="137">
        <v>0.0</v>
      </c>
      <c r="AA683" s="137">
        <v>0.0</v>
      </c>
      <c r="AB683" s="137">
        <v>0.0</v>
      </c>
      <c r="AC683" s="137">
        <v>2.0</v>
      </c>
      <c r="AD683" s="137">
        <v>2.0</v>
      </c>
      <c r="AE683" s="137">
        <v>0.0</v>
      </c>
      <c r="AF683" s="137">
        <v>0.0</v>
      </c>
      <c r="AG683" s="137">
        <v>0.0</v>
      </c>
      <c r="AH683" s="137">
        <v>0.0</v>
      </c>
      <c r="AI683" s="137">
        <v>0.0</v>
      </c>
      <c r="AJ683" s="137">
        <v>0.0</v>
      </c>
      <c r="AK683" s="137">
        <v>0.0</v>
      </c>
      <c r="AL683" s="137">
        <v>0.0</v>
      </c>
      <c r="AM683" s="137">
        <v>0.0</v>
      </c>
      <c r="AN683" s="137">
        <v>8.0</v>
      </c>
    </row>
    <row r="684">
      <c r="A684" s="132" t="s">
        <v>203</v>
      </c>
      <c r="B684" s="136" t="s">
        <v>198</v>
      </c>
      <c r="C684" s="137">
        <v>16.0</v>
      </c>
      <c r="D684" s="137">
        <v>6.0</v>
      </c>
      <c r="E684" s="137">
        <v>10.0</v>
      </c>
      <c r="F684" s="135">
        <v>0.0</v>
      </c>
      <c r="G684" s="135">
        <v>0.0</v>
      </c>
      <c r="H684" s="135">
        <v>0.0</v>
      </c>
      <c r="I684" s="135">
        <v>0.0</v>
      </c>
      <c r="J684" s="135">
        <v>0.0</v>
      </c>
      <c r="K684" s="135">
        <v>0.0</v>
      </c>
      <c r="L684" s="135">
        <v>0.0</v>
      </c>
      <c r="M684" s="135">
        <v>0.0</v>
      </c>
      <c r="N684" s="135">
        <v>0.0</v>
      </c>
      <c r="O684" s="135">
        <v>0.0</v>
      </c>
      <c r="P684" s="135">
        <v>0.0</v>
      </c>
      <c r="Q684" s="135">
        <v>0.0</v>
      </c>
      <c r="R684" s="135">
        <v>0.0</v>
      </c>
      <c r="S684" s="135">
        <v>0.0</v>
      </c>
      <c r="T684" s="135">
        <v>0.0</v>
      </c>
      <c r="U684" s="135">
        <v>0.0</v>
      </c>
      <c r="V684" s="135">
        <v>0.0</v>
      </c>
      <c r="W684" s="135">
        <v>0.0</v>
      </c>
      <c r="X684" s="135">
        <v>0.0</v>
      </c>
      <c r="Y684" s="135">
        <v>0.0</v>
      </c>
      <c r="Z684" s="135">
        <v>0.0</v>
      </c>
      <c r="AA684" s="135">
        <v>0.0</v>
      </c>
      <c r="AB684" s="135">
        <v>0.0</v>
      </c>
      <c r="AC684" s="135">
        <v>0.0</v>
      </c>
      <c r="AD684" s="135">
        <v>0.0</v>
      </c>
      <c r="AE684" s="135">
        <v>0.0</v>
      </c>
      <c r="AF684" s="137">
        <v>0.0</v>
      </c>
      <c r="AG684" s="137">
        <v>2.0</v>
      </c>
      <c r="AH684" s="137">
        <v>0.0</v>
      </c>
      <c r="AI684" s="137">
        <v>0.0</v>
      </c>
      <c r="AJ684" s="137">
        <v>2.0</v>
      </c>
      <c r="AK684" s="137">
        <v>4.0</v>
      </c>
      <c r="AL684" s="137">
        <v>4.0</v>
      </c>
      <c r="AM684" s="137">
        <v>4.0</v>
      </c>
      <c r="AN684" s="137">
        <v>18.0</v>
      </c>
    </row>
    <row r="685">
      <c r="A685" s="104"/>
      <c r="B685" s="136" t="s">
        <v>199</v>
      </c>
      <c r="C685" s="137">
        <v>182.0</v>
      </c>
      <c r="D685" s="137">
        <v>80.0</v>
      </c>
      <c r="E685" s="137">
        <v>102.0</v>
      </c>
      <c r="F685" s="135">
        <v>0.0</v>
      </c>
      <c r="G685" s="135">
        <v>0.0</v>
      </c>
      <c r="H685" s="135">
        <v>0.0</v>
      </c>
      <c r="I685" s="135">
        <v>0.0</v>
      </c>
      <c r="J685" s="135">
        <v>0.0</v>
      </c>
      <c r="K685" s="135">
        <v>0.0</v>
      </c>
      <c r="L685" s="135">
        <v>0.0</v>
      </c>
      <c r="M685" s="135">
        <v>0.0</v>
      </c>
      <c r="N685" s="135">
        <v>0.0</v>
      </c>
      <c r="O685" s="135">
        <v>0.0</v>
      </c>
      <c r="P685" s="135">
        <v>0.0</v>
      </c>
      <c r="Q685" s="135">
        <v>0.0</v>
      </c>
      <c r="R685" s="135">
        <v>0.0</v>
      </c>
      <c r="S685" s="135">
        <v>0.0</v>
      </c>
      <c r="T685" s="135">
        <v>0.0</v>
      </c>
      <c r="U685" s="135">
        <v>0.0</v>
      </c>
      <c r="V685" s="135">
        <v>0.0</v>
      </c>
      <c r="W685" s="135">
        <v>0.0</v>
      </c>
      <c r="X685" s="135">
        <v>0.0</v>
      </c>
      <c r="Y685" s="135">
        <v>0.0</v>
      </c>
      <c r="Z685" s="135">
        <v>0.0</v>
      </c>
      <c r="AA685" s="135">
        <v>0.0</v>
      </c>
      <c r="AB685" s="135">
        <v>0.0</v>
      </c>
      <c r="AC685" s="135">
        <v>0.0</v>
      </c>
      <c r="AD685" s="135">
        <v>0.0</v>
      </c>
      <c r="AE685" s="135">
        <v>0.0</v>
      </c>
      <c r="AF685" s="137">
        <v>16.0</v>
      </c>
      <c r="AG685" s="137">
        <v>28.0</v>
      </c>
      <c r="AH685" s="137">
        <v>22.0</v>
      </c>
      <c r="AI685" s="137">
        <v>36.0</v>
      </c>
      <c r="AJ685" s="137">
        <v>26.0</v>
      </c>
      <c r="AK685" s="137">
        <v>24.0</v>
      </c>
      <c r="AL685" s="137">
        <v>16.0</v>
      </c>
      <c r="AM685" s="137">
        <v>14.0</v>
      </c>
      <c r="AN685" s="137">
        <v>178.0</v>
      </c>
    </row>
    <row r="686">
      <c r="A686" s="132" t="s">
        <v>204</v>
      </c>
      <c r="B686" s="136" t="s">
        <v>198</v>
      </c>
      <c r="C686" s="137">
        <v>8.0</v>
      </c>
      <c r="D686" s="137">
        <v>4.0</v>
      </c>
      <c r="E686" s="137">
        <v>4.0</v>
      </c>
      <c r="F686" s="135">
        <v>0.0</v>
      </c>
      <c r="G686" s="135">
        <v>0.0</v>
      </c>
      <c r="H686" s="135">
        <v>0.0</v>
      </c>
      <c r="I686" s="135">
        <v>0.0</v>
      </c>
      <c r="J686" s="135">
        <v>0.0</v>
      </c>
      <c r="K686" s="135">
        <v>0.0</v>
      </c>
      <c r="L686" s="135">
        <v>0.0</v>
      </c>
      <c r="M686" s="135">
        <v>0.0</v>
      </c>
      <c r="N686" s="135">
        <v>0.0</v>
      </c>
      <c r="O686" s="135">
        <v>0.0</v>
      </c>
      <c r="P686" s="135">
        <v>0.0</v>
      </c>
      <c r="Q686" s="135">
        <v>0.0</v>
      </c>
      <c r="R686" s="135">
        <v>0.0</v>
      </c>
      <c r="S686" s="135">
        <v>0.0</v>
      </c>
      <c r="T686" s="135">
        <v>0.0</v>
      </c>
      <c r="U686" s="135">
        <v>0.0</v>
      </c>
      <c r="V686" s="135">
        <v>0.0</v>
      </c>
      <c r="W686" s="135">
        <v>0.0</v>
      </c>
      <c r="X686" s="135">
        <v>0.0</v>
      </c>
      <c r="Y686" s="135">
        <v>0.0</v>
      </c>
      <c r="Z686" s="135">
        <v>0.0</v>
      </c>
      <c r="AA686" s="135">
        <v>0.0</v>
      </c>
      <c r="AB686" s="135">
        <v>0.0</v>
      </c>
      <c r="AC686" s="135">
        <v>0.0</v>
      </c>
      <c r="AD686" s="135">
        <v>0.0</v>
      </c>
      <c r="AE686" s="135">
        <v>0.0</v>
      </c>
      <c r="AF686" s="137">
        <v>0.0</v>
      </c>
      <c r="AG686" s="137">
        <v>2.0</v>
      </c>
      <c r="AH686" s="137">
        <v>0.0</v>
      </c>
      <c r="AI686" s="137">
        <v>0.0</v>
      </c>
      <c r="AJ686" s="137">
        <v>0.0</v>
      </c>
      <c r="AK686" s="137">
        <v>2.0</v>
      </c>
      <c r="AL686" s="137">
        <v>4.0</v>
      </c>
      <c r="AM686" s="137">
        <v>0.0</v>
      </c>
      <c r="AN686" s="137">
        <v>8.0</v>
      </c>
    </row>
    <row r="687">
      <c r="A687" s="104"/>
      <c r="B687" s="136" t="s">
        <v>199</v>
      </c>
      <c r="C687" s="137">
        <v>122.0</v>
      </c>
      <c r="D687" s="137">
        <v>44.0</v>
      </c>
      <c r="E687" s="137">
        <v>78.0</v>
      </c>
      <c r="F687" s="135">
        <v>0.0</v>
      </c>
      <c r="G687" s="135">
        <v>0.0</v>
      </c>
      <c r="H687" s="135">
        <v>0.0</v>
      </c>
      <c r="I687" s="135">
        <v>0.0</v>
      </c>
      <c r="J687" s="135">
        <v>0.0</v>
      </c>
      <c r="K687" s="135">
        <v>0.0</v>
      </c>
      <c r="L687" s="135">
        <v>0.0</v>
      </c>
      <c r="M687" s="135">
        <v>0.0</v>
      </c>
      <c r="N687" s="135">
        <v>0.0</v>
      </c>
      <c r="O687" s="135">
        <v>0.0</v>
      </c>
      <c r="P687" s="135">
        <v>0.0</v>
      </c>
      <c r="Q687" s="135">
        <v>0.0</v>
      </c>
      <c r="R687" s="135">
        <v>0.0</v>
      </c>
      <c r="S687" s="135">
        <v>0.0</v>
      </c>
      <c r="T687" s="135">
        <v>0.0</v>
      </c>
      <c r="U687" s="135">
        <v>0.0</v>
      </c>
      <c r="V687" s="135">
        <v>0.0</v>
      </c>
      <c r="W687" s="135">
        <v>0.0</v>
      </c>
      <c r="X687" s="135">
        <v>0.0</v>
      </c>
      <c r="Y687" s="135">
        <v>0.0</v>
      </c>
      <c r="Z687" s="135">
        <v>0.0</v>
      </c>
      <c r="AA687" s="135">
        <v>0.0</v>
      </c>
      <c r="AB687" s="135">
        <v>0.0</v>
      </c>
      <c r="AC687" s="135">
        <v>0.0</v>
      </c>
      <c r="AD687" s="135">
        <v>0.0</v>
      </c>
      <c r="AE687" s="135">
        <v>0.0</v>
      </c>
      <c r="AF687" s="137">
        <v>6.0</v>
      </c>
      <c r="AG687" s="137">
        <v>8.0</v>
      </c>
      <c r="AH687" s="137">
        <v>6.0</v>
      </c>
      <c r="AI687" s="137">
        <v>14.0</v>
      </c>
      <c r="AJ687" s="137">
        <v>10.0</v>
      </c>
      <c r="AK687" s="137">
        <v>18.0</v>
      </c>
      <c r="AL687" s="137">
        <v>22.0</v>
      </c>
      <c r="AM687" s="137">
        <v>38.0</v>
      </c>
      <c r="AN687" s="137">
        <v>122.0</v>
      </c>
    </row>
    <row r="688">
      <c r="A688" s="132" t="s">
        <v>205</v>
      </c>
      <c r="B688" s="136" t="s">
        <v>198</v>
      </c>
      <c r="C688" s="137">
        <v>2.0</v>
      </c>
      <c r="D688" s="137">
        <v>2.0</v>
      </c>
      <c r="E688" s="137">
        <v>0.0</v>
      </c>
      <c r="F688" s="137">
        <v>0.0</v>
      </c>
      <c r="G688" s="137">
        <v>0.0</v>
      </c>
      <c r="H688" s="137">
        <v>0.0</v>
      </c>
      <c r="I688" s="137">
        <v>0.0</v>
      </c>
      <c r="J688" s="137">
        <v>0.0</v>
      </c>
      <c r="K688" s="137">
        <v>0.0</v>
      </c>
      <c r="L688" s="137">
        <v>2.0</v>
      </c>
      <c r="M688" s="137">
        <v>0.0</v>
      </c>
      <c r="N688" s="137">
        <v>0.0</v>
      </c>
      <c r="O688" s="137">
        <v>0.0</v>
      </c>
      <c r="P688" s="137">
        <v>0.0</v>
      </c>
      <c r="Q688" s="137">
        <v>0.0</v>
      </c>
      <c r="R688" s="137">
        <v>0.0</v>
      </c>
      <c r="S688" s="137">
        <v>0.0</v>
      </c>
      <c r="T688" s="137">
        <v>0.0</v>
      </c>
      <c r="U688" s="137">
        <v>0.0</v>
      </c>
      <c r="V688" s="137">
        <v>0.0</v>
      </c>
      <c r="W688" s="137">
        <v>0.0</v>
      </c>
      <c r="X688" s="137">
        <v>0.0</v>
      </c>
      <c r="Y688" s="137">
        <v>0.0</v>
      </c>
      <c r="Z688" s="137">
        <v>0.0</v>
      </c>
      <c r="AA688" s="137">
        <v>0.0</v>
      </c>
      <c r="AB688" s="137">
        <v>0.0</v>
      </c>
      <c r="AC688" s="137">
        <v>0.0</v>
      </c>
      <c r="AD688" s="137">
        <v>0.0</v>
      </c>
      <c r="AE688" s="137">
        <v>0.0</v>
      </c>
      <c r="AF688" s="137">
        <v>0.0</v>
      </c>
      <c r="AG688" s="137">
        <v>0.0</v>
      </c>
      <c r="AH688" s="137">
        <v>0.0</v>
      </c>
      <c r="AI688" s="137">
        <v>0.0</v>
      </c>
      <c r="AJ688" s="137">
        <v>0.0</v>
      </c>
      <c r="AK688" s="137">
        <v>0.0</v>
      </c>
      <c r="AL688" s="137">
        <v>0.0</v>
      </c>
      <c r="AM688" s="137">
        <v>0.0</v>
      </c>
      <c r="AN688" s="137">
        <v>2.0</v>
      </c>
    </row>
    <row r="689">
      <c r="A689" s="98"/>
      <c r="B689" s="136" t="s">
        <v>199</v>
      </c>
      <c r="C689" s="137">
        <v>0.0</v>
      </c>
      <c r="D689" s="137">
        <v>0.0</v>
      </c>
      <c r="E689" s="137">
        <v>0.0</v>
      </c>
      <c r="F689" s="137">
        <v>0.0</v>
      </c>
      <c r="G689" s="137">
        <v>0.0</v>
      </c>
      <c r="H689" s="137">
        <v>0.0</v>
      </c>
      <c r="I689" s="137">
        <v>0.0</v>
      </c>
      <c r="J689" s="137">
        <v>0.0</v>
      </c>
      <c r="K689" s="137">
        <v>0.0</v>
      </c>
      <c r="L689" s="137">
        <v>0.0</v>
      </c>
      <c r="M689" s="137">
        <v>0.0</v>
      </c>
      <c r="N689" s="137">
        <v>0.0</v>
      </c>
      <c r="O689" s="137">
        <v>0.0</v>
      </c>
      <c r="P689" s="137">
        <v>0.0</v>
      </c>
      <c r="Q689" s="137">
        <v>0.0</v>
      </c>
      <c r="R689" s="137">
        <v>0.0</v>
      </c>
      <c r="S689" s="137">
        <v>0.0</v>
      </c>
      <c r="T689" s="137">
        <v>0.0</v>
      </c>
      <c r="U689" s="137">
        <v>0.0</v>
      </c>
      <c r="V689" s="137">
        <v>0.0</v>
      </c>
      <c r="W689" s="137">
        <v>0.0</v>
      </c>
      <c r="X689" s="137">
        <v>0.0</v>
      </c>
      <c r="Y689" s="137">
        <v>0.0</v>
      </c>
      <c r="Z689" s="137">
        <v>0.0</v>
      </c>
      <c r="AA689" s="137">
        <v>0.0</v>
      </c>
      <c r="AB689" s="137">
        <v>0.0</v>
      </c>
      <c r="AC689" s="137">
        <v>0.0</v>
      </c>
      <c r="AD689" s="137">
        <v>0.0</v>
      </c>
      <c r="AE689" s="137">
        <v>0.0</v>
      </c>
      <c r="AF689" s="137">
        <v>0.0</v>
      </c>
      <c r="AG689" s="137">
        <v>0.0</v>
      </c>
      <c r="AH689" s="137">
        <v>0.0</v>
      </c>
      <c r="AI689" s="137">
        <v>0.0</v>
      </c>
      <c r="AJ689" s="137">
        <v>0.0</v>
      </c>
      <c r="AK689" s="137">
        <v>0.0</v>
      </c>
      <c r="AL689" s="137">
        <v>0.0</v>
      </c>
      <c r="AM689" s="137">
        <v>0.0</v>
      </c>
      <c r="AN689" s="137">
        <v>0.0</v>
      </c>
    </row>
    <row r="690">
      <c r="A690" s="104"/>
      <c r="B690" s="136" t="s">
        <v>206</v>
      </c>
      <c r="C690" s="137">
        <v>146.0</v>
      </c>
      <c r="D690" s="137">
        <v>12.0</v>
      </c>
      <c r="E690" s="137">
        <v>134.0</v>
      </c>
      <c r="F690" s="137">
        <v>0.0</v>
      </c>
      <c r="G690" s="137">
        <v>0.0</v>
      </c>
      <c r="H690" s="137">
        <v>0.0</v>
      </c>
      <c r="I690" s="137">
        <v>4.0</v>
      </c>
      <c r="J690" s="137">
        <v>0.0</v>
      </c>
      <c r="K690" s="137">
        <v>0.0</v>
      </c>
      <c r="L690" s="137">
        <v>0.0</v>
      </c>
      <c r="M690" s="137">
        <v>6.0</v>
      </c>
      <c r="N690" s="137">
        <v>4.0</v>
      </c>
      <c r="O690" s="137">
        <v>16.0</v>
      </c>
      <c r="P690" s="137">
        <v>8.0</v>
      </c>
      <c r="Q690" s="137">
        <v>32.0</v>
      </c>
      <c r="R690" s="137">
        <v>0.0</v>
      </c>
      <c r="S690" s="137">
        <v>22.0</v>
      </c>
      <c r="T690" s="137">
        <v>0.0</v>
      </c>
      <c r="U690" s="137">
        <v>20.0</v>
      </c>
      <c r="V690" s="137">
        <v>0.0</v>
      </c>
      <c r="W690" s="137">
        <v>4.0</v>
      </c>
      <c r="X690" s="137">
        <v>0.0</v>
      </c>
      <c r="Y690" s="137">
        <v>6.0</v>
      </c>
      <c r="Z690" s="137">
        <v>0.0</v>
      </c>
      <c r="AA690" s="137">
        <v>12.0</v>
      </c>
      <c r="AB690" s="137">
        <v>0.0</v>
      </c>
      <c r="AC690" s="137">
        <v>10.0</v>
      </c>
      <c r="AD690" s="137">
        <v>0.0</v>
      </c>
      <c r="AE690" s="137">
        <v>0.0</v>
      </c>
      <c r="AF690" s="137">
        <v>0.0</v>
      </c>
      <c r="AG690" s="137">
        <v>2.0</v>
      </c>
      <c r="AH690" s="137">
        <v>0.0</v>
      </c>
      <c r="AI690" s="137">
        <v>0.0</v>
      </c>
      <c r="AJ690" s="137">
        <v>0.0</v>
      </c>
      <c r="AK690" s="137">
        <v>0.0</v>
      </c>
      <c r="AL690" s="137">
        <v>0.0</v>
      </c>
      <c r="AM690" s="137">
        <v>0.0</v>
      </c>
      <c r="AN690" s="137">
        <v>130.0</v>
      </c>
    </row>
    <row r="691">
      <c r="A691" s="132" t="s">
        <v>207</v>
      </c>
      <c r="B691" s="136" t="s">
        <v>198</v>
      </c>
      <c r="C691" s="134">
        <v>5452.0</v>
      </c>
      <c r="D691" s="134">
        <v>1554.0</v>
      </c>
      <c r="E691" s="134">
        <v>3898.0</v>
      </c>
      <c r="F691" s="137">
        <v>86.0</v>
      </c>
      <c r="G691" s="137">
        <v>66.0</v>
      </c>
      <c r="H691" s="137">
        <v>96.0</v>
      </c>
      <c r="I691" s="137">
        <v>66.0</v>
      </c>
      <c r="J691" s="137">
        <v>64.0</v>
      </c>
      <c r="K691" s="137">
        <v>44.0</v>
      </c>
      <c r="L691" s="137">
        <v>20.0</v>
      </c>
      <c r="M691" s="137">
        <v>70.0</v>
      </c>
      <c r="N691" s="137">
        <v>16.0</v>
      </c>
      <c r="O691" s="137">
        <v>80.0</v>
      </c>
      <c r="P691" s="137">
        <v>24.0</v>
      </c>
      <c r="Q691" s="137">
        <v>102.0</v>
      </c>
      <c r="R691" s="137">
        <v>40.0</v>
      </c>
      <c r="S691" s="137">
        <v>164.0</v>
      </c>
      <c r="T691" s="137">
        <v>22.0</v>
      </c>
      <c r="U691" s="137">
        <v>160.0</v>
      </c>
      <c r="V691" s="137">
        <v>26.0</v>
      </c>
      <c r="W691" s="137">
        <v>184.0</v>
      </c>
      <c r="X691" s="137">
        <v>62.0</v>
      </c>
      <c r="Y691" s="137">
        <v>350.0</v>
      </c>
      <c r="Z691" s="137">
        <v>102.0</v>
      </c>
      <c r="AA691" s="137">
        <v>400.0</v>
      </c>
      <c r="AB691" s="137">
        <v>130.0</v>
      </c>
      <c r="AC691" s="137">
        <v>480.0</v>
      </c>
      <c r="AD691" s="137">
        <v>126.0</v>
      </c>
      <c r="AE691" s="137">
        <v>448.0</v>
      </c>
      <c r="AF691" s="137">
        <v>172.0</v>
      </c>
      <c r="AG691" s="137">
        <v>402.0</v>
      </c>
      <c r="AH691" s="137">
        <v>174.0</v>
      </c>
      <c r="AI691" s="137">
        <v>330.0</v>
      </c>
      <c r="AJ691" s="137">
        <v>190.0</v>
      </c>
      <c r="AK691" s="137">
        <v>264.0</v>
      </c>
      <c r="AL691" s="137">
        <v>204.0</v>
      </c>
      <c r="AM691" s="137">
        <v>288.0</v>
      </c>
      <c r="AN691" s="134">
        <v>5388.0</v>
      </c>
    </row>
    <row r="692">
      <c r="A692" s="98"/>
      <c r="B692" s="136" t="s">
        <v>199</v>
      </c>
      <c r="C692" s="137">
        <v>712.0</v>
      </c>
      <c r="D692" s="137">
        <v>210.0</v>
      </c>
      <c r="E692" s="137">
        <v>502.0</v>
      </c>
      <c r="F692" s="137">
        <v>4.0</v>
      </c>
      <c r="G692" s="137">
        <v>2.0</v>
      </c>
      <c r="H692" s="137">
        <v>8.0</v>
      </c>
      <c r="I692" s="137">
        <v>2.0</v>
      </c>
      <c r="J692" s="137">
        <v>6.0</v>
      </c>
      <c r="K692" s="137">
        <v>8.0</v>
      </c>
      <c r="L692" s="137">
        <v>4.0</v>
      </c>
      <c r="M692" s="137">
        <v>0.0</v>
      </c>
      <c r="N692" s="137">
        <v>0.0</v>
      </c>
      <c r="O692" s="137">
        <v>16.0</v>
      </c>
      <c r="P692" s="137">
        <v>0.0</v>
      </c>
      <c r="Q692" s="137">
        <v>10.0</v>
      </c>
      <c r="R692" s="137">
        <v>0.0</v>
      </c>
      <c r="S692" s="137">
        <v>18.0</v>
      </c>
      <c r="T692" s="137">
        <v>2.0</v>
      </c>
      <c r="U692" s="137">
        <v>24.0</v>
      </c>
      <c r="V692" s="137">
        <v>2.0</v>
      </c>
      <c r="W692" s="137">
        <v>10.0</v>
      </c>
      <c r="X692" s="137">
        <v>0.0</v>
      </c>
      <c r="Y692" s="137">
        <v>18.0</v>
      </c>
      <c r="Z692" s="137">
        <v>12.0</v>
      </c>
      <c r="AA692" s="137">
        <v>24.0</v>
      </c>
      <c r="AB692" s="137">
        <v>10.0</v>
      </c>
      <c r="AC692" s="137">
        <v>32.0</v>
      </c>
      <c r="AD692" s="137">
        <v>10.0</v>
      </c>
      <c r="AE692" s="137">
        <v>48.0</v>
      </c>
      <c r="AF692" s="137">
        <v>30.0</v>
      </c>
      <c r="AG692" s="137">
        <v>80.0</v>
      </c>
      <c r="AH692" s="137">
        <v>28.0</v>
      </c>
      <c r="AI692" s="137">
        <v>72.0</v>
      </c>
      <c r="AJ692" s="137">
        <v>38.0</v>
      </c>
      <c r="AK692" s="137">
        <v>58.0</v>
      </c>
      <c r="AL692" s="137">
        <v>56.0</v>
      </c>
      <c r="AM692" s="137">
        <v>80.0</v>
      </c>
      <c r="AN692" s="137">
        <v>706.0</v>
      </c>
    </row>
    <row r="693">
      <c r="A693" s="98"/>
      <c r="B693" s="136" t="s">
        <v>206</v>
      </c>
      <c r="C693" s="137">
        <v>10.0</v>
      </c>
      <c r="D693" s="137">
        <v>0.0</v>
      </c>
      <c r="E693" s="137">
        <v>10.0</v>
      </c>
      <c r="F693" s="137">
        <v>0.0</v>
      </c>
      <c r="G693" s="137">
        <v>2.0</v>
      </c>
      <c r="H693" s="137">
        <v>0.0</v>
      </c>
      <c r="I693" s="137">
        <v>0.0</v>
      </c>
      <c r="J693" s="137">
        <v>0.0</v>
      </c>
      <c r="K693" s="137">
        <v>0.0</v>
      </c>
      <c r="L693" s="137">
        <v>0.0</v>
      </c>
      <c r="M693" s="137">
        <v>2.0</v>
      </c>
      <c r="N693" s="137">
        <v>0.0</v>
      </c>
      <c r="O693" s="137">
        <v>2.0</v>
      </c>
      <c r="P693" s="137">
        <v>0.0</v>
      </c>
      <c r="Q693" s="137">
        <v>0.0</v>
      </c>
      <c r="R693" s="137">
        <v>0.0</v>
      </c>
      <c r="S693" s="137">
        <v>0.0</v>
      </c>
      <c r="T693" s="137">
        <v>0.0</v>
      </c>
      <c r="U693" s="137">
        <v>0.0</v>
      </c>
      <c r="V693" s="137">
        <v>0.0</v>
      </c>
      <c r="W693" s="137">
        <v>0.0</v>
      </c>
      <c r="X693" s="137">
        <v>0.0</v>
      </c>
      <c r="Y693" s="137">
        <v>0.0</v>
      </c>
      <c r="Z693" s="137">
        <v>0.0</v>
      </c>
      <c r="AA693" s="137">
        <v>0.0</v>
      </c>
      <c r="AB693" s="137">
        <v>0.0</v>
      </c>
      <c r="AC693" s="137">
        <v>0.0</v>
      </c>
      <c r="AD693" s="137">
        <v>0.0</v>
      </c>
      <c r="AE693" s="137">
        <v>0.0</v>
      </c>
      <c r="AF693" s="137">
        <v>0.0</v>
      </c>
      <c r="AG693" s="137">
        <v>2.0</v>
      </c>
      <c r="AH693" s="137">
        <v>0.0</v>
      </c>
      <c r="AI693" s="137">
        <v>2.0</v>
      </c>
      <c r="AJ693" s="137">
        <v>0.0</v>
      </c>
      <c r="AK693" s="137">
        <v>0.0</v>
      </c>
      <c r="AL693" s="137">
        <v>0.0</v>
      </c>
      <c r="AM693" s="137">
        <v>0.0</v>
      </c>
      <c r="AN693" s="137">
        <v>10.0</v>
      </c>
    </row>
    <row r="694">
      <c r="A694" s="98"/>
      <c r="B694" s="136" t="s">
        <v>200</v>
      </c>
      <c r="C694" s="134">
        <v>1660.0</v>
      </c>
      <c r="D694" s="137">
        <v>364.0</v>
      </c>
      <c r="E694" s="134">
        <v>1296.0</v>
      </c>
      <c r="F694" s="137">
        <v>178.0</v>
      </c>
      <c r="G694" s="137">
        <v>170.0</v>
      </c>
      <c r="H694" s="137">
        <v>24.0</v>
      </c>
      <c r="I694" s="137">
        <v>26.0</v>
      </c>
      <c r="J694" s="137">
        <v>14.0</v>
      </c>
      <c r="K694" s="137">
        <v>34.0</v>
      </c>
      <c r="L694" s="137">
        <v>16.0</v>
      </c>
      <c r="M694" s="137">
        <v>70.0</v>
      </c>
      <c r="N694" s="137">
        <v>4.0</v>
      </c>
      <c r="O694" s="137">
        <v>114.0</v>
      </c>
      <c r="P694" s="137">
        <v>4.0</v>
      </c>
      <c r="Q694" s="137">
        <v>150.0</v>
      </c>
      <c r="R694" s="137">
        <v>8.0</v>
      </c>
      <c r="S694" s="137">
        <v>156.0</v>
      </c>
      <c r="T694" s="137">
        <v>6.0</v>
      </c>
      <c r="U694" s="137">
        <v>92.0</v>
      </c>
      <c r="V694" s="137">
        <v>10.0</v>
      </c>
      <c r="W694" s="137">
        <v>28.0</v>
      </c>
      <c r="X694" s="137">
        <v>10.0</v>
      </c>
      <c r="Y694" s="137">
        <v>60.0</v>
      </c>
      <c r="Z694" s="137">
        <v>12.0</v>
      </c>
      <c r="AA694" s="137">
        <v>56.0</v>
      </c>
      <c r="AB694" s="137">
        <v>12.0</v>
      </c>
      <c r="AC694" s="137">
        <v>108.0</v>
      </c>
      <c r="AD694" s="137">
        <v>18.0</v>
      </c>
      <c r="AE694" s="137">
        <v>40.0</v>
      </c>
      <c r="AF694" s="137">
        <v>18.0</v>
      </c>
      <c r="AG694" s="137">
        <v>86.0</v>
      </c>
      <c r="AH694" s="137">
        <v>8.0</v>
      </c>
      <c r="AI694" s="137">
        <v>56.0</v>
      </c>
      <c r="AJ694" s="137">
        <v>4.0</v>
      </c>
      <c r="AK694" s="137">
        <v>22.0</v>
      </c>
      <c r="AL694" s="137">
        <v>18.0</v>
      </c>
      <c r="AM694" s="137">
        <v>28.0</v>
      </c>
      <c r="AN694" s="134">
        <v>1606.0</v>
      </c>
    </row>
    <row r="695">
      <c r="A695" s="104"/>
      <c r="B695" s="136" t="s">
        <v>201</v>
      </c>
      <c r="C695" s="137">
        <v>2.0</v>
      </c>
      <c r="D695" s="137">
        <v>0.0</v>
      </c>
      <c r="E695" s="137">
        <v>2.0</v>
      </c>
      <c r="F695" s="137">
        <v>0.0</v>
      </c>
      <c r="G695" s="137">
        <v>0.0</v>
      </c>
      <c r="H695" s="137">
        <v>0.0</v>
      </c>
      <c r="I695" s="137">
        <v>0.0</v>
      </c>
      <c r="J695" s="137">
        <v>0.0</v>
      </c>
      <c r="K695" s="137">
        <v>2.0</v>
      </c>
      <c r="L695" s="137">
        <v>0.0</v>
      </c>
      <c r="M695" s="137">
        <v>0.0</v>
      </c>
      <c r="N695" s="137">
        <v>0.0</v>
      </c>
      <c r="O695" s="137">
        <v>0.0</v>
      </c>
      <c r="P695" s="137">
        <v>0.0</v>
      </c>
      <c r="Q695" s="137">
        <v>0.0</v>
      </c>
      <c r="R695" s="137">
        <v>0.0</v>
      </c>
      <c r="S695" s="137">
        <v>0.0</v>
      </c>
      <c r="T695" s="137">
        <v>0.0</v>
      </c>
      <c r="U695" s="137">
        <v>0.0</v>
      </c>
      <c r="V695" s="137">
        <v>0.0</v>
      </c>
      <c r="W695" s="137">
        <v>0.0</v>
      </c>
      <c r="X695" s="137">
        <v>0.0</v>
      </c>
      <c r="Y695" s="137">
        <v>0.0</v>
      </c>
      <c r="Z695" s="137">
        <v>0.0</v>
      </c>
      <c r="AA695" s="137">
        <v>0.0</v>
      </c>
      <c r="AB695" s="137">
        <v>0.0</v>
      </c>
      <c r="AC695" s="137">
        <v>0.0</v>
      </c>
      <c r="AD695" s="137">
        <v>0.0</v>
      </c>
      <c r="AE695" s="137">
        <v>0.0</v>
      </c>
      <c r="AF695" s="137">
        <v>0.0</v>
      </c>
      <c r="AG695" s="137">
        <v>0.0</v>
      </c>
      <c r="AH695" s="137">
        <v>0.0</v>
      </c>
      <c r="AI695" s="137">
        <v>0.0</v>
      </c>
      <c r="AJ695" s="137">
        <v>0.0</v>
      </c>
      <c r="AK695" s="137">
        <v>0.0</v>
      </c>
      <c r="AL695" s="137">
        <v>0.0</v>
      </c>
      <c r="AM695" s="137">
        <v>0.0</v>
      </c>
      <c r="AN695" s="137">
        <v>2.0</v>
      </c>
    </row>
    <row r="696">
      <c r="A696" s="132" t="s">
        <v>208</v>
      </c>
      <c r="B696" s="136" t="s">
        <v>198</v>
      </c>
      <c r="C696" s="137">
        <v>548.0</v>
      </c>
      <c r="D696" s="137">
        <v>310.0</v>
      </c>
      <c r="E696" s="137">
        <v>238.0</v>
      </c>
      <c r="F696" s="137">
        <v>174.0</v>
      </c>
      <c r="G696" s="137">
        <v>132.0</v>
      </c>
      <c r="H696" s="137">
        <v>68.0</v>
      </c>
      <c r="I696" s="137">
        <v>30.0</v>
      </c>
      <c r="J696" s="137">
        <v>62.0</v>
      </c>
      <c r="K696" s="137">
        <v>44.0</v>
      </c>
      <c r="L696" s="137">
        <v>4.0</v>
      </c>
      <c r="M696" s="137">
        <v>32.0</v>
      </c>
      <c r="N696" s="137">
        <v>2.0</v>
      </c>
      <c r="O696" s="137">
        <v>0.0</v>
      </c>
      <c r="P696" s="135">
        <v>0.0</v>
      </c>
      <c r="Q696" s="135">
        <v>0.0</v>
      </c>
      <c r="R696" s="135">
        <v>0.0</v>
      </c>
      <c r="S696" s="135">
        <v>0.0</v>
      </c>
      <c r="T696" s="135">
        <v>0.0</v>
      </c>
      <c r="U696" s="135">
        <v>0.0</v>
      </c>
      <c r="V696" s="135">
        <v>0.0</v>
      </c>
      <c r="W696" s="135">
        <v>0.0</v>
      </c>
      <c r="X696" s="135">
        <v>0.0</v>
      </c>
      <c r="Y696" s="135">
        <v>0.0</v>
      </c>
      <c r="Z696" s="135">
        <v>0.0</v>
      </c>
      <c r="AA696" s="135">
        <v>0.0</v>
      </c>
      <c r="AB696" s="135">
        <v>0.0</v>
      </c>
      <c r="AC696" s="135">
        <v>0.0</v>
      </c>
      <c r="AD696" s="135">
        <v>0.0</v>
      </c>
      <c r="AE696" s="135">
        <v>0.0</v>
      </c>
      <c r="AF696" s="135">
        <v>0.0</v>
      </c>
      <c r="AG696" s="135">
        <v>0.0</v>
      </c>
      <c r="AH696" s="135">
        <v>0.0</v>
      </c>
      <c r="AI696" s="135">
        <v>0.0</v>
      </c>
      <c r="AJ696" s="135">
        <v>0.0</v>
      </c>
      <c r="AK696" s="135">
        <v>0.0</v>
      </c>
      <c r="AL696" s="135">
        <v>0.0</v>
      </c>
      <c r="AM696" s="135">
        <v>0.0</v>
      </c>
      <c r="AN696" s="137">
        <v>482.0</v>
      </c>
    </row>
    <row r="697">
      <c r="A697" s="98"/>
      <c r="B697" s="136" t="s">
        <v>199</v>
      </c>
      <c r="C697" s="137">
        <v>32.0</v>
      </c>
      <c r="D697" s="137">
        <v>12.0</v>
      </c>
      <c r="E697" s="137">
        <v>20.0</v>
      </c>
      <c r="F697" s="137">
        <v>8.0</v>
      </c>
      <c r="G697" s="137">
        <v>18.0</v>
      </c>
      <c r="H697" s="137">
        <v>4.0</v>
      </c>
      <c r="I697" s="137">
        <v>0.0</v>
      </c>
      <c r="J697" s="137">
        <v>0.0</v>
      </c>
      <c r="K697" s="137">
        <v>2.0</v>
      </c>
      <c r="L697" s="137">
        <v>0.0</v>
      </c>
      <c r="M697" s="137">
        <v>0.0</v>
      </c>
      <c r="N697" s="137">
        <v>0.0</v>
      </c>
      <c r="O697" s="137">
        <v>0.0</v>
      </c>
      <c r="P697" s="135">
        <v>0.0</v>
      </c>
      <c r="Q697" s="135">
        <v>0.0</v>
      </c>
      <c r="R697" s="135">
        <v>0.0</v>
      </c>
      <c r="S697" s="135">
        <v>0.0</v>
      </c>
      <c r="T697" s="135">
        <v>0.0</v>
      </c>
      <c r="U697" s="135">
        <v>0.0</v>
      </c>
      <c r="V697" s="135">
        <v>0.0</v>
      </c>
      <c r="W697" s="135">
        <v>0.0</v>
      </c>
      <c r="X697" s="135">
        <v>0.0</v>
      </c>
      <c r="Y697" s="135">
        <v>0.0</v>
      </c>
      <c r="Z697" s="135">
        <v>0.0</v>
      </c>
      <c r="AA697" s="135">
        <v>0.0</v>
      </c>
      <c r="AB697" s="135">
        <v>0.0</v>
      </c>
      <c r="AC697" s="135">
        <v>0.0</v>
      </c>
      <c r="AD697" s="135">
        <v>0.0</v>
      </c>
      <c r="AE697" s="135">
        <v>0.0</v>
      </c>
      <c r="AF697" s="135">
        <v>0.0</v>
      </c>
      <c r="AG697" s="135">
        <v>0.0</v>
      </c>
      <c r="AH697" s="135">
        <v>0.0</v>
      </c>
      <c r="AI697" s="135">
        <v>0.0</v>
      </c>
      <c r="AJ697" s="135">
        <v>0.0</v>
      </c>
      <c r="AK697" s="135">
        <v>0.0</v>
      </c>
      <c r="AL697" s="135">
        <v>0.0</v>
      </c>
      <c r="AM697" s="135">
        <v>0.0</v>
      </c>
      <c r="AN697" s="137">
        <v>32.0</v>
      </c>
    </row>
    <row r="698">
      <c r="A698" s="98"/>
      <c r="B698" s="136" t="s">
        <v>206</v>
      </c>
      <c r="C698" s="137">
        <v>4.0</v>
      </c>
      <c r="D698" s="137">
        <v>2.0</v>
      </c>
      <c r="E698" s="137">
        <v>2.0</v>
      </c>
      <c r="F698" s="137">
        <v>0.0</v>
      </c>
      <c r="G698" s="137">
        <v>0.0</v>
      </c>
      <c r="H698" s="137">
        <v>0.0</v>
      </c>
      <c r="I698" s="137">
        <v>0.0</v>
      </c>
      <c r="J698" s="137">
        <v>2.0</v>
      </c>
      <c r="K698" s="137">
        <v>2.0</v>
      </c>
      <c r="L698" s="137">
        <v>0.0</v>
      </c>
      <c r="M698" s="137">
        <v>0.0</v>
      </c>
      <c r="N698" s="137">
        <v>0.0</v>
      </c>
      <c r="O698" s="137">
        <v>0.0</v>
      </c>
      <c r="P698" s="135">
        <v>0.0</v>
      </c>
      <c r="Q698" s="135">
        <v>0.0</v>
      </c>
      <c r="R698" s="135">
        <v>0.0</v>
      </c>
      <c r="S698" s="135">
        <v>0.0</v>
      </c>
      <c r="T698" s="135">
        <v>0.0</v>
      </c>
      <c r="U698" s="135">
        <v>0.0</v>
      </c>
      <c r="V698" s="135">
        <v>0.0</v>
      </c>
      <c r="W698" s="135">
        <v>0.0</v>
      </c>
      <c r="X698" s="135">
        <v>0.0</v>
      </c>
      <c r="Y698" s="135">
        <v>0.0</v>
      </c>
      <c r="Z698" s="135">
        <v>0.0</v>
      </c>
      <c r="AA698" s="135">
        <v>0.0</v>
      </c>
      <c r="AB698" s="135">
        <v>0.0</v>
      </c>
      <c r="AC698" s="135">
        <v>0.0</v>
      </c>
      <c r="AD698" s="135">
        <v>0.0</v>
      </c>
      <c r="AE698" s="135">
        <v>0.0</v>
      </c>
      <c r="AF698" s="135">
        <v>0.0</v>
      </c>
      <c r="AG698" s="135">
        <v>0.0</v>
      </c>
      <c r="AH698" s="135">
        <v>0.0</v>
      </c>
      <c r="AI698" s="135">
        <v>0.0</v>
      </c>
      <c r="AJ698" s="135">
        <v>0.0</v>
      </c>
      <c r="AK698" s="135">
        <v>0.0</v>
      </c>
      <c r="AL698" s="135">
        <v>0.0</v>
      </c>
      <c r="AM698" s="135">
        <v>0.0</v>
      </c>
      <c r="AN698" s="137">
        <v>4.0</v>
      </c>
    </row>
    <row r="699">
      <c r="A699" s="98"/>
      <c r="B699" s="136" t="s">
        <v>200</v>
      </c>
      <c r="C699" s="137">
        <v>2.0</v>
      </c>
      <c r="D699" s="137">
        <v>2.0</v>
      </c>
      <c r="E699" s="137">
        <v>0.0</v>
      </c>
      <c r="F699" s="137">
        <v>2.0</v>
      </c>
      <c r="G699" s="137">
        <v>0.0</v>
      </c>
      <c r="H699" s="137">
        <v>0.0</v>
      </c>
      <c r="I699" s="137">
        <v>0.0</v>
      </c>
      <c r="J699" s="137">
        <v>0.0</v>
      </c>
      <c r="K699" s="137">
        <v>0.0</v>
      </c>
      <c r="L699" s="137">
        <v>0.0</v>
      </c>
      <c r="M699" s="137">
        <v>0.0</v>
      </c>
      <c r="N699" s="137">
        <v>0.0</v>
      </c>
      <c r="O699" s="137">
        <v>0.0</v>
      </c>
      <c r="P699" s="135">
        <v>0.0</v>
      </c>
      <c r="Q699" s="135">
        <v>0.0</v>
      </c>
      <c r="R699" s="135">
        <v>0.0</v>
      </c>
      <c r="S699" s="135">
        <v>0.0</v>
      </c>
      <c r="T699" s="135">
        <v>0.0</v>
      </c>
      <c r="U699" s="135">
        <v>0.0</v>
      </c>
      <c r="V699" s="135">
        <v>0.0</v>
      </c>
      <c r="W699" s="135">
        <v>0.0</v>
      </c>
      <c r="X699" s="135">
        <v>0.0</v>
      </c>
      <c r="Y699" s="135">
        <v>0.0</v>
      </c>
      <c r="Z699" s="135">
        <v>0.0</v>
      </c>
      <c r="AA699" s="135">
        <v>0.0</v>
      </c>
      <c r="AB699" s="135">
        <v>0.0</v>
      </c>
      <c r="AC699" s="135">
        <v>0.0</v>
      </c>
      <c r="AD699" s="135">
        <v>0.0</v>
      </c>
      <c r="AE699" s="135">
        <v>0.0</v>
      </c>
      <c r="AF699" s="135">
        <v>0.0</v>
      </c>
      <c r="AG699" s="135">
        <v>0.0</v>
      </c>
      <c r="AH699" s="135">
        <v>0.0</v>
      </c>
      <c r="AI699" s="135">
        <v>0.0</v>
      </c>
      <c r="AJ699" s="135">
        <v>0.0</v>
      </c>
      <c r="AK699" s="135">
        <v>0.0</v>
      </c>
      <c r="AL699" s="135">
        <v>0.0</v>
      </c>
      <c r="AM699" s="135">
        <v>0.0</v>
      </c>
      <c r="AN699" s="137">
        <v>2.0</v>
      </c>
    </row>
    <row r="700">
      <c r="A700" s="104"/>
      <c r="B700" s="136" t="s">
        <v>201</v>
      </c>
      <c r="C700" s="137">
        <v>0.0</v>
      </c>
      <c r="D700" s="137">
        <v>0.0</v>
      </c>
      <c r="E700" s="137">
        <v>0.0</v>
      </c>
      <c r="F700" s="137">
        <v>0.0</v>
      </c>
      <c r="G700" s="137">
        <v>0.0</v>
      </c>
      <c r="H700" s="137">
        <v>0.0</v>
      </c>
      <c r="I700" s="137">
        <v>0.0</v>
      </c>
      <c r="J700" s="137">
        <v>0.0</v>
      </c>
      <c r="K700" s="137">
        <v>0.0</v>
      </c>
      <c r="L700" s="137">
        <v>0.0</v>
      </c>
      <c r="M700" s="137">
        <v>0.0</v>
      </c>
      <c r="N700" s="137">
        <v>0.0</v>
      </c>
      <c r="O700" s="137">
        <v>0.0</v>
      </c>
      <c r="P700" s="135">
        <v>0.0</v>
      </c>
      <c r="Q700" s="135">
        <v>0.0</v>
      </c>
      <c r="R700" s="135">
        <v>0.0</v>
      </c>
      <c r="S700" s="135">
        <v>0.0</v>
      </c>
      <c r="T700" s="135">
        <v>0.0</v>
      </c>
      <c r="U700" s="135">
        <v>0.0</v>
      </c>
      <c r="V700" s="135">
        <v>0.0</v>
      </c>
      <c r="W700" s="135">
        <v>0.0</v>
      </c>
      <c r="X700" s="135">
        <v>0.0</v>
      </c>
      <c r="Y700" s="135">
        <v>0.0</v>
      </c>
      <c r="Z700" s="135">
        <v>0.0</v>
      </c>
      <c r="AA700" s="135">
        <v>0.0</v>
      </c>
      <c r="AB700" s="135">
        <v>0.0</v>
      </c>
      <c r="AC700" s="135">
        <v>0.0</v>
      </c>
      <c r="AD700" s="135">
        <v>0.0</v>
      </c>
      <c r="AE700" s="135">
        <v>0.0</v>
      </c>
      <c r="AF700" s="135">
        <v>0.0</v>
      </c>
      <c r="AG700" s="135">
        <v>0.0</v>
      </c>
      <c r="AH700" s="135">
        <v>0.0</v>
      </c>
      <c r="AI700" s="135">
        <v>0.0</v>
      </c>
      <c r="AJ700" s="135">
        <v>0.0</v>
      </c>
      <c r="AK700" s="135">
        <v>0.0</v>
      </c>
      <c r="AL700" s="135">
        <v>0.0</v>
      </c>
      <c r="AM700" s="135">
        <v>0.0</v>
      </c>
      <c r="AN700" s="137">
        <v>0.0</v>
      </c>
    </row>
    <row r="701">
      <c r="A701" s="138" t="s">
        <v>268</v>
      </c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</row>
    <row r="702">
      <c r="A702" s="132" t="s">
        <v>197</v>
      </c>
      <c r="B702" s="133" t="s">
        <v>198</v>
      </c>
      <c r="C702" s="134">
        <v>37704.0</v>
      </c>
      <c r="D702" s="134">
        <v>14918.0</v>
      </c>
      <c r="E702" s="134">
        <v>22786.0</v>
      </c>
      <c r="F702" s="135">
        <v>0.0</v>
      </c>
      <c r="G702" s="135">
        <v>0.0</v>
      </c>
      <c r="H702" s="135">
        <v>0.0</v>
      </c>
      <c r="I702" s="135">
        <v>0.0</v>
      </c>
      <c r="J702" s="135">
        <v>0.0</v>
      </c>
      <c r="K702" s="135">
        <v>0.0</v>
      </c>
      <c r="L702" s="137">
        <v>12.0</v>
      </c>
      <c r="M702" s="137">
        <v>20.0</v>
      </c>
      <c r="N702" s="137">
        <v>20.0</v>
      </c>
      <c r="O702" s="137">
        <v>44.0</v>
      </c>
      <c r="P702" s="137">
        <v>60.0</v>
      </c>
      <c r="Q702" s="137">
        <v>90.0</v>
      </c>
      <c r="R702" s="137">
        <v>168.0</v>
      </c>
      <c r="S702" s="137">
        <v>226.0</v>
      </c>
      <c r="T702" s="137">
        <v>244.0</v>
      </c>
      <c r="U702" s="137">
        <v>430.0</v>
      </c>
      <c r="V702" s="137">
        <v>416.0</v>
      </c>
      <c r="W702" s="137">
        <v>758.0</v>
      </c>
      <c r="X702" s="137">
        <v>746.0</v>
      </c>
      <c r="Y702" s="134">
        <v>1348.0</v>
      </c>
      <c r="Z702" s="134">
        <v>1308.0</v>
      </c>
      <c r="AA702" s="134">
        <v>2210.0</v>
      </c>
      <c r="AB702" s="134">
        <v>2004.0</v>
      </c>
      <c r="AC702" s="134">
        <v>2916.0</v>
      </c>
      <c r="AD702" s="134">
        <v>2280.0</v>
      </c>
      <c r="AE702" s="134">
        <v>3162.0</v>
      </c>
      <c r="AF702" s="134">
        <v>2288.0</v>
      </c>
      <c r="AG702" s="134">
        <v>3176.0</v>
      </c>
      <c r="AH702" s="134">
        <v>2148.0</v>
      </c>
      <c r="AI702" s="134">
        <v>3026.0</v>
      </c>
      <c r="AJ702" s="134">
        <v>1576.0</v>
      </c>
      <c r="AK702" s="134">
        <v>2466.0</v>
      </c>
      <c r="AL702" s="134">
        <v>1648.0</v>
      </c>
      <c r="AM702" s="134">
        <v>2914.0</v>
      </c>
      <c r="AN702" s="134">
        <v>37248.0</v>
      </c>
    </row>
    <row r="703">
      <c r="A703" s="98"/>
      <c r="B703" s="136" t="s">
        <v>199</v>
      </c>
      <c r="C703" s="134">
        <v>26378.0</v>
      </c>
      <c r="D703" s="134">
        <v>10380.0</v>
      </c>
      <c r="E703" s="134">
        <v>15998.0</v>
      </c>
      <c r="F703" s="135">
        <v>0.0</v>
      </c>
      <c r="G703" s="135">
        <v>0.0</v>
      </c>
      <c r="H703" s="135">
        <v>0.0</v>
      </c>
      <c r="I703" s="135">
        <v>0.0</v>
      </c>
      <c r="J703" s="135">
        <v>0.0</v>
      </c>
      <c r="K703" s="135">
        <v>0.0</v>
      </c>
      <c r="L703" s="137">
        <v>2.0</v>
      </c>
      <c r="M703" s="137">
        <v>2.0</v>
      </c>
      <c r="N703" s="137">
        <v>6.0</v>
      </c>
      <c r="O703" s="137">
        <v>16.0</v>
      </c>
      <c r="P703" s="137">
        <v>34.0</v>
      </c>
      <c r="Q703" s="137">
        <v>34.0</v>
      </c>
      <c r="R703" s="137">
        <v>88.0</v>
      </c>
      <c r="S703" s="137">
        <v>104.0</v>
      </c>
      <c r="T703" s="137">
        <v>138.0</v>
      </c>
      <c r="U703" s="137">
        <v>216.0</v>
      </c>
      <c r="V703" s="137">
        <v>230.0</v>
      </c>
      <c r="W703" s="137">
        <v>428.0</v>
      </c>
      <c r="X703" s="137">
        <v>412.0</v>
      </c>
      <c r="Y703" s="137">
        <v>804.0</v>
      </c>
      <c r="Z703" s="137">
        <v>758.0</v>
      </c>
      <c r="AA703" s="134">
        <v>1298.0</v>
      </c>
      <c r="AB703" s="134">
        <v>1252.0</v>
      </c>
      <c r="AC703" s="134">
        <v>2010.0</v>
      </c>
      <c r="AD703" s="134">
        <v>1616.0</v>
      </c>
      <c r="AE703" s="134">
        <v>2176.0</v>
      </c>
      <c r="AF703" s="134">
        <v>1658.0</v>
      </c>
      <c r="AG703" s="134">
        <v>2370.0</v>
      </c>
      <c r="AH703" s="134">
        <v>1630.0</v>
      </c>
      <c r="AI703" s="134">
        <v>2274.0</v>
      </c>
      <c r="AJ703" s="134">
        <v>1244.0</v>
      </c>
      <c r="AK703" s="134">
        <v>1958.0</v>
      </c>
      <c r="AL703" s="134">
        <v>1312.0</v>
      </c>
      <c r="AM703" s="134">
        <v>2308.0</v>
      </c>
      <c r="AN703" s="134">
        <v>26224.0</v>
      </c>
    </row>
    <row r="704">
      <c r="A704" s="98"/>
      <c r="B704" s="136" t="s">
        <v>200</v>
      </c>
      <c r="C704" s="134">
        <v>9308.0</v>
      </c>
      <c r="D704" s="134">
        <v>3464.0</v>
      </c>
      <c r="E704" s="134">
        <v>5844.0</v>
      </c>
      <c r="F704" s="135">
        <v>0.0</v>
      </c>
      <c r="G704" s="135">
        <v>0.0</v>
      </c>
      <c r="H704" s="135">
        <v>0.0</v>
      </c>
      <c r="I704" s="135">
        <v>0.0</v>
      </c>
      <c r="J704" s="135">
        <v>0.0</v>
      </c>
      <c r="K704" s="135">
        <v>0.0</v>
      </c>
      <c r="L704" s="137">
        <v>6.0</v>
      </c>
      <c r="M704" s="137">
        <v>2.0</v>
      </c>
      <c r="N704" s="137">
        <v>0.0</v>
      </c>
      <c r="O704" s="137">
        <v>14.0</v>
      </c>
      <c r="P704" s="137">
        <v>40.0</v>
      </c>
      <c r="Q704" s="137">
        <v>44.0</v>
      </c>
      <c r="R704" s="137">
        <v>50.0</v>
      </c>
      <c r="S704" s="137">
        <v>92.0</v>
      </c>
      <c r="T704" s="137">
        <v>74.0</v>
      </c>
      <c r="U704" s="137">
        <v>182.0</v>
      </c>
      <c r="V704" s="137">
        <v>162.0</v>
      </c>
      <c r="W704" s="137">
        <v>250.0</v>
      </c>
      <c r="X704" s="137">
        <v>202.0</v>
      </c>
      <c r="Y704" s="137">
        <v>432.0</v>
      </c>
      <c r="Z704" s="137">
        <v>316.0</v>
      </c>
      <c r="AA704" s="137">
        <v>654.0</v>
      </c>
      <c r="AB704" s="137">
        <v>452.0</v>
      </c>
      <c r="AC704" s="137">
        <v>894.0</v>
      </c>
      <c r="AD704" s="137">
        <v>560.0</v>
      </c>
      <c r="AE704" s="137">
        <v>758.0</v>
      </c>
      <c r="AF704" s="137">
        <v>478.0</v>
      </c>
      <c r="AG704" s="137">
        <v>694.0</v>
      </c>
      <c r="AH704" s="137">
        <v>494.0</v>
      </c>
      <c r="AI704" s="137">
        <v>684.0</v>
      </c>
      <c r="AJ704" s="137">
        <v>318.0</v>
      </c>
      <c r="AK704" s="137">
        <v>568.0</v>
      </c>
      <c r="AL704" s="137">
        <v>312.0</v>
      </c>
      <c r="AM704" s="137">
        <v>576.0</v>
      </c>
      <c r="AN704" s="134">
        <v>9172.0</v>
      </c>
    </row>
    <row r="705">
      <c r="A705" s="104"/>
      <c r="B705" s="136" t="s">
        <v>201</v>
      </c>
      <c r="C705" s="137">
        <v>620.0</v>
      </c>
      <c r="D705" s="137">
        <v>348.0</v>
      </c>
      <c r="E705" s="137">
        <v>272.0</v>
      </c>
      <c r="F705" s="135">
        <v>0.0</v>
      </c>
      <c r="G705" s="135">
        <v>0.0</v>
      </c>
      <c r="H705" s="135">
        <v>0.0</v>
      </c>
      <c r="I705" s="135">
        <v>0.0</v>
      </c>
      <c r="J705" s="135">
        <v>0.0</v>
      </c>
      <c r="K705" s="135">
        <v>0.0</v>
      </c>
      <c r="L705" s="137">
        <v>10.0</v>
      </c>
      <c r="M705" s="137">
        <v>2.0</v>
      </c>
      <c r="N705" s="137">
        <v>4.0</v>
      </c>
      <c r="O705" s="137">
        <v>8.0</v>
      </c>
      <c r="P705" s="137">
        <v>2.0</v>
      </c>
      <c r="Q705" s="137">
        <v>12.0</v>
      </c>
      <c r="R705" s="137">
        <v>28.0</v>
      </c>
      <c r="S705" s="137">
        <v>18.0</v>
      </c>
      <c r="T705" s="137">
        <v>32.0</v>
      </c>
      <c r="U705" s="137">
        <v>4.0</v>
      </c>
      <c r="V705" s="137">
        <v>8.0</v>
      </c>
      <c r="W705" s="137">
        <v>38.0</v>
      </c>
      <c r="X705" s="137">
        <v>24.0</v>
      </c>
      <c r="Y705" s="137">
        <v>26.0</v>
      </c>
      <c r="Z705" s="137">
        <v>50.0</v>
      </c>
      <c r="AA705" s="137">
        <v>40.0</v>
      </c>
      <c r="AB705" s="137">
        <v>58.0</v>
      </c>
      <c r="AC705" s="137">
        <v>24.0</v>
      </c>
      <c r="AD705" s="137">
        <v>68.0</v>
      </c>
      <c r="AE705" s="137">
        <v>18.0</v>
      </c>
      <c r="AF705" s="137">
        <v>48.0</v>
      </c>
      <c r="AG705" s="137">
        <v>34.0</v>
      </c>
      <c r="AH705" s="137">
        <v>14.0</v>
      </c>
      <c r="AI705" s="137">
        <v>26.0</v>
      </c>
      <c r="AJ705" s="137">
        <v>2.0</v>
      </c>
      <c r="AK705" s="137">
        <v>12.0</v>
      </c>
      <c r="AL705" s="137">
        <v>0.0</v>
      </c>
      <c r="AM705" s="137">
        <v>10.0</v>
      </c>
      <c r="AN705" s="137">
        <v>514.0</v>
      </c>
    </row>
    <row r="706">
      <c r="A706" s="132" t="s">
        <v>202</v>
      </c>
      <c r="B706" s="136" t="s">
        <v>198</v>
      </c>
      <c r="C706" s="137">
        <v>206.0</v>
      </c>
      <c r="D706" s="137">
        <v>136.0</v>
      </c>
      <c r="E706" s="137">
        <v>70.0</v>
      </c>
      <c r="F706" s="137">
        <v>0.0</v>
      </c>
      <c r="G706" s="137">
        <v>0.0</v>
      </c>
      <c r="H706" s="137">
        <v>0.0</v>
      </c>
      <c r="I706" s="137">
        <v>0.0</v>
      </c>
      <c r="J706" s="137">
        <v>2.0</v>
      </c>
      <c r="K706" s="137">
        <v>0.0</v>
      </c>
      <c r="L706" s="137">
        <v>0.0</v>
      </c>
      <c r="M706" s="137">
        <v>0.0</v>
      </c>
      <c r="N706" s="137">
        <v>0.0</v>
      </c>
      <c r="O706" s="137">
        <v>4.0</v>
      </c>
      <c r="P706" s="137">
        <v>0.0</v>
      </c>
      <c r="Q706" s="137">
        <v>2.0</v>
      </c>
      <c r="R706" s="137">
        <v>8.0</v>
      </c>
      <c r="S706" s="137">
        <v>2.0</v>
      </c>
      <c r="T706" s="137">
        <v>0.0</v>
      </c>
      <c r="U706" s="137">
        <v>2.0</v>
      </c>
      <c r="V706" s="137">
        <v>0.0</v>
      </c>
      <c r="W706" s="137">
        <v>0.0</v>
      </c>
      <c r="X706" s="137">
        <v>26.0</v>
      </c>
      <c r="Y706" s="137">
        <v>0.0</v>
      </c>
      <c r="Z706" s="137">
        <v>22.0</v>
      </c>
      <c r="AA706" s="137">
        <v>0.0</v>
      </c>
      <c r="AB706" s="137">
        <v>0.0</v>
      </c>
      <c r="AC706" s="137">
        <v>28.0</v>
      </c>
      <c r="AD706" s="137">
        <v>20.0</v>
      </c>
      <c r="AE706" s="137">
        <v>4.0</v>
      </c>
      <c r="AF706" s="137">
        <v>4.0</v>
      </c>
      <c r="AG706" s="137">
        <v>0.0</v>
      </c>
      <c r="AH706" s="137">
        <v>26.0</v>
      </c>
      <c r="AI706" s="137">
        <v>0.0</v>
      </c>
      <c r="AJ706" s="137">
        <v>10.0</v>
      </c>
      <c r="AK706" s="137">
        <v>0.0</v>
      </c>
      <c r="AL706" s="137">
        <v>18.0</v>
      </c>
      <c r="AM706" s="137">
        <v>28.0</v>
      </c>
      <c r="AN706" s="137">
        <v>202.0</v>
      </c>
    </row>
    <row r="707">
      <c r="A707" s="104"/>
      <c r="B707" s="136" t="s">
        <v>199</v>
      </c>
      <c r="C707" s="137">
        <v>74.0</v>
      </c>
      <c r="D707" s="137">
        <v>48.0</v>
      </c>
      <c r="E707" s="137">
        <v>26.0</v>
      </c>
      <c r="F707" s="137">
        <v>0.0</v>
      </c>
      <c r="G707" s="137">
        <v>0.0</v>
      </c>
      <c r="H707" s="137">
        <v>0.0</v>
      </c>
      <c r="I707" s="137">
        <v>0.0</v>
      </c>
      <c r="J707" s="137">
        <v>0.0</v>
      </c>
      <c r="K707" s="137">
        <v>0.0</v>
      </c>
      <c r="L707" s="137">
        <v>0.0</v>
      </c>
      <c r="M707" s="137">
        <v>0.0</v>
      </c>
      <c r="N707" s="137">
        <v>0.0</v>
      </c>
      <c r="O707" s="137">
        <v>2.0</v>
      </c>
      <c r="P707" s="137">
        <v>0.0</v>
      </c>
      <c r="Q707" s="137">
        <v>0.0</v>
      </c>
      <c r="R707" s="137">
        <v>6.0</v>
      </c>
      <c r="S707" s="137">
        <v>0.0</v>
      </c>
      <c r="T707" s="137">
        <v>0.0</v>
      </c>
      <c r="U707" s="137">
        <v>2.0</v>
      </c>
      <c r="V707" s="137">
        <v>0.0</v>
      </c>
      <c r="W707" s="137">
        <v>0.0</v>
      </c>
      <c r="X707" s="137">
        <v>4.0</v>
      </c>
      <c r="Y707" s="137">
        <v>0.0</v>
      </c>
      <c r="Z707" s="137">
        <v>4.0</v>
      </c>
      <c r="AA707" s="137">
        <v>4.0</v>
      </c>
      <c r="AB707" s="137">
        <v>4.0</v>
      </c>
      <c r="AC707" s="137">
        <v>10.0</v>
      </c>
      <c r="AD707" s="137">
        <v>10.0</v>
      </c>
      <c r="AE707" s="137">
        <v>0.0</v>
      </c>
      <c r="AF707" s="137">
        <v>4.0</v>
      </c>
      <c r="AG707" s="137">
        <v>0.0</v>
      </c>
      <c r="AH707" s="137">
        <v>10.0</v>
      </c>
      <c r="AI707" s="137">
        <v>0.0</v>
      </c>
      <c r="AJ707" s="137">
        <v>2.0</v>
      </c>
      <c r="AK707" s="137">
        <v>0.0</v>
      </c>
      <c r="AL707" s="137">
        <v>4.0</v>
      </c>
      <c r="AM707" s="137">
        <v>8.0</v>
      </c>
      <c r="AN707" s="137">
        <v>74.0</v>
      </c>
    </row>
    <row r="708">
      <c r="A708" s="132" t="s">
        <v>203</v>
      </c>
      <c r="B708" s="136" t="s">
        <v>198</v>
      </c>
      <c r="C708" s="137">
        <v>92.0</v>
      </c>
      <c r="D708" s="137">
        <v>26.0</v>
      </c>
      <c r="E708" s="137">
        <v>66.0</v>
      </c>
      <c r="F708" s="135">
        <v>0.0</v>
      </c>
      <c r="G708" s="135">
        <v>0.0</v>
      </c>
      <c r="H708" s="135">
        <v>0.0</v>
      </c>
      <c r="I708" s="135">
        <v>0.0</v>
      </c>
      <c r="J708" s="135">
        <v>0.0</v>
      </c>
      <c r="K708" s="135">
        <v>0.0</v>
      </c>
      <c r="L708" s="135">
        <v>0.0</v>
      </c>
      <c r="M708" s="135">
        <v>0.0</v>
      </c>
      <c r="N708" s="135">
        <v>0.0</v>
      </c>
      <c r="O708" s="135">
        <v>0.0</v>
      </c>
      <c r="P708" s="135">
        <v>0.0</v>
      </c>
      <c r="Q708" s="135">
        <v>0.0</v>
      </c>
      <c r="R708" s="135">
        <v>0.0</v>
      </c>
      <c r="S708" s="135">
        <v>0.0</v>
      </c>
      <c r="T708" s="135">
        <v>0.0</v>
      </c>
      <c r="U708" s="135">
        <v>0.0</v>
      </c>
      <c r="V708" s="135">
        <v>0.0</v>
      </c>
      <c r="W708" s="135">
        <v>0.0</v>
      </c>
      <c r="X708" s="135">
        <v>0.0</v>
      </c>
      <c r="Y708" s="135">
        <v>0.0</v>
      </c>
      <c r="Z708" s="135">
        <v>0.0</v>
      </c>
      <c r="AA708" s="135">
        <v>0.0</v>
      </c>
      <c r="AB708" s="135">
        <v>0.0</v>
      </c>
      <c r="AC708" s="135">
        <v>0.0</v>
      </c>
      <c r="AD708" s="135">
        <v>0.0</v>
      </c>
      <c r="AE708" s="135">
        <v>0.0</v>
      </c>
      <c r="AF708" s="137">
        <v>8.0</v>
      </c>
      <c r="AG708" s="137">
        <v>16.0</v>
      </c>
      <c r="AH708" s="137">
        <v>14.0</v>
      </c>
      <c r="AI708" s="137">
        <v>14.0</v>
      </c>
      <c r="AJ708" s="137">
        <v>2.0</v>
      </c>
      <c r="AK708" s="137">
        <v>20.0</v>
      </c>
      <c r="AL708" s="137">
        <v>2.0</v>
      </c>
      <c r="AM708" s="137">
        <v>16.0</v>
      </c>
      <c r="AN708" s="137">
        <v>92.0</v>
      </c>
    </row>
    <row r="709">
      <c r="A709" s="104"/>
      <c r="B709" s="136" t="s">
        <v>199</v>
      </c>
      <c r="C709" s="134">
        <v>1044.0</v>
      </c>
      <c r="D709" s="137">
        <v>368.0</v>
      </c>
      <c r="E709" s="137">
        <v>676.0</v>
      </c>
      <c r="F709" s="135">
        <v>0.0</v>
      </c>
      <c r="G709" s="135">
        <v>0.0</v>
      </c>
      <c r="H709" s="135">
        <v>0.0</v>
      </c>
      <c r="I709" s="135">
        <v>0.0</v>
      </c>
      <c r="J709" s="135">
        <v>0.0</v>
      </c>
      <c r="K709" s="135">
        <v>0.0</v>
      </c>
      <c r="L709" s="135">
        <v>0.0</v>
      </c>
      <c r="M709" s="135">
        <v>0.0</v>
      </c>
      <c r="N709" s="135">
        <v>0.0</v>
      </c>
      <c r="O709" s="135">
        <v>0.0</v>
      </c>
      <c r="P709" s="135">
        <v>0.0</v>
      </c>
      <c r="Q709" s="135">
        <v>0.0</v>
      </c>
      <c r="R709" s="135">
        <v>0.0</v>
      </c>
      <c r="S709" s="135">
        <v>0.0</v>
      </c>
      <c r="T709" s="135">
        <v>0.0</v>
      </c>
      <c r="U709" s="135">
        <v>0.0</v>
      </c>
      <c r="V709" s="135">
        <v>0.0</v>
      </c>
      <c r="W709" s="135">
        <v>0.0</v>
      </c>
      <c r="X709" s="135">
        <v>0.0</v>
      </c>
      <c r="Y709" s="135">
        <v>0.0</v>
      </c>
      <c r="Z709" s="135">
        <v>0.0</v>
      </c>
      <c r="AA709" s="135">
        <v>0.0</v>
      </c>
      <c r="AB709" s="135">
        <v>0.0</v>
      </c>
      <c r="AC709" s="135">
        <v>0.0</v>
      </c>
      <c r="AD709" s="135">
        <v>0.0</v>
      </c>
      <c r="AE709" s="135">
        <v>0.0</v>
      </c>
      <c r="AF709" s="137">
        <v>80.0</v>
      </c>
      <c r="AG709" s="137">
        <v>184.0</v>
      </c>
      <c r="AH709" s="137">
        <v>116.0</v>
      </c>
      <c r="AI709" s="137">
        <v>198.0</v>
      </c>
      <c r="AJ709" s="137">
        <v>90.0</v>
      </c>
      <c r="AK709" s="137">
        <v>124.0</v>
      </c>
      <c r="AL709" s="137">
        <v>82.0</v>
      </c>
      <c r="AM709" s="137">
        <v>170.0</v>
      </c>
      <c r="AN709" s="134">
        <v>1030.0</v>
      </c>
    </row>
    <row r="710">
      <c r="A710" s="132" t="s">
        <v>204</v>
      </c>
      <c r="B710" s="136" t="s">
        <v>198</v>
      </c>
      <c r="C710" s="137">
        <v>2.0</v>
      </c>
      <c r="D710" s="137">
        <v>0.0</v>
      </c>
      <c r="E710" s="137">
        <v>2.0</v>
      </c>
      <c r="F710" s="135">
        <v>0.0</v>
      </c>
      <c r="G710" s="135">
        <v>0.0</v>
      </c>
      <c r="H710" s="135">
        <v>0.0</v>
      </c>
      <c r="I710" s="135">
        <v>0.0</v>
      </c>
      <c r="J710" s="135">
        <v>0.0</v>
      </c>
      <c r="K710" s="135">
        <v>0.0</v>
      </c>
      <c r="L710" s="135">
        <v>0.0</v>
      </c>
      <c r="M710" s="135">
        <v>0.0</v>
      </c>
      <c r="N710" s="135">
        <v>0.0</v>
      </c>
      <c r="O710" s="135">
        <v>0.0</v>
      </c>
      <c r="P710" s="135">
        <v>0.0</v>
      </c>
      <c r="Q710" s="135">
        <v>0.0</v>
      </c>
      <c r="R710" s="135">
        <v>0.0</v>
      </c>
      <c r="S710" s="135">
        <v>0.0</v>
      </c>
      <c r="T710" s="135">
        <v>0.0</v>
      </c>
      <c r="U710" s="135">
        <v>0.0</v>
      </c>
      <c r="V710" s="135">
        <v>0.0</v>
      </c>
      <c r="W710" s="135">
        <v>0.0</v>
      </c>
      <c r="X710" s="135">
        <v>0.0</v>
      </c>
      <c r="Y710" s="135">
        <v>0.0</v>
      </c>
      <c r="Z710" s="135">
        <v>0.0</v>
      </c>
      <c r="AA710" s="135">
        <v>0.0</v>
      </c>
      <c r="AB710" s="135">
        <v>0.0</v>
      </c>
      <c r="AC710" s="135">
        <v>0.0</v>
      </c>
      <c r="AD710" s="135">
        <v>0.0</v>
      </c>
      <c r="AE710" s="135">
        <v>0.0</v>
      </c>
      <c r="AF710" s="137">
        <v>0.0</v>
      </c>
      <c r="AG710" s="137">
        <v>0.0</v>
      </c>
      <c r="AH710" s="137">
        <v>0.0</v>
      </c>
      <c r="AI710" s="137">
        <v>0.0</v>
      </c>
      <c r="AJ710" s="137">
        <v>0.0</v>
      </c>
      <c r="AK710" s="137">
        <v>2.0</v>
      </c>
      <c r="AL710" s="137">
        <v>0.0</v>
      </c>
      <c r="AM710" s="137">
        <v>0.0</v>
      </c>
      <c r="AN710" s="137">
        <v>2.0</v>
      </c>
    </row>
    <row r="711">
      <c r="A711" s="104"/>
      <c r="B711" s="136" t="s">
        <v>199</v>
      </c>
      <c r="C711" s="137">
        <v>564.0</v>
      </c>
      <c r="D711" s="137">
        <v>142.0</v>
      </c>
      <c r="E711" s="137">
        <v>422.0</v>
      </c>
      <c r="F711" s="135">
        <v>0.0</v>
      </c>
      <c r="G711" s="135">
        <v>0.0</v>
      </c>
      <c r="H711" s="135">
        <v>0.0</v>
      </c>
      <c r="I711" s="135">
        <v>0.0</v>
      </c>
      <c r="J711" s="135">
        <v>0.0</v>
      </c>
      <c r="K711" s="135">
        <v>0.0</v>
      </c>
      <c r="L711" s="135">
        <v>0.0</v>
      </c>
      <c r="M711" s="135">
        <v>0.0</v>
      </c>
      <c r="N711" s="135">
        <v>0.0</v>
      </c>
      <c r="O711" s="135">
        <v>0.0</v>
      </c>
      <c r="P711" s="135">
        <v>0.0</v>
      </c>
      <c r="Q711" s="135">
        <v>0.0</v>
      </c>
      <c r="R711" s="135">
        <v>0.0</v>
      </c>
      <c r="S711" s="135">
        <v>0.0</v>
      </c>
      <c r="T711" s="135">
        <v>0.0</v>
      </c>
      <c r="U711" s="135">
        <v>0.0</v>
      </c>
      <c r="V711" s="135">
        <v>0.0</v>
      </c>
      <c r="W711" s="135">
        <v>0.0</v>
      </c>
      <c r="X711" s="135">
        <v>0.0</v>
      </c>
      <c r="Y711" s="135">
        <v>0.0</v>
      </c>
      <c r="Z711" s="135">
        <v>0.0</v>
      </c>
      <c r="AA711" s="135">
        <v>0.0</v>
      </c>
      <c r="AB711" s="135">
        <v>0.0</v>
      </c>
      <c r="AC711" s="135">
        <v>0.0</v>
      </c>
      <c r="AD711" s="135">
        <v>0.0</v>
      </c>
      <c r="AE711" s="135">
        <v>0.0</v>
      </c>
      <c r="AF711" s="137">
        <v>12.0</v>
      </c>
      <c r="AG711" s="137">
        <v>20.0</v>
      </c>
      <c r="AH711" s="137">
        <v>14.0</v>
      </c>
      <c r="AI711" s="137">
        <v>24.0</v>
      </c>
      <c r="AJ711" s="137">
        <v>32.0</v>
      </c>
      <c r="AK711" s="137">
        <v>188.0</v>
      </c>
      <c r="AL711" s="137">
        <v>84.0</v>
      </c>
      <c r="AM711" s="137">
        <v>190.0</v>
      </c>
      <c r="AN711" s="137">
        <v>564.0</v>
      </c>
    </row>
    <row r="712">
      <c r="A712" s="132" t="s">
        <v>205</v>
      </c>
      <c r="B712" s="136" t="s">
        <v>198</v>
      </c>
      <c r="C712" s="137">
        <v>4.0</v>
      </c>
      <c r="D712" s="137">
        <v>0.0</v>
      </c>
      <c r="E712" s="137">
        <v>4.0</v>
      </c>
      <c r="F712" s="137">
        <v>0.0</v>
      </c>
      <c r="G712" s="137">
        <v>0.0</v>
      </c>
      <c r="H712" s="137">
        <v>0.0</v>
      </c>
      <c r="I712" s="137">
        <v>0.0</v>
      </c>
      <c r="J712" s="137">
        <v>0.0</v>
      </c>
      <c r="K712" s="137">
        <v>0.0</v>
      </c>
      <c r="L712" s="137">
        <v>0.0</v>
      </c>
      <c r="M712" s="137">
        <v>4.0</v>
      </c>
      <c r="N712" s="137">
        <v>0.0</v>
      </c>
      <c r="O712" s="137">
        <v>0.0</v>
      </c>
      <c r="P712" s="137">
        <v>0.0</v>
      </c>
      <c r="Q712" s="137">
        <v>0.0</v>
      </c>
      <c r="R712" s="137">
        <v>0.0</v>
      </c>
      <c r="S712" s="137">
        <v>0.0</v>
      </c>
      <c r="T712" s="137">
        <v>0.0</v>
      </c>
      <c r="U712" s="137">
        <v>0.0</v>
      </c>
      <c r="V712" s="137">
        <v>0.0</v>
      </c>
      <c r="W712" s="137">
        <v>0.0</v>
      </c>
      <c r="X712" s="137">
        <v>0.0</v>
      </c>
      <c r="Y712" s="137">
        <v>0.0</v>
      </c>
      <c r="Z712" s="137">
        <v>0.0</v>
      </c>
      <c r="AA712" s="137">
        <v>0.0</v>
      </c>
      <c r="AB712" s="137">
        <v>0.0</v>
      </c>
      <c r="AC712" s="137">
        <v>0.0</v>
      </c>
      <c r="AD712" s="137">
        <v>0.0</v>
      </c>
      <c r="AE712" s="137">
        <v>0.0</v>
      </c>
      <c r="AF712" s="137">
        <v>0.0</v>
      </c>
      <c r="AG712" s="137">
        <v>0.0</v>
      </c>
      <c r="AH712" s="137">
        <v>0.0</v>
      </c>
      <c r="AI712" s="137">
        <v>0.0</v>
      </c>
      <c r="AJ712" s="137">
        <v>0.0</v>
      </c>
      <c r="AK712" s="137">
        <v>0.0</v>
      </c>
      <c r="AL712" s="137">
        <v>0.0</v>
      </c>
      <c r="AM712" s="137">
        <v>0.0</v>
      </c>
      <c r="AN712" s="137">
        <v>2.0</v>
      </c>
    </row>
    <row r="713">
      <c r="A713" s="98"/>
      <c r="B713" s="136" t="s">
        <v>199</v>
      </c>
      <c r="C713" s="137">
        <v>0.0</v>
      </c>
      <c r="D713" s="137">
        <v>0.0</v>
      </c>
      <c r="E713" s="137">
        <v>0.0</v>
      </c>
      <c r="F713" s="137">
        <v>0.0</v>
      </c>
      <c r="G713" s="137">
        <v>0.0</v>
      </c>
      <c r="H713" s="137">
        <v>0.0</v>
      </c>
      <c r="I713" s="137">
        <v>0.0</v>
      </c>
      <c r="J713" s="137">
        <v>0.0</v>
      </c>
      <c r="K713" s="137">
        <v>0.0</v>
      </c>
      <c r="L713" s="137">
        <v>0.0</v>
      </c>
      <c r="M713" s="137">
        <v>0.0</v>
      </c>
      <c r="N713" s="137">
        <v>0.0</v>
      </c>
      <c r="O713" s="137">
        <v>0.0</v>
      </c>
      <c r="P713" s="137">
        <v>0.0</v>
      </c>
      <c r="Q713" s="137">
        <v>0.0</v>
      </c>
      <c r="R713" s="137">
        <v>0.0</v>
      </c>
      <c r="S713" s="137">
        <v>0.0</v>
      </c>
      <c r="T713" s="137">
        <v>0.0</v>
      </c>
      <c r="U713" s="137">
        <v>0.0</v>
      </c>
      <c r="V713" s="137">
        <v>0.0</v>
      </c>
      <c r="W713" s="137">
        <v>0.0</v>
      </c>
      <c r="X713" s="137">
        <v>0.0</v>
      </c>
      <c r="Y713" s="137">
        <v>0.0</v>
      </c>
      <c r="Z713" s="137">
        <v>0.0</v>
      </c>
      <c r="AA713" s="137">
        <v>0.0</v>
      </c>
      <c r="AB713" s="137">
        <v>0.0</v>
      </c>
      <c r="AC713" s="137">
        <v>0.0</v>
      </c>
      <c r="AD713" s="137">
        <v>0.0</v>
      </c>
      <c r="AE713" s="137">
        <v>0.0</v>
      </c>
      <c r="AF713" s="137">
        <v>0.0</v>
      </c>
      <c r="AG713" s="137">
        <v>0.0</v>
      </c>
      <c r="AH713" s="137">
        <v>0.0</v>
      </c>
      <c r="AI713" s="137">
        <v>0.0</v>
      </c>
      <c r="AJ713" s="137">
        <v>0.0</v>
      </c>
      <c r="AK713" s="137">
        <v>0.0</v>
      </c>
      <c r="AL713" s="137">
        <v>0.0</v>
      </c>
      <c r="AM713" s="137">
        <v>0.0</v>
      </c>
      <c r="AN713" s="137">
        <v>0.0</v>
      </c>
    </row>
    <row r="714">
      <c r="A714" s="104"/>
      <c r="B714" s="136" t="s">
        <v>206</v>
      </c>
      <c r="C714" s="137">
        <v>58.0</v>
      </c>
      <c r="D714" s="137">
        <v>24.0</v>
      </c>
      <c r="E714" s="137">
        <v>34.0</v>
      </c>
      <c r="F714" s="137">
        <v>0.0</v>
      </c>
      <c r="G714" s="137">
        <v>0.0</v>
      </c>
      <c r="H714" s="137">
        <v>0.0</v>
      </c>
      <c r="I714" s="137">
        <v>0.0</v>
      </c>
      <c r="J714" s="137">
        <v>0.0</v>
      </c>
      <c r="K714" s="137">
        <v>0.0</v>
      </c>
      <c r="L714" s="137">
        <v>0.0</v>
      </c>
      <c r="M714" s="137">
        <v>4.0</v>
      </c>
      <c r="N714" s="137">
        <v>8.0</v>
      </c>
      <c r="O714" s="137">
        <v>18.0</v>
      </c>
      <c r="P714" s="137">
        <v>6.0</v>
      </c>
      <c r="Q714" s="137">
        <v>2.0</v>
      </c>
      <c r="R714" s="137">
        <v>6.0</v>
      </c>
      <c r="S714" s="137">
        <v>0.0</v>
      </c>
      <c r="T714" s="137">
        <v>4.0</v>
      </c>
      <c r="U714" s="137">
        <v>0.0</v>
      </c>
      <c r="V714" s="137">
        <v>0.0</v>
      </c>
      <c r="W714" s="137">
        <v>4.0</v>
      </c>
      <c r="X714" s="137">
        <v>0.0</v>
      </c>
      <c r="Y714" s="137">
        <v>2.0</v>
      </c>
      <c r="Z714" s="137">
        <v>0.0</v>
      </c>
      <c r="AA714" s="137">
        <v>0.0</v>
      </c>
      <c r="AB714" s="137">
        <v>0.0</v>
      </c>
      <c r="AC714" s="137">
        <v>4.0</v>
      </c>
      <c r="AD714" s="137">
        <v>0.0</v>
      </c>
      <c r="AE714" s="137">
        <v>0.0</v>
      </c>
      <c r="AF714" s="137">
        <v>0.0</v>
      </c>
      <c r="AG714" s="137">
        <v>0.0</v>
      </c>
      <c r="AH714" s="137">
        <v>0.0</v>
      </c>
      <c r="AI714" s="137">
        <v>0.0</v>
      </c>
      <c r="AJ714" s="137">
        <v>0.0</v>
      </c>
      <c r="AK714" s="137">
        <v>0.0</v>
      </c>
      <c r="AL714" s="137">
        <v>0.0</v>
      </c>
      <c r="AM714" s="137">
        <v>0.0</v>
      </c>
      <c r="AN714" s="137">
        <v>54.0</v>
      </c>
    </row>
    <row r="715">
      <c r="A715" s="132" t="s">
        <v>207</v>
      </c>
      <c r="B715" s="136" t="s">
        <v>198</v>
      </c>
      <c r="C715" s="134">
        <v>12014.0</v>
      </c>
      <c r="D715" s="134">
        <v>2438.0</v>
      </c>
      <c r="E715" s="134">
        <v>9576.0</v>
      </c>
      <c r="F715" s="137">
        <v>56.0</v>
      </c>
      <c r="G715" s="137">
        <v>50.0</v>
      </c>
      <c r="H715" s="137">
        <v>70.0</v>
      </c>
      <c r="I715" s="137">
        <v>64.0</v>
      </c>
      <c r="J715" s="137">
        <v>38.0</v>
      </c>
      <c r="K715" s="137">
        <v>72.0</v>
      </c>
      <c r="L715" s="137">
        <v>70.0</v>
      </c>
      <c r="M715" s="137">
        <v>90.0</v>
      </c>
      <c r="N715" s="137">
        <v>66.0</v>
      </c>
      <c r="O715" s="137">
        <v>234.0</v>
      </c>
      <c r="P715" s="137">
        <v>104.0</v>
      </c>
      <c r="Q715" s="137">
        <v>372.0</v>
      </c>
      <c r="R715" s="137">
        <v>80.0</v>
      </c>
      <c r="S715" s="137">
        <v>458.0</v>
      </c>
      <c r="T715" s="137">
        <v>96.0</v>
      </c>
      <c r="U715" s="137">
        <v>566.0</v>
      </c>
      <c r="V715" s="137">
        <v>126.0</v>
      </c>
      <c r="W715" s="137">
        <v>722.0</v>
      </c>
      <c r="X715" s="137">
        <v>156.0</v>
      </c>
      <c r="Y715" s="137">
        <v>752.0</v>
      </c>
      <c r="Z715" s="137">
        <v>230.0</v>
      </c>
      <c r="AA715" s="137">
        <v>992.0</v>
      </c>
      <c r="AB715" s="137">
        <v>284.0</v>
      </c>
      <c r="AC715" s="134">
        <v>1242.0</v>
      </c>
      <c r="AD715" s="137">
        <v>284.0</v>
      </c>
      <c r="AE715" s="134">
        <v>1176.0</v>
      </c>
      <c r="AF715" s="137">
        <v>242.0</v>
      </c>
      <c r="AG715" s="137">
        <v>972.0</v>
      </c>
      <c r="AH715" s="137">
        <v>208.0</v>
      </c>
      <c r="AI715" s="137">
        <v>748.0</v>
      </c>
      <c r="AJ715" s="137">
        <v>152.0</v>
      </c>
      <c r="AK715" s="137">
        <v>528.0</v>
      </c>
      <c r="AL715" s="137">
        <v>176.0</v>
      </c>
      <c r="AM715" s="137">
        <v>538.0</v>
      </c>
      <c r="AN715" s="134">
        <v>11892.0</v>
      </c>
    </row>
    <row r="716">
      <c r="A716" s="98"/>
      <c r="B716" s="136" t="s">
        <v>199</v>
      </c>
      <c r="C716" s="137">
        <v>888.0</v>
      </c>
      <c r="D716" s="137">
        <v>222.0</v>
      </c>
      <c r="E716" s="137">
        <v>666.0</v>
      </c>
      <c r="F716" s="137">
        <v>20.0</v>
      </c>
      <c r="G716" s="137">
        <v>32.0</v>
      </c>
      <c r="H716" s="137">
        <v>0.0</v>
      </c>
      <c r="I716" s="137">
        <v>2.0</v>
      </c>
      <c r="J716" s="137">
        <v>0.0</v>
      </c>
      <c r="K716" s="137">
        <v>2.0</v>
      </c>
      <c r="L716" s="137">
        <v>0.0</v>
      </c>
      <c r="M716" s="137">
        <v>4.0</v>
      </c>
      <c r="N716" s="137">
        <v>0.0</v>
      </c>
      <c r="O716" s="137">
        <v>6.0</v>
      </c>
      <c r="P716" s="137">
        <v>0.0</v>
      </c>
      <c r="Q716" s="137">
        <v>10.0</v>
      </c>
      <c r="R716" s="137">
        <v>2.0</v>
      </c>
      <c r="S716" s="137">
        <v>6.0</v>
      </c>
      <c r="T716" s="137">
        <v>8.0</v>
      </c>
      <c r="U716" s="137">
        <v>8.0</v>
      </c>
      <c r="V716" s="137">
        <v>6.0</v>
      </c>
      <c r="W716" s="137">
        <v>22.0</v>
      </c>
      <c r="X716" s="137">
        <v>4.0</v>
      </c>
      <c r="Y716" s="137">
        <v>22.0</v>
      </c>
      <c r="Z716" s="137">
        <v>12.0</v>
      </c>
      <c r="AA716" s="137">
        <v>36.0</v>
      </c>
      <c r="AB716" s="137">
        <v>14.0</v>
      </c>
      <c r="AC716" s="137">
        <v>60.0</v>
      </c>
      <c r="AD716" s="137">
        <v>24.0</v>
      </c>
      <c r="AE716" s="137">
        <v>74.0</v>
      </c>
      <c r="AF716" s="137">
        <v>38.0</v>
      </c>
      <c r="AG716" s="137">
        <v>82.0</v>
      </c>
      <c r="AH716" s="137">
        <v>40.0</v>
      </c>
      <c r="AI716" s="137">
        <v>108.0</v>
      </c>
      <c r="AJ716" s="137">
        <v>34.0</v>
      </c>
      <c r="AK716" s="137">
        <v>100.0</v>
      </c>
      <c r="AL716" s="137">
        <v>20.0</v>
      </c>
      <c r="AM716" s="137">
        <v>92.0</v>
      </c>
      <c r="AN716" s="137">
        <v>888.0</v>
      </c>
    </row>
    <row r="717">
      <c r="A717" s="98"/>
      <c r="B717" s="136" t="s">
        <v>206</v>
      </c>
      <c r="C717" s="137">
        <v>28.0</v>
      </c>
      <c r="D717" s="137">
        <v>0.0</v>
      </c>
      <c r="E717" s="137">
        <v>28.0</v>
      </c>
      <c r="F717" s="137">
        <v>0.0</v>
      </c>
      <c r="G717" s="137">
        <v>0.0</v>
      </c>
      <c r="H717" s="137">
        <v>0.0</v>
      </c>
      <c r="I717" s="137">
        <v>0.0</v>
      </c>
      <c r="J717" s="137">
        <v>0.0</v>
      </c>
      <c r="K717" s="137">
        <v>2.0</v>
      </c>
      <c r="L717" s="137">
        <v>0.0</v>
      </c>
      <c r="M717" s="137">
        <v>0.0</v>
      </c>
      <c r="N717" s="137">
        <v>0.0</v>
      </c>
      <c r="O717" s="137">
        <v>6.0</v>
      </c>
      <c r="P717" s="137">
        <v>0.0</v>
      </c>
      <c r="Q717" s="137">
        <v>8.0</v>
      </c>
      <c r="R717" s="137">
        <v>0.0</v>
      </c>
      <c r="S717" s="137">
        <v>6.0</v>
      </c>
      <c r="T717" s="137">
        <v>0.0</v>
      </c>
      <c r="U717" s="137">
        <v>2.0</v>
      </c>
      <c r="V717" s="137">
        <v>0.0</v>
      </c>
      <c r="W717" s="137">
        <v>0.0</v>
      </c>
      <c r="X717" s="137">
        <v>0.0</v>
      </c>
      <c r="Y717" s="137">
        <v>2.0</v>
      </c>
      <c r="Z717" s="137">
        <v>0.0</v>
      </c>
      <c r="AA717" s="137">
        <v>0.0</v>
      </c>
      <c r="AB717" s="137">
        <v>0.0</v>
      </c>
      <c r="AC717" s="137">
        <v>0.0</v>
      </c>
      <c r="AD717" s="137">
        <v>0.0</v>
      </c>
      <c r="AE717" s="137">
        <v>2.0</v>
      </c>
      <c r="AF717" s="137">
        <v>0.0</v>
      </c>
      <c r="AG717" s="137">
        <v>0.0</v>
      </c>
      <c r="AH717" s="137">
        <v>0.0</v>
      </c>
      <c r="AI717" s="137">
        <v>0.0</v>
      </c>
      <c r="AJ717" s="137">
        <v>0.0</v>
      </c>
      <c r="AK717" s="137">
        <v>0.0</v>
      </c>
      <c r="AL717" s="137">
        <v>0.0</v>
      </c>
      <c r="AM717" s="137">
        <v>0.0</v>
      </c>
      <c r="AN717" s="137">
        <v>28.0</v>
      </c>
    </row>
    <row r="718">
      <c r="A718" s="98"/>
      <c r="B718" s="136" t="s">
        <v>200</v>
      </c>
      <c r="C718" s="134">
        <v>2292.0</v>
      </c>
      <c r="D718" s="137">
        <v>882.0</v>
      </c>
      <c r="E718" s="134">
        <v>1410.0</v>
      </c>
      <c r="F718" s="137">
        <v>532.0</v>
      </c>
      <c r="G718" s="137">
        <v>542.0</v>
      </c>
      <c r="H718" s="137">
        <v>92.0</v>
      </c>
      <c r="I718" s="137">
        <v>88.0</v>
      </c>
      <c r="J718" s="137">
        <v>76.0</v>
      </c>
      <c r="K718" s="137">
        <v>68.0</v>
      </c>
      <c r="L718" s="137">
        <v>26.0</v>
      </c>
      <c r="M718" s="137">
        <v>90.0</v>
      </c>
      <c r="N718" s="137">
        <v>6.0</v>
      </c>
      <c r="O718" s="137">
        <v>64.0</v>
      </c>
      <c r="P718" s="137">
        <v>16.0</v>
      </c>
      <c r="Q718" s="137">
        <v>94.0</v>
      </c>
      <c r="R718" s="137">
        <v>32.0</v>
      </c>
      <c r="S718" s="137">
        <v>84.0</v>
      </c>
      <c r="T718" s="137">
        <v>20.0</v>
      </c>
      <c r="U718" s="137">
        <v>90.0</v>
      </c>
      <c r="V718" s="137">
        <v>14.0</v>
      </c>
      <c r="W718" s="137">
        <v>48.0</v>
      </c>
      <c r="X718" s="137">
        <v>16.0</v>
      </c>
      <c r="Y718" s="137">
        <v>48.0</v>
      </c>
      <c r="Z718" s="137">
        <v>14.0</v>
      </c>
      <c r="AA718" s="137">
        <v>36.0</v>
      </c>
      <c r="AB718" s="137">
        <v>14.0</v>
      </c>
      <c r="AC718" s="137">
        <v>50.0</v>
      </c>
      <c r="AD718" s="137">
        <v>14.0</v>
      </c>
      <c r="AE718" s="137">
        <v>44.0</v>
      </c>
      <c r="AF718" s="137">
        <v>4.0</v>
      </c>
      <c r="AG718" s="137">
        <v>44.0</v>
      </c>
      <c r="AH718" s="137">
        <v>4.0</v>
      </c>
      <c r="AI718" s="137">
        <v>8.0</v>
      </c>
      <c r="AJ718" s="137">
        <v>0.0</v>
      </c>
      <c r="AK718" s="137">
        <v>2.0</v>
      </c>
      <c r="AL718" s="137">
        <v>2.0</v>
      </c>
      <c r="AM718" s="137">
        <v>10.0</v>
      </c>
      <c r="AN718" s="134">
        <v>2122.0</v>
      </c>
    </row>
    <row r="719">
      <c r="A719" s="104"/>
      <c r="B719" s="136" t="s">
        <v>201</v>
      </c>
      <c r="C719" s="134">
        <v>2992.0</v>
      </c>
      <c r="D719" s="134">
        <v>1044.0</v>
      </c>
      <c r="E719" s="134">
        <v>1948.0</v>
      </c>
      <c r="F719" s="137">
        <v>0.0</v>
      </c>
      <c r="G719" s="137">
        <v>0.0</v>
      </c>
      <c r="H719" s="137">
        <v>0.0</v>
      </c>
      <c r="I719" s="137">
        <v>0.0</v>
      </c>
      <c r="J719" s="137">
        <v>32.0</v>
      </c>
      <c r="K719" s="137">
        <v>4.0</v>
      </c>
      <c r="L719" s="137">
        <v>16.0</v>
      </c>
      <c r="M719" s="137">
        <v>34.0</v>
      </c>
      <c r="N719" s="137">
        <v>16.0</v>
      </c>
      <c r="O719" s="137">
        <v>48.0</v>
      </c>
      <c r="P719" s="137">
        <v>20.0</v>
      </c>
      <c r="Q719" s="137">
        <v>92.0</v>
      </c>
      <c r="R719" s="137">
        <v>32.0</v>
      </c>
      <c r="S719" s="137">
        <v>50.0</v>
      </c>
      <c r="T719" s="137">
        <v>40.0</v>
      </c>
      <c r="U719" s="137">
        <v>26.0</v>
      </c>
      <c r="V719" s="137">
        <v>28.0</v>
      </c>
      <c r="W719" s="137">
        <v>138.0</v>
      </c>
      <c r="X719" s="137">
        <v>52.0</v>
      </c>
      <c r="Y719" s="137">
        <v>148.0</v>
      </c>
      <c r="Z719" s="137">
        <v>72.0</v>
      </c>
      <c r="AA719" s="137">
        <v>206.0</v>
      </c>
      <c r="AB719" s="137">
        <v>96.0</v>
      </c>
      <c r="AC719" s="137">
        <v>208.0</v>
      </c>
      <c r="AD719" s="137">
        <v>166.0</v>
      </c>
      <c r="AE719" s="137">
        <v>166.0</v>
      </c>
      <c r="AF719" s="137">
        <v>70.0</v>
      </c>
      <c r="AG719" s="137">
        <v>332.0</v>
      </c>
      <c r="AH719" s="137">
        <v>178.0</v>
      </c>
      <c r="AI719" s="137">
        <v>258.0</v>
      </c>
      <c r="AJ719" s="137">
        <v>146.0</v>
      </c>
      <c r="AK719" s="137">
        <v>138.0</v>
      </c>
      <c r="AL719" s="137">
        <v>80.0</v>
      </c>
      <c r="AM719" s="137">
        <v>100.0</v>
      </c>
      <c r="AN719" s="134">
        <v>2990.0</v>
      </c>
    </row>
    <row r="720">
      <c r="A720" s="132" t="s">
        <v>208</v>
      </c>
      <c r="B720" s="136" t="s">
        <v>198</v>
      </c>
      <c r="C720" s="137">
        <v>114.0</v>
      </c>
      <c r="D720" s="137">
        <v>58.0</v>
      </c>
      <c r="E720" s="137">
        <v>56.0</v>
      </c>
      <c r="F720" s="137">
        <v>58.0</v>
      </c>
      <c r="G720" s="137">
        <v>54.0</v>
      </c>
      <c r="H720" s="137">
        <v>0.0</v>
      </c>
      <c r="I720" s="137">
        <v>2.0</v>
      </c>
      <c r="J720" s="137">
        <v>0.0</v>
      </c>
      <c r="K720" s="137">
        <v>0.0</v>
      </c>
      <c r="L720" s="137">
        <v>0.0</v>
      </c>
      <c r="M720" s="137">
        <v>0.0</v>
      </c>
      <c r="N720" s="137">
        <v>0.0</v>
      </c>
      <c r="O720" s="137">
        <v>0.0</v>
      </c>
      <c r="P720" s="135">
        <v>0.0</v>
      </c>
      <c r="Q720" s="135">
        <v>0.0</v>
      </c>
      <c r="R720" s="135">
        <v>0.0</v>
      </c>
      <c r="S720" s="135">
        <v>0.0</v>
      </c>
      <c r="T720" s="135">
        <v>0.0</v>
      </c>
      <c r="U720" s="135">
        <v>0.0</v>
      </c>
      <c r="V720" s="135">
        <v>0.0</v>
      </c>
      <c r="W720" s="135">
        <v>0.0</v>
      </c>
      <c r="X720" s="135">
        <v>0.0</v>
      </c>
      <c r="Y720" s="135">
        <v>0.0</v>
      </c>
      <c r="Z720" s="135">
        <v>0.0</v>
      </c>
      <c r="AA720" s="135">
        <v>0.0</v>
      </c>
      <c r="AB720" s="135">
        <v>0.0</v>
      </c>
      <c r="AC720" s="135">
        <v>0.0</v>
      </c>
      <c r="AD720" s="135">
        <v>0.0</v>
      </c>
      <c r="AE720" s="135">
        <v>0.0</v>
      </c>
      <c r="AF720" s="135">
        <v>0.0</v>
      </c>
      <c r="AG720" s="135">
        <v>0.0</v>
      </c>
      <c r="AH720" s="135">
        <v>0.0</v>
      </c>
      <c r="AI720" s="135">
        <v>0.0</v>
      </c>
      <c r="AJ720" s="135">
        <v>0.0</v>
      </c>
      <c r="AK720" s="135">
        <v>0.0</v>
      </c>
      <c r="AL720" s="135">
        <v>0.0</v>
      </c>
      <c r="AM720" s="135">
        <v>0.0</v>
      </c>
      <c r="AN720" s="137">
        <v>112.0</v>
      </c>
    </row>
    <row r="721">
      <c r="A721" s="98"/>
      <c r="B721" s="136" t="s">
        <v>199</v>
      </c>
      <c r="C721" s="137">
        <v>40.0</v>
      </c>
      <c r="D721" s="137">
        <v>28.0</v>
      </c>
      <c r="E721" s="137">
        <v>12.0</v>
      </c>
      <c r="F721" s="137">
        <v>16.0</v>
      </c>
      <c r="G721" s="137">
        <v>10.0</v>
      </c>
      <c r="H721" s="137">
        <v>8.0</v>
      </c>
      <c r="I721" s="137">
        <v>2.0</v>
      </c>
      <c r="J721" s="137">
        <v>4.0</v>
      </c>
      <c r="K721" s="137">
        <v>0.0</v>
      </c>
      <c r="L721" s="137">
        <v>0.0</v>
      </c>
      <c r="M721" s="137">
        <v>0.0</v>
      </c>
      <c r="N721" s="137">
        <v>0.0</v>
      </c>
      <c r="O721" s="137">
        <v>0.0</v>
      </c>
      <c r="P721" s="135">
        <v>0.0</v>
      </c>
      <c r="Q721" s="135">
        <v>0.0</v>
      </c>
      <c r="R721" s="135">
        <v>0.0</v>
      </c>
      <c r="S721" s="135">
        <v>0.0</v>
      </c>
      <c r="T721" s="135">
        <v>0.0</v>
      </c>
      <c r="U721" s="135">
        <v>0.0</v>
      </c>
      <c r="V721" s="135">
        <v>0.0</v>
      </c>
      <c r="W721" s="135">
        <v>0.0</v>
      </c>
      <c r="X721" s="135">
        <v>0.0</v>
      </c>
      <c r="Y721" s="135">
        <v>0.0</v>
      </c>
      <c r="Z721" s="135">
        <v>0.0</v>
      </c>
      <c r="AA721" s="135">
        <v>0.0</v>
      </c>
      <c r="AB721" s="135">
        <v>0.0</v>
      </c>
      <c r="AC721" s="135">
        <v>0.0</v>
      </c>
      <c r="AD721" s="135">
        <v>0.0</v>
      </c>
      <c r="AE721" s="135">
        <v>0.0</v>
      </c>
      <c r="AF721" s="135">
        <v>0.0</v>
      </c>
      <c r="AG721" s="135">
        <v>0.0</v>
      </c>
      <c r="AH721" s="135">
        <v>0.0</v>
      </c>
      <c r="AI721" s="135">
        <v>0.0</v>
      </c>
      <c r="AJ721" s="135">
        <v>0.0</v>
      </c>
      <c r="AK721" s="135">
        <v>0.0</v>
      </c>
      <c r="AL721" s="135">
        <v>0.0</v>
      </c>
      <c r="AM721" s="135">
        <v>0.0</v>
      </c>
      <c r="AN721" s="137">
        <v>32.0</v>
      </c>
    </row>
    <row r="722">
      <c r="A722" s="98"/>
      <c r="B722" s="136" t="s">
        <v>206</v>
      </c>
      <c r="C722" s="137">
        <v>0.0</v>
      </c>
      <c r="D722" s="137">
        <v>0.0</v>
      </c>
      <c r="E722" s="137">
        <v>0.0</v>
      </c>
      <c r="F722" s="137">
        <v>0.0</v>
      </c>
      <c r="G722" s="137">
        <v>0.0</v>
      </c>
      <c r="H722" s="137">
        <v>0.0</v>
      </c>
      <c r="I722" s="137">
        <v>0.0</v>
      </c>
      <c r="J722" s="137">
        <v>0.0</v>
      </c>
      <c r="K722" s="137">
        <v>0.0</v>
      </c>
      <c r="L722" s="137">
        <v>0.0</v>
      </c>
      <c r="M722" s="137">
        <v>0.0</v>
      </c>
      <c r="N722" s="137">
        <v>0.0</v>
      </c>
      <c r="O722" s="137">
        <v>0.0</v>
      </c>
      <c r="P722" s="135">
        <v>0.0</v>
      </c>
      <c r="Q722" s="135">
        <v>0.0</v>
      </c>
      <c r="R722" s="135">
        <v>0.0</v>
      </c>
      <c r="S722" s="135">
        <v>0.0</v>
      </c>
      <c r="T722" s="135">
        <v>0.0</v>
      </c>
      <c r="U722" s="135">
        <v>0.0</v>
      </c>
      <c r="V722" s="135">
        <v>0.0</v>
      </c>
      <c r="W722" s="135">
        <v>0.0</v>
      </c>
      <c r="X722" s="135">
        <v>0.0</v>
      </c>
      <c r="Y722" s="135">
        <v>0.0</v>
      </c>
      <c r="Z722" s="135">
        <v>0.0</v>
      </c>
      <c r="AA722" s="135">
        <v>0.0</v>
      </c>
      <c r="AB722" s="135">
        <v>0.0</v>
      </c>
      <c r="AC722" s="135">
        <v>0.0</v>
      </c>
      <c r="AD722" s="135">
        <v>0.0</v>
      </c>
      <c r="AE722" s="135">
        <v>0.0</v>
      </c>
      <c r="AF722" s="135">
        <v>0.0</v>
      </c>
      <c r="AG722" s="135">
        <v>0.0</v>
      </c>
      <c r="AH722" s="135">
        <v>0.0</v>
      </c>
      <c r="AI722" s="135">
        <v>0.0</v>
      </c>
      <c r="AJ722" s="135">
        <v>0.0</v>
      </c>
      <c r="AK722" s="135">
        <v>0.0</v>
      </c>
      <c r="AL722" s="135">
        <v>0.0</v>
      </c>
      <c r="AM722" s="135">
        <v>0.0</v>
      </c>
      <c r="AN722" s="137">
        <v>0.0</v>
      </c>
    </row>
    <row r="723">
      <c r="A723" s="98"/>
      <c r="B723" s="136" t="s">
        <v>200</v>
      </c>
      <c r="C723" s="137">
        <v>0.0</v>
      </c>
      <c r="D723" s="137">
        <v>0.0</v>
      </c>
      <c r="E723" s="137">
        <v>0.0</v>
      </c>
      <c r="F723" s="137">
        <v>0.0</v>
      </c>
      <c r="G723" s="137">
        <v>0.0</v>
      </c>
      <c r="H723" s="137">
        <v>0.0</v>
      </c>
      <c r="I723" s="137">
        <v>0.0</v>
      </c>
      <c r="J723" s="137">
        <v>0.0</v>
      </c>
      <c r="K723" s="137">
        <v>0.0</v>
      </c>
      <c r="L723" s="137">
        <v>0.0</v>
      </c>
      <c r="M723" s="137">
        <v>0.0</v>
      </c>
      <c r="N723" s="137">
        <v>0.0</v>
      </c>
      <c r="O723" s="137">
        <v>0.0</v>
      </c>
      <c r="P723" s="135">
        <v>0.0</v>
      </c>
      <c r="Q723" s="135">
        <v>0.0</v>
      </c>
      <c r="R723" s="135">
        <v>0.0</v>
      </c>
      <c r="S723" s="135">
        <v>0.0</v>
      </c>
      <c r="T723" s="135">
        <v>0.0</v>
      </c>
      <c r="U723" s="135">
        <v>0.0</v>
      </c>
      <c r="V723" s="135">
        <v>0.0</v>
      </c>
      <c r="W723" s="135">
        <v>0.0</v>
      </c>
      <c r="X723" s="135">
        <v>0.0</v>
      </c>
      <c r="Y723" s="135">
        <v>0.0</v>
      </c>
      <c r="Z723" s="135">
        <v>0.0</v>
      </c>
      <c r="AA723" s="135">
        <v>0.0</v>
      </c>
      <c r="AB723" s="135">
        <v>0.0</v>
      </c>
      <c r="AC723" s="135">
        <v>0.0</v>
      </c>
      <c r="AD723" s="135">
        <v>0.0</v>
      </c>
      <c r="AE723" s="135">
        <v>0.0</v>
      </c>
      <c r="AF723" s="135">
        <v>0.0</v>
      </c>
      <c r="AG723" s="135">
        <v>0.0</v>
      </c>
      <c r="AH723" s="135">
        <v>0.0</v>
      </c>
      <c r="AI723" s="135">
        <v>0.0</v>
      </c>
      <c r="AJ723" s="135">
        <v>0.0</v>
      </c>
      <c r="AK723" s="135">
        <v>0.0</v>
      </c>
      <c r="AL723" s="135">
        <v>0.0</v>
      </c>
      <c r="AM723" s="135">
        <v>0.0</v>
      </c>
      <c r="AN723" s="137">
        <v>0.0</v>
      </c>
    </row>
    <row r="724">
      <c r="A724" s="104"/>
      <c r="B724" s="136" t="s">
        <v>201</v>
      </c>
      <c r="C724" s="137">
        <v>0.0</v>
      </c>
      <c r="D724" s="137">
        <v>0.0</v>
      </c>
      <c r="E724" s="137">
        <v>0.0</v>
      </c>
      <c r="F724" s="137">
        <v>0.0</v>
      </c>
      <c r="G724" s="137">
        <v>0.0</v>
      </c>
      <c r="H724" s="137">
        <v>0.0</v>
      </c>
      <c r="I724" s="137">
        <v>0.0</v>
      </c>
      <c r="J724" s="137">
        <v>0.0</v>
      </c>
      <c r="K724" s="137">
        <v>0.0</v>
      </c>
      <c r="L724" s="137">
        <v>0.0</v>
      </c>
      <c r="M724" s="137">
        <v>0.0</v>
      </c>
      <c r="N724" s="137">
        <v>0.0</v>
      </c>
      <c r="O724" s="137">
        <v>0.0</v>
      </c>
      <c r="P724" s="135">
        <v>0.0</v>
      </c>
      <c r="Q724" s="135">
        <v>0.0</v>
      </c>
      <c r="R724" s="135">
        <v>0.0</v>
      </c>
      <c r="S724" s="135">
        <v>0.0</v>
      </c>
      <c r="T724" s="135">
        <v>0.0</v>
      </c>
      <c r="U724" s="135">
        <v>0.0</v>
      </c>
      <c r="V724" s="135">
        <v>0.0</v>
      </c>
      <c r="W724" s="135">
        <v>0.0</v>
      </c>
      <c r="X724" s="135">
        <v>0.0</v>
      </c>
      <c r="Y724" s="135">
        <v>0.0</v>
      </c>
      <c r="Z724" s="135">
        <v>0.0</v>
      </c>
      <c r="AA724" s="135">
        <v>0.0</v>
      </c>
      <c r="AB724" s="135">
        <v>0.0</v>
      </c>
      <c r="AC724" s="135">
        <v>0.0</v>
      </c>
      <c r="AD724" s="135">
        <v>0.0</v>
      </c>
      <c r="AE724" s="135">
        <v>0.0</v>
      </c>
      <c r="AF724" s="135">
        <v>0.0</v>
      </c>
      <c r="AG724" s="135">
        <v>0.0</v>
      </c>
      <c r="AH724" s="135">
        <v>0.0</v>
      </c>
      <c r="AI724" s="135">
        <v>0.0</v>
      </c>
      <c r="AJ724" s="135">
        <v>0.0</v>
      </c>
      <c r="AK724" s="135">
        <v>0.0</v>
      </c>
      <c r="AL724" s="135">
        <v>0.0</v>
      </c>
      <c r="AM724" s="135">
        <v>0.0</v>
      </c>
      <c r="AN724" s="137">
        <v>0.0</v>
      </c>
    </row>
  </sheetData>
  <mergeCells count="263"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29:AN29"/>
    <mergeCell ref="A53:AN53"/>
    <mergeCell ref="A77:AN77"/>
    <mergeCell ref="A101:AN101"/>
    <mergeCell ref="A125:AN125"/>
    <mergeCell ref="A96:A100"/>
    <mergeCell ref="A102:A105"/>
    <mergeCell ref="A106:A107"/>
    <mergeCell ref="A108:A109"/>
    <mergeCell ref="A110:A111"/>
    <mergeCell ref="A112:A114"/>
    <mergeCell ref="A115:A119"/>
    <mergeCell ref="A120:A124"/>
    <mergeCell ref="A126:A129"/>
    <mergeCell ref="A130:A131"/>
    <mergeCell ref="A132:A133"/>
    <mergeCell ref="A134:A135"/>
    <mergeCell ref="A136:A138"/>
    <mergeCell ref="A139:A143"/>
    <mergeCell ref="A150:A153"/>
    <mergeCell ref="A154:A155"/>
    <mergeCell ref="A156:A157"/>
    <mergeCell ref="A158:A159"/>
    <mergeCell ref="A160:A162"/>
    <mergeCell ref="A163:A167"/>
    <mergeCell ref="A168:A172"/>
    <mergeCell ref="A174:A177"/>
    <mergeCell ref="A178:A179"/>
    <mergeCell ref="A180:A181"/>
    <mergeCell ref="A182:A183"/>
    <mergeCell ref="A184:A186"/>
    <mergeCell ref="A187:A191"/>
    <mergeCell ref="A192:A196"/>
    <mergeCell ref="A198:A201"/>
    <mergeCell ref="A202:A203"/>
    <mergeCell ref="A204:A205"/>
    <mergeCell ref="A206:A207"/>
    <mergeCell ref="A208:A210"/>
    <mergeCell ref="A211:A215"/>
    <mergeCell ref="A216:A220"/>
    <mergeCell ref="A222:A225"/>
    <mergeCell ref="A226:A227"/>
    <mergeCell ref="A228:A229"/>
    <mergeCell ref="A230:A231"/>
    <mergeCell ref="A232:A234"/>
    <mergeCell ref="A235:A239"/>
    <mergeCell ref="A240:A244"/>
    <mergeCell ref="A246:A249"/>
    <mergeCell ref="A250:A251"/>
    <mergeCell ref="A252:A253"/>
    <mergeCell ref="A254:A255"/>
    <mergeCell ref="A256:A258"/>
    <mergeCell ref="A259:A263"/>
    <mergeCell ref="A264:A268"/>
    <mergeCell ref="A270:A273"/>
    <mergeCell ref="A274:A275"/>
    <mergeCell ref="A276:A277"/>
    <mergeCell ref="A278:A279"/>
    <mergeCell ref="A280:A282"/>
    <mergeCell ref="A283:A287"/>
    <mergeCell ref="A288:A292"/>
    <mergeCell ref="A293:AN293"/>
    <mergeCell ref="A317:AN317"/>
    <mergeCell ref="A341:AN341"/>
    <mergeCell ref="A365:AN365"/>
    <mergeCell ref="A389:AN389"/>
    <mergeCell ref="A413:AN413"/>
    <mergeCell ref="A437:AN437"/>
    <mergeCell ref="A629:AN629"/>
    <mergeCell ref="A653:AN653"/>
    <mergeCell ref="A677:AN677"/>
    <mergeCell ref="A701:AN701"/>
    <mergeCell ref="A461:AN461"/>
    <mergeCell ref="A485:AN485"/>
    <mergeCell ref="A509:AN509"/>
    <mergeCell ref="A533:AN533"/>
    <mergeCell ref="A557:AN557"/>
    <mergeCell ref="A581:AN581"/>
    <mergeCell ref="A605:AN605"/>
    <mergeCell ref="AJ3:AK3"/>
    <mergeCell ref="AL3:AM3"/>
    <mergeCell ref="A2:A4"/>
    <mergeCell ref="A6:A9"/>
    <mergeCell ref="A10:A11"/>
    <mergeCell ref="A12:A13"/>
    <mergeCell ref="A14:A15"/>
    <mergeCell ref="A16:A18"/>
    <mergeCell ref="A19:A23"/>
    <mergeCell ref="A1:C1"/>
    <mergeCell ref="B2:B4"/>
    <mergeCell ref="C2:E3"/>
    <mergeCell ref="F2:AM2"/>
    <mergeCell ref="AN2:AN4"/>
    <mergeCell ref="F3:G3"/>
    <mergeCell ref="A5:AN5"/>
    <mergeCell ref="A24:A28"/>
    <mergeCell ref="A30:A33"/>
    <mergeCell ref="A34:A35"/>
    <mergeCell ref="A36:A37"/>
    <mergeCell ref="A38:A39"/>
    <mergeCell ref="A40:A42"/>
    <mergeCell ref="A43:A47"/>
    <mergeCell ref="A48:A52"/>
    <mergeCell ref="A54:A57"/>
    <mergeCell ref="A58:A59"/>
    <mergeCell ref="A60:A61"/>
    <mergeCell ref="A62:A63"/>
    <mergeCell ref="A64:A66"/>
    <mergeCell ref="A67:A71"/>
    <mergeCell ref="A72:A76"/>
    <mergeCell ref="A78:A81"/>
    <mergeCell ref="A82:A83"/>
    <mergeCell ref="A84:A85"/>
    <mergeCell ref="A86:A87"/>
    <mergeCell ref="A88:A90"/>
    <mergeCell ref="A91:A95"/>
    <mergeCell ref="A144:A148"/>
    <mergeCell ref="A149:AN149"/>
    <mergeCell ref="A173:AN173"/>
    <mergeCell ref="A197:AN197"/>
    <mergeCell ref="A221:AN221"/>
    <mergeCell ref="A245:AN245"/>
    <mergeCell ref="A269:AN269"/>
    <mergeCell ref="A294:A297"/>
    <mergeCell ref="A298:A299"/>
    <mergeCell ref="A300:A301"/>
    <mergeCell ref="A302:A303"/>
    <mergeCell ref="A304:A306"/>
    <mergeCell ref="A307:A311"/>
    <mergeCell ref="A312:A316"/>
    <mergeCell ref="A318:A321"/>
    <mergeCell ref="A322:A323"/>
    <mergeCell ref="A324:A325"/>
    <mergeCell ref="A326:A327"/>
    <mergeCell ref="A328:A330"/>
    <mergeCell ref="A331:A335"/>
    <mergeCell ref="A336:A340"/>
    <mergeCell ref="A342:A345"/>
    <mergeCell ref="A346:A347"/>
    <mergeCell ref="A348:A349"/>
    <mergeCell ref="A350:A351"/>
    <mergeCell ref="A352:A354"/>
    <mergeCell ref="A355:A359"/>
    <mergeCell ref="A360:A364"/>
    <mergeCell ref="A366:A369"/>
    <mergeCell ref="A370:A371"/>
    <mergeCell ref="A372:A373"/>
    <mergeCell ref="A374:A375"/>
    <mergeCell ref="A376:A378"/>
    <mergeCell ref="A379:A383"/>
    <mergeCell ref="A384:A388"/>
    <mergeCell ref="A390:A393"/>
    <mergeCell ref="A394:A395"/>
    <mergeCell ref="A396:A397"/>
    <mergeCell ref="A398:A399"/>
    <mergeCell ref="A400:A402"/>
    <mergeCell ref="A403:A407"/>
    <mergeCell ref="A408:A412"/>
    <mergeCell ref="A414:A417"/>
    <mergeCell ref="A418:A419"/>
    <mergeCell ref="A420:A421"/>
    <mergeCell ref="A422:A423"/>
    <mergeCell ref="A424:A426"/>
    <mergeCell ref="A427:A431"/>
    <mergeCell ref="A432:A436"/>
    <mergeCell ref="A438:A441"/>
    <mergeCell ref="A442:A443"/>
    <mergeCell ref="A444:A445"/>
    <mergeCell ref="A446:A447"/>
    <mergeCell ref="A448:A450"/>
    <mergeCell ref="A451:A455"/>
    <mergeCell ref="A456:A460"/>
    <mergeCell ref="A630:A633"/>
    <mergeCell ref="A634:A635"/>
    <mergeCell ref="A636:A637"/>
    <mergeCell ref="A638:A639"/>
    <mergeCell ref="A640:A642"/>
    <mergeCell ref="A643:A647"/>
    <mergeCell ref="A648:A652"/>
    <mergeCell ref="A654:A657"/>
    <mergeCell ref="A658:A659"/>
    <mergeCell ref="A660:A661"/>
    <mergeCell ref="A662:A663"/>
    <mergeCell ref="A664:A666"/>
    <mergeCell ref="A667:A671"/>
    <mergeCell ref="A672:A676"/>
    <mergeCell ref="A702:A705"/>
    <mergeCell ref="A706:A707"/>
    <mergeCell ref="A708:A709"/>
    <mergeCell ref="A710:A711"/>
    <mergeCell ref="A712:A714"/>
    <mergeCell ref="A715:A719"/>
    <mergeCell ref="A720:A724"/>
    <mergeCell ref="A678:A681"/>
    <mergeCell ref="A682:A683"/>
    <mergeCell ref="A684:A685"/>
    <mergeCell ref="A686:A687"/>
    <mergeCell ref="A688:A690"/>
    <mergeCell ref="A691:A695"/>
    <mergeCell ref="A696:A700"/>
    <mergeCell ref="A462:A465"/>
    <mergeCell ref="A466:A467"/>
    <mergeCell ref="A468:A469"/>
    <mergeCell ref="A470:A471"/>
    <mergeCell ref="A472:A474"/>
    <mergeCell ref="A475:A479"/>
    <mergeCell ref="A480:A484"/>
    <mergeCell ref="A486:A489"/>
    <mergeCell ref="A490:A491"/>
    <mergeCell ref="A492:A493"/>
    <mergeCell ref="A494:A495"/>
    <mergeCell ref="A496:A498"/>
    <mergeCell ref="A499:A503"/>
    <mergeCell ref="A504:A508"/>
    <mergeCell ref="A510:A513"/>
    <mergeCell ref="A514:A515"/>
    <mergeCell ref="A516:A517"/>
    <mergeCell ref="A518:A519"/>
    <mergeCell ref="A520:A522"/>
    <mergeCell ref="A523:A527"/>
    <mergeCell ref="A528:A532"/>
    <mergeCell ref="A534:A537"/>
    <mergeCell ref="A538:A539"/>
    <mergeCell ref="A540:A541"/>
    <mergeCell ref="A542:A543"/>
    <mergeCell ref="A544:A546"/>
    <mergeCell ref="A547:A551"/>
    <mergeCell ref="A552:A556"/>
    <mergeCell ref="A558:A561"/>
    <mergeCell ref="A562:A563"/>
    <mergeCell ref="A564:A565"/>
    <mergeCell ref="A566:A567"/>
    <mergeCell ref="A568:A570"/>
    <mergeCell ref="A571:A575"/>
    <mergeCell ref="A576:A580"/>
    <mergeCell ref="A582:A585"/>
    <mergeCell ref="A586:A587"/>
    <mergeCell ref="A588:A589"/>
    <mergeCell ref="A590:A591"/>
    <mergeCell ref="A592:A594"/>
    <mergeCell ref="A595:A599"/>
    <mergeCell ref="A600:A604"/>
    <mergeCell ref="A606:A609"/>
    <mergeCell ref="A610:A611"/>
    <mergeCell ref="A612:A613"/>
    <mergeCell ref="A614:A615"/>
    <mergeCell ref="A616:A618"/>
    <mergeCell ref="A619:A623"/>
    <mergeCell ref="A624:A62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4" t="s">
        <v>269</v>
      </c>
    </row>
    <row r="2">
      <c r="A2" s="125" t="s">
        <v>173</v>
      </c>
      <c r="B2" s="125" t="s">
        <v>174</v>
      </c>
      <c r="C2" s="126" t="s">
        <v>175</v>
      </c>
      <c r="D2" s="15"/>
      <c r="E2" s="13"/>
      <c r="F2" s="127" t="s">
        <v>176</v>
      </c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7"/>
      <c r="AN2" s="125" t="s">
        <v>177</v>
      </c>
    </row>
    <row r="3">
      <c r="A3" s="98"/>
      <c r="B3" s="98"/>
      <c r="C3" s="99"/>
      <c r="D3" s="100"/>
      <c r="E3" s="101"/>
      <c r="F3" s="127" t="s">
        <v>178</v>
      </c>
      <c r="G3" s="97"/>
      <c r="H3" s="128">
        <v>45905.0</v>
      </c>
      <c r="I3" s="97"/>
      <c r="J3" s="129">
        <v>45944.0</v>
      </c>
      <c r="K3" s="97"/>
      <c r="L3" s="127" t="s">
        <v>179</v>
      </c>
      <c r="M3" s="97"/>
      <c r="N3" s="127" t="s">
        <v>180</v>
      </c>
      <c r="O3" s="97"/>
      <c r="P3" s="127" t="s">
        <v>181</v>
      </c>
      <c r="Q3" s="97"/>
      <c r="R3" s="127" t="s">
        <v>182</v>
      </c>
      <c r="S3" s="97"/>
      <c r="T3" s="127" t="s">
        <v>183</v>
      </c>
      <c r="U3" s="97"/>
      <c r="V3" s="127" t="s">
        <v>184</v>
      </c>
      <c r="W3" s="97"/>
      <c r="X3" s="127" t="s">
        <v>185</v>
      </c>
      <c r="Y3" s="97"/>
      <c r="Z3" s="127" t="s">
        <v>186</v>
      </c>
      <c r="AA3" s="97"/>
      <c r="AB3" s="127" t="s">
        <v>187</v>
      </c>
      <c r="AC3" s="97"/>
      <c r="AD3" s="127" t="s">
        <v>188</v>
      </c>
      <c r="AE3" s="97"/>
      <c r="AF3" s="127" t="s">
        <v>189</v>
      </c>
      <c r="AG3" s="97"/>
      <c r="AH3" s="127" t="s">
        <v>190</v>
      </c>
      <c r="AI3" s="97"/>
      <c r="AJ3" s="127" t="s">
        <v>191</v>
      </c>
      <c r="AK3" s="97"/>
      <c r="AL3" s="127" t="s">
        <v>192</v>
      </c>
      <c r="AM3" s="97"/>
      <c r="AN3" s="98"/>
    </row>
    <row r="4">
      <c r="A4" s="104"/>
      <c r="B4" s="104"/>
      <c r="C4" s="130" t="s">
        <v>193</v>
      </c>
      <c r="D4" s="130" t="s">
        <v>194</v>
      </c>
      <c r="E4" s="130" t="s">
        <v>195</v>
      </c>
      <c r="F4" s="130" t="s">
        <v>194</v>
      </c>
      <c r="G4" s="130" t="s">
        <v>195</v>
      </c>
      <c r="H4" s="130" t="s">
        <v>194</v>
      </c>
      <c r="I4" s="130" t="s">
        <v>195</v>
      </c>
      <c r="J4" s="130" t="s">
        <v>194</v>
      </c>
      <c r="K4" s="130" t="s">
        <v>195</v>
      </c>
      <c r="L4" s="130" t="s">
        <v>194</v>
      </c>
      <c r="M4" s="130" t="s">
        <v>195</v>
      </c>
      <c r="N4" s="130" t="s">
        <v>194</v>
      </c>
      <c r="O4" s="130" t="s">
        <v>195</v>
      </c>
      <c r="P4" s="130" t="s">
        <v>194</v>
      </c>
      <c r="Q4" s="130" t="s">
        <v>195</v>
      </c>
      <c r="R4" s="130" t="s">
        <v>194</v>
      </c>
      <c r="S4" s="130" t="s">
        <v>195</v>
      </c>
      <c r="T4" s="130" t="s">
        <v>194</v>
      </c>
      <c r="U4" s="130" t="s">
        <v>195</v>
      </c>
      <c r="V4" s="130" t="s">
        <v>194</v>
      </c>
      <c r="W4" s="130" t="s">
        <v>195</v>
      </c>
      <c r="X4" s="130" t="s">
        <v>194</v>
      </c>
      <c r="Y4" s="130" t="s">
        <v>195</v>
      </c>
      <c r="Z4" s="130" t="s">
        <v>194</v>
      </c>
      <c r="AA4" s="130" t="s">
        <v>195</v>
      </c>
      <c r="AB4" s="130" t="s">
        <v>194</v>
      </c>
      <c r="AC4" s="130" t="s">
        <v>195</v>
      </c>
      <c r="AD4" s="130" t="s">
        <v>194</v>
      </c>
      <c r="AE4" s="130" t="s">
        <v>195</v>
      </c>
      <c r="AF4" s="130" t="s">
        <v>194</v>
      </c>
      <c r="AG4" s="130" t="s">
        <v>195</v>
      </c>
      <c r="AH4" s="130" t="s">
        <v>194</v>
      </c>
      <c r="AI4" s="130" t="s">
        <v>195</v>
      </c>
      <c r="AJ4" s="130" t="s">
        <v>194</v>
      </c>
      <c r="AK4" s="130" t="s">
        <v>195</v>
      </c>
      <c r="AL4" s="130" t="s">
        <v>194</v>
      </c>
      <c r="AM4" s="130" t="s">
        <v>195</v>
      </c>
      <c r="AN4" s="104"/>
    </row>
    <row r="5">
      <c r="A5" s="131" t="s">
        <v>196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</row>
    <row r="6">
      <c r="A6" s="132" t="s">
        <v>197</v>
      </c>
      <c r="B6" s="133" t="s">
        <v>198</v>
      </c>
      <c r="C6" s="134">
        <v>2539374.0</v>
      </c>
      <c r="D6" s="134">
        <v>956450.0</v>
      </c>
      <c r="E6" s="134">
        <v>1584302.0</v>
      </c>
      <c r="F6" s="135">
        <v>0.0</v>
      </c>
      <c r="G6" s="135">
        <v>0.0</v>
      </c>
      <c r="H6" s="135">
        <v>0.0</v>
      </c>
      <c r="I6" s="135">
        <v>0.0</v>
      </c>
      <c r="J6" s="135">
        <v>0.0</v>
      </c>
      <c r="K6" s="135">
        <v>0.0</v>
      </c>
      <c r="L6" s="134">
        <v>1628.0</v>
      </c>
      <c r="M6" s="134">
        <v>2426.0</v>
      </c>
      <c r="N6" s="134">
        <v>2572.0</v>
      </c>
      <c r="O6" s="134">
        <v>5424.0</v>
      </c>
      <c r="P6" s="134">
        <v>5118.0</v>
      </c>
      <c r="Q6" s="134">
        <v>11374.0</v>
      </c>
      <c r="R6" s="134">
        <v>10144.0</v>
      </c>
      <c r="S6" s="134">
        <v>20946.0</v>
      </c>
      <c r="T6" s="134">
        <v>17230.0</v>
      </c>
      <c r="U6" s="134">
        <v>34808.0</v>
      </c>
      <c r="V6" s="134">
        <v>29680.0</v>
      </c>
      <c r="W6" s="134">
        <v>57958.0</v>
      </c>
      <c r="X6" s="134">
        <v>49806.0</v>
      </c>
      <c r="Y6" s="134">
        <v>99854.0</v>
      </c>
      <c r="Z6" s="134">
        <v>81472.0</v>
      </c>
      <c r="AA6" s="134">
        <v>158704.0</v>
      </c>
      <c r="AB6" s="134">
        <v>118866.0</v>
      </c>
      <c r="AC6" s="134">
        <v>208240.0</v>
      </c>
      <c r="AD6" s="134">
        <v>136798.0</v>
      </c>
      <c r="AE6" s="134">
        <v>223172.0</v>
      </c>
      <c r="AF6" s="134">
        <v>143662.0</v>
      </c>
      <c r="AG6" s="134">
        <v>217526.0</v>
      </c>
      <c r="AH6" s="134">
        <v>137166.0</v>
      </c>
      <c r="AI6" s="134">
        <v>198368.0</v>
      </c>
      <c r="AJ6" s="134">
        <v>108184.0</v>
      </c>
      <c r="AK6" s="134">
        <v>157450.0</v>
      </c>
      <c r="AL6" s="134">
        <v>114160.0</v>
      </c>
      <c r="AM6" s="134">
        <v>188134.0</v>
      </c>
      <c r="AN6" s="134">
        <v>2501836.0</v>
      </c>
    </row>
    <row r="7">
      <c r="A7" s="98"/>
      <c r="B7" s="136" t="s">
        <v>199</v>
      </c>
      <c r="C7" s="134">
        <v>877790.0</v>
      </c>
      <c r="D7" s="134">
        <v>325074.0</v>
      </c>
      <c r="E7" s="134">
        <v>551862.0</v>
      </c>
      <c r="F7" s="135">
        <v>0.0</v>
      </c>
      <c r="G7" s="135">
        <v>0.0</v>
      </c>
      <c r="H7" s="135">
        <v>0.0</v>
      </c>
      <c r="I7" s="135">
        <v>0.0</v>
      </c>
      <c r="J7" s="135">
        <v>0.0</v>
      </c>
      <c r="K7" s="135">
        <v>0.0</v>
      </c>
      <c r="L7" s="137">
        <v>284.0</v>
      </c>
      <c r="M7" s="137">
        <v>420.0</v>
      </c>
      <c r="N7" s="137">
        <v>560.0</v>
      </c>
      <c r="O7" s="134">
        <v>1082.0</v>
      </c>
      <c r="P7" s="134">
        <v>1398.0</v>
      </c>
      <c r="Q7" s="134">
        <v>2770.0</v>
      </c>
      <c r="R7" s="134">
        <v>2526.0</v>
      </c>
      <c r="S7" s="134">
        <v>5502.0</v>
      </c>
      <c r="T7" s="134">
        <v>4754.0</v>
      </c>
      <c r="U7" s="134">
        <v>9286.0</v>
      </c>
      <c r="V7" s="134">
        <v>8184.0</v>
      </c>
      <c r="W7" s="134">
        <v>17224.0</v>
      </c>
      <c r="X7" s="134">
        <v>14588.0</v>
      </c>
      <c r="Y7" s="134">
        <v>31358.0</v>
      </c>
      <c r="Z7" s="134">
        <v>25596.0</v>
      </c>
      <c r="AA7" s="134">
        <v>52168.0</v>
      </c>
      <c r="AB7" s="134">
        <v>37924.0</v>
      </c>
      <c r="AC7" s="134">
        <v>69952.0</v>
      </c>
      <c r="AD7" s="134">
        <v>44850.0</v>
      </c>
      <c r="AE7" s="134">
        <v>76654.0</v>
      </c>
      <c r="AF7" s="134">
        <v>50218.0</v>
      </c>
      <c r="AG7" s="134">
        <v>78630.0</v>
      </c>
      <c r="AH7" s="134">
        <v>49118.0</v>
      </c>
      <c r="AI7" s="134">
        <v>73850.0</v>
      </c>
      <c r="AJ7" s="134">
        <v>42002.0</v>
      </c>
      <c r="AK7" s="134">
        <v>59978.0</v>
      </c>
      <c r="AL7" s="134">
        <v>43066.0</v>
      </c>
      <c r="AM7" s="134">
        <v>72992.0</v>
      </c>
      <c r="AN7" s="134">
        <v>865600.0</v>
      </c>
    </row>
    <row r="8">
      <c r="A8" s="98"/>
      <c r="B8" s="136" t="s">
        <v>200</v>
      </c>
      <c r="C8" s="134">
        <v>718782.0</v>
      </c>
      <c r="D8" s="134">
        <v>255050.0</v>
      </c>
      <c r="E8" s="134">
        <v>463426.0</v>
      </c>
      <c r="F8" s="135">
        <v>0.0</v>
      </c>
      <c r="G8" s="135">
        <v>0.0</v>
      </c>
      <c r="H8" s="135">
        <v>0.0</v>
      </c>
      <c r="I8" s="135">
        <v>2.0</v>
      </c>
      <c r="J8" s="135">
        <v>2.0</v>
      </c>
      <c r="K8" s="135">
        <v>0.0</v>
      </c>
      <c r="L8" s="137">
        <v>536.0</v>
      </c>
      <c r="M8" s="137">
        <v>890.0</v>
      </c>
      <c r="N8" s="137">
        <v>904.0</v>
      </c>
      <c r="O8" s="134">
        <v>2000.0</v>
      </c>
      <c r="P8" s="134">
        <v>1706.0</v>
      </c>
      <c r="Q8" s="134">
        <v>4318.0</v>
      </c>
      <c r="R8" s="134">
        <v>3190.0</v>
      </c>
      <c r="S8" s="134">
        <v>7394.0</v>
      </c>
      <c r="T8" s="134">
        <v>5146.0</v>
      </c>
      <c r="U8" s="134">
        <v>11294.0</v>
      </c>
      <c r="V8" s="134">
        <v>8868.0</v>
      </c>
      <c r="W8" s="134">
        <v>18644.0</v>
      </c>
      <c r="X8" s="134">
        <v>14170.0</v>
      </c>
      <c r="Y8" s="134">
        <v>31976.0</v>
      </c>
      <c r="Z8" s="134">
        <v>22570.0</v>
      </c>
      <c r="AA8" s="134">
        <v>50122.0</v>
      </c>
      <c r="AB8" s="134">
        <v>32188.0</v>
      </c>
      <c r="AC8" s="134">
        <v>62964.0</v>
      </c>
      <c r="AD8" s="134">
        <v>36674.0</v>
      </c>
      <c r="AE8" s="134">
        <v>66298.0</v>
      </c>
      <c r="AF8" s="134">
        <v>38198.0</v>
      </c>
      <c r="AG8" s="134">
        <v>63486.0</v>
      </c>
      <c r="AH8" s="134">
        <v>36384.0</v>
      </c>
      <c r="AI8" s="134">
        <v>56834.0</v>
      </c>
      <c r="AJ8" s="134">
        <v>27672.0</v>
      </c>
      <c r="AK8" s="134">
        <v>42300.0</v>
      </c>
      <c r="AL8" s="134">
        <v>26770.0</v>
      </c>
      <c r="AM8" s="134">
        <v>44766.0</v>
      </c>
      <c r="AN8" s="134">
        <v>707606.0</v>
      </c>
    </row>
    <row r="9">
      <c r="A9" s="104"/>
      <c r="B9" s="136" t="s">
        <v>201</v>
      </c>
      <c r="C9" s="134">
        <v>119840.0</v>
      </c>
      <c r="D9" s="134">
        <v>44718.0</v>
      </c>
      <c r="E9" s="134">
        <v>74912.0</v>
      </c>
      <c r="F9" s="135">
        <v>0.0</v>
      </c>
      <c r="G9" s="135">
        <v>0.0</v>
      </c>
      <c r="H9" s="135">
        <v>0.0</v>
      </c>
      <c r="I9" s="135">
        <v>0.0</v>
      </c>
      <c r="J9" s="135">
        <v>0.0</v>
      </c>
      <c r="K9" s="135">
        <v>0.0</v>
      </c>
      <c r="L9" s="137">
        <v>82.0</v>
      </c>
      <c r="M9" s="137">
        <v>166.0</v>
      </c>
      <c r="N9" s="137">
        <v>156.0</v>
      </c>
      <c r="O9" s="137">
        <v>258.0</v>
      </c>
      <c r="P9" s="137">
        <v>360.0</v>
      </c>
      <c r="Q9" s="137">
        <v>748.0</v>
      </c>
      <c r="R9" s="137">
        <v>562.0</v>
      </c>
      <c r="S9" s="134">
        <v>1348.0</v>
      </c>
      <c r="T9" s="137">
        <v>854.0</v>
      </c>
      <c r="U9" s="134">
        <v>1800.0</v>
      </c>
      <c r="V9" s="134">
        <v>1418.0</v>
      </c>
      <c r="W9" s="134">
        <v>2948.0</v>
      </c>
      <c r="X9" s="134">
        <v>2052.0</v>
      </c>
      <c r="Y9" s="134">
        <v>4992.0</v>
      </c>
      <c r="Z9" s="134">
        <v>3874.0</v>
      </c>
      <c r="AA9" s="134">
        <v>8050.0</v>
      </c>
      <c r="AB9" s="134">
        <v>5390.0</v>
      </c>
      <c r="AC9" s="134">
        <v>9838.0</v>
      </c>
      <c r="AD9" s="134">
        <v>6324.0</v>
      </c>
      <c r="AE9" s="134">
        <v>10080.0</v>
      </c>
      <c r="AF9" s="134">
        <v>5744.0</v>
      </c>
      <c r="AG9" s="134">
        <v>10012.0</v>
      </c>
      <c r="AH9" s="134">
        <v>6762.0</v>
      </c>
      <c r="AI9" s="134">
        <v>8866.0</v>
      </c>
      <c r="AJ9" s="134">
        <v>4894.0</v>
      </c>
      <c r="AK9" s="134">
        <v>7144.0</v>
      </c>
      <c r="AL9" s="134">
        <v>6228.0</v>
      </c>
      <c r="AM9" s="134">
        <v>8680.0</v>
      </c>
      <c r="AN9" s="134">
        <v>115644.0</v>
      </c>
    </row>
    <row r="10">
      <c r="A10" s="132" t="s">
        <v>202</v>
      </c>
      <c r="B10" s="136" t="s">
        <v>198</v>
      </c>
      <c r="C10" s="134">
        <v>19326.0</v>
      </c>
      <c r="D10" s="134">
        <v>10804.0</v>
      </c>
      <c r="E10" s="134">
        <v>8532.0</v>
      </c>
      <c r="F10" s="137">
        <v>252.0</v>
      </c>
      <c r="G10" s="137">
        <v>316.0</v>
      </c>
      <c r="H10" s="137">
        <v>198.0</v>
      </c>
      <c r="I10" s="137">
        <v>226.0</v>
      </c>
      <c r="J10" s="137">
        <v>248.0</v>
      </c>
      <c r="K10" s="137">
        <v>252.0</v>
      </c>
      <c r="L10" s="137">
        <v>354.0</v>
      </c>
      <c r="M10" s="137">
        <v>328.0</v>
      </c>
      <c r="N10" s="137">
        <v>850.0</v>
      </c>
      <c r="O10" s="137">
        <v>652.0</v>
      </c>
      <c r="P10" s="134">
        <v>1014.0</v>
      </c>
      <c r="Q10" s="137">
        <v>942.0</v>
      </c>
      <c r="R10" s="134">
        <v>1120.0</v>
      </c>
      <c r="S10" s="137">
        <v>874.0</v>
      </c>
      <c r="T10" s="134">
        <v>1106.0</v>
      </c>
      <c r="U10" s="137">
        <v>572.0</v>
      </c>
      <c r="V10" s="137">
        <v>748.0</v>
      </c>
      <c r="W10" s="137">
        <v>474.0</v>
      </c>
      <c r="X10" s="137">
        <v>884.0</v>
      </c>
      <c r="Y10" s="137">
        <v>576.0</v>
      </c>
      <c r="Z10" s="137">
        <v>876.0</v>
      </c>
      <c r="AA10" s="137">
        <v>698.0</v>
      </c>
      <c r="AB10" s="137">
        <v>842.0</v>
      </c>
      <c r="AC10" s="137">
        <v>632.0</v>
      </c>
      <c r="AD10" s="137">
        <v>798.0</v>
      </c>
      <c r="AE10" s="137">
        <v>592.0</v>
      </c>
      <c r="AF10" s="137">
        <v>522.0</v>
      </c>
      <c r="AG10" s="137">
        <v>396.0</v>
      </c>
      <c r="AH10" s="137">
        <v>472.0</v>
      </c>
      <c r="AI10" s="137">
        <v>456.0</v>
      </c>
      <c r="AJ10" s="137">
        <v>216.0</v>
      </c>
      <c r="AK10" s="137">
        <v>220.0</v>
      </c>
      <c r="AL10" s="137">
        <v>304.0</v>
      </c>
      <c r="AM10" s="137">
        <v>326.0</v>
      </c>
      <c r="AN10" s="134">
        <v>18554.0</v>
      </c>
    </row>
    <row r="11">
      <c r="A11" s="104"/>
      <c r="B11" s="136" t="s">
        <v>199</v>
      </c>
      <c r="C11" s="134">
        <v>17492.0</v>
      </c>
      <c r="D11" s="134">
        <v>9762.0</v>
      </c>
      <c r="E11" s="134">
        <v>7724.0</v>
      </c>
      <c r="F11" s="137">
        <v>262.0</v>
      </c>
      <c r="G11" s="137">
        <v>414.0</v>
      </c>
      <c r="H11" s="137">
        <v>396.0</v>
      </c>
      <c r="I11" s="137">
        <v>294.0</v>
      </c>
      <c r="J11" s="137">
        <v>246.0</v>
      </c>
      <c r="K11" s="137">
        <v>238.0</v>
      </c>
      <c r="L11" s="137">
        <v>362.0</v>
      </c>
      <c r="M11" s="137">
        <v>376.0</v>
      </c>
      <c r="N11" s="137">
        <v>638.0</v>
      </c>
      <c r="O11" s="137">
        <v>512.0</v>
      </c>
      <c r="P11" s="137">
        <v>930.0</v>
      </c>
      <c r="Q11" s="137">
        <v>946.0</v>
      </c>
      <c r="R11" s="134">
        <v>1016.0</v>
      </c>
      <c r="S11" s="137">
        <v>678.0</v>
      </c>
      <c r="T11" s="137">
        <v>780.0</v>
      </c>
      <c r="U11" s="137">
        <v>734.0</v>
      </c>
      <c r="V11" s="137">
        <v>762.0</v>
      </c>
      <c r="W11" s="137">
        <v>474.0</v>
      </c>
      <c r="X11" s="137">
        <v>796.0</v>
      </c>
      <c r="Y11" s="137">
        <v>580.0</v>
      </c>
      <c r="Z11" s="137">
        <v>778.0</v>
      </c>
      <c r="AA11" s="137">
        <v>508.0</v>
      </c>
      <c r="AB11" s="137">
        <v>758.0</v>
      </c>
      <c r="AC11" s="137">
        <v>390.0</v>
      </c>
      <c r="AD11" s="137">
        <v>900.0</v>
      </c>
      <c r="AE11" s="137">
        <v>422.0</v>
      </c>
      <c r="AF11" s="137">
        <v>440.0</v>
      </c>
      <c r="AG11" s="137">
        <v>354.0</v>
      </c>
      <c r="AH11" s="137">
        <v>308.0</v>
      </c>
      <c r="AI11" s="137">
        <v>256.0</v>
      </c>
      <c r="AJ11" s="137">
        <v>170.0</v>
      </c>
      <c r="AK11" s="137">
        <v>136.0</v>
      </c>
      <c r="AL11" s="137">
        <v>220.0</v>
      </c>
      <c r="AM11" s="137">
        <v>412.0</v>
      </c>
      <c r="AN11" s="134">
        <v>16756.0</v>
      </c>
    </row>
    <row r="12">
      <c r="A12" s="132" t="s">
        <v>203</v>
      </c>
      <c r="B12" s="136" t="s">
        <v>198</v>
      </c>
      <c r="C12" s="134">
        <v>2234.0</v>
      </c>
      <c r="D12" s="134">
        <v>1006.0</v>
      </c>
      <c r="E12" s="134">
        <v>1248.0</v>
      </c>
      <c r="F12" s="135">
        <v>0.0</v>
      </c>
      <c r="G12" s="135">
        <v>0.0</v>
      </c>
      <c r="H12" s="135">
        <v>0.0</v>
      </c>
      <c r="I12" s="135">
        <v>0.0</v>
      </c>
      <c r="J12" s="135">
        <v>0.0</v>
      </c>
      <c r="K12" s="135">
        <v>0.0</v>
      </c>
      <c r="L12" s="135">
        <v>0.0</v>
      </c>
      <c r="M12" s="135">
        <v>0.0</v>
      </c>
      <c r="N12" s="135">
        <v>0.0</v>
      </c>
      <c r="O12" s="135">
        <v>0.0</v>
      </c>
      <c r="P12" s="135">
        <v>0.0</v>
      </c>
      <c r="Q12" s="135">
        <v>0.0</v>
      </c>
      <c r="R12" s="135">
        <v>0.0</v>
      </c>
      <c r="S12" s="135">
        <v>0.0</v>
      </c>
      <c r="T12" s="135">
        <v>0.0</v>
      </c>
      <c r="U12" s="135">
        <v>0.0</v>
      </c>
      <c r="V12" s="135">
        <v>0.0</v>
      </c>
      <c r="W12" s="135">
        <v>0.0</v>
      </c>
      <c r="X12" s="135">
        <v>0.0</v>
      </c>
      <c r="Y12" s="135">
        <v>0.0</v>
      </c>
      <c r="Z12" s="135">
        <v>0.0</v>
      </c>
      <c r="AA12" s="135">
        <v>0.0</v>
      </c>
      <c r="AB12" s="135">
        <v>0.0</v>
      </c>
      <c r="AC12" s="135">
        <v>0.0</v>
      </c>
      <c r="AD12" s="135">
        <v>0.0</v>
      </c>
      <c r="AE12" s="135">
        <v>0.0</v>
      </c>
      <c r="AF12" s="137">
        <v>174.0</v>
      </c>
      <c r="AG12" s="137">
        <v>272.0</v>
      </c>
      <c r="AH12" s="137">
        <v>248.0</v>
      </c>
      <c r="AI12" s="137">
        <v>336.0</v>
      </c>
      <c r="AJ12" s="137">
        <v>232.0</v>
      </c>
      <c r="AK12" s="137">
        <v>278.0</v>
      </c>
      <c r="AL12" s="137">
        <v>352.0</v>
      </c>
      <c r="AM12" s="137">
        <v>362.0</v>
      </c>
      <c r="AN12" s="134">
        <v>2224.0</v>
      </c>
    </row>
    <row r="13">
      <c r="A13" s="104"/>
      <c r="B13" s="136" t="s">
        <v>199</v>
      </c>
      <c r="C13" s="134">
        <v>13406.0</v>
      </c>
      <c r="D13" s="134">
        <v>4834.0</v>
      </c>
      <c r="E13" s="134">
        <v>8588.0</v>
      </c>
      <c r="F13" s="135">
        <v>0.0</v>
      </c>
      <c r="G13" s="135">
        <v>0.0</v>
      </c>
      <c r="H13" s="135">
        <v>0.0</v>
      </c>
      <c r="I13" s="135">
        <v>0.0</v>
      </c>
      <c r="J13" s="135">
        <v>0.0</v>
      </c>
      <c r="K13" s="135">
        <v>0.0</v>
      </c>
      <c r="L13" s="135">
        <v>0.0</v>
      </c>
      <c r="M13" s="135">
        <v>0.0</v>
      </c>
      <c r="N13" s="135">
        <v>0.0</v>
      </c>
      <c r="O13" s="135">
        <v>0.0</v>
      </c>
      <c r="P13" s="135">
        <v>0.0</v>
      </c>
      <c r="Q13" s="135">
        <v>0.0</v>
      </c>
      <c r="R13" s="135">
        <v>0.0</v>
      </c>
      <c r="S13" s="135">
        <v>0.0</v>
      </c>
      <c r="T13" s="135">
        <v>0.0</v>
      </c>
      <c r="U13" s="135">
        <v>0.0</v>
      </c>
      <c r="V13" s="135">
        <v>0.0</v>
      </c>
      <c r="W13" s="135">
        <v>0.0</v>
      </c>
      <c r="X13" s="135">
        <v>0.0</v>
      </c>
      <c r="Y13" s="135">
        <v>0.0</v>
      </c>
      <c r="Z13" s="135">
        <v>0.0</v>
      </c>
      <c r="AA13" s="135">
        <v>0.0</v>
      </c>
      <c r="AB13" s="135">
        <v>0.0</v>
      </c>
      <c r="AC13" s="135">
        <v>0.0</v>
      </c>
      <c r="AD13" s="135">
        <v>0.0</v>
      </c>
      <c r="AE13" s="135">
        <v>0.0</v>
      </c>
      <c r="AF13" s="134">
        <v>1200.0</v>
      </c>
      <c r="AG13" s="134">
        <v>2256.0</v>
      </c>
      <c r="AH13" s="134">
        <v>1466.0</v>
      </c>
      <c r="AI13" s="134">
        <v>2530.0</v>
      </c>
      <c r="AJ13" s="134">
        <v>1168.0</v>
      </c>
      <c r="AK13" s="134">
        <v>2022.0</v>
      </c>
      <c r="AL13" s="137">
        <v>998.0</v>
      </c>
      <c r="AM13" s="134">
        <v>1782.0</v>
      </c>
      <c r="AN13" s="134">
        <v>12840.0</v>
      </c>
    </row>
    <row r="14">
      <c r="A14" s="132" t="s">
        <v>204</v>
      </c>
      <c r="B14" s="136" t="s">
        <v>198</v>
      </c>
      <c r="C14" s="137">
        <v>676.0</v>
      </c>
      <c r="D14" s="137">
        <v>262.0</v>
      </c>
      <c r="E14" s="137">
        <v>374.0</v>
      </c>
      <c r="F14" s="135">
        <v>0.0</v>
      </c>
      <c r="G14" s="135">
        <v>0.0</v>
      </c>
      <c r="H14" s="135">
        <v>0.0</v>
      </c>
      <c r="I14" s="135">
        <v>0.0</v>
      </c>
      <c r="J14" s="135">
        <v>0.0</v>
      </c>
      <c r="K14" s="135">
        <v>0.0</v>
      </c>
      <c r="L14" s="135">
        <v>0.0</v>
      </c>
      <c r="M14" s="135">
        <v>0.0</v>
      </c>
      <c r="N14" s="135">
        <v>0.0</v>
      </c>
      <c r="O14" s="135">
        <v>0.0</v>
      </c>
      <c r="P14" s="135">
        <v>0.0</v>
      </c>
      <c r="Q14" s="135">
        <v>0.0</v>
      </c>
      <c r="R14" s="135">
        <v>0.0</v>
      </c>
      <c r="S14" s="135">
        <v>0.0</v>
      </c>
      <c r="T14" s="135">
        <v>0.0</v>
      </c>
      <c r="U14" s="135">
        <v>0.0</v>
      </c>
      <c r="V14" s="135">
        <v>0.0</v>
      </c>
      <c r="W14" s="135">
        <v>0.0</v>
      </c>
      <c r="X14" s="135">
        <v>0.0</v>
      </c>
      <c r="Y14" s="135">
        <v>0.0</v>
      </c>
      <c r="Z14" s="135">
        <v>0.0</v>
      </c>
      <c r="AA14" s="135">
        <v>0.0</v>
      </c>
      <c r="AB14" s="135">
        <v>0.0</v>
      </c>
      <c r="AC14" s="135">
        <v>0.0</v>
      </c>
      <c r="AD14" s="135">
        <v>0.0</v>
      </c>
      <c r="AE14" s="135">
        <v>0.0</v>
      </c>
      <c r="AF14" s="137">
        <v>30.0</v>
      </c>
      <c r="AG14" s="137">
        <v>38.0</v>
      </c>
      <c r="AH14" s="137">
        <v>34.0</v>
      </c>
      <c r="AI14" s="137">
        <v>70.0</v>
      </c>
      <c r="AJ14" s="137">
        <v>76.0</v>
      </c>
      <c r="AK14" s="137">
        <v>68.0</v>
      </c>
      <c r="AL14" s="137">
        <v>122.0</v>
      </c>
      <c r="AM14" s="137">
        <v>198.0</v>
      </c>
      <c r="AN14" s="137">
        <v>628.0</v>
      </c>
    </row>
    <row r="15">
      <c r="A15" s="104"/>
      <c r="B15" s="136" t="s">
        <v>199</v>
      </c>
      <c r="C15" s="134">
        <v>8134.0</v>
      </c>
      <c r="D15" s="134">
        <v>2920.0</v>
      </c>
      <c r="E15" s="134">
        <v>5228.0</v>
      </c>
      <c r="F15" s="135">
        <v>0.0</v>
      </c>
      <c r="G15" s="135">
        <v>0.0</v>
      </c>
      <c r="H15" s="135">
        <v>0.0</v>
      </c>
      <c r="I15" s="135">
        <v>0.0</v>
      </c>
      <c r="J15" s="135">
        <v>0.0</v>
      </c>
      <c r="K15" s="135">
        <v>0.0</v>
      </c>
      <c r="L15" s="135">
        <v>0.0</v>
      </c>
      <c r="M15" s="135">
        <v>0.0</v>
      </c>
      <c r="N15" s="135">
        <v>0.0</v>
      </c>
      <c r="O15" s="135">
        <v>0.0</v>
      </c>
      <c r="P15" s="135">
        <v>0.0</v>
      </c>
      <c r="Q15" s="135">
        <v>0.0</v>
      </c>
      <c r="R15" s="135">
        <v>0.0</v>
      </c>
      <c r="S15" s="135">
        <v>0.0</v>
      </c>
      <c r="T15" s="135">
        <v>0.0</v>
      </c>
      <c r="U15" s="135">
        <v>0.0</v>
      </c>
      <c r="V15" s="135">
        <v>0.0</v>
      </c>
      <c r="W15" s="135">
        <v>0.0</v>
      </c>
      <c r="X15" s="135">
        <v>0.0</v>
      </c>
      <c r="Y15" s="135">
        <v>0.0</v>
      </c>
      <c r="Z15" s="135">
        <v>0.0</v>
      </c>
      <c r="AA15" s="135">
        <v>0.0</v>
      </c>
      <c r="AB15" s="135">
        <v>0.0</v>
      </c>
      <c r="AC15" s="135">
        <v>0.0</v>
      </c>
      <c r="AD15" s="135">
        <v>0.0</v>
      </c>
      <c r="AE15" s="135">
        <v>0.0</v>
      </c>
      <c r="AF15" s="137">
        <v>392.0</v>
      </c>
      <c r="AG15" s="137">
        <v>596.0</v>
      </c>
      <c r="AH15" s="137">
        <v>534.0</v>
      </c>
      <c r="AI15" s="137">
        <v>950.0</v>
      </c>
      <c r="AJ15" s="137">
        <v>678.0</v>
      </c>
      <c r="AK15" s="134">
        <v>1124.0</v>
      </c>
      <c r="AL15" s="134">
        <v>1318.0</v>
      </c>
      <c r="AM15" s="134">
        <v>2556.0</v>
      </c>
      <c r="AN15" s="134">
        <v>7768.0</v>
      </c>
    </row>
    <row r="16">
      <c r="A16" s="132" t="s">
        <v>205</v>
      </c>
      <c r="B16" s="136" t="s">
        <v>198</v>
      </c>
      <c r="C16" s="134">
        <v>2554.0</v>
      </c>
      <c r="D16" s="137">
        <v>864.0</v>
      </c>
      <c r="E16" s="134">
        <v>1676.0</v>
      </c>
      <c r="F16" s="137">
        <v>12.0</v>
      </c>
      <c r="G16" s="137">
        <v>10.0</v>
      </c>
      <c r="H16" s="137">
        <v>0.0</v>
      </c>
      <c r="I16" s="137">
        <v>0.0</v>
      </c>
      <c r="J16" s="137">
        <v>2.0</v>
      </c>
      <c r="K16" s="137">
        <v>12.0</v>
      </c>
      <c r="L16" s="137">
        <v>32.0</v>
      </c>
      <c r="M16" s="137">
        <v>84.0</v>
      </c>
      <c r="N16" s="137">
        <v>176.0</v>
      </c>
      <c r="O16" s="137">
        <v>314.0</v>
      </c>
      <c r="P16" s="137">
        <v>128.0</v>
      </c>
      <c r="Q16" s="137">
        <v>180.0</v>
      </c>
      <c r="R16" s="137">
        <v>68.0</v>
      </c>
      <c r="S16" s="137">
        <v>146.0</v>
      </c>
      <c r="T16" s="137">
        <v>78.0</v>
      </c>
      <c r="U16" s="137">
        <v>74.0</v>
      </c>
      <c r="V16" s="137">
        <v>48.0</v>
      </c>
      <c r="W16" s="137">
        <v>78.0</v>
      </c>
      <c r="X16" s="137">
        <v>26.0</v>
      </c>
      <c r="Y16" s="137">
        <v>122.0</v>
      </c>
      <c r="Z16" s="137">
        <v>46.0</v>
      </c>
      <c r="AA16" s="137">
        <v>160.0</v>
      </c>
      <c r="AB16" s="137">
        <v>32.0</v>
      </c>
      <c r="AC16" s="137">
        <v>142.0</v>
      </c>
      <c r="AD16" s="137">
        <v>46.0</v>
      </c>
      <c r="AE16" s="137">
        <v>74.0</v>
      </c>
      <c r="AF16" s="137">
        <v>20.0</v>
      </c>
      <c r="AG16" s="137">
        <v>96.0</v>
      </c>
      <c r="AH16" s="137">
        <v>48.0</v>
      </c>
      <c r="AI16" s="137">
        <v>62.0</v>
      </c>
      <c r="AJ16" s="137">
        <v>30.0</v>
      </c>
      <c r="AK16" s="137">
        <v>42.0</v>
      </c>
      <c r="AL16" s="137">
        <v>72.0</v>
      </c>
      <c r="AM16" s="137">
        <v>80.0</v>
      </c>
      <c r="AN16" s="134">
        <v>2518.0</v>
      </c>
    </row>
    <row r="17">
      <c r="A17" s="98"/>
      <c r="B17" s="136" t="s">
        <v>199</v>
      </c>
      <c r="C17" s="137">
        <v>720.0</v>
      </c>
      <c r="D17" s="137">
        <v>314.0</v>
      </c>
      <c r="E17" s="137">
        <v>406.0</v>
      </c>
      <c r="F17" s="137">
        <v>6.0</v>
      </c>
      <c r="G17" s="137">
        <v>26.0</v>
      </c>
      <c r="H17" s="137">
        <v>0.0</v>
      </c>
      <c r="I17" s="137">
        <v>0.0</v>
      </c>
      <c r="J17" s="137">
        <v>0.0</v>
      </c>
      <c r="K17" s="137">
        <v>2.0</v>
      </c>
      <c r="L17" s="137">
        <v>18.0</v>
      </c>
      <c r="M17" s="137">
        <v>20.0</v>
      </c>
      <c r="N17" s="137">
        <v>38.0</v>
      </c>
      <c r="O17" s="137">
        <v>42.0</v>
      </c>
      <c r="P17" s="137">
        <v>62.0</v>
      </c>
      <c r="Q17" s="137">
        <v>52.0</v>
      </c>
      <c r="R17" s="137">
        <v>18.0</v>
      </c>
      <c r="S17" s="137">
        <v>36.0</v>
      </c>
      <c r="T17" s="137">
        <v>18.0</v>
      </c>
      <c r="U17" s="137">
        <v>32.0</v>
      </c>
      <c r="V17" s="137">
        <v>18.0</v>
      </c>
      <c r="W17" s="137">
        <v>16.0</v>
      </c>
      <c r="X17" s="137">
        <v>14.0</v>
      </c>
      <c r="Y17" s="137">
        <v>28.0</v>
      </c>
      <c r="Z17" s="137">
        <v>22.0</v>
      </c>
      <c r="AA17" s="137">
        <v>28.0</v>
      </c>
      <c r="AB17" s="137">
        <v>18.0</v>
      </c>
      <c r="AC17" s="137">
        <v>14.0</v>
      </c>
      <c r="AD17" s="137">
        <v>12.0</v>
      </c>
      <c r="AE17" s="137">
        <v>22.0</v>
      </c>
      <c r="AF17" s="137">
        <v>20.0</v>
      </c>
      <c r="AG17" s="137">
        <v>32.0</v>
      </c>
      <c r="AH17" s="137">
        <v>14.0</v>
      </c>
      <c r="AI17" s="137">
        <v>16.0</v>
      </c>
      <c r="AJ17" s="137">
        <v>18.0</v>
      </c>
      <c r="AK17" s="137">
        <v>12.0</v>
      </c>
      <c r="AL17" s="137">
        <v>18.0</v>
      </c>
      <c r="AM17" s="137">
        <v>28.0</v>
      </c>
      <c r="AN17" s="137">
        <v>712.0</v>
      </c>
    </row>
    <row r="18">
      <c r="A18" s="104"/>
      <c r="B18" s="136" t="s">
        <v>206</v>
      </c>
      <c r="C18" s="134">
        <v>6512.0</v>
      </c>
      <c r="D18" s="134">
        <v>1666.0</v>
      </c>
      <c r="E18" s="134">
        <v>4860.0</v>
      </c>
      <c r="F18" s="137">
        <v>14.0</v>
      </c>
      <c r="G18" s="137">
        <v>6.0</v>
      </c>
      <c r="H18" s="137">
        <v>8.0</v>
      </c>
      <c r="I18" s="137">
        <v>4.0</v>
      </c>
      <c r="J18" s="137">
        <v>2.0</v>
      </c>
      <c r="K18" s="137">
        <v>52.0</v>
      </c>
      <c r="L18" s="137">
        <v>188.0</v>
      </c>
      <c r="M18" s="137">
        <v>610.0</v>
      </c>
      <c r="N18" s="137">
        <v>378.0</v>
      </c>
      <c r="O18" s="134">
        <v>1102.0</v>
      </c>
      <c r="P18" s="137">
        <v>294.0</v>
      </c>
      <c r="Q18" s="137">
        <v>770.0</v>
      </c>
      <c r="R18" s="137">
        <v>230.0</v>
      </c>
      <c r="S18" s="137">
        <v>630.0</v>
      </c>
      <c r="T18" s="137">
        <v>106.0</v>
      </c>
      <c r="U18" s="137">
        <v>446.0</v>
      </c>
      <c r="V18" s="137">
        <v>80.0</v>
      </c>
      <c r="W18" s="137">
        <v>348.0</v>
      </c>
      <c r="X18" s="137">
        <v>66.0</v>
      </c>
      <c r="Y18" s="137">
        <v>334.0</v>
      </c>
      <c r="Z18" s="137">
        <v>72.0</v>
      </c>
      <c r="AA18" s="137">
        <v>212.0</v>
      </c>
      <c r="AB18" s="137">
        <v>70.0</v>
      </c>
      <c r="AC18" s="137">
        <v>124.0</v>
      </c>
      <c r="AD18" s="137">
        <v>44.0</v>
      </c>
      <c r="AE18" s="137">
        <v>90.0</v>
      </c>
      <c r="AF18" s="137">
        <v>30.0</v>
      </c>
      <c r="AG18" s="137">
        <v>36.0</v>
      </c>
      <c r="AH18" s="137">
        <v>50.0</v>
      </c>
      <c r="AI18" s="137">
        <v>38.0</v>
      </c>
      <c r="AJ18" s="137">
        <v>16.0</v>
      </c>
      <c r="AK18" s="137">
        <v>12.0</v>
      </c>
      <c r="AL18" s="137">
        <v>18.0</v>
      </c>
      <c r="AM18" s="137">
        <v>46.0</v>
      </c>
      <c r="AN18" s="134">
        <v>6374.0</v>
      </c>
    </row>
    <row r="19">
      <c r="A19" s="132" t="s">
        <v>207</v>
      </c>
      <c r="B19" s="136" t="s">
        <v>198</v>
      </c>
      <c r="C19" s="134">
        <v>610680.0</v>
      </c>
      <c r="D19" s="134">
        <v>176570.0</v>
      </c>
      <c r="E19" s="134">
        <v>434692.0</v>
      </c>
      <c r="F19" s="134">
        <v>6128.0</v>
      </c>
      <c r="G19" s="134">
        <v>5178.0</v>
      </c>
      <c r="H19" s="134">
        <v>3464.0</v>
      </c>
      <c r="I19" s="134">
        <v>3028.0</v>
      </c>
      <c r="J19" s="134">
        <v>3298.0</v>
      </c>
      <c r="K19" s="134">
        <v>3410.0</v>
      </c>
      <c r="L19" s="134">
        <v>3388.0</v>
      </c>
      <c r="M19" s="134">
        <v>5984.0</v>
      </c>
      <c r="N19" s="134">
        <v>3658.0</v>
      </c>
      <c r="O19" s="134">
        <v>9286.0</v>
      </c>
      <c r="P19" s="134">
        <v>4440.0</v>
      </c>
      <c r="Q19" s="134">
        <v>13998.0</v>
      </c>
      <c r="R19" s="134">
        <v>4554.0</v>
      </c>
      <c r="S19" s="134">
        <v>16588.0</v>
      </c>
      <c r="T19" s="134">
        <v>4668.0</v>
      </c>
      <c r="U19" s="134">
        <v>17846.0</v>
      </c>
      <c r="V19" s="134">
        <v>5792.0</v>
      </c>
      <c r="W19" s="134">
        <v>21446.0</v>
      </c>
      <c r="X19" s="134">
        <v>7510.0</v>
      </c>
      <c r="Y19" s="134">
        <v>28574.0</v>
      </c>
      <c r="Z19" s="134">
        <v>10966.0</v>
      </c>
      <c r="AA19" s="134">
        <v>37586.0</v>
      </c>
      <c r="AB19" s="134">
        <v>15114.0</v>
      </c>
      <c r="AC19" s="134">
        <v>48656.0</v>
      </c>
      <c r="AD19" s="134">
        <v>19000.0</v>
      </c>
      <c r="AE19" s="134">
        <v>50712.0</v>
      </c>
      <c r="AF19" s="134">
        <v>19384.0</v>
      </c>
      <c r="AG19" s="134">
        <v>48228.0</v>
      </c>
      <c r="AH19" s="134">
        <v>21714.0</v>
      </c>
      <c r="AI19" s="134">
        <v>43804.0</v>
      </c>
      <c r="AJ19" s="134">
        <v>18918.0</v>
      </c>
      <c r="AK19" s="134">
        <v>34622.0</v>
      </c>
      <c r="AL19" s="134">
        <v>24570.0</v>
      </c>
      <c r="AM19" s="134">
        <v>45786.0</v>
      </c>
      <c r="AN19" s="134">
        <v>597972.0</v>
      </c>
    </row>
    <row r="20">
      <c r="A20" s="98"/>
      <c r="B20" s="136" t="s">
        <v>199</v>
      </c>
      <c r="C20" s="134">
        <v>81068.0</v>
      </c>
      <c r="D20" s="134">
        <v>32882.0</v>
      </c>
      <c r="E20" s="134">
        <v>47658.0</v>
      </c>
      <c r="F20" s="137">
        <v>992.0</v>
      </c>
      <c r="G20" s="137">
        <v>910.0</v>
      </c>
      <c r="H20" s="137">
        <v>390.0</v>
      </c>
      <c r="I20" s="137">
        <v>404.0</v>
      </c>
      <c r="J20" s="137">
        <v>192.0</v>
      </c>
      <c r="K20" s="137">
        <v>238.0</v>
      </c>
      <c r="L20" s="137">
        <v>226.0</v>
      </c>
      <c r="M20" s="137">
        <v>380.0</v>
      </c>
      <c r="N20" s="137">
        <v>298.0</v>
      </c>
      <c r="O20" s="137">
        <v>524.0</v>
      </c>
      <c r="P20" s="137">
        <v>404.0</v>
      </c>
      <c r="Q20" s="137">
        <v>754.0</v>
      </c>
      <c r="R20" s="137">
        <v>658.0</v>
      </c>
      <c r="S20" s="134">
        <v>1610.0</v>
      </c>
      <c r="T20" s="137">
        <v>744.0</v>
      </c>
      <c r="U20" s="134">
        <v>1280.0</v>
      </c>
      <c r="V20" s="137">
        <v>858.0</v>
      </c>
      <c r="W20" s="134">
        <v>1564.0</v>
      </c>
      <c r="X20" s="134">
        <v>1460.0</v>
      </c>
      <c r="Y20" s="134">
        <v>3080.0</v>
      </c>
      <c r="Z20" s="134">
        <v>2380.0</v>
      </c>
      <c r="AA20" s="134">
        <v>5110.0</v>
      </c>
      <c r="AB20" s="134">
        <v>3326.0</v>
      </c>
      <c r="AC20" s="134">
        <v>4794.0</v>
      </c>
      <c r="AD20" s="134">
        <v>4090.0</v>
      </c>
      <c r="AE20" s="134">
        <v>5458.0</v>
      </c>
      <c r="AF20" s="134">
        <v>3634.0</v>
      </c>
      <c r="AG20" s="134">
        <v>5454.0</v>
      </c>
      <c r="AH20" s="134">
        <v>3990.0</v>
      </c>
      <c r="AI20" s="134">
        <v>5428.0</v>
      </c>
      <c r="AJ20" s="134">
        <v>4390.0</v>
      </c>
      <c r="AK20" s="134">
        <v>4604.0</v>
      </c>
      <c r="AL20" s="134">
        <v>4850.0</v>
      </c>
      <c r="AM20" s="134">
        <v>6066.0</v>
      </c>
      <c r="AN20" s="134">
        <v>78426.0</v>
      </c>
    </row>
    <row r="21">
      <c r="A21" s="98"/>
      <c r="B21" s="136" t="s">
        <v>206</v>
      </c>
      <c r="C21" s="134">
        <v>12260.0</v>
      </c>
      <c r="D21" s="134">
        <v>1144.0</v>
      </c>
      <c r="E21" s="134">
        <v>11042.0</v>
      </c>
      <c r="F21" s="137">
        <v>658.0</v>
      </c>
      <c r="G21" s="137">
        <v>496.0</v>
      </c>
      <c r="H21" s="137">
        <v>44.0</v>
      </c>
      <c r="I21" s="137">
        <v>58.0</v>
      </c>
      <c r="J21" s="137">
        <v>20.0</v>
      </c>
      <c r="K21" s="137">
        <v>122.0</v>
      </c>
      <c r="L21" s="137">
        <v>46.0</v>
      </c>
      <c r="M21" s="137">
        <v>528.0</v>
      </c>
      <c r="N21" s="137">
        <v>40.0</v>
      </c>
      <c r="O21" s="134">
        <v>1052.0</v>
      </c>
      <c r="P21" s="137">
        <v>56.0</v>
      </c>
      <c r="Q21" s="134">
        <v>1208.0</v>
      </c>
      <c r="R21" s="137">
        <v>36.0</v>
      </c>
      <c r="S21" s="137">
        <v>938.0</v>
      </c>
      <c r="T21" s="137">
        <v>16.0</v>
      </c>
      <c r="U21" s="137">
        <v>918.0</v>
      </c>
      <c r="V21" s="137">
        <v>18.0</v>
      </c>
      <c r="W21" s="137">
        <v>782.0</v>
      </c>
      <c r="X21" s="137">
        <v>18.0</v>
      </c>
      <c r="Y21" s="137">
        <v>914.0</v>
      </c>
      <c r="Z21" s="137">
        <v>24.0</v>
      </c>
      <c r="AA21" s="137">
        <v>936.0</v>
      </c>
      <c r="AB21" s="137">
        <v>22.0</v>
      </c>
      <c r="AC21" s="137">
        <v>834.0</v>
      </c>
      <c r="AD21" s="137">
        <v>34.0</v>
      </c>
      <c r="AE21" s="137">
        <v>880.0</v>
      </c>
      <c r="AF21" s="137">
        <v>40.0</v>
      </c>
      <c r="AG21" s="137">
        <v>588.0</v>
      </c>
      <c r="AH21" s="137">
        <v>30.0</v>
      </c>
      <c r="AI21" s="137">
        <v>392.0</v>
      </c>
      <c r="AJ21" s="137">
        <v>24.0</v>
      </c>
      <c r="AK21" s="137">
        <v>226.0</v>
      </c>
      <c r="AL21" s="137">
        <v>18.0</v>
      </c>
      <c r="AM21" s="137">
        <v>170.0</v>
      </c>
      <c r="AN21" s="134">
        <v>12086.0</v>
      </c>
    </row>
    <row r="22">
      <c r="A22" s="98"/>
      <c r="B22" s="136" t="s">
        <v>200</v>
      </c>
      <c r="C22" s="134">
        <v>71728.0</v>
      </c>
      <c r="D22" s="134">
        <v>22806.0</v>
      </c>
      <c r="E22" s="134">
        <v>48946.0</v>
      </c>
      <c r="F22" s="134">
        <v>9360.0</v>
      </c>
      <c r="G22" s="134">
        <v>9550.0</v>
      </c>
      <c r="H22" s="134">
        <v>2062.0</v>
      </c>
      <c r="I22" s="134">
        <v>2154.0</v>
      </c>
      <c r="J22" s="134">
        <v>1076.0</v>
      </c>
      <c r="K22" s="134">
        <v>1272.0</v>
      </c>
      <c r="L22" s="137">
        <v>562.0</v>
      </c>
      <c r="M22" s="134">
        <v>2018.0</v>
      </c>
      <c r="N22" s="137">
        <v>446.0</v>
      </c>
      <c r="O22" s="134">
        <v>2704.0</v>
      </c>
      <c r="P22" s="137">
        <v>494.0</v>
      </c>
      <c r="Q22" s="134">
        <v>3466.0</v>
      </c>
      <c r="R22" s="137">
        <v>504.0</v>
      </c>
      <c r="S22" s="134">
        <v>3392.0</v>
      </c>
      <c r="T22" s="137">
        <v>518.0</v>
      </c>
      <c r="U22" s="134">
        <v>2742.0</v>
      </c>
      <c r="V22" s="137">
        <v>518.0</v>
      </c>
      <c r="W22" s="134">
        <v>2122.0</v>
      </c>
      <c r="X22" s="137">
        <v>558.0</v>
      </c>
      <c r="Y22" s="134">
        <v>2452.0</v>
      </c>
      <c r="Z22" s="137">
        <v>730.0</v>
      </c>
      <c r="AA22" s="134">
        <v>2716.0</v>
      </c>
      <c r="AB22" s="137">
        <v>924.0</v>
      </c>
      <c r="AC22" s="134">
        <v>2930.0</v>
      </c>
      <c r="AD22" s="134">
        <v>1056.0</v>
      </c>
      <c r="AE22" s="134">
        <v>2844.0</v>
      </c>
      <c r="AF22" s="134">
        <v>1072.0</v>
      </c>
      <c r="AG22" s="134">
        <v>2628.0</v>
      </c>
      <c r="AH22" s="137">
        <v>964.0</v>
      </c>
      <c r="AI22" s="134">
        <v>2520.0</v>
      </c>
      <c r="AJ22" s="137">
        <v>834.0</v>
      </c>
      <c r="AK22" s="134">
        <v>1414.0</v>
      </c>
      <c r="AL22" s="134">
        <v>1128.0</v>
      </c>
      <c r="AM22" s="134">
        <v>2022.0</v>
      </c>
      <c r="AN22" s="134">
        <v>69478.0</v>
      </c>
    </row>
    <row r="23">
      <c r="A23" s="104"/>
      <c r="B23" s="136" t="s">
        <v>201</v>
      </c>
      <c r="C23" s="134">
        <v>93126.0</v>
      </c>
      <c r="D23" s="134">
        <v>37148.0</v>
      </c>
      <c r="E23" s="134">
        <v>55954.0</v>
      </c>
      <c r="F23" s="134">
        <v>1364.0</v>
      </c>
      <c r="G23" s="134">
        <v>1784.0</v>
      </c>
      <c r="H23" s="137">
        <v>960.0</v>
      </c>
      <c r="I23" s="137">
        <v>882.0</v>
      </c>
      <c r="J23" s="137">
        <v>984.0</v>
      </c>
      <c r="K23" s="134">
        <v>1004.0</v>
      </c>
      <c r="L23" s="134">
        <v>1070.0</v>
      </c>
      <c r="M23" s="134">
        <v>2622.0</v>
      </c>
      <c r="N23" s="134">
        <v>1176.0</v>
      </c>
      <c r="O23" s="134">
        <v>3038.0</v>
      </c>
      <c r="P23" s="134">
        <v>1138.0</v>
      </c>
      <c r="Q23" s="134">
        <v>3470.0</v>
      </c>
      <c r="R23" s="134">
        <v>1212.0</v>
      </c>
      <c r="S23" s="134">
        <v>4058.0</v>
      </c>
      <c r="T23" s="134">
        <v>1402.0</v>
      </c>
      <c r="U23" s="134">
        <v>3224.0</v>
      </c>
      <c r="V23" s="134">
        <v>1680.0</v>
      </c>
      <c r="W23" s="134">
        <v>3326.0</v>
      </c>
      <c r="X23" s="134">
        <v>2294.0</v>
      </c>
      <c r="Y23" s="134">
        <v>4200.0</v>
      </c>
      <c r="Z23" s="134">
        <v>2860.0</v>
      </c>
      <c r="AA23" s="134">
        <v>4286.0</v>
      </c>
      <c r="AB23" s="134">
        <v>3356.0</v>
      </c>
      <c r="AC23" s="134">
        <v>4386.0</v>
      </c>
      <c r="AD23" s="134">
        <v>3788.0</v>
      </c>
      <c r="AE23" s="134">
        <v>4478.0</v>
      </c>
      <c r="AF23" s="134">
        <v>3564.0</v>
      </c>
      <c r="AG23" s="134">
        <v>4166.0</v>
      </c>
      <c r="AH23" s="134">
        <v>3774.0</v>
      </c>
      <c r="AI23" s="134">
        <v>3524.0</v>
      </c>
      <c r="AJ23" s="134">
        <v>2834.0</v>
      </c>
      <c r="AK23" s="134">
        <v>3380.0</v>
      </c>
      <c r="AL23" s="134">
        <v>3702.0</v>
      </c>
      <c r="AM23" s="134">
        <v>4118.0</v>
      </c>
      <c r="AN23" s="134">
        <v>89744.0</v>
      </c>
    </row>
    <row r="24">
      <c r="A24" s="132" t="s">
        <v>208</v>
      </c>
      <c r="B24" s="136" t="s">
        <v>198</v>
      </c>
      <c r="C24" s="134">
        <v>2702.0</v>
      </c>
      <c r="D24" s="134">
        <v>1618.0</v>
      </c>
      <c r="E24" s="134">
        <v>1084.0</v>
      </c>
      <c r="F24" s="134">
        <v>1260.0</v>
      </c>
      <c r="G24" s="137">
        <v>870.0</v>
      </c>
      <c r="H24" s="137">
        <v>250.0</v>
      </c>
      <c r="I24" s="137">
        <v>148.0</v>
      </c>
      <c r="J24" s="137">
        <v>72.0</v>
      </c>
      <c r="K24" s="137">
        <v>36.0</v>
      </c>
      <c r="L24" s="137">
        <v>34.0</v>
      </c>
      <c r="M24" s="137">
        <v>22.0</v>
      </c>
      <c r="N24" s="137">
        <v>2.0</v>
      </c>
      <c r="O24" s="137">
        <v>8.0</v>
      </c>
      <c r="P24" s="135">
        <v>0.0</v>
      </c>
      <c r="Q24" s="135">
        <v>0.0</v>
      </c>
      <c r="R24" s="135">
        <v>0.0</v>
      </c>
      <c r="S24" s="135">
        <v>0.0</v>
      </c>
      <c r="T24" s="135">
        <v>0.0</v>
      </c>
      <c r="U24" s="135">
        <v>0.0</v>
      </c>
      <c r="V24" s="135">
        <v>0.0</v>
      </c>
      <c r="W24" s="135">
        <v>0.0</v>
      </c>
      <c r="X24" s="135">
        <v>0.0</v>
      </c>
      <c r="Y24" s="135">
        <v>0.0</v>
      </c>
      <c r="Z24" s="135">
        <v>0.0</v>
      </c>
      <c r="AA24" s="135">
        <v>0.0</v>
      </c>
      <c r="AB24" s="135">
        <v>2.0</v>
      </c>
      <c r="AC24" s="135">
        <v>2.0</v>
      </c>
      <c r="AD24" s="135">
        <v>2.0</v>
      </c>
      <c r="AE24" s="135">
        <v>2.0</v>
      </c>
      <c r="AF24" s="135">
        <v>0.0</v>
      </c>
      <c r="AG24" s="135">
        <v>2.0</v>
      </c>
      <c r="AH24" s="135">
        <v>0.0</v>
      </c>
      <c r="AI24" s="135">
        <v>0.0</v>
      </c>
      <c r="AJ24" s="135">
        <v>0.0</v>
      </c>
      <c r="AK24" s="135">
        <v>0.0</v>
      </c>
      <c r="AL24" s="135">
        <v>0.0</v>
      </c>
      <c r="AM24" s="135">
        <v>0.0</v>
      </c>
      <c r="AN24" s="134">
        <v>2496.0</v>
      </c>
    </row>
    <row r="25">
      <c r="A25" s="98"/>
      <c r="B25" s="136" t="s">
        <v>199</v>
      </c>
      <c r="C25" s="134">
        <v>6508.0</v>
      </c>
      <c r="D25" s="134">
        <v>3532.0</v>
      </c>
      <c r="E25" s="134">
        <v>2976.0</v>
      </c>
      <c r="F25" s="134">
        <v>3074.0</v>
      </c>
      <c r="G25" s="134">
        <v>2688.0</v>
      </c>
      <c r="H25" s="137">
        <v>370.0</v>
      </c>
      <c r="I25" s="137">
        <v>236.0</v>
      </c>
      <c r="J25" s="137">
        <v>66.0</v>
      </c>
      <c r="K25" s="137">
        <v>18.0</v>
      </c>
      <c r="L25" s="137">
        <v>18.0</v>
      </c>
      <c r="M25" s="137">
        <v>16.0</v>
      </c>
      <c r="N25" s="137">
        <v>4.0</v>
      </c>
      <c r="O25" s="137">
        <v>18.0</v>
      </c>
      <c r="P25" s="135">
        <v>0.0</v>
      </c>
      <c r="Q25" s="135">
        <v>0.0</v>
      </c>
      <c r="R25" s="135">
        <v>0.0</v>
      </c>
      <c r="S25" s="135">
        <v>0.0</v>
      </c>
      <c r="T25" s="135">
        <v>0.0</v>
      </c>
      <c r="U25" s="135">
        <v>0.0</v>
      </c>
      <c r="V25" s="135">
        <v>0.0</v>
      </c>
      <c r="W25" s="135">
        <v>0.0</v>
      </c>
      <c r="X25" s="135">
        <v>0.0</v>
      </c>
      <c r="Y25" s="135">
        <v>0.0</v>
      </c>
      <c r="Z25" s="135">
        <v>0.0</v>
      </c>
      <c r="AA25" s="135">
        <v>0.0</v>
      </c>
      <c r="AB25" s="135">
        <v>0.0</v>
      </c>
      <c r="AC25" s="135">
        <v>0.0</v>
      </c>
      <c r="AD25" s="135">
        <v>0.0</v>
      </c>
      <c r="AE25" s="135">
        <v>0.0</v>
      </c>
      <c r="AF25" s="135">
        <v>0.0</v>
      </c>
      <c r="AG25" s="135">
        <v>0.0</v>
      </c>
      <c r="AH25" s="135">
        <v>0.0</v>
      </c>
      <c r="AI25" s="135">
        <v>0.0</v>
      </c>
      <c r="AJ25" s="135">
        <v>0.0</v>
      </c>
      <c r="AK25" s="135">
        <v>0.0</v>
      </c>
      <c r="AL25" s="135">
        <v>0.0</v>
      </c>
      <c r="AM25" s="135">
        <v>0.0</v>
      </c>
      <c r="AN25" s="134">
        <v>5976.0</v>
      </c>
    </row>
    <row r="26">
      <c r="A26" s="98"/>
      <c r="B26" s="136" t="s">
        <v>206</v>
      </c>
      <c r="C26" s="137">
        <v>252.0</v>
      </c>
      <c r="D26" s="137">
        <v>130.0</v>
      </c>
      <c r="E26" s="137">
        <v>122.0</v>
      </c>
      <c r="F26" s="137">
        <v>98.0</v>
      </c>
      <c r="G26" s="137">
        <v>60.0</v>
      </c>
      <c r="H26" s="137">
        <v>16.0</v>
      </c>
      <c r="I26" s="137">
        <v>12.0</v>
      </c>
      <c r="J26" s="137">
        <v>6.0</v>
      </c>
      <c r="K26" s="137">
        <v>22.0</v>
      </c>
      <c r="L26" s="137">
        <v>8.0</v>
      </c>
      <c r="M26" s="137">
        <v>24.0</v>
      </c>
      <c r="N26" s="137">
        <v>2.0</v>
      </c>
      <c r="O26" s="137">
        <v>4.0</v>
      </c>
      <c r="P26" s="135">
        <v>0.0</v>
      </c>
      <c r="Q26" s="135">
        <v>0.0</v>
      </c>
      <c r="R26" s="135">
        <v>0.0</v>
      </c>
      <c r="S26" s="135">
        <v>0.0</v>
      </c>
      <c r="T26" s="135">
        <v>0.0</v>
      </c>
      <c r="U26" s="135">
        <v>0.0</v>
      </c>
      <c r="V26" s="135">
        <v>0.0</v>
      </c>
      <c r="W26" s="135">
        <v>0.0</v>
      </c>
      <c r="X26" s="135">
        <v>0.0</v>
      </c>
      <c r="Y26" s="135">
        <v>0.0</v>
      </c>
      <c r="Z26" s="135">
        <v>0.0</v>
      </c>
      <c r="AA26" s="135">
        <v>0.0</v>
      </c>
      <c r="AB26" s="135">
        <v>0.0</v>
      </c>
      <c r="AC26" s="135">
        <v>0.0</v>
      </c>
      <c r="AD26" s="135">
        <v>0.0</v>
      </c>
      <c r="AE26" s="135">
        <v>0.0</v>
      </c>
      <c r="AF26" s="135">
        <v>0.0</v>
      </c>
      <c r="AG26" s="135">
        <v>0.0</v>
      </c>
      <c r="AH26" s="135">
        <v>0.0</v>
      </c>
      <c r="AI26" s="135">
        <v>0.0</v>
      </c>
      <c r="AJ26" s="135">
        <v>0.0</v>
      </c>
      <c r="AK26" s="135">
        <v>0.0</v>
      </c>
      <c r="AL26" s="135">
        <v>0.0</v>
      </c>
      <c r="AM26" s="135">
        <v>0.0</v>
      </c>
      <c r="AN26" s="137">
        <v>222.0</v>
      </c>
    </row>
    <row r="27">
      <c r="A27" s="98"/>
      <c r="B27" s="136" t="s">
        <v>200</v>
      </c>
      <c r="C27" s="134">
        <v>2764.0</v>
      </c>
      <c r="D27" s="134">
        <v>1454.0</v>
      </c>
      <c r="E27" s="134">
        <v>1310.0</v>
      </c>
      <c r="F27" s="134">
        <v>1184.0</v>
      </c>
      <c r="G27" s="134">
        <v>1052.0</v>
      </c>
      <c r="H27" s="137">
        <v>170.0</v>
      </c>
      <c r="I27" s="137">
        <v>128.0</v>
      </c>
      <c r="J27" s="137">
        <v>64.0</v>
      </c>
      <c r="K27" s="137">
        <v>54.0</v>
      </c>
      <c r="L27" s="137">
        <v>26.0</v>
      </c>
      <c r="M27" s="137">
        <v>40.0</v>
      </c>
      <c r="N27" s="137">
        <v>10.0</v>
      </c>
      <c r="O27" s="137">
        <v>36.0</v>
      </c>
      <c r="P27" s="135">
        <v>2.0</v>
      </c>
      <c r="Q27" s="135">
        <v>0.0</v>
      </c>
      <c r="R27" s="135">
        <v>0.0</v>
      </c>
      <c r="S27" s="135">
        <v>0.0</v>
      </c>
      <c r="T27" s="135">
        <v>0.0</v>
      </c>
      <c r="U27" s="135">
        <v>0.0</v>
      </c>
      <c r="V27" s="135">
        <v>0.0</v>
      </c>
      <c r="W27" s="135">
        <v>0.0</v>
      </c>
      <c r="X27" s="135">
        <v>0.0</v>
      </c>
      <c r="Y27" s="135">
        <v>0.0</v>
      </c>
      <c r="Z27" s="135">
        <v>0.0</v>
      </c>
      <c r="AA27" s="135">
        <v>0.0</v>
      </c>
      <c r="AB27" s="135">
        <v>0.0</v>
      </c>
      <c r="AC27" s="135">
        <v>0.0</v>
      </c>
      <c r="AD27" s="135">
        <v>0.0</v>
      </c>
      <c r="AE27" s="135">
        <v>0.0</v>
      </c>
      <c r="AF27" s="135">
        <v>0.0</v>
      </c>
      <c r="AG27" s="135">
        <v>0.0</v>
      </c>
      <c r="AH27" s="135">
        <v>0.0</v>
      </c>
      <c r="AI27" s="135">
        <v>0.0</v>
      </c>
      <c r="AJ27" s="135">
        <v>0.0</v>
      </c>
      <c r="AK27" s="135">
        <v>0.0</v>
      </c>
      <c r="AL27" s="135">
        <v>0.0</v>
      </c>
      <c r="AM27" s="135">
        <v>0.0</v>
      </c>
      <c r="AN27" s="134">
        <v>2552.0</v>
      </c>
    </row>
    <row r="28">
      <c r="A28" s="104"/>
      <c r="B28" s="136" t="s">
        <v>201</v>
      </c>
      <c r="C28" s="137">
        <v>112.0</v>
      </c>
      <c r="D28" s="137">
        <v>72.0</v>
      </c>
      <c r="E28" s="137">
        <v>40.0</v>
      </c>
      <c r="F28" s="137">
        <v>54.0</v>
      </c>
      <c r="G28" s="137">
        <v>10.0</v>
      </c>
      <c r="H28" s="137">
        <v>12.0</v>
      </c>
      <c r="I28" s="137">
        <v>16.0</v>
      </c>
      <c r="J28" s="137">
        <v>0.0</v>
      </c>
      <c r="K28" s="137">
        <v>6.0</v>
      </c>
      <c r="L28" s="137">
        <v>6.0</v>
      </c>
      <c r="M28" s="137">
        <v>8.0</v>
      </c>
      <c r="N28" s="137">
        <v>0.0</v>
      </c>
      <c r="O28" s="137">
        <v>0.0</v>
      </c>
      <c r="P28" s="135">
        <v>0.0</v>
      </c>
      <c r="Q28" s="135">
        <v>0.0</v>
      </c>
      <c r="R28" s="135">
        <v>0.0</v>
      </c>
      <c r="S28" s="135">
        <v>0.0</v>
      </c>
      <c r="T28" s="135">
        <v>0.0</v>
      </c>
      <c r="U28" s="135">
        <v>0.0</v>
      </c>
      <c r="V28" s="135">
        <v>0.0</v>
      </c>
      <c r="W28" s="135">
        <v>0.0</v>
      </c>
      <c r="X28" s="135">
        <v>0.0</v>
      </c>
      <c r="Y28" s="135">
        <v>0.0</v>
      </c>
      <c r="Z28" s="135">
        <v>0.0</v>
      </c>
      <c r="AA28" s="135">
        <v>0.0</v>
      </c>
      <c r="AB28" s="135">
        <v>0.0</v>
      </c>
      <c r="AC28" s="135">
        <v>0.0</v>
      </c>
      <c r="AD28" s="135">
        <v>0.0</v>
      </c>
      <c r="AE28" s="135">
        <v>0.0</v>
      </c>
      <c r="AF28" s="135">
        <v>0.0</v>
      </c>
      <c r="AG28" s="135">
        <v>0.0</v>
      </c>
      <c r="AH28" s="135">
        <v>0.0</v>
      </c>
      <c r="AI28" s="135">
        <v>0.0</v>
      </c>
      <c r="AJ28" s="135">
        <v>0.0</v>
      </c>
      <c r="AK28" s="135">
        <v>0.0</v>
      </c>
      <c r="AL28" s="135">
        <v>0.0</v>
      </c>
      <c r="AM28" s="135">
        <v>0.0</v>
      </c>
      <c r="AN28" s="137">
        <v>100.0</v>
      </c>
    </row>
    <row r="29">
      <c r="A29" s="138" t="s">
        <v>240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</row>
    <row r="30">
      <c r="A30" s="132" t="s">
        <v>197</v>
      </c>
      <c r="B30" s="133" t="s">
        <v>198</v>
      </c>
      <c r="C30" s="134">
        <v>21746.0</v>
      </c>
      <c r="D30" s="134">
        <v>8324.0</v>
      </c>
      <c r="E30" s="134">
        <v>13422.0</v>
      </c>
      <c r="F30" s="135">
        <v>0.0</v>
      </c>
      <c r="G30" s="135">
        <v>0.0</v>
      </c>
      <c r="H30" s="135">
        <v>0.0</v>
      </c>
      <c r="I30" s="135">
        <v>0.0</v>
      </c>
      <c r="J30" s="135">
        <v>0.0</v>
      </c>
      <c r="K30" s="135">
        <v>0.0</v>
      </c>
      <c r="L30" s="137">
        <v>4.0</v>
      </c>
      <c r="M30" s="137">
        <v>16.0</v>
      </c>
      <c r="N30" s="137">
        <v>28.0</v>
      </c>
      <c r="O30" s="137">
        <v>50.0</v>
      </c>
      <c r="P30" s="137">
        <v>42.0</v>
      </c>
      <c r="Q30" s="137">
        <v>54.0</v>
      </c>
      <c r="R30" s="137">
        <v>86.0</v>
      </c>
      <c r="S30" s="137">
        <v>108.0</v>
      </c>
      <c r="T30" s="137">
        <v>162.0</v>
      </c>
      <c r="U30" s="137">
        <v>248.0</v>
      </c>
      <c r="V30" s="137">
        <v>218.0</v>
      </c>
      <c r="W30" s="137">
        <v>380.0</v>
      </c>
      <c r="X30" s="137">
        <v>386.0</v>
      </c>
      <c r="Y30" s="137">
        <v>732.0</v>
      </c>
      <c r="Z30" s="137">
        <v>642.0</v>
      </c>
      <c r="AA30" s="134">
        <v>1166.0</v>
      </c>
      <c r="AB30" s="134">
        <v>1012.0</v>
      </c>
      <c r="AC30" s="134">
        <v>1640.0</v>
      </c>
      <c r="AD30" s="137">
        <v>992.0</v>
      </c>
      <c r="AE30" s="134">
        <v>1864.0</v>
      </c>
      <c r="AF30" s="134">
        <v>1326.0</v>
      </c>
      <c r="AG30" s="134">
        <v>2000.0</v>
      </c>
      <c r="AH30" s="134">
        <v>1350.0</v>
      </c>
      <c r="AI30" s="134">
        <v>1770.0</v>
      </c>
      <c r="AJ30" s="134">
        <v>1080.0</v>
      </c>
      <c r="AK30" s="134">
        <v>1532.0</v>
      </c>
      <c r="AL30" s="137">
        <v>996.0</v>
      </c>
      <c r="AM30" s="134">
        <v>1862.0</v>
      </c>
      <c r="AN30" s="134">
        <v>21654.0</v>
      </c>
    </row>
    <row r="31">
      <c r="A31" s="98"/>
      <c r="B31" s="136" t="s">
        <v>199</v>
      </c>
      <c r="C31" s="134">
        <v>21810.0</v>
      </c>
      <c r="D31" s="134">
        <v>8758.0</v>
      </c>
      <c r="E31" s="134">
        <v>13052.0</v>
      </c>
      <c r="F31" s="135">
        <v>0.0</v>
      </c>
      <c r="G31" s="135">
        <v>0.0</v>
      </c>
      <c r="H31" s="135">
        <v>0.0</v>
      </c>
      <c r="I31" s="135">
        <v>0.0</v>
      </c>
      <c r="J31" s="135">
        <v>0.0</v>
      </c>
      <c r="K31" s="135">
        <v>0.0</v>
      </c>
      <c r="L31" s="137">
        <v>8.0</v>
      </c>
      <c r="M31" s="137">
        <v>8.0</v>
      </c>
      <c r="N31" s="137">
        <v>22.0</v>
      </c>
      <c r="O31" s="137">
        <v>34.0</v>
      </c>
      <c r="P31" s="137">
        <v>54.0</v>
      </c>
      <c r="Q31" s="137">
        <v>56.0</v>
      </c>
      <c r="R31" s="137">
        <v>92.0</v>
      </c>
      <c r="S31" s="137">
        <v>138.0</v>
      </c>
      <c r="T31" s="137">
        <v>200.0</v>
      </c>
      <c r="U31" s="137">
        <v>198.0</v>
      </c>
      <c r="V31" s="137">
        <v>280.0</v>
      </c>
      <c r="W31" s="137">
        <v>456.0</v>
      </c>
      <c r="X31" s="137">
        <v>502.0</v>
      </c>
      <c r="Y31" s="137">
        <v>794.0</v>
      </c>
      <c r="Z31" s="137">
        <v>764.0</v>
      </c>
      <c r="AA31" s="134">
        <v>1226.0</v>
      </c>
      <c r="AB31" s="137">
        <v>992.0</v>
      </c>
      <c r="AC31" s="134">
        <v>1694.0</v>
      </c>
      <c r="AD31" s="134">
        <v>1098.0</v>
      </c>
      <c r="AE31" s="134">
        <v>1780.0</v>
      </c>
      <c r="AF31" s="134">
        <v>1368.0</v>
      </c>
      <c r="AG31" s="134">
        <v>1830.0</v>
      </c>
      <c r="AH31" s="134">
        <v>1282.0</v>
      </c>
      <c r="AI31" s="134">
        <v>1714.0</v>
      </c>
      <c r="AJ31" s="137">
        <v>994.0</v>
      </c>
      <c r="AK31" s="134">
        <v>1312.0</v>
      </c>
      <c r="AL31" s="134">
        <v>1102.0</v>
      </c>
      <c r="AM31" s="134">
        <v>1812.0</v>
      </c>
      <c r="AN31" s="134">
        <v>21792.0</v>
      </c>
    </row>
    <row r="32">
      <c r="A32" s="98"/>
      <c r="B32" s="136" t="s">
        <v>200</v>
      </c>
      <c r="C32" s="134">
        <v>7456.0</v>
      </c>
      <c r="D32" s="134">
        <v>2708.0</v>
      </c>
      <c r="E32" s="134">
        <v>4748.0</v>
      </c>
      <c r="F32" s="135">
        <v>0.0</v>
      </c>
      <c r="G32" s="135">
        <v>0.0</v>
      </c>
      <c r="H32" s="135">
        <v>0.0</v>
      </c>
      <c r="I32" s="135">
        <v>0.0</v>
      </c>
      <c r="J32" s="135">
        <v>0.0</v>
      </c>
      <c r="K32" s="135">
        <v>0.0</v>
      </c>
      <c r="L32" s="137">
        <v>0.0</v>
      </c>
      <c r="M32" s="137">
        <v>6.0</v>
      </c>
      <c r="N32" s="137">
        <v>10.0</v>
      </c>
      <c r="O32" s="137">
        <v>16.0</v>
      </c>
      <c r="P32" s="137">
        <v>20.0</v>
      </c>
      <c r="Q32" s="137">
        <v>22.0</v>
      </c>
      <c r="R32" s="137">
        <v>42.0</v>
      </c>
      <c r="S32" s="137">
        <v>56.0</v>
      </c>
      <c r="T32" s="137">
        <v>64.0</v>
      </c>
      <c r="U32" s="137">
        <v>102.0</v>
      </c>
      <c r="V32" s="137">
        <v>82.0</v>
      </c>
      <c r="W32" s="137">
        <v>138.0</v>
      </c>
      <c r="X32" s="137">
        <v>160.0</v>
      </c>
      <c r="Y32" s="137">
        <v>344.0</v>
      </c>
      <c r="Z32" s="137">
        <v>200.0</v>
      </c>
      <c r="AA32" s="137">
        <v>434.0</v>
      </c>
      <c r="AB32" s="137">
        <v>318.0</v>
      </c>
      <c r="AC32" s="137">
        <v>632.0</v>
      </c>
      <c r="AD32" s="137">
        <v>378.0</v>
      </c>
      <c r="AE32" s="137">
        <v>672.0</v>
      </c>
      <c r="AF32" s="137">
        <v>420.0</v>
      </c>
      <c r="AG32" s="137">
        <v>730.0</v>
      </c>
      <c r="AH32" s="137">
        <v>440.0</v>
      </c>
      <c r="AI32" s="137">
        <v>652.0</v>
      </c>
      <c r="AJ32" s="137">
        <v>310.0</v>
      </c>
      <c r="AK32" s="137">
        <v>462.0</v>
      </c>
      <c r="AL32" s="137">
        <v>264.0</v>
      </c>
      <c r="AM32" s="137">
        <v>482.0</v>
      </c>
      <c r="AN32" s="134">
        <v>7454.0</v>
      </c>
    </row>
    <row r="33">
      <c r="A33" s="104"/>
      <c r="B33" s="136" t="s">
        <v>201</v>
      </c>
      <c r="C33" s="137">
        <v>610.0</v>
      </c>
      <c r="D33" s="137">
        <v>284.0</v>
      </c>
      <c r="E33" s="137">
        <v>326.0</v>
      </c>
      <c r="F33" s="135">
        <v>0.0</v>
      </c>
      <c r="G33" s="135">
        <v>0.0</v>
      </c>
      <c r="H33" s="135">
        <v>0.0</v>
      </c>
      <c r="I33" s="135">
        <v>0.0</v>
      </c>
      <c r="J33" s="135">
        <v>0.0</v>
      </c>
      <c r="K33" s="135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v>2.0</v>
      </c>
      <c r="Q33" s="137">
        <v>0.0</v>
      </c>
      <c r="R33" s="137">
        <v>8.0</v>
      </c>
      <c r="S33" s="137">
        <v>14.0</v>
      </c>
      <c r="T33" s="137">
        <v>8.0</v>
      </c>
      <c r="U33" s="137">
        <v>6.0</v>
      </c>
      <c r="V33" s="137">
        <v>4.0</v>
      </c>
      <c r="W33" s="137">
        <v>12.0</v>
      </c>
      <c r="X33" s="137">
        <v>16.0</v>
      </c>
      <c r="Y33" s="137">
        <v>14.0</v>
      </c>
      <c r="Z33" s="137">
        <v>32.0</v>
      </c>
      <c r="AA33" s="137">
        <v>46.0</v>
      </c>
      <c r="AB33" s="137">
        <v>54.0</v>
      </c>
      <c r="AC33" s="137">
        <v>38.0</v>
      </c>
      <c r="AD33" s="137">
        <v>60.0</v>
      </c>
      <c r="AE33" s="137">
        <v>20.0</v>
      </c>
      <c r="AF33" s="137">
        <v>10.0</v>
      </c>
      <c r="AG33" s="137">
        <v>30.0</v>
      </c>
      <c r="AH33" s="137">
        <v>26.0</v>
      </c>
      <c r="AI33" s="137">
        <v>82.0</v>
      </c>
      <c r="AJ33" s="137">
        <v>58.0</v>
      </c>
      <c r="AK33" s="137">
        <v>32.0</v>
      </c>
      <c r="AL33" s="137">
        <v>6.0</v>
      </c>
      <c r="AM33" s="137">
        <v>32.0</v>
      </c>
      <c r="AN33" s="137">
        <v>584.0</v>
      </c>
    </row>
    <row r="34">
      <c r="A34" s="132" t="s">
        <v>202</v>
      </c>
      <c r="B34" s="136" t="s">
        <v>198</v>
      </c>
      <c r="C34" s="137">
        <v>740.0</v>
      </c>
      <c r="D34" s="137">
        <v>430.0</v>
      </c>
      <c r="E34" s="137">
        <v>310.0</v>
      </c>
      <c r="F34" s="137">
        <v>2.0</v>
      </c>
      <c r="G34" s="137">
        <v>2.0</v>
      </c>
      <c r="H34" s="137">
        <v>2.0</v>
      </c>
      <c r="I34" s="137">
        <v>0.0</v>
      </c>
      <c r="J34" s="137">
        <v>2.0</v>
      </c>
      <c r="K34" s="137">
        <v>14.0</v>
      </c>
      <c r="L34" s="137">
        <v>14.0</v>
      </c>
      <c r="M34" s="137">
        <v>0.0</v>
      </c>
      <c r="N34" s="137">
        <v>44.0</v>
      </c>
      <c r="O34" s="137">
        <v>32.0</v>
      </c>
      <c r="P34" s="137">
        <v>62.0</v>
      </c>
      <c r="Q34" s="137">
        <v>8.0</v>
      </c>
      <c r="R34" s="137">
        <v>24.0</v>
      </c>
      <c r="S34" s="137">
        <v>36.0</v>
      </c>
      <c r="T34" s="137">
        <v>22.0</v>
      </c>
      <c r="U34" s="137">
        <v>18.0</v>
      </c>
      <c r="V34" s="137">
        <v>18.0</v>
      </c>
      <c r="W34" s="137">
        <v>26.0</v>
      </c>
      <c r="X34" s="137">
        <v>64.0</v>
      </c>
      <c r="Y34" s="137">
        <v>18.0</v>
      </c>
      <c r="Z34" s="137">
        <v>34.0</v>
      </c>
      <c r="AA34" s="137">
        <v>44.0</v>
      </c>
      <c r="AB34" s="137">
        <v>30.0</v>
      </c>
      <c r="AC34" s="137">
        <v>32.0</v>
      </c>
      <c r="AD34" s="137">
        <v>22.0</v>
      </c>
      <c r="AE34" s="137">
        <v>22.0</v>
      </c>
      <c r="AF34" s="137">
        <v>18.0</v>
      </c>
      <c r="AG34" s="137">
        <v>30.0</v>
      </c>
      <c r="AH34" s="137">
        <v>24.0</v>
      </c>
      <c r="AI34" s="137">
        <v>16.0</v>
      </c>
      <c r="AJ34" s="137">
        <v>6.0</v>
      </c>
      <c r="AK34" s="137">
        <v>4.0</v>
      </c>
      <c r="AL34" s="137">
        <v>42.0</v>
      </c>
      <c r="AM34" s="137">
        <v>8.0</v>
      </c>
      <c r="AN34" s="137">
        <v>712.0</v>
      </c>
    </row>
    <row r="35">
      <c r="A35" s="104"/>
      <c r="B35" s="136" t="s">
        <v>199</v>
      </c>
      <c r="C35" s="137">
        <v>388.0</v>
      </c>
      <c r="D35" s="137">
        <v>242.0</v>
      </c>
      <c r="E35" s="137">
        <v>146.0</v>
      </c>
      <c r="F35" s="137">
        <v>6.0</v>
      </c>
      <c r="G35" s="137">
        <v>0.0</v>
      </c>
      <c r="H35" s="137">
        <v>2.0</v>
      </c>
      <c r="I35" s="137">
        <v>4.0</v>
      </c>
      <c r="J35" s="137">
        <v>0.0</v>
      </c>
      <c r="K35" s="137">
        <v>0.0</v>
      </c>
      <c r="L35" s="137">
        <v>6.0</v>
      </c>
      <c r="M35" s="137">
        <v>2.0</v>
      </c>
      <c r="N35" s="137">
        <v>28.0</v>
      </c>
      <c r="O35" s="137">
        <v>16.0</v>
      </c>
      <c r="P35" s="137">
        <v>34.0</v>
      </c>
      <c r="Q35" s="137">
        <v>2.0</v>
      </c>
      <c r="R35" s="137">
        <v>10.0</v>
      </c>
      <c r="S35" s="137">
        <v>12.0</v>
      </c>
      <c r="T35" s="137">
        <v>10.0</v>
      </c>
      <c r="U35" s="137">
        <v>6.0</v>
      </c>
      <c r="V35" s="137">
        <v>14.0</v>
      </c>
      <c r="W35" s="137">
        <v>14.0</v>
      </c>
      <c r="X35" s="137">
        <v>12.0</v>
      </c>
      <c r="Y35" s="137">
        <v>2.0</v>
      </c>
      <c r="Z35" s="137">
        <v>6.0</v>
      </c>
      <c r="AA35" s="137">
        <v>24.0</v>
      </c>
      <c r="AB35" s="137">
        <v>26.0</v>
      </c>
      <c r="AC35" s="137">
        <v>16.0</v>
      </c>
      <c r="AD35" s="137">
        <v>24.0</v>
      </c>
      <c r="AE35" s="137">
        <v>4.0</v>
      </c>
      <c r="AF35" s="137">
        <v>14.0</v>
      </c>
      <c r="AG35" s="137">
        <v>20.0</v>
      </c>
      <c r="AH35" s="137">
        <v>12.0</v>
      </c>
      <c r="AI35" s="137">
        <v>6.0</v>
      </c>
      <c r="AJ35" s="137">
        <v>8.0</v>
      </c>
      <c r="AK35" s="137">
        <v>8.0</v>
      </c>
      <c r="AL35" s="137">
        <v>30.0</v>
      </c>
      <c r="AM35" s="137">
        <v>10.0</v>
      </c>
      <c r="AN35" s="137">
        <v>388.0</v>
      </c>
    </row>
    <row r="36">
      <c r="A36" s="132" t="s">
        <v>203</v>
      </c>
      <c r="B36" s="136" t="s">
        <v>198</v>
      </c>
      <c r="C36" s="137">
        <v>348.0</v>
      </c>
      <c r="D36" s="137">
        <v>138.0</v>
      </c>
      <c r="E36" s="137">
        <v>210.0</v>
      </c>
      <c r="F36" s="135">
        <v>0.0</v>
      </c>
      <c r="G36" s="135">
        <v>0.0</v>
      </c>
      <c r="H36" s="135">
        <v>0.0</v>
      </c>
      <c r="I36" s="135">
        <v>0.0</v>
      </c>
      <c r="J36" s="135">
        <v>0.0</v>
      </c>
      <c r="K36" s="135">
        <v>0.0</v>
      </c>
      <c r="L36" s="135">
        <v>0.0</v>
      </c>
      <c r="M36" s="135">
        <v>0.0</v>
      </c>
      <c r="N36" s="135">
        <v>0.0</v>
      </c>
      <c r="O36" s="135">
        <v>0.0</v>
      </c>
      <c r="P36" s="135">
        <v>0.0</v>
      </c>
      <c r="Q36" s="135">
        <v>0.0</v>
      </c>
      <c r="R36" s="135">
        <v>0.0</v>
      </c>
      <c r="S36" s="135">
        <v>0.0</v>
      </c>
      <c r="T36" s="135">
        <v>0.0</v>
      </c>
      <c r="U36" s="135">
        <v>0.0</v>
      </c>
      <c r="V36" s="135">
        <v>0.0</v>
      </c>
      <c r="W36" s="135">
        <v>0.0</v>
      </c>
      <c r="X36" s="135">
        <v>0.0</v>
      </c>
      <c r="Y36" s="135">
        <v>0.0</v>
      </c>
      <c r="Z36" s="135">
        <v>0.0</v>
      </c>
      <c r="AA36" s="135">
        <v>0.0</v>
      </c>
      <c r="AB36" s="135">
        <v>0.0</v>
      </c>
      <c r="AC36" s="135">
        <v>0.0</v>
      </c>
      <c r="AD36" s="135">
        <v>0.0</v>
      </c>
      <c r="AE36" s="135">
        <v>0.0</v>
      </c>
      <c r="AF36" s="137">
        <v>32.0</v>
      </c>
      <c r="AG36" s="137">
        <v>54.0</v>
      </c>
      <c r="AH36" s="137">
        <v>40.0</v>
      </c>
      <c r="AI36" s="137">
        <v>54.0</v>
      </c>
      <c r="AJ36" s="137">
        <v>16.0</v>
      </c>
      <c r="AK36" s="137">
        <v>50.0</v>
      </c>
      <c r="AL36" s="137">
        <v>50.0</v>
      </c>
      <c r="AM36" s="137">
        <v>52.0</v>
      </c>
      <c r="AN36" s="137">
        <v>342.0</v>
      </c>
    </row>
    <row r="37">
      <c r="A37" s="104"/>
      <c r="B37" s="136" t="s">
        <v>199</v>
      </c>
      <c r="C37" s="137">
        <v>162.0</v>
      </c>
      <c r="D37" s="137">
        <v>62.0</v>
      </c>
      <c r="E37" s="137">
        <v>100.0</v>
      </c>
      <c r="F37" s="135">
        <v>0.0</v>
      </c>
      <c r="G37" s="135">
        <v>0.0</v>
      </c>
      <c r="H37" s="135">
        <v>0.0</v>
      </c>
      <c r="I37" s="135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0.0</v>
      </c>
      <c r="O37" s="135">
        <v>0.0</v>
      </c>
      <c r="P37" s="135">
        <v>0.0</v>
      </c>
      <c r="Q37" s="135">
        <v>0.0</v>
      </c>
      <c r="R37" s="135">
        <v>0.0</v>
      </c>
      <c r="S37" s="135">
        <v>0.0</v>
      </c>
      <c r="T37" s="135">
        <v>0.0</v>
      </c>
      <c r="U37" s="135">
        <v>0.0</v>
      </c>
      <c r="V37" s="135">
        <v>0.0</v>
      </c>
      <c r="W37" s="135">
        <v>0.0</v>
      </c>
      <c r="X37" s="135">
        <v>0.0</v>
      </c>
      <c r="Y37" s="135">
        <v>0.0</v>
      </c>
      <c r="Z37" s="135">
        <v>0.0</v>
      </c>
      <c r="AA37" s="135">
        <v>0.0</v>
      </c>
      <c r="AB37" s="135">
        <v>0.0</v>
      </c>
      <c r="AC37" s="135">
        <v>0.0</v>
      </c>
      <c r="AD37" s="135">
        <v>0.0</v>
      </c>
      <c r="AE37" s="135">
        <v>0.0</v>
      </c>
      <c r="AF37" s="137">
        <v>8.0</v>
      </c>
      <c r="AG37" s="137">
        <v>30.0</v>
      </c>
      <c r="AH37" s="137">
        <v>30.0</v>
      </c>
      <c r="AI37" s="137">
        <v>42.0</v>
      </c>
      <c r="AJ37" s="137">
        <v>14.0</v>
      </c>
      <c r="AK37" s="137">
        <v>20.0</v>
      </c>
      <c r="AL37" s="137">
        <v>10.0</v>
      </c>
      <c r="AM37" s="137">
        <v>8.0</v>
      </c>
      <c r="AN37" s="137">
        <v>162.0</v>
      </c>
    </row>
    <row r="38">
      <c r="A38" s="132" t="s">
        <v>204</v>
      </c>
      <c r="B38" s="136" t="s">
        <v>198</v>
      </c>
      <c r="C38" s="137">
        <v>96.0</v>
      </c>
      <c r="D38" s="137">
        <v>30.0</v>
      </c>
      <c r="E38" s="137">
        <v>66.0</v>
      </c>
      <c r="F38" s="135">
        <v>0.0</v>
      </c>
      <c r="G38" s="135">
        <v>0.0</v>
      </c>
      <c r="H38" s="135">
        <v>0.0</v>
      </c>
      <c r="I38" s="135">
        <v>0.0</v>
      </c>
      <c r="J38" s="135">
        <v>0.0</v>
      </c>
      <c r="K38" s="135">
        <v>0.0</v>
      </c>
      <c r="L38" s="135">
        <v>0.0</v>
      </c>
      <c r="M38" s="135">
        <v>0.0</v>
      </c>
      <c r="N38" s="135">
        <v>0.0</v>
      </c>
      <c r="O38" s="135">
        <v>0.0</v>
      </c>
      <c r="P38" s="135">
        <v>0.0</v>
      </c>
      <c r="Q38" s="135">
        <v>0.0</v>
      </c>
      <c r="R38" s="135">
        <v>0.0</v>
      </c>
      <c r="S38" s="135">
        <v>0.0</v>
      </c>
      <c r="T38" s="135">
        <v>0.0</v>
      </c>
      <c r="U38" s="135">
        <v>0.0</v>
      </c>
      <c r="V38" s="135">
        <v>0.0</v>
      </c>
      <c r="W38" s="135">
        <v>0.0</v>
      </c>
      <c r="X38" s="135">
        <v>0.0</v>
      </c>
      <c r="Y38" s="135">
        <v>0.0</v>
      </c>
      <c r="Z38" s="135">
        <v>0.0</v>
      </c>
      <c r="AA38" s="135">
        <v>0.0</v>
      </c>
      <c r="AB38" s="135">
        <v>0.0</v>
      </c>
      <c r="AC38" s="135">
        <v>0.0</v>
      </c>
      <c r="AD38" s="135">
        <v>0.0</v>
      </c>
      <c r="AE38" s="135">
        <v>0.0</v>
      </c>
      <c r="AF38" s="137">
        <v>4.0</v>
      </c>
      <c r="AG38" s="137">
        <v>10.0</v>
      </c>
      <c r="AH38" s="137">
        <v>2.0</v>
      </c>
      <c r="AI38" s="137">
        <v>12.0</v>
      </c>
      <c r="AJ38" s="137">
        <v>12.0</v>
      </c>
      <c r="AK38" s="137">
        <v>18.0</v>
      </c>
      <c r="AL38" s="137">
        <v>12.0</v>
      </c>
      <c r="AM38" s="137">
        <v>26.0</v>
      </c>
      <c r="AN38" s="137">
        <v>94.0</v>
      </c>
    </row>
    <row r="39">
      <c r="A39" s="104"/>
      <c r="B39" s="136" t="s">
        <v>199</v>
      </c>
      <c r="C39" s="137">
        <v>104.0</v>
      </c>
      <c r="D39" s="137">
        <v>34.0</v>
      </c>
      <c r="E39" s="137">
        <v>70.0</v>
      </c>
      <c r="F39" s="135">
        <v>0.0</v>
      </c>
      <c r="G39" s="135">
        <v>0.0</v>
      </c>
      <c r="H39" s="135">
        <v>0.0</v>
      </c>
      <c r="I39" s="135">
        <v>0.0</v>
      </c>
      <c r="J39" s="135">
        <v>0.0</v>
      </c>
      <c r="K39" s="135">
        <v>0.0</v>
      </c>
      <c r="L39" s="135">
        <v>0.0</v>
      </c>
      <c r="M39" s="135">
        <v>0.0</v>
      </c>
      <c r="N39" s="135">
        <v>0.0</v>
      </c>
      <c r="O39" s="135">
        <v>0.0</v>
      </c>
      <c r="P39" s="135">
        <v>0.0</v>
      </c>
      <c r="Q39" s="135">
        <v>0.0</v>
      </c>
      <c r="R39" s="135">
        <v>0.0</v>
      </c>
      <c r="S39" s="135">
        <v>0.0</v>
      </c>
      <c r="T39" s="135">
        <v>0.0</v>
      </c>
      <c r="U39" s="135">
        <v>0.0</v>
      </c>
      <c r="V39" s="135">
        <v>0.0</v>
      </c>
      <c r="W39" s="135">
        <v>0.0</v>
      </c>
      <c r="X39" s="135">
        <v>0.0</v>
      </c>
      <c r="Y39" s="135">
        <v>0.0</v>
      </c>
      <c r="Z39" s="135">
        <v>0.0</v>
      </c>
      <c r="AA39" s="135">
        <v>0.0</v>
      </c>
      <c r="AB39" s="135">
        <v>0.0</v>
      </c>
      <c r="AC39" s="135">
        <v>0.0</v>
      </c>
      <c r="AD39" s="135">
        <v>0.0</v>
      </c>
      <c r="AE39" s="135">
        <v>0.0</v>
      </c>
      <c r="AF39" s="137">
        <v>4.0</v>
      </c>
      <c r="AG39" s="137">
        <v>8.0</v>
      </c>
      <c r="AH39" s="137">
        <v>2.0</v>
      </c>
      <c r="AI39" s="137">
        <v>18.0</v>
      </c>
      <c r="AJ39" s="137">
        <v>6.0</v>
      </c>
      <c r="AK39" s="137">
        <v>14.0</v>
      </c>
      <c r="AL39" s="137">
        <v>22.0</v>
      </c>
      <c r="AM39" s="137">
        <v>30.0</v>
      </c>
      <c r="AN39" s="137">
        <v>104.0</v>
      </c>
    </row>
    <row r="40">
      <c r="A40" s="132" t="s">
        <v>205</v>
      </c>
      <c r="B40" s="136" t="s">
        <v>198</v>
      </c>
      <c r="C40" s="137">
        <v>0.0</v>
      </c>
      <c r="D40" s="137">
        <v>0.0</v>
      </c>
      <c r="E40" s="137">
        <v>0.0</v>
      </c>
      <c r="F40" s="137">
        <v>0.0</v>
      </c>
      <c r="G40" s="137">
        <v>0.0</v>
      </c>
      <c r="H40" s="137">
        <v>0.0</v>
      </c>
      <c r="I40" s="137">
        <v>0.0</v>
      </c>
      <c r="J40" s="137">
        <v>0.0</v>
      </c>
      <c r="K40" s="137">
        <v>0.0</v>
      </c>
      <c r="L40" s="137">
        <v>0.0</v>
      </c>
      <c r="M40" s="137">
        <v>0.0</v>
      </c>
      <c r="N40" s="137">
        <v>0.0</v>
      </c>
      <c r="O40" s="137">
        <v>0.0</v>
      </c>
      <c r="P40" s="137">
        <v>0.0</v>
      </c>
      <c r="Q40" s="137">
        <v>0.0</v>
      </c>
      <c r="R40" s="137">
        <v>0.0</v>
      </c>
      <c r="S40" s="137">
        <v>0.0</v>
      </c>
      <c r="T40" s="137">
        <v>0.0</v>
      </c>
      <c r="U40" s="137">
        <v>0.0</v>
      </c>
      <c r="V40" s="137">
        <v>0.0</v>
      </c>
      <c r="W40" s="137">
        <v>0.0</v>
      </c>
      <c r="X40" s="137">
        <v>0.0</v>
      </c>
      <c r="Y40" s="137">
        <v>0.0</v>
      </c>
      <c r="Z40" s="137">
        <v>0.0</v>
      </c>
      <c r="AA40" s="137">
        <v>0.0</v>
      </c>
      <c r="AB40" s="137">
        <v>0.0</v>
      </c>
      <c r="AC40" s="137">
        <v>0.0</v>
      </c>
      <c r="AD40" s="137">
        <v>0.0</v>
      </c>
      <c r="AE40" s="137">
        <v>0.0</v>
      </c>
      <c r="AF40" s="137">
        <v>0.0</v>
      </c>
      <c r="AG40" s="137">
        <v>0.0</v>
      </c>
      <c r="AH40" s="137">
        <v>0.0</v>
      </c>
      <c r="AI40" s="137">
        <v>0.0</v>
      </c>
      <c r="AJ40" s="137">
        <v>0.0</v>
      </c>
      <c r="AK40" s="137">
        <v>0.0</v>
      </c>
      <c r="AL40" s="137">
        <v>0.0</v>
      </c>
      <c r="AM40" s="137">
        <v>0.0</v>
      </c>
      <c r="AN40" s="137">
        <v>0.0</v>
      </c>
    </row>
    <row r="41">
      <c r="A41" s="98"/>
      <c r="B41" s="136" t="s">
        <v>199</v>
      </c>
      <c r="C41" s="137">
        <v>0.0</v>
      </c>
      <c r="D41" s="137">
        <v>0.0</v>
      </c>
      <c r="E41" s="137">
        <v>0.0</v>
      </c>
      <c r="F41" s="137">
        <v>0.0</v>
      </c>
      <c r="G41" s="137">
        <v>0.0</v>
      </c>
      <c r="H41" s="137">
        <v>0.0</v>
      </c>
      <c r="I41" s="137">
        <v>0.0</v>
      </c>
      <c r="J41" s="137">
        <v>0.0</v>
      </c>
      <c r="K41" s="137">
        <v>0.0</v>
      </c>
      <c r="L41" s="137">
        <v>0.0</v>
      </c>
      <c r="M41" s="137">
        <v>0.0</v>
      </c>
      <c r="N41" s="137">
        <v>0.0</v>
      </c>
      <c r="O41" s="137">
        <v>0.0</v>
      </c>
      <c r="P41" s="137">
        <v>0.0</v>
      </c>
      <c r="Q41" s="137">
        <v>0.0</v>
      </c>
      <c r="R41" s="137">
        <v>0.0</v>
      </c>
      <c r="S41" s="137">
        <v>0.0</v>
      </c>
      <c r="T41" s="137">
        <v>0.0</v>
      </c>
      <c r="U41" s="137">
        <v>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37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</row>
    <row r="42">
      <c r="A42" s="104"/>
      <c r="B42" s="136" t="s">
        <v>206</v>
      </c>
      <c r="C42" s="137">
        <v>0.0</v>
      </c>
      <c r="D42" s="137">
        <v>0.0</v>
      </c>
      <c r="E42" s="137">
        <v>0.0</v>
      </c>
      <c r="F42" s="137">
        <v>0.0</v>
      </c>
      <c r="G42" s="137">
        <v>0.0</v>
      </c>
      <c r="H42" s="137">
        <v>0.0</v>
      </c>
      <c r="I42" s="137">
        <v>0.0</v>
      </c>
      <c r="J42" s="137">
        <v>0.0</v>
      </c>
      <c r="K42" s="137">
        <v>0.0</v>
      </c>
      <c r="L42" s="137">
        <v>0.0</v>
      </c>
      <c r="M42" s="137">
        <v>0.0</v>
      </c>
      <c r="N42" s="137">
        <v>0.0</v>
      </c>
      <c r="O42" s="137">
        <v>0.0</v>
      </c>
      <c r="P42" s="137">
        <v>0.0</v>
      </c>
      <c r="Q42" s="137">
        <v>0.0</v>
      </c>
      <c r="R42" s="137">
        <v>0.0</v>
      </c>
      <c r="S42" s="137">
        <v>0.0</v>
      </c>
      <c r="T42" s="137">
        <v>0.0</v>
      </c>
      <c r="U42" s="137">
        <v>0.0</v>
      </c>
      <c r="V42" s="137">
        <v>0.0</v>
      </c>
      <c r="W42" s="137">
        <v>0.0</v>
      </c>
      <c r="X42" s="137">
        <v>0.0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37">
        <v>0.0</v>
      </c>
      <c r="AI42" s="137">
        <v>0.0</v>
      </c>
      <c r="AJ42" s="137">
        <v>0.0</v>
      </c>
      <c r="AK42" s="137">
        <v>0.0</v>
      </c>
      <c r="AL42" s="137">
        <v>0.0</v>
      </c>
      <c r="AM42" s="137">
        <v>0.0</v>
      </c>
      <c r="AN42" s="137">
        <v>0.0</v>
      </c>
    </row>
    <row r="43">
      <c r="A43" s="132" t="s">
        <v>207</v>
      </c>
      <c r="B43" s="136" t="s">
        <v>198</v>
      </c>
      <c r="C43" s="134">
        <v>9040.0</v>
      </c>
      <c r="D43" s="134">
        <v>2174.0</v>
      </c>
      <c r="E43" s="134">
        <v>6866.0</v>
      </c>
      <c r="F43" s="137">
        <v>18.0</v>
      </c>
      <c r="G43" s="137">
        <v>14.0</v>
      </c>
      <c r="H43" s="137">
        <v>12.0</v>
      </c>
      <c r="I43" s="137">
        <v>8.0</v>
      </c>
      <c r="J43" s="137">
        <v>4.0</v>
      </c>
      <c r="K43" s="137">
        <v>8.0</v>
      </c>
      <c r="L43" s="137">
        <v>20.0</v>
      </c>
      <c r="M43" s="137">
        <v>54.0</v>
      </c>
      <c r="N43" s="137">
        <v>16.0</v>
      </c>
      <c r="O43" s="137">
        <v>106.0</v>
      </c>
      <c r="P43" s="137">
        <v>26.0</v>
      </c>
      <c r="Q43" s="137">
        <v>102.0</v>
      </c>
      <c r="R43" s="137">
        <v>18.0</v>
      </c>
      <c r="S43" s="137">
        <v>138.0</v>
      </c>
      <c r="T43" s="137">
        <v>30.0</v>
      </c>
      <c r="U43" s="137">
        <v>170.0</v>
      </c>
      <c r="V43" s="137">
        <v>34.0</v>
      </c>
      <c r="W43" s="137">
        <v>220.0</v>
      </c>
      <c r="X43" s="137">
        <v>70.0</v>
      </c>
      <c r="Y43" s="137">
        <v>334.0</v>
      </c>
      <c r="Z43" s="137">
        <v>88.0</v>
      </c>
      <c r="AA43" s="137">
        <v>496.0</v>
      </c>
      <c r="AB43" s="137">
        <v>168.0</v>
      </c>
      <c r="AC43" s="137">
        <v>630.0</v>
      </c>
      <c r="AD43" s="137">
        <v>148.0</v>
      </c>
      <c r="AE43" s="137">
        <v>728.0</v>
      </c>
      <c r="AF43" s="137">
        <v>278.0</v>
      </c>
      <c r="AG43" s="137">
        <v>910.0</v>
      </c>
      <c r="AH43" s="137">
        <v>398.0</v>
      </c>
      <c r="AI43" s="134">
        <v>1046.0</v>
      </c>
      <c r="AJ43" s="137">
        <v>354.0</v>
      </c>
      <c r="AK43" s="137">
        <v>852.0</v>
      </c>
      <c r="AL43" s="137">
        <v>492.0</v>
      </c>
      <c r="AM43" s="134">
        <v>1050.0</v>
      </c>
      <c r="AN43" s="134">
        <v>9006.0</v>
      </c>
    </row>
    <row r="44">
      <c r="A44" s="98"/>
      <c r="B44" s="136" t="s">
        <v>199</v>
      </c>
      <c r="C44" s="137">
        <v>582.0</v>
      </c>
      <c r="D44" s="137">
        <v>150.0</v>
      </c>
      <c r="E44" s="137">
        <v>432.0</v>
      </c>
      <c r="F44" s="137">
        <v>4.0</v>
      </c>
      <c r="G44" s="137">
        <v>4.0</v>
      </c>
      <c r="H44" s="137">
        <v>0.0</v>
      </c>
      <c r="I44" s="137">
        <v>0.0</v>
      </c>
      <c r="J44" s="137">
        <v>4.0</v>
      </c>
      <c r="K44" s="137">
        <v>2.0</v>
      </c>
      <c r="L44" s="137">
        <v>0.0</v>
      </c>
      <c r="M44" s="137">
        <v>0.0</v>
      </c>
      <c r="N44" s="137">
        <v>0.0</v>
      </c>
      <c r="O44" s="137">
        <v>0.0</v>
      </c>
      <c r="P44" s="137">
        <v>2.0</v>
      </c>
      <c r="Q44" s="137">
        <v>4.0</v>
      </c>
      <c r="R44" s="137">
        <v>0.0</v>
      </c>
      <c r="S44" s="137">
        <v>2.0</v>
      </c>
      <c r="T44" s="137">
        <v>2.0</v>
      </c>
      <c r="U44" s="137">
        <v>2.0</v>
      </c>
      <c r="V44" s="137">
        <v>0.0</v>
      </c>
      <c r="W44" s="137">
        <v>8.0</v>
      </c>
      <c r="X44" s="137">
        <v>0.0</v>
      </c>
      <c r="Y44" s="137">
        <v>20.0</v>
      </c>
      <c r="Z44" s="137">
        <v>4.0</v>
      </c>
      <c r="AA44" s="137">
        <v>24.0</v>
      </c>
      <c r="AB44" s="137">
        <v>0.0</v>
      </c>
      <c r="AC44" s="137">
        <v>24.0</v>
      </c>
      <c r="AD44" s="137">
        <v>10.0</v>
      </c>
      <c r="AE44" s="137">
        <v>46.0</v>
      </c>
      <c r="AF44" s="137">
        <v>12.0</v>
      </c>
      <c r="AG44" s="137">
        <v>70.0</v>
      </c>
      <c r="AH44" s="137">
        <v>36.0</v>
      </c>
      <c r="AI44" s="137">
        <v>68.0</v>
      </c>
      <c r="AJ44" s="137">
        <v>22.0</v>
      </c>
      <c r="AK44" s="137">
        <v>44.0</v>
      </c>
      <c r="AL44" s="137">
        <v>54.0</v>
      </c>
      <c r="AM44" s="137">
        <v>114.0</v>
      </c>
      <c r="AN44" s="137">
        <v>580.0</v>
      </c>
    </row>
    <row r="45">
      <c r="A45" s="98"/>
      <c r="B45" s="136" t="s">
        <v>206</v>
      </c>
      <c r="C45" s="137">
        <v>0.0</v>
      </c>
      <c r="D45" s="137">
        <v>0.0</v>
      </c>
      <c r="E45" s="137">
        <v>0.0</v>
      </c>
      <c r="F45" s="137">
        <v>0.0</v>
      </c>
      <c r="G45" s="137">
        <v>0.0</v>
      </c>
      <c r="H45" s="137">
        <v>0.0</v>
      </c>
      <c r="I45" s="137">
        <v>0.0</v>
      </c>
      <c r="J45" s="137">
        <v>0.0</v>
      </c>
      <c r="K45" s="137">
        <v>0.0</v>
      </c>
      <c r="L45" s="137">
        <v>0.0</v>
      </c>
      <c r="M45" s="137">
        <v>0.0</v>
      </c>
      <c r="N45" s="137">
        <v>0.0</v>
      </c>
      <c r="O45" s="137">
        <v>0.0</v>
      </c>
      <c r="P45" s="137">
        <v>0.0</v>
      </c>
      <c r="Q45" s="137">
        <v>0.0</v>
      </c>
      <c r="R45" s="137">
        <v>0.0</v>
      </c>
      <c r="S45" s="137">
        <v>0.0</v>
      </c>
      <c r="T45" s="137">
        <v>0.0</v>
      </c>
      <c r="U45" s="137">
        <v>0.0</v>
      </c>
      <c r="V45" s="137">
        <v>0.0</v>
      </c>
      <c r="W45" s="137">
        <v>0.0</v>
      </c>
      <c r="X45" s="137">
        <v>0.0</v>
      </c>
      <c r="Y45" s="137">
        <v>0.0</v>
      </c>
      <c r="Z45" s="137">
        <v>0.0</v>
      </c>
      <c r="AA45" s="137">
        <v>0.0</v>
      </c>
      <c r="AB45" s="137">
        <v>0.0</v>
      </c>
      <c r="AC45" s="137">
        <v>0.0</v>
      </c>
      <c r="AD45" s="137">
        <v>0.0</v>
      </c>
      <c r="AE45" s="137">
        <v>0.0</v>
      </c>
      <c r="AF45" s="137">
        <v>0.0</v>
      </c>
      <c r="AG45" s="137">
        <v>0.0</v>
      </c>
      <c r="AH45" s="137">
        <v>0.0</v>
      </c>
      <c r="AI45" s="137">
        <v>0.0</v>
      </c>
      <c r="AJ45" s="137">
        <v>0.0</v>
      </c>
      <c r="AK45" s="137">
        <v>0.0</v>
      </c>
      <c r="AL45" s="137">
        <v>0.0</v>
      </c>
      <c r="AM45" s="137">
        <v>0.0</v>
      </c>
      <c r="AN45" s="137">
        <v>0.0</v>
      </c>
    </row>
    <row r="46">
      <c r="A46" s="98"/>
      <c r="B46" s="136" t="s">
        <v>200</v>
      </c>
      <c r="C46" s="137">
        <v>134.0</v>
      </c>
      <c r="D46" s="137">
        <v>24.0</v>
      </c>
      <c r="E46" s="137">
        <v>110.0</v>
      </c>
      <c r="F46" s="137">
        <v>20.0</v>
      </c>
      <c r="G46" s="137">
        <v>30.0</v>
      </c>
      <c r="H46" s="137">
        <v>0.0</v>
      </c>
      <c r="I46" s="137">
        <v>4.0</v>
      </c>
      <c r="J46" s="137">
        <v>0.0</v>
      </c>
      <c r="K46" s="137">
        <v>0.0</v>
      </c>
      <c r="L46" s="137">
        <v>0.0</v>
      </c>
      <c r="M46" s="137">
        <v>12.0</v>
      </c>
      <c r="N46" s="137">
        <v>0.0</v>
      </c>
      <c r="O46" s="137">
        <v>14.0</v>
      </c>
      <c r="P46" s="137">
        <v>0.0</v>
      </c>
      <c r="Q46" s="137">
        <v>18.0</v>
      </c>
      <c r="R46" s="137">
        <v>0.0</v>
      </c>
      <c r="S46" s="137">
        <v>14.0</v>
      </c>
      <c r="T46" s="137">
        <v>0.0</v>
      </c>
      <c r="U46" s="137">
        <v>10.0</v>
      </c>
      <c r="V46" s="137">
        <v>0.0</v>
      </c>
      <c r="W46" s="137">
        <v>2.0</v>
      </c>
      <c r="X46" s="137">
        <v>0.0</v>
      </c>
      <c r="Y46" s="137">
        <v>2.0</v>
      </c>
      <c r="Z46" s="137">
        <v>0.0</v>
      </c>
      <c r="AA46" s="137">
        <v>0.0</v>
      </c>
      <c r="AB46" s="137">
        <v>0.0</v>
      </c>
      <c r="AC46" s="137">
        <v>2.0</v>
      </c>
      <c r="AD46" s="137">
        <v>0.0</v>
      </c>
      <c r="AE46" s="137">
        <v>0.0</v>
      </c>
      <c r="AF46" s="137">
        <v>0.0</v>
      </c>
      <c r="AG46" s="137">
        <v>0.0</v>
      </c>
      <c r="AH46" s="137">
        <v>0.0</v>
      </c>
      <c r="AI46" s="137">
        <v>0.0</v>
      </c>
      <c r="AJ46" s="137">
        <v>2.0</v>
      </c>
      <c r="AK46" s="137">
        <v>2.0</v>
      </c>
      <c r="AL46" s="137">
        <v>2.0</v>
      </c>
      <c r="AM46" s="137">
        <v>0.0</v>
      </c>
      <c r="AN46" s="137">
        <v>134.0</v>
      </c>
    </row>
    <row r="47">
      <c r="A47" s="104"/>
      <c r="B47" s="136" t="s">
        <v>201</v>
      </c>
      <c r="C47" s="137">
        <v>34.0</v>
      </c>
      <c r="D47" s="137">
        <v>8.0</v>
      </c>
      <c r="E47" s="137">
        <v>26.0</v>
      </c>
      <c r="F47" s="137">
        <v>0.0</v>
      </c>
      <c r="G47" s="137">
        <v>0.0</v>
      </c>
      <c r="H47" s="137">
        <v>0.0</v>
      </c>
      <c r="I47" s="137">
        <v>0.0</v>
      </c>
      <c r="J47" s="137">
        <v>0.0</v>
      </c>
      <c r="K47" s="137">
        <v>0.0</v>
      </c>
      <c r="L47" s="137">
        <v>0.0</v>
      </c>
      <c r="M47" s="137">
        <v>0.0</v>
      </c>
      <c r="N47" s="137">
        <v>0.0</v>
      </c>
      <c r="O47" s="137">
        <v>2.0</v>
      </c>
      <c r="P47" s="137">
        <v>0.0</v>
      </c>
      <c r="Q47" s="137">
        <v>0.0</v>
      </c>
      <c r="R47" s="137">
        <v>0.0</v>
      </c>
      <c r="S47" s="137">
        <v>0.0</v>
      </c>
      <c r="T47" s="137">
        <v>0.0</v>
      </c>
      <c r="U47" s="137">
        <v>0.0</v>
      </c>
      <c r="V47" s="137">
        <v>0.0</v>
      </c>
      <c r="W47" s="137">
        <v>0.0</v>
      </c>
      <c r="X47" s="137">
        <v>0.0</v>
      </c>
      <c r="Y47" s="137">
        <v>0.0</v>
      </c>
      <c r="Z47" s="137">
        <v>0.0</v>
      </c>
      <c r="AA47" s="137">
        <v>6.0</v>
      </c>
      <c r="AB47" s="137">
        <v>0.0</v>
      </c>
      <c r="AC47" s="137">
        <v>2.0</v>
      </c>
      <c r="AD47" s="137">
        <v>2.0</v>
      </c>
      <c r="AE47" s="137">
        <v>4.0</v>
      </c>
      <c r="AF47" s="137">
        <v>4.0</v>
      </c>
      <c r="AG47" s="137">
        <v>2.0</v>
      </c>
      <c r="AH47" s="137">
        <v>0.0</v>
      </c>
      <c r="AI47" s="137">
        <v>0.0</v>
      </c>
      <c r="AJ47" s="137">
        <v>0.0</v>
      </c>
      <c r="AK47" s="137">
        <v>4.0</v>
      </c>
      <c r="AL47" s="137">
        <v>2.0</v>
      </c>
      <c r="AM47" s="137">
        <v>6.0</v>
      </c>
      <c r="AN47" s="137">
        <v>34.0</v>
      </c>
    </row>
    <row r="48">
      <c r="A48" s="132" t="s">
        <v>208</v>
      </c>
      <c r="B48" s="136" t="s">
        <v>198</v>
      </c>
      <c r="C48" s="137">
        <v>12.0</v>
      </c>
      <c r="D48" s="137">
        <v>4.0</v>
      </c>
      <c r="E48" s="137">
        <v>8.0</v>
      </c>
      <c r="F48" s="137">
        <v>4.0</v>
      </c>
      <c r="G48" s="137">
        <v>8.0</v>
      </c>
      <c r="H48" s="137">
        <v>0.0</v>
      </c>
      <c r="I48" s="137">
        <v>0.0</v>
      </c>
      <c r="J48" s="137">
        <v>0.0</v>
      </c>
      <c r="K48" s="137">
        <v>0.0</v>
      </c>
      <c r="L48" s="137">
        <v>0.0</v>
      </c>
      <c r="M48" s="137">
        <v>0.0</v>
      </c>
      <c r="N48" s="137">
        <v>0.0</v>
      </c>
      <c r="O48" s="137">
        <v>0.0</v>
      </c>
      <c r="P48" s="135">
        <v>0.0</v>
      </c>
      <c r="Q48" s="135">
        <v>0.0</v>
      </c>
      <c r="R48" s="135">
        <v>0.0</v>
      </c>
      <c r="S48" s="135">
        <v>0.0</v>
      </c>
      <c r="T48" s="135">
        <v>0.0</v>
      </c>
      <c r="U48" s="135">
        <v>0.0</v>
      </c>
      <c r="V48" s="135">
        <v>0.0</v>
      </c>
      <c r="W48" s="135">
        <v>0.0</v>
      </c>
      <c r="X48" s="135">
        <v>0.0</v>
      </c>
      <c r="Y48" s="135">
        <v>0.0</v>
      </c>
      <c r="Z48" s="135">
        <v>0.0</v>
      </c>
      <c r="AA48" s="135">
        <v>0.0</v>
      </c>
      <c r="AB48" s="135">
        <v>0.0</v>
      </c>
      <c r="AC48" s="135">
        <v>0.0</v>
      </c>
      <c r="AD48" s="135">
        <v>0.0</v>
      </c>
      <c r="AE48" s="135">
        <v>0.0</v>
      </c>
      <c r="AF48" s="135">
        <v>0.0</v>
      </c>
      <c r="AG48" s="135">
        <v>0.0</v>
      </c>
      <c r="AH48" s="135">
        <v>0.0</v>
      </c>
      <c r="AI48" s="135">
        <v>0.0</v>
      </c>
      <c r="AJ48" s="135">
        <v>0.0</v>
      </c>
      <c r="AK48" s="135">
        <v>0.0</v>
      </c>
      <c r="AL48" s="135">
        <v>0.0</v>
      </c>
      <c r="AM48" s="135">
        <v>0.0</v>
      </c>
      <c r="AN48" s="137">
        <v>12.0</v>
      </c>
    </row>
    <row r="49">
      <c r="A49" s="98"/>
      <c r="B49" s="136" t="s">
        <v>199</v>
      </c>
      <c r="C49" s="137">
        <v>490.0</v>
      </c>
      <c r="D49" s="137">
        <v>294.0</v>
      </c>
      <c r="E49" s="137">
        <v>196.0</v>
      </c>
      <c r="F49" s="137">
        <v>286.0</v>
      </c>
      <c r="G49" s="137">
        <v>192.0</v>
      </c>
      <c r="H49" s="137">
        <v>8.0</v>
      </c>
      <c r="I49" s="137">
        <v>4.0</v>
      </c>
      <c r="J49" s="137">
        <v>0.0</v>
      </c>
      <c r="K49" s="137">
        <v>0.0</v>
      </c>
      <c r="L49" s="137">
        <v>0.0</v>
      </c>
      <c r="M49" s="137">
        <v>0.0</v>
      </c>
      <c r="N49" s="137">
        <v>0.0</v>
      </c>
      <c r="O49" s="137">
        <v>0.0</v>
      </c>
      <c r="P49" s="135">
        <v>0.0</v>
      </c>
      <c r="Q49" s="135">
        <v>0.0</v>
      </c>
      <c r="R49" s="135">
        <v>0.0</v>
      </c>
      <c r="S49" s="135">
        <v>0.0</v>
      </c>
      <c r="T49" s="135">
        <v>0.0</v>
      </c>
      <c r="U49" s="135">
        <v>0.0</v>
      </c>
      <c r="V49" s="135">
        <v>0.0</v>
      </c>
      <c r="W49" s="135">
        <v>0.0</v>
      </c>
      <c r="X49" s="135">
        <v>0.0</v>
      </c>
      <c r="Y49" s="135">
        <v>0.0</v>
      </c>
      <c r="Z49" s="135">
        <v>0.0</v>
      </c>
      <c r="AA49" s="135">
        <v>0.0</v>
      </c>
      <c r="AB49" s="135">
        <v>0.0</v>
      </c>
      <c r="AC49" s="135">
        <v>0.0</v>
      </c>
      <c r="AD49" s="135">
        <v>0.0</v>
      </c>
      <c r="AE49" s="135">
        <v>0.0</v>
      </c>
      <c r="AF49" s="135">
        <v>0.0</v>
      </c>
      <c r="AG49" s="135">
        <v>0.0</v>
      </c>
      <c r="AH49" s="135">
        <v>0.0</v>
      </c>
      <c r="AI49" s="135">
        <v>0.0</v>
      </c>
      <c r="AJ49" s="135">
        <v>0.0</v>
      </c>
      <c r="AK49" s="135">
        <v>0.0</v>
      </c>
      <c r="AL49" s="135">
        <v>0.0</v>
      </c>
      <c r="AM49" s="135">
        <v>0.0</v>
      </c>
      <c r="AN49" s="137">
        <v>484.0</v>
      </c>
    </row>
    <row r="50">
      <c r="A50" s="98"/>
      <c r="B50" s="136" t="s">
        <v>206</v>
      </c>
      <c r="C50" s="137">
        <v>4.0</v>
      </c>
      <c r="D50" s="137">
        <v>0.0</v>
      </c>
      <c r="E50" s="137">
        <v>4.0</v>
      </c>
      <c r="F50" s="137">
        <v>0.0</v>
      </c>
      <c r="G50" s="137">
        <v>4.0</v>
      </c>
      <c r="H50" s="137">
        <v>0.0</v>
      </c>
      <c r="I50" s="137">
        <v>0.0</v>
      </c>
      <c r="J50" s="137">
        <v>0.0</v>
      </c>
      <c r="K50" s="137">
        <v>0.0</v>
      </c>
      <c r="L50" s="137">
        <v>0.0</v>
      </c>
      <c r="M50" s="137">
        <v>0.0</v>
      </c>
      <c r="N50" s="137">
        <v>0.0</v>
      </c>
      <c r="O50" s="137">
        <v>0.0</v>
      </c>
      <c r="P50" s="135">
        <v>0.0</v>
      </c>
      <c r="Q50" s="135">
        <v>0.0</v>
      </c>
      <c r="R50" s="135">
        <v>0.0</v>
      </c>
      <c r="S50" s="135">
        <v>0.0</v>
      </c>
      <c r="T50" s="135">
        <v>0.0</v>
      </c>
      <c r="U50" s="135">
        <v>0.0</v>
      </c>
      <c r="V50" s="135">
        <v>0.0</v>
      </c>
      <c r="W50" s="135">
        <v>0.0</v>
      </c>
      <c r="X50" s="135">
        <v>0.0</v>
      </c>
      <c r="Y50" s="135">
        <v>0.0</v>
      </c>
      <c r="Z50" s="135">
        <v>0.0</v>
      </c>
      <c r="AA50" s="135">
        <v>0.0</v>
      </c>
      <c r="AB50" s="135">
        <v>0.0</v>
      </c>
      <c r="AC50" s="135">
        <v>0.0</v>
      </c>
      <c r="AD50" s="135">
        <v>0.0</v>
      </c>
      <c r="AE50" s="135">
        <v>0.0</v>
      </c>
      <c r="AF50" s="135">
        <v>0.0</v>
      </c>
      <c r="AG50" s="135">
        <v>0.0</v>
      </c>
      <c r="AH50" s="135">
        <v>0.0</v>
      </c>
      <c r="AI50" s="135">
        <v>0.0</v>
      </c>
      <c r="AJ50" s="135">
        <v>0.0</v>
      </c>
      <c r="AK50" s="135">
        <v>0.0</v>
      </c>
      <c r="AL50" s="135">
        <v>0.0</v>
      </c>
      <c r="AM50" s="135">
        <v>0.0</v>
      </c>
      <c r="AN50" s="137">
        <v>4.0</v>
      </c>
    </row>
    <row r="51">
      <c r="A51" s="98"/>
      <c r="B51" s="136" t="s">
        <v>200</v>
      </c>
      <c r="C51" s="137">
        <v>46.0</v>
      </c>
      <c r="D51" s="137">
        <v>36.0</v>
      </c>
      <c r="E51" s="137">
        <v>10.0</v>
      </c>
      <c r="F51" s="137">
        <v>36.0</v>
      </c>
      <c r="G51" s="137">
        <v>10.0</v>
      </c>
      <c r="H51" s="137">
        <v>0.0</v>
      </c>
      <c r="I51" s="137">
        <v>0.0</v>
      </c>
      <c r="J51" s="137">
        <v>0.0</v>
      </c>
      <c r="K51" s="137">
        <v>0.0</v>
      </c>
      <c r="L51" s="137">
        <v>0.0</v>
      </c>
      <c r="M51" s="137">
        <v>0.0</v>
      </c>
      <c r="N51" s="137">
        <v>0.0</v>
      </c>
      <c r="O51" s="137">
        <v>0.0</v>
      </c>
      <c r="P51" s="135">
        <v>0.0</v>
      </c>
      <c r="Q51" s="135">
        <v>0.0</v>
      </c>
      <c r="R51" s="135">
        <v>0.0</v>
      </c>
      <c r="S51" s="135">
        <v>0.0</v>
      </c>
      <c r="T51" s="135">
        <v>0.0</v>
      </c>
      <c r="U51" s="135">
        <v>0.0</v>
      </c>
      <c r="V51" s="135">
        <v>0.0</v>
      </c>
      <c r="W51" s="135">
        <v>0.0</v>
      </c>
      <c r="X51" s="135">
        <v>0.0</v>
      </c>
      <c r="Y51" s="135">
        <v>0.0</v>
      </c>
      <c r="Z51" s="135">
        <v>0.0</v>
      </c>
      <c r="AA51" s="135">
        <v>0.0</v>
      </c>
      <c r="AB51" s="135">
        <v>0.0</v>
      </c>
      <c r="AC51" s="135">
        <v>0.0</v>
      </c>
      <c r="AD51" s="135">
        <v>0.0</v>
      </c>
      <c r="AE51" s="135">
        <v>0.0</v>
      </c>
      <c r="AF51" s="135">
        <v>0.0</v>
      </c>
      <c r="AG51" s="135">
        <v>0.0</v>
      </c>
      <c r="AH51" s="135">
        <v>0.0</v>
      </c>
      <c r="AI51" s="135">
        <v>0.0</v>
      </c>
      <c r="AJ51" s="135">
        <v>0.0</v>
      </c>
      <c r="AK51" s="135">
        <v>0.0</v>
      </c>
      <c r="AL51" s="135">
        <v>0.0</v>
      </c>
      <c r="AM51" s="135">
        <v>0.0</v>
      </c>
      <c r="AN51" s="137">
        <v>46.0</v>
      </c>
    </row>
    <row r="52">
      <c r="A52" s="104"/>
      <c r="B52" s="136" t="s">
        <v>201</v>
      </c>
      <c r="C52" s="137">
        <v>0.0</v>
      </c>
      <c r="D52" s="137">
        <v>0.0</v>
      </c>
      <c r="E52" s="137">
        <v>0.0</v>
      </c>
      <c r="F52" s="137">
        <v>0.0</v>
      </c>
      <c r="G52" s="137">
        <v>0.0</v>
      </c>
      <c r="H52" s="137">
        <v>0.0</v>
      </c>
      <c r="I52" s="137">
        <v>0.0</v>
      </c>
      <c r="J52" s="137">
        <v>0.0</v>
      </c>
      <c r="K52" s="137">
        <v>0.0</v>
      </c>
      <c r="L52" s="137">
        <v>0.0</v>
      </c>
      <c r="M52" s="137">
        <v>0.0</v>
      </c>
      <c r="N52" s="137">
        <v>0.0</v>
      </c>
      <c r="O52" s="137">
        <v>0.0</v>
      </c>
      <c r="P52" s="135">
        <v>0.0</v>
      </c>
      <c r="Q52" s="135">
        <v>0.0</v>
      </c>
      <c r="R52" s="135">
        <v>0.0</v>
      </c>
      <c r="S52" s="135">
        <v>0.0</v>
      </c>
      <c r="T52" s="135">
        <v>0.0</v>
      </c>
      <c r="U52" s="135">
        <v>0.0</v>
      </c>
      <c r="V52" s="135">
        <v>0.0</v>
      </c>
      <c r="W52" s="135">
        <v>0.0</v>
      </c>
      <c r="X52" s="135">
        <v>0.0</v>
      </c>
      <c r="Y52" s="135">
        <v>0.0</v>
      </c>
      <c r="Z52" s="135">
        <v>0.0</v>
      </c>
      <c r="AA52" s="135">
        <v>0.0</v>
      </c>
      <c r="AB52" s="135">
        <v>0.0</v>
      </c>
      <c r="AC52" s="135">
        <v>0.0</v>
      </c>
      <c r="AD52" s="135">
        <v>0.0</v>
      </c>
      <c r="AE52" s="135">
        <v>0.0</v>
      </c>
      <c r="AF52" s="135">
        <v>0.0</v>
      </c>
      <c r="AG52" s="135">
        <v>0.0</v>
      </c>
      <c r="AH52" s="135">
        <v>0.0</v>
      </c>
      <c r="AI52" s="135">
        <v>0.0</v>
      </c>
      <c r="AJ52" s="135">
        <v>0.0</v>
      </c>
      <c r="AK52" s="135">
        <v>0.0</v>
      </c>
      <c r="AL52" s="135">
        <v>0.0</v>
      </c>
      <c r="AM52" s="135">
        <v>0.0</v>
      </c>
      <c r="AN52" s="137">
        <v>0.0</v>
      </c>
    </row>
    <row r="53">
      <c r="A53" s="138" t="s">
        <v>241</v>
      </c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</row>
    <row r="54">
      <c r="A54" s="132" t="s">
        <v>197</v>
      </c>
      <c r="B54" s="133" t="s">
        <v>198</v>
      </c>
      <c r="C54" s="134">
        <v>52072.0</v>
      </c>
      <c r="D54" s="134">
        <v>20128.0</v>
      </c>
      <c r="E54" s="134">
        <v>31944.0</v>
      </c>
      <c r="F54" s="135">
        <v>0.0</v>
      </c>
      <c r="G54" s="135">
        <v>0.0</v>
      </c>
      <c r="H54" s="135">
        <v>0.0</v>
      </c>
      <c r="I54" s="135">
        <v>0.0</v>
      </c>
      <c r="J54" s="135">
        <v>0.0</v>
      </c>
      <c r="K54" s="135">
        <v>0.0</v>
      </c>
      <c r="L54" s="137">
        <v>26.0</v>
      </c>
      <c r="M54" s="137">
        <v>36.0</v>
      </c>
      <c r="N54" s="137">
        <v>40.0</v>
      </c>
      <c r="O54" s="137">
        <v>106.0</v>
      </c>
      <c r="P54" s="137">
        <v>88.0</v>
      </c>
      <c r="Q54" s="137">
        <v>244.0</v>
      </c>
      <c r="R54" s="137">
        <v>190.0</v>
      </c>
      <c r="S54" s="137">
        <v>428.0</v>
      </c>
      <c r="T54" s="137">
        <v>308.0</v>
      </c>
      <c r="U54" s="137">
        <v>606.0</v>
      </c>
      <c r="V54" s="137">
        <v>618.0</v>
      </c>
      <c r="W54" s="134">
        <v>1062.0</v>
      </c>
      <c r="X54" s="137">
        <v>960.0</v>
      </c>
      <c r="Y54" s="134">
        <v>1756.0</v>
      </c>
      <c r="Z54" s="134">
        <v>1542.0</v>
      </c>
      <c r="AA54" s="134">
        <v>3024.0</v>
      </c>
      <c r="AB54" s="134">
        <v>2536.0</v>
      </c>
      <c r="AC54" s="134">
        <v>4274.0</v>
      </c>
      <c r="AD54" s="134">
        <v>2990.0</v>
      </c>
      <c r="AE54" s="134">
        <v>4934.0</v>
      </c>
      <c r="AF54" s="134">
        <v>3626.0</v>
      </c>
      <c r="AG54" s="134">
        <v>5232.0</v>
      </c>
      <c r="AH54" s="134">
        <v>3310.0</v>
      </c>
      <c r="AI54" s="134">
        <v>4320.0</v>
      </c>
      <c r="AJ54" s="134">
        <v>2070.0</v>
      </c>
      <c r="AK54" s="134">
        <v>2814.0</v>
      </c>
      <c r="AL54" s="134">
        <v>1824.0</v>
      </c>
      <c r="AM54" s="134">
        <v>3104.0</v>
      </c>
      <c r="AN54" s="134">
        <v>50214.0</v>
      </c>
    </row>
    <row r="55">
      <c r="A55" s="98"/>
      <c r="B55" s="136" t="s">
        <v>199</v>
      </c>
      <c r="C55" s="134">
        <v>11528.0</v>
      </c>
      <c r="D55" s="134">
        <v>4930.0</v>
      </c>
      <c r="E55" s="134">
        <v>6598.0</v>
      </c>
      <c r="F55" s="135">
        <v>0.0</v>
      </c>
      <c r="G55" s="135">
        <v>0.0</v>
      </c>
      <c r="H55" s="135">
        <v>0.0</v>
      </c>
      <c r="I55" s="135">
        <v>0.0</v>
      </c>
      <c r="J55" s="135">
        <v>0.0</v>
      </c>
      <c r="K55" s="135">
        <v>0.0</v>
      </c>
      <c r="L55" s="137">
        <v>2.0</v>
      </c>
      <c r="M55" s="137">
        <v>6.0</v>
      </c>
      <c r="N55" s="137">
        <v>6.0</v>
      </c>
      <c r="O55" s="137">
        <v>8.0</v>
      </c>
      <c r="P55" s="137">
        <v>16.0</v>
      </c>
      <c r="Q55" s="137">
        <v>40.0</v>
      </c>
      <c r="R55" s="137">
        <v>24.0</v>
      </c>
      <c r="S55" s="137">
        <v>52.0</v>
      </c>
      <c r="T55" s="137">
        <v>68.0</v>
      </c>
      <c r="U55" s="137">
        <v>108.0</v>
      </c>
      <c r="V55" s="137">
        <v>78.0</v>
      </c>
      <c r="W55" s="137">
        <v>128.0</v>
      </c>
      <c r="X55" s="137">
        <v>164.0</v>
      </c>
      <c r="Y55" s="137">
        <v>220.0</v>
      </c>
      <c r="Z55" s="137">
        <v>258.0</v>
      </c>
      <c r="AA55" s="137">
        <v>370.0</v>
      </c>
      <c r="AB55" s="137">
        <v>294.0</v>
      </c>
      <c r="AC55" s="137">
        <v>590.0</v>
      </c>
      <c r="AD55" s="137">
        <v>410.0</v>
      </c>
      <c r="AE55" s="137">
        <v>670.0</v>
      </c>
      <c r="AF55" s="137">
        <v>554.0</v>
      </c>
      <c r="AG55" s="137">
        <v>866.0</v>
      </c>
      <c r="AH55" s="137">
        <v>614.0</v>
      </c>
      <c r="AI55" s="137">
        <v>788.0</v>
      </c>
      <c r="AJ55" s="134">
        <v>1188.0</v>
      </c>
      <c r="AK55" s="134">
        <v>1278.0</v>
      </c>
      <c r="AL55" s="134">
        <v>1254.0</v>
      </c>
      <c r="AM55" s="134">
        <v>1474.0</v>
      </c>
      <c r="AN55" s="134">
        <v>11002.0</v>
      </c>
    </row>
    <row r="56">
      <c r="A56" s="98"/>
      <c r="B56" s="136" t="s">
        <v>200</v>
      </c>
      <c r="C56" s="134">
        <v>7668.0</v>
      </c>
      <c r="D56" s="134">
        <v>2908.0</v>
      </c>
      <c r="E56" s="134">
        <v>4796.0</v>
      </c>
      <c r="F56" s="135">
        <v>0.0</v>
      </c>
      <c r="G56" s="135">
        <v>0.0</v>
      </c>
      <c r="H56" s="135">
        <v>0.0</v>
      </c>
      <c r="I56" s="135">
        <v>0.0</v>
      </c>
      <c r="J56" s="135">
        <v>0.0</v>
      </c>
      <c r="K56" s="135">
        <v>0.0</v>
      </c>
      <c r="L56" s="137">
        <v>10.0</v>
      </c>
      <c r="M56" s="137">
        <v>12.0</v>
      </c>
      <c r="N56" s="137">
        <v>12.0</v>
      </c>
      <c r="O56" s="137">
        <v>26.0</v>
      </c>
      <c r="P56" s="137">
        <v>36.0</v>
      </c>
      <c r="Q56" s="137">
        <v>64.0</v>
      </c>
      <c r="R56" s="137">
        <v>42.0</v>
      </c>
      <c r="S56" s="137">
        <v>108.0</v>
      </c>
      <c r="T56" s="137">
        <v>64.0</v>
      </c>
      <c r="U56" s="137">
        <v>122.0</v>
      </c>
      <c r="V56" s="137">
        <v>148.0</v>
      </c>
      <c r="W56" s="137">
        <v>220.0</v>
      </c>
      <c r="X56" s="137">
        <v>150.0</v>
      </c>
      <c r="Y56" s="137">
        <v>312.0</v>
      </c>
      <c r="Z56" s="137">
        <v>256.0</v>
      </c>
      <c r="AA56" s="137">
        <v>544.0</v>
      </c>
      <c r="AB56" s="137">
        <v>424.0</v>
      </c>
      <c r="AC56" s="137">
        <v>654.0</v>
      </c>
      <c r="AD56" s="137">
        <v>408.0</v>
      </c>
      <c r="AE56" s="137">
        <v>752.0</v>
      </c>
      <c r="AF56" s="137">
        <v>438.0</v>
      </c>
      <c r="AG56" s="137">
        <v>752.0</v>
      </c>
      <c r="AH56" s="137">
        <v>448.0</v>
      </c>
      <c r="AI56" s="137">
        <v>540.0</v>
      </c>
      <c r="AJ56" s="137">
        <v>232.0</v>
      </c>
      <c r="AK56" s="137">
        <v>368.0</v>
      </c>
      <c r="AL56" s="137">
        <v>204.0</v>
      </c>
      <c r="AM56" s="137">
        <v>322.0</v>
      </c>
      <c r="AN56" s="134">
        <v>6684.0</v>
      </c>
    </row>
    <row r="57">
      <c r="A57" s="104"/>
      <c r="B57" s="136" t="s">
        <v>201</v>
      </c>
      <c r="C57" s="137">
        <v>460.0</v>
      </c>
      <c r="D57" s="137">
        <v>228.0</v>
      </c>
      <c r="E57" s="137">
        <v>232.0</v>
      </c>
      <c r="F57" s="135">
        <v>0.0</v>
      </c>
      <c r="G57" s="135">
        <v>0.0</v>
      </c>
      <c r="H57" s="135">
        <v>0.0</v>
      </c>
      <c r="I57" s="135">
        <v>0.0</v>
      </c>
      <c r="J57" s="135">
        <v>0.0</v>
      </c>
      <c r="K57" s="135">
        <v>0.0</v>
      </c>
      <c r="L57" s="137">
        <v>0.0</v>
      </c>
      <c r="M57" s="137">
        <v>2.0</v>
      </c>
      <c r="N57" s="137">
        <v>2.0</v>
      </c>
      <c r="O57" s="137">
        <v>0.0</v>
      </c>
      <c r="P57" s="137">
        <v>0.0</v>
      </c>
      <c r="Q57" s="137">
        <v>0.0</v>
      </c>
      <c r="R57" s="137">
        <v>2.0</v>
      </c>
      <c r="S57" s="137">
        <v>0.0</v>
      </c>
      <c r="T57" s="137">
        <v>2.0</v>
      </c>
      <c r="U57" s="137">
        <v>2.0</v>
      </c>
      <c r="V57" s="137">
        <v>2.0</v>
      </c>
      <c r="W57" s="137">
        <v>4.0</v>
      </c>
      <c r="X57" s="137">
        <v>12.0</v>
      </c>
      <c r="Y57" s="137">
        <v>4.0</v>
      </c>
      <c r="Z57" s="137">
        <v>16.0</v>
      </c>
      <c r="AA57" s="137">
        <v>14.0</v>
      </c>
      <c r="AB57" s="137">
        <v>22.0</v>
      </c>
      <c r="AC57" s="137">
        <v>16.0</v>
      </c>
      <c r="AD57" s="137">
        <v>14.0</v>
      </c>
      <c r="AE57" s="137">
        <v>26.0</v>
      </c>
      <c r="AF57" s="137">
        <v>18.0</v>
      </c>
      <c r="AG57" s="137">
        <v>82.0</v>
      </c>
      <c r="AH57" s="137">
        <v>38.0</v>
      </c>
      <c r="AI57" s="137">
        <v>16.0</v>
      </c>
      <c r="AJ57" s="137">
        <v>54.0</v>
      </c>
      <c r="AK57" s="137">
        <v>18.0</v>
      </c>
      <c r="AL57" s="137">
        <v>46.0</v>
      </c>
      <c r="AM57" s="137">
        <v>48.0</v>
      </c>
      <c r="AN57" s="137">
        <v>456.0</v>
      </c>
    </row>
    <row r="58">
      <c r="A58" s="132" t="s">
        <v>202</v>
      </c>
      <c r="B58" s="136" t="s">
        <v>198</v>
      </c>
      <c r="C58" s="134">
        <v>2792.0</v>
      </c>
      <c r="D58" s="134">
        <v>1492.0</v>
      </c>
      <c r="E58" s="134">
        <v>1300.0</v>
      </c>
      <c r="F58" s="137">
        <v>14.0</v>
      </c>
      <c r="G58" s="137">
        <v>34.0</v>
      </c>
      <c r="H58" s="137">
        <v>18.0</v>
      </c>
      <c r="I58" s="137">
        <v>30.0</v>
      </c>
      <c r="J58" s="137">
        <v>30.0</v>
      </c>
      <c r="K58" s="137">
        <v>20.0</v>
      </c>
      <c r="L58" s="137">
        <v>62.0</v>
      </c>
      <c r="M58" s="137">
        <v>32.0</v>
      </c>
      <c r="N58" s="137">
        <v>102.0</v>
      </c>
      <c r="O58" s="137">
        <v>76.0</v>
      </c>
      <c r="P58" s="137">
        <v>124.0</v>
      </c>
      <c r="Q58" s="137">
        <v>162.0</v>
      </c>
      <c r="R58" s="137">
        <v>196.0</v>
      </c>
      <c r="S58" s="137">
        <v>160.0</v>
      </c>
      <c r="T58" s="137">
        <v>154.0</v>
      </c>
      <c r="U58" s="137">
        <v>134.0</v>
      </c>
      <c r="V58" s="137">
        <v>152.0</v>
      </c>
      <c r="W58" s="137">
        <v>68.0</v>
      </c>
      <c r="X58" s="137">
        <v>82.0</v>
      </c>
      <c r="Y58" s="137">
        <v>100.0</v>
      </c>
      <c r="Z58" s="137">
        <v>178.0</v>
      </c>
      <c r="AA58" s="137">
        <v>118.0</v>
      </c>
      <c r="AB58" s="137">
        <v>104.0</v>
      </c>
      <c r="AC58" s="137">
        <v>86.0</v>
      </c>
      <c r="AD58" s="137">
        <v>84.0</v>
      </c>
      <c r="AE58" s="137">
        <v>90.0</v>
      </c>
      <c r="AF58" s="137">
        <v>94.0</v>
      </c>
      <c r="AG58" s="137">
        <v>56.0</v>
      </c>
      <c r="AH58" s="137">
        <v>58.0</v>
      </c>
      <c r="AI58" s="137">
        <v>56.0</v>
      </c>
      <c r="AJ58" s="137">
        <v>28.0</v>
      </c>
      <c r="AK58" s="137">
        <v>32.0</v>
      </c>
      <c r="AL58" s="137">
        <v>12.0</v>
      </c>
      <c r="AM58" s="137">
        <v>46.0</v>
      </c>
      <c r="AN58" s="134">
        <v>2732.0</v>
      </c>
    </row>
    <row r="59">
      <c r="A59" s="104"/>
      <c r="B59" s="136" t="s">
        <v>199</v>
      </c>
      <c r="C59" s="134">
        <v>6098.0</v>
      </c>
      <c r="D59" s="134">
        <v>3234.0</v>
      </c>
      <c r="E59" s="134">
        <v>2864.0</v>
      </c>
      <c r="F59" s="137">
        <v>12.0</v>
      </c>
      <c r="G59" s="137">
        <v>72.0</v>
      </c>
      <c r="H59" s="137">
        <v>48.0</v>
      </c>
      <c r="I59" s="137">
        <v>74.0</v>
      </c>
      <c r="J59" s="137">
        <v>34.0</v>
      </c>
      <c r="K59" s="137">
        <v>26.0</v>
      </c>
      <c r="L59" s="137">
        <v>126.0</v>
      </c>
      <c r="M59" s="137">
        <v>24.0</v>
      </c>
      <c r="N59" s="137">
        <v>192.0</v>
      </c>
      <c r="O59" s="137">
        <v>142.0</v>
      </c>
      <c r="P59" s="137">
        <v>354.0</v>
      </c>
      <c r="Q59" s="137">
        <v>590.0</v>
      </c>
      <c r="R59" s="137">
        <v>418.0</v>
      </c>
      <c r="S59" s="137">
        <v>330.0</v>
      </c>
      <c r="T59" s="137">
        <v>244.0</v>
      </c>
      <c r="U59" s="137">
        <v>428.0</v>
      </c>
      <c r="V59" s="137">
        <v>348.0</v>
      </c>
      <c r="W59" s="137">
        <v>196.0</v>
      </c>
      <c r="X59" s="137">
        <v>246.0</v>
      </c>
      <c r="Y59" s="137">
        <v>274.0</v>
      </c>
      <c r="Z59" s="137">
        <v>380.0</v>
      </c>
      <c r="AA59" s="137">
        <v>176.0</v>
      </c>
      <c r="AB59" s="137">
        <v>334.0</v>
      </c>
      <c r="AC59" s="137">
        <v>100.0</v>
      </c>
      <c r="AD59" s="137">
        <v>236.0</v>
      </c>
      <c r="AE59" s="137">
        <v>158.0</v>
      </c>
      <c r="AF59" s="137">
        <v>112.0</v>
      </c>
      <c r="AG59" s="137">
        <v>112.0</v>
      </c>
      <c r="AH59" s="137">
        <v>38.0</v>
      </c>
      <c r="AI59" s="137">
        <v>36.0</v>
      </c>
      <c r="AJ59" s="137">
        <v>80.0</v>
      </c>
      <c r="AK59" s="137">
        <v>34.0</v>
      </c>
      <c r="AL59" s="137">
        <v>32.0</v>
      </c>
      <c r="AM59" s="137">
        <v>92.0</v>
      </c>
      <c r="AN59" s="134">
        <v>5772.0</v>
      </c>
    </row>
    <row r="60">
      <c r="A60" s="132" t="s">
        <v>203</v>
      </c>
      <c r="B60" s="136" t="s">
        <v>198</v>
      </c>
      <c r="C60" s="137">
        <v>10.0</v>
      </c>
      <c r="D60" s="137">
        <v>4.0</v>
      </c>
      <c r="E60" s="137">
        <v>6.0</v>
      </c>
      <c r="F60" s="135">
        <v>0.0</v>
      </c>
      <c r="G60" s="135">
        <v>0.0</v>
      </c>
      <c r="H60" s="135">
        <v>0.0</v>
      </c>
      <c r="I60" s="135">
        <v>0.0</v>
      </c>
      <c r="J60" s="135">
        <v>0.0</v>
      </c>
      <c r="K60" s="135">
        <v>0.0</v>
      </c>
      <c r="L60" s="135">
        <v>0.0</v>
      </c>
      <c r="M60" s="135">
        <v>0.0</v>
      </c>
      <c r="N60" s="135">
        <v>0.0</v>
      </c>
      <c r="O60" s="135">
        <v>0.0</v>
      </c>
      <c r="P60" s="135">
        <v>0.0</v>
      </c>
      <c r="Q60" s="135">
        <v>0.0</v>
      </c>
      <c r="R60" s="135">
        <v>0.0</v>
      </c>
      <c r="S60" s="135">
        <v>0.0</v>
      </c>
      <c r="T60" s="135">
        <v>0.0</v>
      </c>
      <c r="U60" s="135">
        <v>0.0</v>
      </c>
      <c r="V60" s="135">
        <v>0.0</v>
      </c>
      <c r="W60" s="135">
        <v>0.0</v>
      </c>
      <c r="X60" s="135">
        <v>0.0</v>
      </c>
      <c r="Y60" s="135">
        <v>0.0</v>
      </c>
      <c r="Z60" s="135">
        <v>0.0</v>
      </c>
      <c r="AA60" s="135">
        <v>0.0</v>
      </c>
      <c r="AB60" s="135">
        <v>0.0</v>
      </c>
      <c r="AC60" s="135">
        <v>0.0</v>
      </c>
      <c r="AD60" s="135">
        <v>0.0</v>
      </c>
      <c r="AE60" s="135">
        <v>0.0</v>
      </c>
      <c r="AF60" s="137">
        <v>0.0</v>
      </c>
      <c r="AG60" s="137">
        <v>2.0</v>
      </c>
      <c r="AH60" s="137">
        <v>0.0</v>
      </c>
      <c r="AI60" s="137">
        <v>0.0</v>
      </c>
      <c r="AJ60" s="137">
        <v>0.0</v>
      </c>
      <c r="AK60" s="137">
        <v>2.0</v>
      </c>
      <c r="AL60" s="137">
        <v>4.0</v>
      </c>
      <c r="AM60" s="137">
        <v>2.0</v>
      </c>
      <c r="AN60" s="137">
        <v>8.0</v>
      </c>
    </row>
    <row r="61">
      <c r="A61" s="104"/>
      <c r="B61" s="136" t="s">
        <v>199</v>
      </c>
      <c r="C61" s="137">
        <v>322.0</v>
      </c>
      <c r="D61" s="137">
        <v>108.0</v>
      </c>
      <c r="E61" s="137">
        <v>214.0</v>
      </c>
      <c r="F61" s="135">
        <v>0.0</v>
      </c>
      <c r="G61" s="135">
        <v>0.0</v>
      </c>
      <c r="H61" s="135">
        <v>0.0</v>
      </c>
      <c r="I61" s="135">
        <v>0.0</v>
      </c>
      <c r="J61" s="135">
        <v>0.0</v>
      </c>
      <c r="K61" s="135">
        <v>0.0</v>
      </c>
      <c r="L61" s="135">
        <v>0.0</v>
      </c>
      <c r="M61" s="135">
        <v>0.0</v>
      </c>
      <c r="N61" s="135">
        <v>0.0</v>
      </c>
      <c r="O61" s="135">
        <v>0.0</v>
      </c>
      <c r="P61" s="135">
        <v>0.0</v>
      </c>
      <c r="Q61" s="135">
        <v>0.0</v>
      </c>
      <c r="R61" s="135">
        <v>0.0</v>
      </c>
      <c r="S61" s="135">
        <v>0.0</v>
      </c>
      <c r="T61" s="135">
        <v>0.0</v>
      </c>
      <c r="U61" s="135">
        <v>0.0</v>
      </c>
      <c r="V61" s="135">
        <v>0.0</v>
      </c>
      <c r="W61" s="135">
        <v>0.0</v>
      </c>
      <c r="X61" s="135">
        <v>0.0</v>
      </c>
      <c r="Y61" s="135">
        <v>0.0</v>
      </c>
      <c r="Z61" s="135">
        <v>0.0</v>
      </c>
      <c r="AA61" s="135">
        <v>0.0</v>
      </c>
      <c r="AB61" s="135">
        <v>0.0</v>
      </c>
      <c r="AC61" s="135">
        <v>0.0</v>
      </c>
      <c r="AD61" s="135">
        <v>0.0</v>
      </c>
      <c r="AE61" s="135">
        <v>0.0</v>
      </c>
      <c r="AF61" s="137">
        <v>30.0</v>
      </c>
      <c r="AG61" s="137">
        <v>46.0</v>
      </c>
      <c r="AH61" s="137">
        <v>22.0</v>
      </c>
      <c r="AI61" s="137">
        <v>76.0</v>
      </c>
      <c r="AJ61" s="137">
        <v>16.0</v>
      </c>
      <c r="AK61" s="137">
        <v>42.0</v>
      </c>
      <c r="AL61" s="137">
        <v>38.0</v>
      </c>
      <c r="AM61" s="137">
        <v>52.0</v>
      </c>
      <c r="AN61" s="137">
        <v>322.0</v>
      </c>
    </row>
    <row r="62">
      <c r="A62" s="132" t="s">
        <v>204</v>
      </c>
      <c r="B62" s="136" t="s">
        <v>198</v>
      </c>
      <c r="C62" s="137">
        <v>14.0</v>
      </c>
      <c r="D62" s="137">
        <v>8.0</v>
      </c>
      <c r="E62" s="137">
        <v>6.0</v>
      </c>
      <c r="F62" s="135">
        <v>0.0</v>
      </c>
      <c r="G62" s="135">
        <v>0.0</v>
      </c>
      <c r="H62" s="135">
        <v>0.0</v>
      </c>
      <c r="I62" s="135">
        <v>0.0</v>
      </c>
      <c r="J62" s="135">
        <v>0.0</v>
      </c>
      <c r="K62" s="135">
        <v>0.0</v>
      </c>
      <c r="L62" s="135">
        <v>0.0</v>
      </c>
      <c r="M62" s="135">
        <v>0.0</v>
      </c>
      <c r="N62" s="135">
        <v>0.0</v>
      </c>
      <c r="O62" s="135">
        <v>0.0</v>
      </c>
      <c r="P62" s="135">
        <v>0.0</v>
      </c>
      <c r="Q62" s="135">
        <v>0.0</v>
      </c>
      <c r="R62" s="135">
        <v>0.0</v>
      </c>
      <c r="S62" s="135">
        <v>0.0</v>
      </c>
      <c r="T62" s="135">
        <v>0.0</v>
      </c>
      <c r="U62" s="135">
        <v>0.0</v>
      </c>
      <c r="V62" s="135">
        <v>0.0</v>
      </c>
      <c r="W62" s="135">
        <v>0.0</v>
      </c>
      <c r="X62" s="135">
        <v>0.0</v>
      </c>
      <c r="Y62" s="135">
        <v>0.0</v>
      </c>
      <c r="Z62" s="135">
        <v>0.0</v>
      </c>
      <c r="AA62" s="135">
        <v>0.0</v>
      </c>
      <c r="AB62" s="135">
        <v>0.0</v>
      </c>
      <c r="AC62" s="135">
        <v>0.0</v>
      </c>
      <c r="AD62" s="135">
        <v>0.0</v>
      </c>
      <c r="AE62" s="135">
        <v>0.0</v>
      </c>
      <c r="AF62" s="137">
        <v>0.0</v>
      </c>
      <c r="AG62" s="137">
        <v>2.0</v>
      </c>
      <c r="AH62" s="137">
        <v>0.0</v>
      </c>
      <c r="AI62" s="137">
        <v>2.0</v>
      </c>
      <c r="AJ62" s="137">
        <v>2.0</v>
      </c>
      <c r="AK62" s="137">
        <v>0.0</v>
      </c>
      <c r="AL62" s="137">
        <v>6.0</v>
      </c>
      <c r="AM62" s="137">
        <v>2.0</v>
      </c>
      <c r="AN62" s="137">
        <v>8.0</v>
      </c>
    </row>
    <row r="63">
      <c r="A63" s="104"/>
      <c r="B63" s="136" t="s">
        <v>199</v>
      </c>
      <c r="C63" s="137">
        <v>314.0</v>
      </c>
      <c r="D63" s="137">
        <v>138.0</v>
      </c>
      <c r="E63" s="137">
        <v>176.0</v>
      </c>
      <c r="F63" s="135">
        <v>0.0</v>
      </c>
      <c r="G63" s="135">
        <v>0.0</v>
      </c>
      <c r="H63" s="135">
        <v>0.0</v>
      </c>
      <c r="I63" s="135">
        <v>0.0</v>
      </c>
      <c r="J63" s="135">
        <v>0.0</v>
      </c>
      <c r="K63" s="135">
        <v>0.0</v>
      </c>
      <c r="L63" s="135">
        <v>0.0</v>
      </c>
      <c r="M63" s="135">
        <v>0.0</v>
      </c>
      <c r="N63" s="135">
        <v>0.0</v>
      </c>
      <c r="O63" s="135">
        <v>0.0</v>
      </c>
      <c r="P63" s="135">
        <v>0.0</v>
      </c>
      <c r="Q63" s="135">
        <v>0.0</v>
      </c>
      <c r="R63" s="135">
        <v>0.0</v>
      </c>
      <c r="S63" s="135">
        <v>0.0</v>
      </c>
      <c r="T63" s="135">
        <v>0.0</v>
      </c>
      <c r="U63" s="135">
        <v>0.0</v>
      </c>
      <c r="V63" s="135">
        <v>0.0</v>
      </c>
      <c r="W63" s="135">
        <v>0.0</v>
      </c>
      <c r="X63" s="135">
        <v>0.0</v>
      </c>
      <c r="Y63" s="135">
        <v>0.0</v>
      </c>
      <c r="Z63" s="135">
        <v>0.0</v>
      </c>
      <c r="AA63" s="135">
        <v>0.0</v>
      </c>
      <c r="AB63" s="135">
        <v>0.0</v>
      </c>
      <c r="AC63" s="135">
        <v>0.0</v>
      </c>
      <c r="AD63" s="135">
        <v>0.0</v>
      </c>
      <c r="AE63" s="135">
        <v>0.0</v>
      </c>
      <c r="AF63" s="137">
        <v>32.0</v>
      </c>
      <c r="AG63" s="137">
        <v>22.0</v>
      </c>
      <c r="AH63" s="137">
        <v>18.0</v>
      </c>
      <c r="AI63" s="137">
        <v>24.0</v>
      </c>
      <c r="AJ63" s="137">
        <v>26.0</v>
      </c>
      <c r="AK63" s="137">
        <v>28.0</v>
      </c>
      <c r="AL63" s="137">
        <v>64.0</v>
      </c>
      <c r="AM63" s="137">
        <v>100.0</v>
      </c>
      <c r="AN63" s="137">
        <v>312.0</v>
      </c>
    </row>
    <row r="64">
      <c r="A64" s="132" t="s">
        <v>205</v>
      </c>
      <c r="B64" s="136" t="s">
        <v>198</v>
      </c>
      <c r="C64" s="137">
        <v>0.0</v>
      </c>
      <c r="D64" s="137">
        <v>0.0</v>
      </c>
      <c r="E64" s="137">
        <v>0.0</v>
      </c>
      <c r="F64" s="137">
        <v>0.0</v>
      </c>
      <c r="G64" s="137">
        <v>0.0</v>
      </c>
      <c r="H64" s="137">
        <v>0.0</v>
      </c>
      <c r="I64" s="137">
        <v>0.0</v>
      </c>
      <c r="J64" s="137">
        <v>0.0</v>
      </c>
      <c r="K64" s="137">
        <v>0.0</v>
      </c>
      <c r="L64" s="137">
        <v>0.0</v>
      </c>
      <c r="M64" s="137">
        <v>0.0</v>
      </c>
      <c r="N64" s="137">
        <v>0.0</v>
      </c>
      <c r="O64" s="137">
        <v>0.0</v>
      </c>
      <c r="P64" s="137">
        <v>0.0</v>
      </c>
      <c r="Q64" s="137">
        <v>0.0</v>
      </c>
      <c r="R64" s="137">
        <v>0.0</v>
      </c>
      <c r="S64" s="137">
        <v>0.0</v>
      </c>
      <c r="T64" s="137">
        <v>0.0</v>
      </c>
      <c r="U64" s="137">
        <v>0.0</v>
      </c>
      <c r="V64" s="137">
        <v>0.0</v>
      </c>
      <c r="W64" s="137">
        <v>0.0</v>
      </c>
      <c r="X64" s="137">
        <v>0.0</v>
      </c>
      <c r="Y64" s="137">
        <v>0.0</v>
      </c>
      <c r="Z64" s="137">
        <v>0.0</v>
      </c>
      <c r="AA64" s="137">
        <v>0.0</v>
      </c>
      <c r="AB64" s="137">
        <v>0.0</v>
      </c>
      <c r="AC64" s="137">
        <v>0.0</v>
      </c>
      <c r="AD64" s="137">
        <v>0.0</v>
      </c>
      <c r="AE64" s="137">
        <v>0.0</v>
      </c>
      <c r="AF64" s="137">
        <v>0.0</v>
      </c>
      <c r="AG64" s="137">
        <v>0.0</v>
      </c>
      <c r="AH64" s="137">
        <v>0.0</v>
      </c>
      <c r="AI64" s="137">
        <v>0.0</v>
      </c>
      <c r="AJ64" s="137">
        <v>0.0</v>
      </c>
      <c r="AK64" s="137">
        <v>0.0</v>
      </c>
      <c r="AL64" s="137">
        <v>0.0</v>
      </c>
      <c r="AM64" s="137">
        <v>0.0</v>
      </c>
      <c r="AN64" s="137">
        <v>0.0</v>
      </c>
    </row>
    <row r="65">
      <c r="A65" s="98"/>
      <c r="B65" s="136" t="s">
        <v>199</v>
      </c>
      <c r="C65" s="137">
        <v>0.0</v>
      </c>
      <c r="D65" s="137">
        <v>0.0</v>
      </c>
      <c r="E65" s="137">
        <v>0.0</v>
      </c>
      <c r="F65" s="137">
        <v>0.0</v>
      </c>
      <c r="G65" s="137">
        <v>0.0</v>
      </c>
      <c r="H65" s="137">
        <v>0.0</v>
      </c>
      <c r="I65" s="137">
        <v>0.0</v>
      </c>
      <c r="J65" s="137">
        <v>0.0</v>
      </c>
      <c r="K65" s="137">
        <v>0.0</v>
      </c>
      <c r="L65" s="137">
        <v>0.0</v>
      </c>
      <c r="M65" s="137">
        <v>0.0</v>
      </c>
      <c r="N65" s="137">
        <v>0.0</v>
      </c>
      <c r="O65" s="137">
        <v>0.0</v>
      </c>
      <c r="P65" s="137">
        <v>0.0</v>
      </c>
      <c r="Q65" s="137">
        <v>0.0</v>
      </c>
      <c r="R65" s="137">
        <v>0.0</v>
      </c>
      <c r="S65" s="137">
        <v>0.0</v>
      </c>
      <c r="T65" s="137">
        <v>0.0</v>
      </c>
      <c r="U65" s="137">
        <v>0.0</v>
      </c>
      <c r="V65" s="137">
        <v>0.0</v>
      </c>
      <c r="W65" s="137">
        <v>0.0</v>
      </c>
      <c r="X65" s="137">
        <v>0.0</v>
      </c>
      <c r="Y65" s="137">
        <v>0.0</v>
      </c>
      <c r="Z65" s="137">
        <v>0.0</v>
      </c>
      <c r="AA65" s="137">
        <v>0.0</v>
      </c>
      <c r="AB65" s="137">
        <v>0.0</v>
      </c>
      <c r="AC65" s="137">
        <v>0.0</v>
      </c>
      <c r="AD65" s="137">
        <v>0.0</v>
      </c>
      <c r="AE65" s="137">
        <v>0.0</v>
      </c>
      <c r="AF65" s="137">
        <v>0.0</v>
      </c>
      <c r="AG65" s="137">
        <v>0.0</v>
      </c>
      <c r="AH65" s="137">
        <v>0.0</v>
      </c>
      <c r="AI65" s="137">
        <v>0.0</v>
      </c>
      <c r="AJ65" s="137">
        <v>0.0</v>
      </c>
      <c r="AK65" s="137">
        <v>0.0</v>
      </c>
      <c r="AL65" s="137">
        <v>0.0</v>
      </c>
      <c r="AM65" s="137">
        <v>0.0</v>
      </c>
      <c r="AN65" s="137">
        <v>0.0</v>
      </c>
    </row>
    <row r="66">
      <c r="A66" s="104"/>
      <c r="B66" s="136" t="s">
        <v>206</v>
      </c>
      <c r="C66" s="137">
        <v>6.0</v>
      </c>
      <c r="D66" s="137">
        <v>0.0</v>
      </c>
      <c r="E66" s="137">
        <v>6.0</v>
      </c>
      <c r="F66" s="137">
        <v>0.0</v>
      </c>
      <c r="G66" s="137">
        <v>0.0</v>
      </c>
      <c r="H66" s="137">
        <v>0.0</v>
      </c>
      <c r="I66" s="137">
        <v>0.0</v>
      </c>
      <c r="J66" s="137">
        <v>0.0</v>
      </c>
      <c r="K66" s="137">
        <v>0.0</v>
      </c>
      <c r="L66" s="137">
        <v>0.0</v>
      </c>
      <c r="M66" s="137">
        <v>0.0</v>
      </c>
      <c r="N66" s="137">
        <v>0.0</v>
      </c>
      <c r="O66" s="137">
        <v>0.0</v>
      </c>
      <c r="P66" s="137">
        <v>0.0</v>
      </c>
      <c r="Q66" s="137">
        <v>2.0</v>
      </c>
      <c r="R66" s="137">
        <v>0.0</v>
      </c>
      <c r="S66" s="137">
        <v>4.0</v>
      </c>
      <c r="T66" s="137">
        <v>0.0</v>
      </c>
      <c r="U66" s="137">
        <v>0.0</v>
      </c>
      <c r="V66" s="137">
        <v>0.0</v>
      </c>
      <c r="W66" s="137">
        <v>0.0</v>
      </c>
      <c r="X66" s="137">
        <v>0.0</v>
      </c>
      <c r="Y66" s="137">
        <v>0.0</v>
      </c>
      <c r="Z66" s="137">
        <v>0.0</v>
      </c>
      <c r="AA66" s="137">
        <v>0.0</v>
      </c>
      <c r="AB66" s="137">
        <v>0.0</v>
      </c>
      <c r="AC66" s="137">
        <v>0.0</v>
      </c>
      <c r="AD66" s="137">
        <v>0.0</v>
      </c>
      <c r="AE66" s="137">
        <v>0.0</v>
      </c>
      <c r="AF66" s="137">
        <v>0.0</v>
      </c>
      <c r="AG66" s="137">
        <v>0.0</v>
      </c>
      <c r="AH66" s="137">
        <v>0.0</v>
      </c>
      <c r="AI66" s="137">
        <v>0.0</v>
      </c>
      <c r="AJ66" s="137">
        <v>0.0</v>
      </c>
      <c r="AK66" s="137">
        <v>0.0</v>
      </c>
      <c r="AL66" s="137">
        <v>0.0</v>
      </c>
      <c r="AM66" s="137">
        <v>0.0</v>
      </c>
      <c r="AN66" s="137">
        <v>6.0</v>
      </c>
    </row>
    <row r="67">
      <c r="A67" s="132" t="s">
        <v>207</v>
      </c>
      <c r="B67" s="136" t="s">
        <v>198</v>
      </c>
      <c r="C67" s="134">
        <v>20226.0</v>
      </c>
      <c r="D67" s="134">
        <v>4748.0</v>
      </c>
      <c r="E67" s="134">
        <v>15478.0</v>
      </c>
      <c r="F67" s="137">
        <v>62.0</v>
      </c>
      <c r="G67" s="137">
        <v>58.0</v>
      </c>
      <c r="H67" s="137">
        <v>74.0</v>
      </c>
      <c r="I67" s="137">
        <v>54.0</v>
      </c>
      <c r="J67" s="137">
        <v>50.0</v>
      </c>
      <c r="K67" s="137">
        <v>60.0</v>
      </c>
      <c r="L67" s="137">
        <v>82.0</v>
      </c>
      <c r="M67" s="137">
        <v>150.0</v>
      </c>
      <c r="N67" s="137">
        <v>44.0</v>
      </c>
      <c r="O67" s="137">
        <v>326.0</v>
      </c>
      <c r="P67" s="137">
        <v>102.0</v>
      </c>
      <c r="Q67" s="137">
        <v>514.0</v>
      </c>
      <c r="R67" s="137">
        <v>112.0</v>
      </c>
      <c r="S67" s="137">
        <v>580.0</v>
      </c>
      <c r="T67" s="137">
        <v>80.0</v>
      </c>
      <c r="U67" s="137">
        <v>492.0</v>
      </c>
      <c r="V67" s="137">
        <v>110.0</v>
      </c>
      <c r="W67" s="137">
        <v>530.0</v>
      </c>
      <c r="X67" s="137">
        <v>166.0</v>
      </c>
      <c r="Y67" s="137">
        <v>706.0</v>
      </c>
      <c r="Z67" s="137">
        <v>200.0</v>
      </c>
      <c r="AA67" s="134">
        <v>1004.0</v>
      </c>
      <c r="AB67" s="137">
        <v>442.0</v>
      </c>
      <c r="AC67" s="134">
        <v>1708.0</v>
      </c>
      <c r="AD67" s="137">
        <v>664.0</v>
      </c>
      <c r="AE67" s="134">
        <v>1970.0</v>
      </c>
      <c r="AF67" s="137">
        <v>674.0</v>
      </c>
      <c r="AG67" s="134">
        <v>2324.0</v>
      </c>
      <c r="AH67" s="137">
        <v>708.0</v>
      </c>
      <c r="AI67" s="134">
        <v>1828.0</v>
      </c>
      <c r="AJ67" s="137">
        <v>548.0</v>
      </c>
      <c r="AK67" s="134">
        <v>1396.0</v>
      </c>
      <c r="AL67" s="137">
        <v>630.0</v>
      </c>
      <c r="AM67" s="134">
        <v>1770.0</v>
      </c>
      <c r="AN67" s="134">
        <v>17950.0</v>
      </c>
    </row>
    <row r="68">
      <c r="A68" s="98"/>
      <c r="B68" s="136" t="s">
        <v>199</v>
      </c>
      <c r="C68" s="134">
        <v>1582.0</v>
      </c>
      <c r="D68" s="137">
        <v>496.0</v>
      </c>
      <c r="E68" s="134">
        <v>1086.0</v>
      </c>
      <c r="F68" s="137">
        <v>26.0</v>
      </c>
      <c r="G68" s="137">
        <v>8.0</v>
      </c>
      <c r="H68" s="137">
        <v>8.0</v>
      </c>
      <c r="I68" s="137">
        <v>8.0</v>
      </c>
      <c r="J68" s="137">
        <v>4.0</v>
      </c>
      <c r="K68" s="137">
        <v>2.0</v>
      </c>
      <c r="L68" s="137">
        <v>8.0</v>
      </c>
      <c r="M68" s="137">
        <v>20.0</v>
      </c>
      <c r="N68" s="137">
        <v>10.0</v>
      </c>
      <c r="O68" s="137">
        <v>38.0</v>
      </c>
      <c r="P68" s="137">
        <v>8.0</v>
      </c>
      <c r="Q68" s="137">
        <v>38.0</v>
      </c>
      <c r="R68" s="137">
        <v>16.0</v>
      </c>
      <c r="S68" s="137">
        <v>44.0</v>
      </c>
      <c r="T68" s="137">
        <v>10.0</v>
      </c>
      <c r="U68" s="137">
        <v>46.0</v>
      </c>
      <c r="V68" s="137">
        <v>24.0</v>
      </c>
      <c r="W68" s="137">
        <v>58.0</v>
      </c>
      <c r="X68" s="137">
        <v>38.0</v>
      </c>
      <c r="Y68" s="137">
        <v>62.0</v>
      </c>
      <c r="Z68" s="137">
        <v>34.0</v>
      </c>
      <c r="AA68" s="137">
        <v>122.0</v>
      </c>
      <c r="AB68" s="137">
        <v>62.0</v>
      </c>
      <c r="AC68" s="137">
        <v>142.0</v>
      </c>
      <c r="AD68" s="137">
        <v>40.0</v>
      </c>
      <c r="AE68" s="137">
        <v>102.0</v>
      </c>
      <c r="AF68" s="137">
        <v>42.0</v>
      </c>
      <c r="AG68" s="137">
        <v>106.0</v>
      </c>
      <c r="AH68" s="137">
        <v>54.0</v>
      </c>
      <c r="AI68" s="137">
        <v>100.0</v>
      </c>
      <c r="AJ68" s="137">
        <v>36.0</v>
      </c>
      <c r="AK68" s="137">
        <v>54.0</v>
      </c>
      <c r="AL68" s="137">
        <v>76.0</v>
      </c>
      <c r="AM68" s="137">
        <v>136.0</v>
      </c>
      <c r="AN68" s="134">
        <v>1494.0</v>
      </c>
    </row>
    <row r="69">
      <c r="A69" s="98"/>
      <c r="B69" s="136" t="s">
        <v>206</v>
      </c>
      <c r="C69" s="137">
        <v>582.0</v>
      </c>
      <c r="D69" s="137">
        <v>330.0</v>
      </c>
      <c r="E69" s="137">
        <v>252.0</v>
      </c>
      <c r="F69" s="137">
        <v>328.0</v>
      </c>
      <c r="G69" s="137">
        <v>232.0</v>
      </c>
      <c r="H69" s="137">
        <v>0.0</v>
      </c>
      <c r="I69" s="137">
        <v>0.0</v>
      </c>
      <c r="J69" s="137">
        <v>0.0</v>
      </c>
      <c r="K69" s="137">
        <v>0.0</v>
      </c>
      <c r="L69" s="137">
        <v>0.0</v>
      </c>
      <c r="M69" s="137">
        <v>10.0</v>
      </c>
      <c r="N69" s="137">
        <v>0.0</v>
      </c>
      <c r="O69" s="137">
        <v>6.0</v>
      </c>
      <c r="P69" s="137">
        <v>0.0</v>
      </c>
      <c r="Q69" s="137">
        <v>0.0</v>
      </c>
      <c r="R69" s="137">
        <v>0.0</v>
      </c>
      <c r="S69" s="137">
        <v>2.0</v>
      </c>
      <c r="T69" s="137">
        <v>0.0</v>
      </c>
      <c r="U69" s="137">
        <v>0.0</v>
      </c>
      <c r="V69" s="137">
        <v>2.0</v>
      </c>
      <c r="W69" s="137">
        <v>0.0</v>
      </c>
      <c r="X69" s="137">
        <v>0.0</v>
      </c>
      <c r="Y69" s="137">
        <v>2.0</v>
      </c>
      <c r="Z69" s="137">
        <v>0.0</v>
      </c>
      <c r="AA69" s="137">
        <v>0.0</v>
      </c>
      <c r="AB69" s="137">
        <v>0.0</v>
      </c>
      <c r="AC69" s="137">
        <v>0.0</v>
      </c>
      <c r="AD69" s="137">
        <v>0.0</v>
      </c>
      <c r="AE69" s="137">
        <v>0.0</v>
      </c>
      <c r="AF69" s="137">
        <v>0.0</v>
      </c>
      <c r="AG69" s="137">
        <v>0.0</v>
      </c>
      <c r="AH69" s="137">
        <v>0.0</v>
      </c>
      <c r="AI69" s="137">
        <v>0.0</v>
      </c>
      <c r="AJ69" s="137">
        <v>0.0</v>
      </c>
      <c r="AK69" s="137">
        <v>0.0</v>
      </c>
      <c r="AL69" s="137">
        <v>0.0</v>
      </c>
      <c r="AM69" s="137">
        <v>0.0</v>
      </c>
      <c r="AN69" s="137">
        <v>576.0</v>
      </c>
    </row>
    <row r="70">
      <c r="A70" s="98"/>
      <c r="B70" s="136" t="s">
        <v>200</v>
      </c>
      <c r="C70" s="134">
        <v>2446.0</v>
      </c>
      <c r="D70" s="137">
        <v>596.0</v>
      </c>
      <c r="E70" s="134">
        <v>1850.0</v>
      </c>
      <c r="F70" s="137">
        <v>132.0</v>
      </c>
      <c r="G70" s="137">
        <v>86.0</v>
      </c>
      <c r="H70" s="137">
        <v>14.0</v>
      </c>
      <c r="I70" s="137">
        <v>22.0</v>
      </c>
      <c r="J70" s="137">
        <v>14.0</v>
      </c>
      <c r="K70" s="137">
        <v>24.0</v>
      </c>
      <c r="L70" s="137">
        <v>8.0</v>
      </c>
      <c r="M70" s="137">
        <v>82.0</v>
      </c>
      <c r="N70" s="137">
        <v>6.0</v>
      </c>
      <c r="O70" s="137">
        <v>78.0</v>
      </c>
      <c r="P70" s="137">
        <v>22.0</v>
      </c>
      <c r="Q70" s="137">
        <v>112.0</v>
      </c>
      <c r="R70" s="137">
        <v>18.0</v>
      </c>
      <c r="S70" s="137">
        <v>130.0</v>
      </c>
      <c r="T70" s="137">
        <v>26.0</v>
      </c>
      <c r="U70" s="137">
        <v>94.0</v>
      </c>
      <c r="V70" s="137">
        <v>18.0</v>
      </c>
      <c r="W70" s="137">
        <v>86.0</v>
      </c>
      <c r="X70" s="137">
        <v>16.0</v>
      </c>
      <c r="Y70" s="137">
        <v>90.0</v>
      </c>
      <c r="Z70" s="137">
        <v>34.0</v>
      </c>
      <c r="AA70" s="137">
        <v>136.0</v>
      </c>
      <c r="AB70" s="137">
        <v>36.0</v>
      </c>
      <c r="AC70" s="137">
        <v>176.0</v>
      </c>
      <c r="AD70" s="137">
        <v>44.0</v>
      </c>
      <c r="AE70" s="137">
        <v>196.0</v>
      </c>
      <c r="AF70" s="137">
        <v>60.0</v>
      </c>
      <c r="AG70" s="137">
        <v>210.0</v>
      </c>
      <c r="AH70" s="137">
        <v>66.0</v>
      </c>
      <c r="AI70" s="137">
        <v>168.0</v>
      </c>
      <c r="AJ70" s="137">
        <v>30.0</v>
      </c>
      <c r="AK70" s="137">
        <v>82.0</v>
      </c>
      <c r="AL70" s="137">
        <v>52.0</v>
      </c>
      <c r="AM70" s="137">
        <v>78.0</v>
      </c>
      <c r="AN70" s="134">
        <v>2150.0</v>
      </c>
    </row>
    <row r="71">
      <c r="A71" s="104"/>
      <c r="B71" s="136" t="s">
        <v>201</v>
      </c>
      <c r="C71" s="134">
        <v>2634.0</v>
      </c>
      <c r="D71" s="134">
        <v>1518.0</v>
      </c>
      <c r="E71" s="134">
        <v>1116.0</v>
      </c>
      <c r="F71" s="137">
        <v>78.0</v>
      </c>
      <c r="G71" s="137">
        <v>48.0</v>
      </c>
      <c r="H71" s="137">
        <v>42.0</v>
      </c>
      <c r="I71" s="137">
        <v>46.0</v>
      </c>
      <c r="J71" s="137">
        <v>28.0</v>
      </c>
      <c r="K71" s="137">
        <v>36.0</v>
      </c>
      <c r="L71" s="137">
        <v>18.0</v>
      </c>
      <c r="M71" s="137">
        <v>30.0</v>
      </c>
      <c r="N71" s="137">
        <v>46.0</v>
      </c>
      <c r="O71" s="137">
        <v>36.0</v>
      </c>
      <c r="P71" s="137">
        <v>4.0</v>
      </c>
      <c r="Q71" s="137">
        <v>10.0</v>
      </c>
      <c r="R71" s="137">
        <v>6.0</v>
      </c>
      <c r="S71" s="137">
        <v>36.0</v>
      </c>
      <c r="T71" s="137">
        <v>12.0</v>
      </c>
      <c r="U71" s="137">
        <v>32.0</v>
      </c>
      <c r="V71" s="137">
        <v>20.0</v>
      </c>
      <c r="W71" s="137">
        <v>38.0</v>
      </c>
      <c r="X71" s="137">
        <v>78.0</v>
      </c>
      <c r="Y71" s="137">
        <v>54.0</v>
      </c>
      <c r="Z71" s="137">
        <v>36.0</v>
      </c>
      <c r="AA71" s="137">
        <v>18.0</v>
      </c>
      <c r="AB71" s="137">
        <v>40.0</v>
      </c>
      <c r="AC71" s="137">
        <v>40.0</v>
      </c>
      <c r="AD71" s="137">
        <v>36.0</v>
      </c>
      <c r="AE71" s="137">
        <v>62.0</v>
      </c>
      <c r="AF71" s="137">
        <v>708.0</v>
      </c>
      <c r="AG71" s="137">
        <v>240.0</v>
      </c>
      <c r="AH71" s="137">
        <v>150.0</v>
      </c>
      <c r="AI71" s="137">
        <v>134.0</v>
      </c>
      <c r="AJ71" s="137">
        <v>62.0</v>
      </c>
      <c r="AK71" s="137">
        <v>96.0</v>
      </c>
      <c r="AL71" s="137">
        <v>154.0</v>
      </c>
      <c r="AM71" s="137">
        <v>160.0</v>
      </c>
      <c r="AN71" s="134">
        <v>2500.0</v>
      </c>
    </row>
    <row r="72">
      <c r="A72" s="132" t="s">
        <v>208</v>
      </c>
      <c r="B72" s="136" t="s">
        <v>198</v>
      </c>
      <c r="C72" s="137">
        <v>444.0</v>
      </c>
      <c r="D72" s="137">
        <v>314.0</v>
      </c>
      <c r="E72" s="137">
        <v>130.0</v>
      </c>
      <c r="F72" s="137">
        <v>190.0</v>
      </c>
      <c r="G72" s="137">
        <v>90.0</v>
      </c>
      <c r="H72" s="137">
        <v>100.0</v>
      </c>
      <c r="I72" s="137">
        <v>40.0</v>
      </c>
      <c r="J72" s="137">
        <v>8.0</v>
      </c>
      <c r="K72" s="137">
        <v>0.0</v>
      </c>
      <c r="L72" s="137">
        <v>16.0</v>
      </c>
      <c r="M72" s="137">
        <v>0.0</v>
      </c>
      <c r="N72" s="137">
        <v>0.0</v>
      </c>
      <c r="O72" s="137">
        <v>0.0</v>
      </c>
      <c r="P72" s="135">
        <v>0.0</v>
      </c>
      <c r="Q72" s="135">
        <v>0.0</v>
      </c>
      <c r="R72" s="135">
        <v>0.0</v>
      </c>
      <c r="S72" s="135">
        <v>0.0</v>
      </c>
      <c r="T72" s="135">
        <v>0.0</v>
      </c>
      <c r="U72" s="135">
        <v>0.0</v>
      </c>
      <c r="V72" s="135">
        <v>0.0</v>
      </c>
      <c r="W72" s="135">
        <v>0.0</v>
      </c>
      <c r="X72" s="135">
        <v>0.0</v>
      </c>
      <c r="Y72" s="135">
        <v>0.0</v>
      </c>
      <c r="Z72" s="135">
        <v>0.0</v>
      </c>
      <c r="AA72" s="135">
        <v>0.0</v>
      </c>
      <c r="AB72" s="135">
        <v>0.0</v>
      </c>
      <c r="AC72" s="135">
        <v>0.0</v>
      </c>
      <c r="AD72" s="135">
        <v>0.0</v>
      </c>
      <c r="AE72" s="135">
        <v>0.0</v>
      </c>
      <c r="AF72" s="135">
        <v>0.0</v>
      </c>
      <c r="AG72" s="135">
        <v>0.0</v>
      </c>
      <c r="AH72" s="135">
        <v>0.0</v>
      </c>
      <c r="AI72" s="135">
        <v>0.0</v>
      </c>
      <c r="AJ72" s="135">
        <v>0.0</v>
      </c>
      <c r="AK72" s="135">
        <v>0.0</v>
      </c>
      <c r="AL72" s="135">
        <v>0.0</v>
      </c>
      <c r="AM72" s="135">
        <v>0.0</v>
      </c>
      <c r="AN72" s="137">
        <v>444.0</v>
      </c>
    </row>
    <row r="73">
      <c r="A73" s="98"/>
      <c r="B73" s="136" t="s">
        <v>199</v>
      </c>
      <c r="C73" s="137">
        <v>154.0</v>
      </c>
      <c r="D73" s="137">
        <v>72.0</v>
      </c>
      <c r="E73" s="137">
        <v>82.0</v>
      </c>
      <c r="F73" s="137">
        <v>68.0</v>
      </c>
      <c r="G73" s="137">
        <v>78.0</v>
      </c>
      <c r="H73" s="137">
        <v>4.0</v>
      </c>
      <c r="I73" s="137">
        <v>4.0</v>
      </c>
      <c r="J73" s="137">
        <v>0.0</v>
      </c>
      <c r="K73" s="137">
        <v>0.0</v>
      </c>
      <c r="L73" s="137">
        <v>0.0</v>
      </c>
      <c r="M73" s="137">
        <v>0.0</v>
      </c>
      <c r="N73" s="137">
        <v>0.0</v>
      </c>
      <c r="O73" s="137">
        <v>0.0</v>
      </c>
      <c r="P73" s="135">
        <v>0.0</v>
      </c>
      <c r="Q73" s="135">
        <v>0.0</v>
      </c>
      <c r="R73" s="135">
        <v>0.0</v>
      </c>
      <c r="S73" s="135">
        <v>0.0</v>
      </c>
      <c r="T73" s="135">
        <v>0.0</v>
      </c>
      <c r="U73" s="135">
        <v>0.0</v>
      </c>
      <c r="V73" s="135">
        <v>0.0</v>
      </c>
      <c r="W73" s="135">
        <v>0.0</v>
      </c>
      <c r="X73" s="135">
        <v>0.0</v>
      </c>
      <c r="Y73" s="135">
        <v>0.0</v>
      </c>
      <c r="Z73" s="135">
        <v>0.0</v>
      </c>
      <c r="AA73" s="135">
        <v>0.0</v>
      </c>
      <c r="AB73" s="135">
        <v>0.0</v>
      </c>
      <c r="AC73" s="135">
        <v>0.0</v>
      </c>
      <c r="AD73" s="135">
        <v>0.0</v>
      </c>
      <c r="AE73" s="135">
        <v>0.0</v>
      </c>
      <c r="AF73" s="135">
        <v>0.0</v>
      </c>
      <c r="AG73" s="135">
        <v>0.0</v>
      </c>
      <c r="AH73" s="135">
        <v>0.0</v>
      </c>
      <c r="AI73" s="135">
        <v>0.0</v>
      </c>
      <c r="AJ73" s="135">
        <v>0.0</v>
      </c>
      <c r="AK73" s="135">
        <v>0.0</v>
      </c>
      <c r="AL73" s="135">
        <v>0.0</v>
      </c>
      <c r="AM73" s="135">
        <v>0.0</v>
      </c>
      <c r="AN73" s="137">
        <v>142.0</v>
      </c>
    </row>
    <row r="74">
      <c r="A74" s="98"/>
      <c r="B74" s="136" t="s">
        <v>206</v>
      </c>
      <c r="C74" s="137">
        <v>4.0</v>
      </c>
      <c r="D74" s="137">
        <v>4.0</v>
      </c>
      <c r="E74" s="137">
        <v>0.0</v>
      </c>
      <c r="F74" s="137">
        <v>4.0</v>
      </c>
      <c r="G74" s="137">
        <v>0.0</v>
      </c>
      <c r="H74" s="137">
        <v>0.0</v>
      </c>
      <c r="I74" s="137">
        <v>0.0</v>
      </c>
      <c r="J74" s="137">
        <v>0.0</v>
      </c>
      <c r="K74" s="137">
        <v>0.0</v>
      </c>
      <c r="L74" s="137">
        <v>0.0</v>
      </c>
      <c r="M74" s="137">
        <v>0.0</v>
      </c>
      <c r="N74" s="137">
        <v>0.0</v>
      </c>
      <c r="O74" s="137">
        <v>0.0</v>
      </c>
      <c r="P74" s="135">
        <v>0.0</v>
      </c>
      <c r="Q74" s="135">
        <v>0.0</v>
      </c>
      <c r="R74" s="135">
        <v>0.0</v>
      </c>
      <c r="S74" s="135">
        <v>0.0</v>
      </c>
      <c r="T74" s="135">
        <v>0.0</v>
      </c>
      <c r="U74" s="135">
        <v>0.0</v>
      </c>
      <c r="V74" s="135">
        <v>0.0</v>
      </c>
      <c r="W74" s="135">
        <v>0.0</v>
      </c>
      <c r="X74" s="135">
        <v>0.0</v>
      </c>
      <c r="Y74" s="135">
        <v>0.0</v>
      </c>
      <c r="Z74" s="135">
        <v>0.0</v>
      </c>
      <c r="AA74" s="135">
        <v>0.0</v>
      </c>
      <c r="AB74" s="135">
        <v>0.0</v>
      </c>
      <c r="AC74" s="135">
        <v>0.0</v>
      </c>
      <c r="AD74" s="135">
        <v>0.0</v>
      </c>
      <c r="AE74" s="135">
        <v>0.0</v>
      </c>
      <c r="AF74" s="135">
        <v>0.0</v>
      </c>
      <c r="AG74" s="135">
        <v>0.0</v>
      </c>
      <c r="AH74" s="135">
        <v>0.0</v>
      </c>
      <c r="AI74" s="135">
        <v>0.0</v>
      </c>
      <c r="AJ74" s="135">
        <v>0.0</v>
      </c>
      <c r="AK74" s="135">
        <v>0.0</v>
      </c>
      <c r="AL74" s="135">
        <v>0.0</v>
      </c>
      <c r="AM74" s="135">
        <v>0.0</v>
      </c>
      <c r="AN74" s="137">
        <v>4.0</v>
      </c>
    </row>
    <row r="75">
      <c r="A75" s="98"/>
      <c r="B75" s="136" t="s">
        <v>200</v>
      </c>
      <c r="C75" s="137">
        <v>164.0</v>
      </c>
      <c r="D75" s="137">
        <v>106.0</v>
      </c>
      <c r="E75" s="137">
        <v>58.0</v>
      </c>
      <c r="F75" s="137">
        <v>90.0</v>
      </c>
      <c r="G75" s="137">
        <v>44.0</v>
      </c>
      <c r="H75" s="137">
        <v>12.0</v>
      </c>
      <c r="I75" s="137">
        <v>6.0</v>
      </c>
      <c r="J75" s="137">
        <v>2.0</v>
      </c>
      <c r="K75" s="137">
        <v>6.0</v>
      </c>
      <c r="L75" s="137">
        <v>2.0</v>
      </c>
      <c r="M75" s="137">
        <v>2.0</v>
      </c>
      <c r="N75" s="137">
        <v>0.0</v>
      </c>
      <c r="O75" s="137">
        <v>0.0</v>
      </c>
      <c r="P75" s="135">
        <v>0.0</v>
      </c>
      <c r="Q75" s="135">
        <v>0.0</v>
      </c>
      <c r="R75" s="135">
        <v>0.0</v>
      </c>
      <c r="S75" s="135">
        <v>0.0</v>
      </c>
      <c r="T75" s="135">
        <v>0.0</v>
      </c>
      <c r="U75" s="135">
        <v>0.0</v>
      </c>
      <c r="V75" s="135">
        <v>0.0</v>
      </c>
      <c r="W75" s="135">
        <v>0.0</v>
      </c>
      <c r="X75" s="135">
        <v>0.0</v>
      </c>
      <c r="Y75" s="135">
        <v>0.0</v>
      </c>
      <c r="Z75" s="135">
        <v>0.0</v>
      </c>
      <c r="AA75" s="135">
        <v>0.0</v>
      </c>
      <c r="AB75" s="135">
        <v>0.0</v>
      </c>
      <c r="AC75" s="135">
        <v>0.0</v>
      </c>
      <c r="AD75" s="135">
        <v>0.0</v>
      </c>
      <c r="AE75" s="135">
        <v>0.0</v>
      </c>
      <c r="AF75" s="135">
        <v>0.0</v>
      </c>
      <c r="AG75" s="135">
        <v>0.0</v>
      </c>
      <c r="AH75" s="135">
        <v>0.0</v>
      </c>
      <c r="AI75" s="135">
        <v>0.0</v>
      </c>
      <c r="AJ75" s="135">
        <v>0.0</v>
      </c>
      <c r="AK75" s="135">
        <v>0.0</v>
      </c>
      <c r="AL75" s="135">
        <v>0.0</v>
      </c>
      <c r="AM75" s="135">
        <v>0.0</v>
      </c>
      <c r="AN75" s="137">
        <v>136.0</v>
      </c>
    </row>
    <row r="76">
      <c r="A76" s="104"/>
      <c r="B76" s="136" t="s">
        <v>201</v>
      </c>
      <c r="C76" s="137">
        <v>0.0</v>
      </c>
      <c r="D76" s="137">
        <v>0.0</v>
      </c>
      <c r="E76" s="137">
        <v>0.0</v>
      </c>
      <c r="F76" s="137">
        <v>0.0</v>
      </c>
      <c r="G76" s="137">
        <v>0.0</v>
      </c>
      <c r="H76" s="137">
        <v>0.0</v>
      </c>
      <c r="I76" s="137">
        <v>0.0</v>
      </c>
      <c r="J76" s="137">
        <v>0.0</v>
      </c>
      <c r="K76" s="137">
        <v>0.0</v>
      </c>
      <c r="L76" s="137">
        <v>0.0</v>
      </c>
      <c r="M76" s="137">
        <v>0.0</v>
      </c>
      <c r="N76" s="137">
        <v>0.0</v>
      </c>
      <c r="O76" s="137">
        <v>0.0</v>
      </c>
      <c r="P76" s="135">
        <v>0.0</v>
      </c>
      <c r="Q76" s="135">
        <v>0.0</v>
      </c>
      <c r="R76" s="135">
        <v>0.0</v>
      </c>
      <c r="S76" s="135">
        <v>0.0</v>
      </c>
      <c r="T76" s="135">
        <v>0.0</v>
      </c>
      <c r="U76" s="135">
        <v>0.0</v>
      </c>
      <c r="V76" s="135">
        <v>0.0</v>
      </c>
      <c r="W76" s="135">
        <v>0.0</v>
      </c>
      <c r="X76" s="135">
        <v>0.0</v>
      </c>
      <c r="Y76" s="135">
        <v>0.0</v>
      </c>
      <c r="Z76" s="135">
        <v>0.0</v>
      </c>
      <c r="AA76" s="135">
        <v>0.0</v>
      </c>
      <c r="AB76" s="135">
        <v>0.0</v>
      </c>
      <c r="AC76" s="135">
        <v>0.0</v>
      </c>
      <c r="AD76" s="135">
        <v>0.0</v>
      </c>
      <c r="AE76" s="135">
        <v>0.0</v>
      </c>
      <c r="AF76" s="135">
        <v>0.0</v>
      </c>
      <c r="AG76" s="135">
        <v>0.0</v>
      </c>
      <c r="AH76" s="135">
        <v>0.0</v>
      </c>
      <c r="AI76" s="135">
        <v>0.0</v>
      </c>
      <c r="AJ76" s="135">
        <v>0.0</v>
      </c>
      <c r="AK76" s="135">
        <v>0.0</v>
      </c>
      <c r="AL76" s="135">
        <v>0.0</v>
      </c>
      <c r="AM76" s="135">
        <v>0.0</v>
      </c>
      <c r="AN76" s="137">
        <v>0.0</v>
      </c>
    </row>
    <row r="77">
      <c r="A77" s="138" t="s">
        <v>242</v>
      </c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</row>
    <row r="78">
      <c r="A78" s="132" t="s">
        <v>197</v>
      </c>
      <c r="B78" s="133" t="s">
        <v>198</v>
      </c>
      <c r="C78" s="134">
        <v>67002.0</v>
      </c>
      <c r="D78" s="134">
        <v>23234.0</v>
      </c>
      <c r="E78" s="134">
        <v>43768.0</v>
      </c>
      <c r="F78" s="135">
        <v>0.0</v>
      </c>
      <c r="G78" s="135">
        <v>0.0</v>
      </c>
      <c r="H78" s="135">
        <v>0.0</v>
      </c>
      <c r="I78" s="135">
        <v>0.0</v>
      </c>
      <c r="J78" s="135">
        <v>0.0</v>
      </c>
      <c r="K78" s="135">
        <v>0.0</v>
      </c>
      <c r="L78" s="137">
        <v>38.0</v>
      </c>
      <c r="M78" s="137">
        <v>52.0</v>
      </c>
      <c r="N78" s="137">
        <v>62.0</v>
      </c>
      <c r="O78" s="137">
        <v>112.0</v>
      </c>
      <c r="P78" s="137">
        <v>92.0</v>
      </c>
      <c r="Q78" s="137">
        <v>222.0</v>
      </c>
      <c r="R78" s="137">
        <v>160.0</v>
      </c>
      <c r="S78" s="137">
        <v>386.0</v>
      </c>
      <c r="T78" s="137">
        <v>300.0</v>
      </c>
      <c r="U78" s="137">
        <v>824.0</v>
      </c>
      <c r="V78" s="137">
        <v>558.0</v>
      </c>
      <c r="W78" s="134">
        <v>1440.0</v>
      </c>
      <c r="X78" s="134">
        <v>1132.0</v>
      </c>
      <c r="Y78" s="134">
        <v>2790.0</v>
      </c>
      <c r="Z78" s="134">
        <v>1828.0</v>
      </c>
      <c r="AA78" s="134">
        <v>4056.0</v>
      </c>
      <c r="AB78" s="134">
        <v>3052.0</v>
      </c>
      <c r="AC78" s="134">
        <v>6084.0</v>
      </c>
      <c r="AD78" s="134">
        <v>3628.0</v>
      </c>
      <c r="AE78" s="134">
        <v>6684.0</v>
      </c>
      <c r="AF78" s="134">
        <v>3978.0</v>
      </c>
      <c r="AG78" s="134">
        <v>6302.0</v>
      </c>
      <c r="AH78" s="134">
        <v>3422.0</v>
      </c>
      <c r="AI78" s="134">
        <v>5524.0</v>
      </c>
      <c r="AJ78" s="134">
        <v>2396.0</v>
      </c>
      <c r="AK78" s="134">
        <v>4202.0</v>
      </c>
      <c r="AL78" s="134">
        <v>2588.0</v>
      </c>
      <c r="AM78" s="134">
        <v>5090.0</v>
      </c>
      <c r="AN78" s="134">
        <v>64460.0</v>
      </c>
    </row>
    <row r="79">
      <c r="A79" s="98"/>
      <c r="B79" s="136" t="s">
        <v>199</v>
      </c>
      <c r="C79" s="134">
        <v>18332.0</v>
      </c>
      <c r="D79" s="134">
        <v>6340.0</v>
      </c>
      <c r="E79" s="134">
        <v>11992.0</v>
      </c>
      <c r="F79" s="135">
        <v>0.0</v>
      </c>
      <c r="G79" s="135">
        <v>0.0</v>
      </c>
      <c r="H79" s="135">
        <v>0.0</v>
      </c>
      <c r="I79" s="135">
        <v>0.0</v>
      </c>
      <c r="J79" s="135">
        <v>0.0</v>
      </c>
      <c r="K79" s="135">
        <v>0.0</v>
      </c>
      <c r="L79" s="137">
        <v>6.0</v>
      </c>
      <c r="M79" s="137">
        <v>20.0</v>
      </c>
      <c r="N79" s="137">
        <v>8.0</v>
      </c>
      <c r="O79" s="137">
        <v>22.0</v>
      </c>
      <c r="P79" s="137">
        <v>22.0</v>
      </c>
      <c r="Q79" s="137">
        <v>62.0</v>
      </c>
      <c r="R79" s="137">
        <v>54.0</v>
      </c>
      <c r="S79" s="137">
        <v>130.0</v>
      </c>
      <c r="T79" s="137">
        <v>64.0</v>
      </c>
      <c r="U79" s="137">
        <v>152.0</v>
      </c>
      <c r="V79" s="137">
        <v>116.0</v>
      </c>
      <c r="W79" s="137">
        <v>374.0</v>
      </c>
      <c r="X79" s="137">
        <v>224.0</v>
      </c>
      <c r="Y79" s="137">
        <v>738.0</v>
      </c>
      <c r="Z79" s="137">
        <v>458.0</v>
      </c>
      <c r="AA79" s="134">
        <v>1042.0</v>
      </c>
      <c r="AB79" s="137">
        <v>726.0</v>
      </c>
      <c r="AC79" s="134">
        <v>1396.0</v>
      </c>
      <c r="AD79" s="137">
        <v>894.0</v>
      </c>
      <c r="AE79" s="134">
        <v>1500.0</v>
      </c>
      <c r="AF79" s="134">
        <v>1068.0</v>
      </c>
      <c r="AG79" s="134">
        <v>1904.0</v>
      </c>
      <c r="AH79" s="134">
        <v>1040.0</v>
      </c>
      <c r="AI79" s="134">
        <v>1798.0</v>
      </c>
      <c r="AJ79" s="137">
        <v>866.0</v>
      </c>
      <c r="AK79" s="134">
        <v>1248.0</v>
      </c>
      <c r="AL79" s="137">
        <v>794.0</v>
      </c>
      <c r="AM79" s="134">
        <v>1606.0</v>
      </c>
      <c r="AN79" s="134">
        <v>17986.0</v>
      </c>
    </row>
    <row r="80">
      <c r="A80" s="98"/>
      <c r="B80" s="136" t="s">
        <v>200</v>
      </c>
      <c r="C80" s="134">
        <v>11272.0</v>
      </c>
      <c r="D80" s="134">
        <v>3710.0</v>
      </c>
      <c r="E80" s="134">
        <v>7562.0</v>
      </c>
      <c r="F80" s="135">
        <v>0.0</v>
      </c>
      <c r="G80" s="135">
        <v>0.0</v>
      </c>
      <c r="H80" s="135">
        <v>0.0</v>
      </c>
      <c r="I80" s="135">
        <v>0.0</v>
      </c>
      <c r="J80" s="135">
        <v>0.0</v>
      </c>
      <c r="K80" s="135">
        <v>0.0</v>
      </c>
      <c r="L80" s="137">
        <v>8.0</v>
      </c>
      <c r="M80" s="137">
        <v>28.0</v>
      </c>
      <c r="N80" s="137">
        <v>18.0</v>
      </c>
      <c r="O80" s="137">
        <v>26.0</v>
      </c>
      <c r="P80" s="137">
        <v>26.0</v>
      </c>
      <c r="Q80" s="137">
        <v>82.0</v>
      </c>
      <c r="R80" s="137">
        <v>46.0</v>
      </c>
      <c r="S80" s="137">
        <v>148.0</v>
      </c>
      <c r="T80" s="137">
        <v>94.0</v>
      </c>
      <c r="U80" s="137">
        <v>264.0</v>
      </c>
      <c r="V80" s="137">
        <v>142.0</v>
      </c>
      <c r="W80" s="137">
        <v>320.0</v>
      </c>
      <c r="X80" s="137">
        <v>224.0</v>
      </c>
      <c r="Y80" s="137">
        <v>684.0</v>
      </c>
      <c r="Z80" s="137">
        <v>328.0</v>
      </c>
      <c r="AA80" s="137">
        <v>914.0</v>
      </c>
      <c r="AB80" s="137">
        <v>538.0</v>
      </c>
      <c r="AC80" s="134">
        <v>1272.0</v>
      </c>
      <c r="AD80" s="137">
        <v>664.0</v>
      </c>
      <c r="AE80" s="134">
        <v>1048.0</v>
      </c>
      <c r="AF80" s="137">
        <v>574.0</v>
      </c>
      <c r="AG80" s="137">
        <v>960.0</v>
      </c>
      <c r="AH80" s="137">
        <v>454.0</v>
      </c>
      <c r="AI80" s="137">
        <v>752.0</v>
      </c>
      <c r="AJ80" s="137">
        <v>304.0</v>
      </c>
      <c r="AK80" s="137">
        <v>602.0</v>
      </c>
      <c r="AL80" s="137">
        <v>290.0</v>
      </c>
      <c r="AM80" s="137">
        <v>462.0</v>
      </c>
      <c r="AN80" s="134">
        <v>11090.0</v>
      </c>
    </row>
    <row r="81">
      <c r="A81" s="104"/>
      <c r="B81" s="136" t="s">
        <v>201</v>
      </c>
      <c r="C81" s="137">
        <v>146.0</v>
      </c>
      <c r="D81" s="137">
        <v>62.0</v>
      </c>
      <c r="E81" s="137">
        <v>84.0</v>
      </c>
      <c r="F81" s="135">
        <v>0.0</v>
      </c>
      <c r="G81" s="135">
        <v>0.0</v>
      </c>
      <c r="H81" s="135">
        <v>0.0</v>
      </c>
      <c r="I81" s="135">
        <v>0.0</v>
      </c>
      <c r="J81" s="135">
        <v>0.0</v>
      </c>
      <c r="K81" s="135">
        <v>0.0</v>
      </c>
      <c r="L81" s="137">
        <v>0.0</v>
      </c>
      <c r="M81" s="137">
        <v>0.0</v>
      </c>
      <c r="N81" s="137">
        <v>0.0</v>
      </c>
      <c r="O81" s="137">
        <v>0.0</v>
      </c>
      <c r="P81" s="137">
        <v>0.0</v>
      </c>
      <c r="Q81" s="137">
        <v>0.0</v>
      </c>
      <c r="R81" s="137">
        <v>0.0</v>
      </c>
      <c r="S81" s="137">
        <v>6.0</v>
      </c>
      <c r="T81" s="137">
        <v>8.0</v>
      </c>
      <c r="U81" s="137">
        <v>0.0</v>
      </c>
      <c r="V81" s="137">
        <v>0.0</v>
      </c>
      <c r="W81" s="137">
        <v>2.0</v>
      </c>
      <c r="X81" s="137">
        <v>0.0</v>
      </c>
      <c r="Y81" s="137">
        <v>4.0</v>
      </c>
      <c r="Z81" s="137">
        <v>12.0</v>
      </c>
      <c r="AA81" s="137">
        <v>14.0</v>
      </c>
      <c r="AB81" s="137">
        <v>2.0</v>
      </c>
      <c r="AC81" s="137">
        <v>2.0</v>
      </c>
      <c r="AD81" s="137">
        <v>4.0</v>
      </c>
      <c r="AE81" s="137">
        <v>10.0</v>
      </c>
      <c r="AF81" s="137">
        <v>6.0</v>
      </c>
      <c r="AG81" s="137">
        <v>10.0</v>
      </c>
      <c r="AH81" s="137">
        <v>12.0</v>
      </c>
      <c r="AI81" s="137">
        <v>22.0</v>
      </c>
      <c r="AJ81" s="137">
        <v>2.0</v>
      </c>
      <c r="AK81" s="137">
        <v>4.0</v>
      </c>
      <c r="AL81" s="137">
        <v>16.0</v>
      </c>
      <c r="AM81" s="137">
        <v>10.0</v>
      </c>
      <c r="AN81" s="137">
        <v>146.0</v>
      </c>
    </row>
    <row r="82">
      <c r="A82" s="132" t="s">
        <v>202</v>
      </c>
      <c r="B82" s="136" t="s">
        <v>198</v>
      </c>
      <c r="C82" s="137">
        <v>976.0</v>
      </c>
      <c r="D82" s="137">
        <v>472.0</v>
      </c>
      <c r="E82" s="137">
        <v>504.0</v>
      </c>
      <c r="F82" s="137">
        <v>4.0</v>
      </c>
      <c r="G82" s="137">
        <v>4.0</v>
      </c>
      <c r="H82" s="137">
        <v>2.0</v>
      </c>
      <c r="I82" s="137">
        <v>10.0</v>
      </c>
      <c r="J82" s="137">
        <v>2.0</v>
      </c>
      <c r="K82" s="137">
        <v>12.0</v>
      </c>
      <c r="L82" s="137">
        <v>14.0</v>
      </c>
      <c r="M82" s="137">
        <v>16.0</v>
      </c>
      <c r="N82" s="137">
        <v>56.0</v>
      </c>
      <c r="O82" s="137">
        <v>28.0</v>
      </c>
      <c r="P82" s="137">
        <v>74.0</v>
      </c>
      <c r="Q82" s="137">
        <v>120.0</v>
      </c>
      <c r="R82" s="137">
        <v>52.0</v>
      </c>
      <c r="S82" s="137">
        <v>78.0</v>
      </c>
      <c r="T82" s="137">
        <v>48.0</v>
      </c>
      <c r="U82" s="137">
        <v>46.0</v>
      </c>
      <c r="V82" s="137">
        <v>50.0</v>
      </c>
      <c r="W82" s="137">
        <v>26.0</v>
      </c>
      <c r="X82" s="137">
        <v>34.0</v>
      </c>
      <c r="Y82" s="137">
        <v>24.0</v>
      </c>
      <c r="Z82" s="137">
        <v>26.0</v>
      </c>
      <c r="AA82" s="137">
        <v>14.0</v>
      </c>
      <c r="AB82" s="137">
        <v>22.0</v>
      </c>
      <c r="AC82" s="137">
        <v>38.0</v>
      </c>
      <c r="AD82" s="137">
        <v>60.0</v>
      </c>
      <c r="AE82" s="137">
        <v>26.0</v>
      </c>
      <c r="AF82" s="137">
        <v>0.0</v>
      </c>
      <c r="AG82" s="137">
        <v>14.0</v>
      </c>
      <c r="AH82" s="137">
        <v>8.0</v>
      </c>
      <c r="AI82" s="137">
        <v>38.0</v>
      </c>
      <c r="AJ82" s="137">
        <v>14.0</v>
      </c>
      <c r="AK82" s="137">
        <v>4.0</v>
      </c>
      <c r="AL82" s="137">
        <v>6.0</v>
      </c>
      <c r="AM82" s="137">
        <v>6.0</v>
      </c>
      <c r="AN82" s="137">
        <v>882.0</v>
      </c>
    </row>
    <row r="83">
      <c r="A83" s="104"/>
      <c r="B83" s="136" t="s">
        <v>199</v>
      </c>
      <c r="C83" s="137">
        <v>442.0</v>
      </c>
      <c r="D83" s="137">
        <v>230.0</v>
      </c>
      <c r="E83" s="137">
        <v>212.0</v>
      </c>
      <c r="F83" s="137">
        <v>2.0</v>
      </c>
      <c r="G83" s="137">
        <v>22.0</v>
      </c>
      <c r="H83" s="137">
        <v>2.0</v>
      </c>
      <c r="I83" s="137">
        <v>6.0</v>
      </c>
      <c r="J83" s="137">
        <v>6.0</v>
      </c>
      <c r="K83" s="137">
        <v>4.0</v>
      </c>
      <c r="L83" s="137">
        <v>2.0</v>
      </c>
      <c r="M83" s="137">
        <v>6.0</v>
      </c>
      <c r="N83" s="137">
        <v>22.0</v>
      </c>
      <c r="O83" s="137">
        <v>6.0</v>
      </c>
      <c r="P83" s="137">
        <v>28.0</v>
      </c>
      <c r="Q83" s="137">
        <v>44.0</v>
      </c>
      <c r="R83" s="137">
        <v>18.0</v>
      </c>
      <c r="S83" s="137">
        <v>20.0</v>
      </c>
      <c r="T83" s="137">
        <v>22.0</v>
      </c>
      <c r="U83" s="137">
        <v>24.0</v>
      </c>
      <c r="V83" s="137">
        <v>16.0</v>
      </c>
      <c r="W83" s="137">
        <v>14.0</v>
      </c>
      <c r="X83" s="137">
        <v>18.0</v>
      </c>
      <c r="Y83" s="137">
        <v>28.0</v>
      </c>
      <c r="Z83" s="137">
        <v>34.0</v>
      </c>
      <c r="AA83" s="137">
        <v>4.0</v>
      </c>
      <c r="AB83" s="137">
        <v>10.0</v>
      </c>
      <c r="AC83" s="137">
        <v>6.0</v>
      </c>
      <c r="AD83" s="137">
        <v>22.0</v>
      </c>
      <c r="AE83" s="137">
        <v>6.0</v>
      </c>
      <c r="AF83" s="137">
        <v>2.0</v>
      </c>
      <c r="AG83" s="137">
        <v>2.0</v>
      </c>
      <c r="AH83" s="137">
        <v>18.0</v>
      </c>
      <c r="AI83" s="137">
        <v>18.0</v>
      </c>
      <c r="AJ83" s="137">
        <v>2.0</v>
      </c>
      <c r="AK83" s="137">
        <v>0.0</v>
      </c>
      <c r="AL83" s="137">
        <v>6.0</v>
      </c>
      <c r="AM83" s="137">
        <v>2.0</v>
      </c>
      <c r="AN83" s="137">
        <v>406.0</v>
      </c>
    </row>
    <row r="84">
      <c r="A84" s="132" t="s">
        <v>203</v>
      </c>
      <c r="B84" s="136" t="s">
        <v>198</v>
      </c>
      <c r="C84" s="137">
        <v>76.0</v>
      </c>
      <c r="D84" s="137">
        <v>26.0</v>
      </c>
      <c r="E84" s="137">
        <v>50.0</v>
      </c>
      <c r="F84" s="135">
        <v>0.0</v>
      </c>
      <c r="G84" s="135">
        <v>0.0</v>
      </c>
      <c r="H84" s="135">
        <v>0.0</v>
      </c>
      <c r="I84" s="135">
        <v>0.0</v>
      </c>
      <c r="J84" s="135">
        <v>0.0</v>
      </c>
      <c r="K84" s="135">
        <v>0.0</v>
      </c>
      <c r="L84" s="135">
        <v>0.0</v>
      </c>
      <c r="M84" s="135">
        <v>0.0</v>
      </c>
      <c r="N84" s="135">
        <v>0.0</v>
      </c>
      <c r="O84" s="135">
        <v>0.0</v>
      </c>
      <c r="P84" s="135">
        <v>0.0</v>
      </c>
      <c r="Q84" s="135">
        <v>0.0</v>
      </c>
      <c r="R84" s="135">
        <v>0.0</v>
      </c>
      <c r="S84" s="135">
        <v>0.0</v>
      </c>
      <c r="T84" s="135">
        <v>0.0</v>
      </c>
      <c r="U84" s="135">
        <v>0.0</v>
      </c>
      <c r="V84" s="135">
        <v>0.0</v>
      </c>
      <c r="W84" s="135">
        <v>0.0</v>
      </c>
      <c r="X84" s="135">
        <v>0.0</v>
      </c>
      <c r="Y84" s="135">
        <v>0.0</v>
      </c>
      <c r="Z84" s="135">
        <v>0.0</v>
      </c>
      <c r="AA84" s="135">
        <v>0.0</v>
      </c>
      <c r="AB84" s="135">
        <v>0.0</v>
      </c>
      <c r="AC84" s="135">
        <v>0.0</v>
      </c>
      <c r="AD84" s="135">
        <v>0.0</v>
      </c>
      <c r="AE84" s="135">
        <v>0.0</v>
      </c>
      <c r="AF84" s="137">
        <v>6.0</v>
      </c>
      <c r="AG84" s="137">
        <v>10.0</v>
      </c>
      <c r="AH84" s="137">
        <v>2.0</v>
      </c>
      <c r="AI84" s="137">
        <v>12.0</v>
      </c>
      <c r="AJ84" s="137">
        <v>12.0</v>
      </c>
      <c r="AK84" s="137">
        <v>16.0</v>
      </c>
      <c r="AL84" s="137">
        <v>6.0</v>
      </c>
      <c r="AM84" s="137">
        <v>12.0</v>
      </c>
      <c r="AN84" s="137">
        <v>78.0</v>
      </c>
    </row>
    <row r="85">
      <c r="A85" s="104"/>
      <c r="B85" s="136" t="s">
        <v>199</v>
      </c>
      <c r="C85" s="134">
        <v>1618.0</v>
      </c>
      <c r="D85" s="137">
        <v>524.0</v>
      </c>
      <c r="E85" s="134">
        <v>1094.0</v>
      </c>
      <c r="F85" s="135">
        <v>0.0</v>
      </c>
      <c r="G85" s="135">
        <v>0.0</v>
      </c>
      <c r="H85" s="135">
        <v>0.0</v>
      </c>
      <c r="I85" s="135">
        <v>0.0</v>
      </c>
      <c r="J85" s="135">
        <v>0.0</v>
      </c>
      <c r="K85" s="135">
        <v>0.0</v>
      </c>
      <c r="L85" s="135">
        <v>0.0</v>
      </c>
      <c r="M85" s="135">
        <v>0.0</v>
      </c>
      <c r="N85" s="135">
        <v>0.0</v>
      </c>
      <c r="O85" s="135">
        <v>0.0</v>
      </c>
      <c r="P85" s="135">
        <v>0.0</v>
      </c>
      <c r="Q85" s="135">
        <v>0.0</v>
      </c>
      <c r="R85" s="135">
        <v>0.0</v>
      </c>
      <c r="S85" s="135">
        <v>0.0</v>
      </c>
      <c r="T85" s="135">
        <v>0.0</v>
      </c>
      <c r="U85" s="135">
        <v>0.0</v>
      </c>
      <c r="V85" s="135">
        <v>0.0</v>
      </c>
      <c r="W85" s="135">
        <v>0.0</v>
      </c>
      <c r="X85" s="135">
        <v>0.0</v>
      </c>
      <c r="Y85" s="135">
        <v>0.0</v>
      </c>
      <c r="Z85" s="135">
        <v>0.0</v>
      </c>
      <c r="AA85" s="135">
        <v>0.0</v>
      </c>
      <c r="AB85" s="135">
        <v>0.0</v>
      </c>
      <c r="AC85" s="135">
        <v>0.0</v>
      </c>
      <c r="AD85" s="135">
        <v>0.0</v>
      </c>
      <c r="AE85" s="135">
        <v>0.0</v>
      </c>
      <c r="AF85" s="137">
        <v>104.0</v>
      </c>
      <c r="AG85" s="137">
        <v>258.0</v>
      </c>
      <c r="AH85" s="137">
        <v>156.0</v>
      </c>
      <c r="AI85" s="137">
        <v>294.0</v>
      </c>
      <c r="AJ85" s="137">
        <v>142.0</v>
      </c>
      <c r="AK85" s="137">
        <v>278.0</v>
      </c>
      <c r="AL85" s="137">
        <v>122.0</v>
      </c>
      <c r="AM85" s="137">
        <v>264.0</v>
      </c>
      <c r="AN85" s="134">
        <v>1370.0</v>
      </c>
    </row>
    <row r="86">
      <c r="A86" s="132" t="s">
        <v>204</v>
      </c>
      <c r="B86" s="136" t="s">
        <v>198</v>
      </c>
      <c r="C86" s="137">
        <v>30.0</v>
      </c>
      <c r="D86" s="137">
        <v>12.0</v>
      </c>
      <c r="E86" s="137">
        <v>18.0</v>
      </c>
      <c r="F86" s="135">
        <v>0.0</v>
      </c>
      <c r="G86" s="135">
        <v>0.0</v>
      </c>
      <c r="H86" s="135">
        <v>0.0</v>
      </c>
      <c r="I86" s="135">
        <v>0.0</v>
      </c>
      <c r="J86" s="135">
        <v>0.0</v>
      </c>
      <c r="K86" s="135">
        <v>0.0</v>
      </c>
      <c r="L86" s="135">
        <v>0.0</v>
      </c>
      <c r="M86" s="135">
        <v>0.0</v>
      </c>
      <c r="N86" s="135">
        <v>0.0</v>
      </c>
      <c r="O86" s="135">
        <v>0.0</v>
      </c>
      <c r="P86" s="135">
        <v>0.0</v>
      </c>
      <c r="Q86" s="135">
        <v>0.0</v>
      </c>
      <c r="R86" s="135">
        <v>0.0</v>
      </c>
      <c r="S86" s="135">
        <v>0.0</v>
      </c>
      <c r="T86" s="135">
        <v>0.0</v>
      </c>
      <c r="U86" s="135">
        <v>0.0</v>
      </c>
      <c r="V86" s="135">
        <v>0.0</v>
      </c>
      <c r="W86" s="135">
        <v>0.0</v>
      </c>
      <c r="X86" s="135">
        <v>0.0</v>
      </c>
      <c r="Y86" s="135">
        <v>0.0</v>
      </c>
      <c r="Z86" s="135">
        <v>0.0</v>
      </c>
      <c r="AA86" s="135">
        <v>0.0</v>
      </c>
      <c r="AB86" s="135">
        <v>0.0</v>
      </c>
      <c r="AC86" s="135">
        <v>0.0</v>
      </c>
      <c r="AD86" s="135">
        <v>0.0</v>
      </c>
      <c r="AE86" s="135">
        <v>0.0</v>
      </c>
      <c r="AF86" s="137">
        <v>2.0</v>
      </c>
      <c r="AG86" s="137">
        <v>2.0</v>
      </c>
      <c r="AH86" s="137">
        <v>0.0</v>
      </c>
      <c r="AI86" s="137">
        <v>0.0</v>
      </c>
      <c r="AJ86" s="137">
        <v>4.0</v>
      </c>
      <c r="AK86" s="137">
        <v>2.0</v>
      </c>
      <c r="AL86" s="137">
        <v>6.0</v>
      </c>
      <c r="AM86" s="137">
        <v>14.0</v>
      </c>
      <c r="AN86" s="137">
        <v>30.0</v>
      </c>
    </row>
    <row r="87">
      <c r="A87" s="104"/>
      <c r="B87" s="136" t="s">
        <v>199</v>
      </c>
      <c r="C87" s="137">
        <v>936.0</v>
      </c>
      <c r="D87" s="137">
        <v>328.0</v>
      </c>
      <c r="E87" s="137">
        <v>608.0</v>
      </c>
      <c r="F87" s="135">
        <v>0.0</v>
      </c>
      <c r="G87" s="135">
        <v>0.0</v>
      </c>
      <c r="H87" s="135">
        <v>0.0</v>
      </c>
      <c r="I87" s="135">
        <v>0.0</v>
      </c>
      <c r="J87" s="135">
        <v>0.0</v>
      </c>
      <c r="K87" s="135">
        <v>0.0</v>
      </c>
      <c r="L87" s="135">
        <v>0.0</v>
      </c>
      <c r="M87" s="135">
        <v>0.0</v>
      </c>
      <c r="N87" s="135">
        <v>0.0</v>
      </c>
      <c r="O87" s="135">
        <v>0.0</v>
      </c>
      <c r="P87" s="135">
        <v>0.0</v>
      </c>
      <c r="Q87" s="135">
        <v>0.0</v>
      </c>
      <c r="R87" s="135">
        <v>0.0</v>
      </c>
      <c r="S87" s="135">
        <v>0.0</v>
      </c>
      <c r="T87" s="135">
        <v>0.0</v>
      </c>
      <c r="U87" s="135">
        <v>0.0</v>
      </c>
      <c r="V87" s="135">
        <v>0.0</v>
      </c>
      <c r="W87" s="135">
        <v>0.0</v>
      </c>
      <c r="X87" s="135">
        <v>0.0</v>
      </c>
      <c r="Y87" s="135">
        <v>0.0</v>
      </c>
      <c r="Z87" s="135">
        <v>0.0</v>
      </c>
      <c r="AA87" s="135">
        <v>0.0</v>
      </c>
      <c r="AB87" s="135">
        <v>0.0</v>
      </c>
      <c r="AC87" s="135">
        <v>0.0</v>
      </c>
      <c r="AD87" s="135">
        <v>0.0</v>
      </c>
      <c r="AE87" s="135">
        <v>0.0</v>
      </c>
      <c r="AF87" s="137">
        <v>38.0</v>
      </c>
      <c r="AG87" s="137">
        <v>56.0</v>
      </c>
      <c r="AH87" s="137">
        <v>54.0</v>
      </c>
      <c r="AI87" s="137">
        <v>70.0</v>
      </c>
      <c r="AJ87" s="137">
        <v>46.0</v>
      </c>
      <c r="AK87" s="137">
        <v>108.0</v>
      </c>
      <c r="AL87" s="137">
        <v>190.0</v>
      </c>
      <c r="AM87" s="137">
        <v>374.0</v>
      </c>
      <c r="AN87" s="137">
        <v>814.0</v>
      </c>
    </row>
    <row r="88">
      <c r="A88" s="132" t="s">
        <v>205</v>
      </c>
      <c r="B88" s="136" t="s">
        <v>198</v>
      </c>
      <c r="C88" s="137">
        <v>8.0</v>
      </c>
      <c r="D88" s="137">
        <v>8.0</v>
      </c>
      <c r="E88" s="137">
        <v>0.0</v>
      </c>
      <c r="F88" s="137">
        <v>0.0</v>
      </c>
      <c r="G88" s="137">
        <v>0.0</v>
      </c>
      <c r="H88" s="137">
        <v>0.0</v>
      </c>
      <c r="I88" s="137">
        <v>0.0</v>
      </c>
      <c r="J88" s="137">
        <v>0.0</v>
      </c>
      <c r="K88" s="137">
        <v>0.0</v>
      </c>
      <c r="L88" s="137">
        <v>0.0</v>
      </c>
      <c r="M88" s="137">
        <v>0.0</v>
      </c>
      <c r="N88" s="137">
        <v>2.0</v>
      </c>
      <c r="O88" s="137">
        <v>0.0</v>
      </c>
      <c r="P88" s="137">
        <v>0.0</v>
      </c>
      <c r="Q88" s="137">
        <v>0.0</v>
      </c>
      <c r="R88" s="137">
        <v>4.0</v>
      </c>
      <c r="S88" s="137">
        <v>0.0</v>
      </c>
      <c r="T88" s="137">
        <v>0.0</v>
      </c>
      <c r="U88" s="137">
        <v>0.0</v>
      </c>
      <c r="V88" s="137">
        <v>0.0</v>
      </c>
      <c r="W88" s="137">
        <v>0.0</v>
      </c>
      <c r="X88" s="137">
        <v>0.0</v>
      </c>
      <c r="Y88" s="137">
        <v>0.0</v>
      </c>
      <c r="Z88" s="137">
        <v>2.0</v>
      </c>
      <c r="AA88" s="137">
        <v>0.0</v>
      </c>
      <c r="AB88" s="137">
        <v>0.0</v>
      </c>
      <c r="AC88" s="137">
        <v>0.0</v>
      </c>
      <c r="AD88" s="137">
        <v>0.0</v>
      </c>
      <c r="AE88" s="137">
        <v>0.0</v>
      </c>
      <c r="AF88" s="137">
        <v>0.0</v>
      </c>
      <c r="AG88" s="137">
        <v>0.0</v>
      </c>
      <c r="AH88" s="137">
        <v>0.0</v>
      </c>
      <c r="AI88" s="137">
        <v>0.0</v>
      </c>
      <c r="AJ88" s="137">
        <v>0.0</v>
      </c>
      <c r="AK88" s="137">
        <v>0.0</v>
      </c>
      <c r="AL88" s="137">
        <v>0.0</v>
      </c>
      <c r="AM88" s="137">
        <v>0.0</v>
      </c>
      <c r="AN88" s="137">
        <v>8.0</v>
      </c>
    </row>
    <row r="89">
      <c r="A89" s="98"/>
      <c r="B89" s="136" t="s">
        <v>199</v>
      </c>
      <c r="C89" s="137">
        <v>0.0</v>
      </c>
      <c r="D89" s="137">
        <v>0.0</v>
      </c>
      <c r="E89" s="137">
        <v>0.0</v>
      </c>
      <c r="F89" s="137">
        <v>0.0</v>
      </c>
      <c r="G89" s="137">
        <v>0.0</v>
      </c>
      <c r="H89" s="137">
        <v>0.0</v>
      </c>
      <c r="I89" s="137">
        <v>0.0</v>
      </c>
      <c r="J89" s="137">
        <v>0.0</v>
      </c>
      <c r="K89" s="137">
        <v>0.0</v>
      </c>
      <c r="L89" s="137">
        <v>0.0</v>
      </c>
      <c r="M89" s="137">
        <v>0.0</v>
      </c>
      <c r="N89" s="137">
        <v>0.0</v>
      </c>
      <c r="O89" s="137">
        <v>0.0</v>
      </c>
      <c r="P89" s="137">
        <v>0.0</v>
      </c>
      <c r="Q89" s="137">
        <v>0.0</v>
      </c>
      <c r="R89" s="137">
        <v>0.0</v>
      </c>
      <c r="S89" s="137">
        <v>0.0</v>
      </c>
      <c r="T89" s="137">
        <v>0.0</v>
      </c>
      <c r="U89" s="137">
        <v>0.0</v>
      </c>
      <c r="V89" s="137">
        <v>0.0</v>
      </c>
      <c r="W89" s="137">
        <v>0.0</v>
      </c>
      <c r="X89" s="137">
        <v>0.0</v>
      </c>
      <c r="Y89" s="137">
        <v>0.0</v>
      </c>
      <c r="Z89" s="137">
        <v>0.0</v>
      </c>
      <c r="AA89" s="137">
        <v>0.0</v>
      </c>
      <c r="AB89" s="137">
        <v>0.0</v>
      </c>
      <c r="AC89" s="137">
        <v>0.0</v>
      </c>
      <c r="AD89" s="137">
        <v>0.0</v>
      </c>
      <c r="AE89" s="137">
        <v>0.0</v>
      </c>
      <c r="AF89" s="137">
        <v>0.0</v>
      </c>
      <c r="AG89" s="137">
        <v>0.0</v>
      </c>
      <c r="AH89" s="137">
        <v>0.0</v>
      </c>
      <c r="AI89" s="137">
        <v>0.0</v>
      </c>
      <c r="AJ89" s="137">
        <v>0.0</v>
      </c>
      <c r="AK89" s="137">
        <v>0.0</v>
      </c>
      <c r="AL89" s="137">
        <v>0.0</v>
      </c>
      <c r="AM89" s="137">
        <v>0.0</v>
      </c>
      <c r="AN89" s="137">
        <v>0.0</v>
      </c>
    </row>
    <row r="90">
      <c r="A90" s="104"/>
      <c r="B90" s="136" t="s">
        <v>206</v>
      </c>
      <c r="C90" s="137">
        <v>428.0</v>
      </c>
      <c r="D90" s="137">
        <v>130.0</v>
      </c>
      <c r="E90" s="137">
        <v>298.0</v>
      </c>
      <c r="F90" s="137">
        <v>0.0</v>
      </c>
      <c r="G90" s="137">
        <v>0.0</v>
      </c>
      <c r="H90" s="137">
        <v>0.0</v>
      </c>
      <c r="I90" s="137">
        <v>0.0</v>
      </c>
      <c r="J90" s="137">
        <v>0.0</v>
      </c>
      <c r="K90" s="137">
        <v>4.0</v>
      </c>
      <c r="L90" s="137">
        <v>0.0</v>
      </c>
      <c r="M90" s="137">
        <v>26.0</v>
      </c>
      <c r="N90" s="137">
        <v>44.0</v>
      </c>
      <c r="O90" s="137">
        <v>56.0</v>
      </c>
      <c r="P90" s="137">
        <v>10.0</v>
      </c>
      <c r="Q90" s="137">
        <v>38.0</v>
      </c>
      <c r="R90" s="137">
        <v>6.0</v>
      </c>
      <c r="S90" s="137">
        <v>28.0</v>
      </c>
      <c r="T90" s="137">
        <v>12.0</v>
      </c>
      <c r="U90" s="137">
        <v>8.0</v>
      </c>
      <c r="V90" s="137">
        <v>2.0</v>
      </c>
      <c r="W90" s="137">
        <v>14.0</v>
      </c>
      <c r="X90" s="137">
        <v>12.0</v>
      </c>
      <c r="Y90" s="137">
        <v>50.0</v>
      </c>
      <c r="Z90" s="137">
        <v>4.0</v>
      </c>
      <c r="AA90" s="137">
        <v>10.0</v>
      </c>
      <c r="AB90" s="137">
        <v>8.0</v>
      </c>
      <c r="AC90" s="137">
        <v>12.0</v>
      </c>
      <c r="AD90" s="137">
        <v>4.0</v>
      </c>
      <c r="AE90" s="137">
        <v>14.0</v>
      </c>
      <c r="AF90" s="137">
        <v>8.0</v>
      </c>
      <c r="AG90" s="137">
        <v>10.0</v>
      </c>
      <c r="AH90" s="137">
        <v>12.0</v>
      </c>
      <c r="AI90" s="137">
        <v>6.0</v>
      </c>
      <c r="AJ90" s="137">
        <v>2.0</v>
      </c>
      <c r="AK90" s="137">
        <v>10.0</v>
      </c>
      <c r="AL90" s="137">
        <v>6.0</v>
      </c>
      <c r="AM90" s="137">
        <v>12.0</v>
      </c>
      <c r="AN90" s="137">
        <v>412.0</v>
      </c>
    </row>
    <row r="91">
      <c r="A91" s="132" t="s">
        <v>207</v>
      </c>
      <c r="B91" s="136" t="s">
        <v>198</v>
      </c>
      <c r="C91" s="134">
        <v>34498.0</v>
      </c>
      <c r="D91" s="134">
        <v>10798.0</v>
      </c>
      <c r="E91" s="134">
        <v>23700.0</v>
      </c>
      <c r="F91" s="137">
        <v>70.0</v>
      </c>
      <c r="G91" s="137">
        <v>66.0</v>
      </c>
      <c r="H91" s="137">
        <v>56.0</v>
      </c>
      <c r="I91" s="137">
        <v>22.0</v>
      </c>
      <c r="J91" s="137">
        <v>50.0</v>
      </c>
      <c r="K91" s="137">
        <v>56.0</v>
      </c>
      <c r="L91" s="137">
        <v>66.0</v>
      </c>
      <c r="M91" s="137">
        <v>106.0</v>
      </c>
      <c r="N91" s="137">
        <v>100.0</v>
      </c>
      <c r="O91" s="137">
        <v>212.0</v>
      </c>
      <c r="P91" s="137">
        <v>82.0</v>
      </c>
      <c r="Q91" s="137">
        <v>264.0</v>
      </c>
      <c r="R91" s="137">
        <v>60.0</v>
      </c>
      <c r="S91" s="137">
        <v>834.0</v>
      </c>
      <c r="T91" s="137">
        <v>112.0</v>
      </c>
      <c r="U91" s="137">
        <v>502.0</v>
      </c>
      <c r="V91" s="137">
        <v>142.0</v>
      </c>
      <c r="W91" s="137">
        <v>622.0</v>
      </c>
      <c r="X91" s="137">
        <v>484.0</v>
      </c>
      <c r="Y91" s="134">
        <v>1586.0</v>
      </c>
      <c r="Z91" s="137">
        <v>786.0</v>
      </c>
      <c r="AA91" s="134">
        <v>2178.0</v>
      </c>
      <c r="AB91" s="134">
        <v>1294.0</v>
      </c>
      <c r="AC91" s="134">
        <v>3060.0</v>
      </c>
      <c r="AD91" s="134">
        <v>1832.0</v>
      </c>
      <c r="AE91" s="134">
        <v>3240.0</v>
      </c>
      <c r="AF91" s="134">
        <v>1140.0</v>
      </c>
      <c r="AG91" s="134">
        <v>2900.0</v>
      </c>
      <c r="AH91" s="134">
        <v>1714.0</v>
      </c>
      <c r="AI91" s="134">
        <v>2694.0</v>
      </c>
      <c r="AJ91" s="134">
        <v>1122.0</v>
      </c>
      <c r="AK91" s="134">
        <v>2388.0</v>
      </c>
      <c r="AL91" s="134">
        <v>1688.0</v>
      </c>
      <c r="AM91" s="134">
        <v>2970.0</v>
      </c>
      <c r="AN91" s="134">
        <v>31962.0</v>
      </c>
    </row>
    <row r="92">
      <c r="A92" s="98"/>
      <c r="B92" s="136" t="s">
        <v>199</v>
      </c>
      <c r="C92" s="134">
        <v>10550.0</v>
      </c>
      <c r="D92" s="134">
        <v>4442.0</v>
      </c>
      <c r="E92" s="134">
        <v>6108.0</v>
      </c>
      <c r="F92" s="137">
        <v>10.0</v>
      </c>
      <c r="G92" s="137">
        <v>6.0</v>
      </c>
      <c r="H92" s="137">
        <v>4.0</v>
      </c>
      <c r="I92" s="137">
        <v>2.0</v>
      </c>
      <c r="J92" s="137">
        <v>0.0</v>
      </c>
      <c r="K92" s="137">
        <v>0.0</v>
      </c>
      <c r="L92" s="137">
        <v>2.0</v>
      </c>
      <c r="M92" s="137">
        <v>4.0</v>
      </c>
      <c r="N92" s="137">
        <v>24.0</v>
      </c>
      <c r="O92" s="137">
        <v>0.0</v>
      </c>
      <c r="P92" s="137">
        <v>6.0</v>
      </c>
      <c r="Q92" s="137">
        <v>6.0</v>
      </c>
      <c r="R92" s="137">
        <v>22.0</v>
      </c>
      <c r="S92" s="137">
        <v>508.0</v>
      </c>
      <c r="T92" s="137">
        <v>8.0</v>
      </c>
      <c r="U92" s="137">
        <v>92.0</v>
      </c>
      <c r="V92" s="137">
        <v>4.0</v>
      </c>
      <c r="W92" s="137">
        <v>68.0</v>
      </c>
      <c r="X92" s="137">
        <v>376.0</v>
      </c>
      <c r="Y92" s="137">
        <v>740.0</v>
      </c>
      <c r="Z92" s="137">
        <v>522.0</v>
      </c>
      <c r="AA92" s="137">
        <v>978.0</v>
      </c>
      <c r="AB92" s="137">
        <v>750.0</v>
      </c>
      <c r="AC92" s="134">
        <v>1048.0</v>
      </c>
      <c r="AD92" s="134">
        <v>1014.0</v>
      </c>
      <c r="AE92" s="137">
        <v>818.0</v>
      </c>
      <c r="AF92" s="137">
        <v>146.0</v>
      </c>
      <c r="AG92" s="137">
        <v>538.0</v>
      </c>
      <c r="AH92" s="137">
        <v>614.0</v>
      </c>
      <c r="AI92" s="137">
        <v>428.0</v>
      </c>
      <c r="AJ92" s="137">
        <v>342.0</v>
      </c>
      <c r="AK92" s="137">
        <v>618.0</v>
      </c>
      <c r="AL92" s="137">
        <v>598.0</v>
      </c>
      <c r="AM92" s="137">
        <v>254.0</v>
      </c>
      <c r="AN92" s="134">
        <v>10344.0</v>
      </c>
    </row>
    <row r="93">
      <c r="A93" s="98"/>
      <c r="B93" s="136" t="s">
        <v>206</v>
      </c>
      <c r="C93" s="137">
        <v>294.0</v>
      </c>
      <c r="D93" s="137">
        <v>14.0</v>
      </c>
      <c r="E93" s="137">
        <v>280.0</v>
      </c>
      <c r="F93" s="137">
        <v>0.0</v>
      </c>
      <c r="G93" s="137">
        <v>0.0</v>
      </c>
      <c r="H93" s="137">
        <v>0.0</v>
      </c>
      <c r="I93" s="137">
        <v>0.0</v>
      </c>
      <c r="J93" s="137">
        <v>2.0</v>
      </c>
      <c r="K93" s="137">
        <v>4.0</v>
      </c>
      <c r="L93" s="137">
        <v>4.0</v>
      </c>
      <c r="M93" s="137">
        <v>26.0</v>
      </c>
      <c r="N93" s="137">
        <v>0.0</v>
      </c>
      <c r="O93" s="137">
        <v>38.0</v>
      </c>
      <c r="P93" s="137">
        <v>0.0</v>
      </c>
      <c r="Q93" s="137">
        <v>34.0</v>
      </c>
      <c r="R93" s="137">
        <v>0.0</v>
      </c>
      <c r="S93" s="137">
        <v>30.0</v>
      </c>
      <c r="T93" s="137">
        <v>0.0</v>
      </c>
      <c r="U93" s="137">
        <v>36.0</v>
      </c>
      <c r="V93" s="137">
        <v>0.0</v>
      </c>
      <c r="W93" s="137">
        <v>30.0</v>
      </c>
      <c r="X93" s="137">
        <v>0.0</v>
      </c>
      <c r="Y93" s="137">
        <v>10.0</v>
      </c>
      <c r="Z93" s="137">
        <v>2.0</v>
      </c>
      <c r="AA93" s="137">
        <v>12.0</v>
      </c>
      <c r="AB93" s="137">
        <v>2.0</v>
      </c>
      <c r="AC93" s="137">
        <v>4.0</v>
      </c>
      <c r="AD93" s="137">
        <v>0.0</v>
      </c>
      <c r="AE93" s="137">
        <v>40.0</v>
      </c>
      <c r="AF93" s="137">
        <v>4.0</v>
      </c>
      <c r="AG93" s="137">
        <v>2.0</v>
      </c>
      <c r="AH93" s="137">
        <v>0.0</v>
      </c>
      <c r="AI93" s="137">
        <v>2.0</v>
      </c>
      <c r="AJ93" s="137">
        <v>0.0</v>
      </c>
      <c r="AK93" s="137">
        <v>6.0</v>
      </c>
      <c r="AL93" s="137">
        <v>0.0</v>
      </c>
      <c r="AM93" s="137">
        <v>6.0</v>
      </c>
      <c r="AN93" s="137">
        <v>292.0</v>
      </c>
    </row>
    <row r="94">
      <c r="A94" s="98"/>
      <c r="B94" s="136" t="s">
        <v>200</v>
      </c>
      <c r="C94" s="134">
        <v>3034.0</v>
      </c>
      <c r="D94" s="137">
        <v>732.0</v>
      </c>
      <c r="E94" s="134">
        <v>2302.0</v>
      </c>
      <c r="F94" s="137">
        <v>238.0</v>
      </c>
      <c r="G94" s="137">
        <v>296.0</v>
      </c>
      <c r="H94" s="137">
        <v>88.0</v>
      </c>
      <c r="I94" s="137">
        <v>146.0</v>
      </c>
      <c r="J94" s="137">
        <v>30.0</v>
      </c>
      <c r="K94" s="137">
        <v>34.0</v>
      </c>
      <c r="L94" s="137">
        <v>12.0</v>
      </c>
      <c r="M94" s="137">
        <v>58.0</v>
      </c>
      <c r="N94" s="137">
        <v>12.0</v>
      </c>
      <c r="O94" s="137">
        <v>88.0</v>
      </c>
      <c r="P94" s="137">
        <v>6.0</v>
      </c>
      <c r="Q94" s="137">
        <v>134.0</v>
      </c>
      <c r="R94" s="137">
        <v>12.0</v>
      </c>
      <c r="S94" s="137">
        <v>142.0</v>
      </c>
      <c r="T94" s="137">
        <v>18.0</v>
      </c>
      <c r="U94" s="137">
        <v>138.0</v>
      </c>
      <c r="V94" s="137">
        <v>20.0</v>
      </c>
      <c r="W94" s="137">
        <v>110.0</v>
      </c>
      <c r="X94" s="137">
        <v>20.0</v>
      </c>
      <c r="Y94" s="137">
        <v>156.0</v>
      </c>
      <c r="Z94" s="137">
        <v>22.0</v>
      </c>
      <c r="AA94" s="137">
        <v>178.0</v>
      </c>
      <c r="AB94" s="137">
        <v>38.0</v>
      </c>
      <c r="AC94" s="137">
        <v>196.0</v>
      </c>
      <c r="AD94" s="137">
        <v>42.0</v>
      </c>
      <c r="AE94" s="137">
        <v>176.0</v>
      </c>
      <c r="AF94" s="137">
        <v>36.0</v>
      </c>
      <c r="AG94" s="137">
        <v>148.0</v>
      </c>
      <c r="AH94" s="137">
        <v>54.0</v>
      </c>
      <c r="AI94" s="137">
        <v>130.0</v>
      </c>
      <c r="AJ94" s="137">
        <v>38.0</v>
      </c>
      <c r="AK94" s="137">
        <v>104.0</v>
      </c>
      <c r="AL94" s="137">
        <v>46.0</v>
      </c>
      <c r="AM94" s="137">
        <v>68.0</v>
      </c>
      <c r="AN94" s="134">
        <v>3022.0</v>
      </c>
    </row>
    <row r="95">
      <c r="A95" s="104"/>
      <c r="B95" s="136" t="s">
        <v>201</v>
      </c>
      <c r="C95" s="134">
        <v>8200.0</v>
      </c>
      <c r="D95" s="134">
        <v>3710.0</v>
      </c>
      <c r="E95" s="134">
        <v>4490.0</v>
      </c>
      <c r="F95" s="137">
        <v>24.0</v>
      </c>
      <c r="G95" s="137">
        <v>20.0</v>
      </c>
      <c r="H95" s="137">
        <v>4.0</v>
      </c>
      <c r="I95" s="137">
        <v>4.0</v>
      </c>
      <c r="J95" s="137">
        <v>4.0</v>
      </c>
      <c r="K95" s="137">
        <v>2.0</v>
      </c>
      <c r="L95" s="137">
        <v>0.0</v>
      </c>
      <c r="M95" s="137">
        <v>0.0</v>
      </c>
      <c r="N95" s="137">
        <v>22.0</v>
      </c>
      <c r="O95" s="137">
        <v>0.0</v>
      </c>
      <c r="P95" s="137">
        <v>0.0</v>
      </c>
      <c r="Q95" s="137">
        <v>0.0</v>
      </c>
      <c r="R95" s="137">
        <v>0.0</v>
      </c>
      <c r="S95" s="137">
        <v>490.0</v>
      </c>
      <c r="T95" s="137">
        <v>0.0</v>
      </c>
      <c r="U95" s="137">
        <v>52.0</v>
      </c>
      <c r="V95" s="137">
        <v>2.0</v>
      </c>
      <c r="W95" s="137">
        <v>14.0</v>
      </c>
      <c r="X95" s="137">
        <v>354.0</v>
      </c>
      <c r="Y95" s="137">
        <v>676.0</v>
      </c>
      <c r="Z95" s="137">
        <v>478.0</v>
      </c>
      <c r="AA95" s="137">
        <v>842.0</v>
      </c>
      <c r="AB95" s="137">
        <v>702.0</v>
      </c>
      <c r="AC95" s="137">
        <v>848.0</v>
      </c>
      <c r="AD95" s="137">
        <v>938.0</v>
      </c>
      <c r="AE95" s="137">
        <v>650.0</v>
      </c>
      <c r="AF95" s="137">
        <v>20.0</v>
      </c>
      <c r="AG95" s="137">
        <v>272.0</v>
      </c>
      <c r="AH95" s="137">
        <v>456.0</v>
      </c>
      <c r="AI95" s="137">
        <v>172.0</v>
      </c>
      <c r="AJ95" s="137">
        <v>238.0</v>
      </c>
      <c r="AK95" s="137">
        <v>420.0</v>
      </c>
      <c r="AL95" s="137">
        <v>468.0</v>
      </c>
      <c r="AM95" s="137">
        <v>28.0</v>
      </c>
      <c r="AN95" s="134">
        <v>8008.0</v>
      </c>
    </row>
    <row r="96">
      <c r="A96" s="132" t="s">
        <v>208</v>
      </c>
      <c r="B96" s="136" t="s">
        <v>198</v>
      </c>
      <c r="C96" s="137">
        <v>456.0</v>
      </c>
      <c r="D96" s="137">
        <v>300.0</v>
      </c>
      <c r="E96" s="137">
        <v>156.0</v>
      </c>
      <c r="F96" s="137">
        <v>230.0</v>
      </c>
      <c r="G96" s="137">
        <v>124.0</v>
      </c>
      <c r="H96" s="137">
        <v>50.0</v>
      </c>
      <c r="I96" s="137">
        <v>12.0</v>
      </c>
      <c r="J96" s="137">
        <v>20.0</v>
      </c>
      <c r="K96" s="137">
        <v>12.0</v>
      </c>
      <c r="L96" s="137">
        <v>0.0</v>
      </c>
      <c r="M96" s="137">
        <v>8.0</v>
      </c>
      <c r="N96" s="137">
        <v>0.0</v>
      </c>
      <c r="O96" s="137">
        <v>0.0</v>
      </c>
      <c r="P96" s="135">
        <v>0.0</v>
      </c>
      <c r="Q96" s="135">
        <v>0.0</v>
      </c>
      <c r="R96" s="135">
        <v>0.0</v>
      </c>
      <c r="S96" s="135">
        <v>0.0</v>
      </c>
      <c r="T96" s="135">
        <v>0.0</v>
      </c>
      <c r="U96" s="135">
        <v>0.0</v>
      </c>
      <c r="V96" s="135">
        <v>0.0</v>
      </c>
      <c r="W96" s="135">
        <v>0.0</v>
      </c>
      <c r="X96" s="135">
        <v>0.0</v>
      </c>
      <c r="Y96" s="135">
        <v>0.0</v>
      </c>
      <c r="Z96" s="135">
        <v>0.0</v>
      </c>
      <c r="AA96" s="135">
        <v>0.0</v>
      </c>
      <c r="AB96" s="135">
        <v>0.0</v>
      </c>
      <c r="AC96" s="135">
        <v>0.0</v>
      </c>
      <c r="AD96" s="135">
        <v>0.0</v>
      </c>
      <c r="AE96" s="135">
        <v>0.0</v>
      </c>
      <c r="AF96" s="135">
        <v>0.0</v>
      </c>
      <c r="AG96" s="135">
        <v>0.0</v>
      </c>
      <c r="AH96" s="135">
        <v>0.0</v>
      </c>
      <c r="AI96" s="135">
        <v>0.0</v>
      </c>
      <c r="AJ96" s="135">
        <v>0.0</v>
      </c>
      <c r="AK96" s="135">
        <v>0.0</v>
      </c>
      <c r="AL96" s="135">
        <v>0.0</v>
      </c>
      <c r="AM96" s="135">
        <v>0.0</v>
      </c>
      <c r="AN96" s="137">
        <v>410.0</v>
      </c>
    </row>
    <row r="97">
      <c r="A97" s="98"/>
      <c r="B97" s="136" t="s">
        <v>199</v>
      </c>
      <c r="C97" s="137">
        <v>278.0</v>
      </c>
      <c r="D97" s="137">
        <v>152.0</v>
      </c>
      <c r="E97" s="137">
        <v>126.0</v>
      </c>
      <c r="F97" s="137">
        <v>126.0</v>
      </c>
      <c r="G97" s="137">
        <v>104.0</v>
      </c>
      <c r="H97" s="137">
        <v>14.0</v>
      </c>
      <c r="I97" s="137">
        <v>16.0</v>
      </c>
      <c r="J97" s="137">
        <v>6.0</v>
      </c>
      <c r="K97" s="137">
        <v>4.0</v>
      </c>
      <c r="L97" s="137">
        <v>6.0</v>
      </c>
      <c r="M97" s="137">
        <v>0.0</v>
      </c>
      <c r="N97" s="137">
        <v>0.0</v>
      </c>
      <c r="O97" s="137">
        <v>2.0</v>
      </c>
      <c r="P97" s="135">
        <v>0.0</v>
      </c>
      <c r="Q97" s="135">
        <v>0.0</v>
      </c>
      <c r="R97" s="135">
        <v>0.0</v>
      </c>
      <c r="S97" s="135">
        <v>0.0</v>
      </c>
      <c r="T97" s="135">
        <v>0.0</v>
      </c>
      <c r="U97" s="135">
        <v>0.0</v>
      </c>
      <c r="V97" s="135">
        <v>0.0</v>
      </c>
      <c r="W97" s="135">
        <v>0.0</v>
      </c>
      <c r="X97" s="135">
        <v>0.0</v>
      </c>
      <c r="Y97" s="135">
        <v>0.0</v>
      </c>
      <c r="Z97" s="135">
        <v>0.0</v>
      </c>
      <c r="AA97" s="135">
        <v>0.0</v>
      </c>
      <c r="AB97" s="135">
        <v>0.0</v>
      </c>
      <c r="AC97" s="135">
        <v>0.0</v>
      </c>
      <c r="AD97" s="135">
        <v>0.0</v>
      </c>
      <c r="AE97" s="135">
        <v>0.0</v>
      </c>
      <c r="AF97" s="135">
        <v>0.0</v>
      </c>
      <c r="AG97" s="135">
        <v>0.0</v>
      </c>
      <c r="AH97" s="135">
        <v>0.0</v>
      </c>
      <c r="AI97" s="135">
        <v>0.0</v>
      </c>
      <c r="AJ97" s="135">
        <v>0.0</v>
      </c>
      <c r="AK97" s="135">
        <v>0.0</v>
      </c>
      <c r="AL97" s="135">
        <v>0.0</v>
      </c>
      <c r="AM97" s="135">
        <v>0.0</v>
      </c>
      <c r="AN97" s="137">
        <v>252.0</v>
      </c>
    </row>
    <row r="98">
      <c r="A98" s="98"/>
      <c r="B98" s="136" t="s">
        <v>206</v>
      </c>
      <c r="C98" s="137">
        <v>6.0</v>
      </c>
      <c r="D98" s="137">
        <v>0.0</v>
      </c>
      <c r="E98" s="137">
        <v>6.0</v>
      </c>
      <c r="F98" s="137">
        <v>0.0</v>
      </c>
      <c r="G98" s="137">
        <v>2.0</v>
      </c>
      <c r="H98" s="137">
        <v>0.0</v>
      </c>
      <c r="I98" s="137">
        <v>2.0</v>
      </c>
      <c r="J98" s="137">
        <v>0.0</v>
      </c>
      <c r="K98" s="137">
        <v>2.0</v>
      </c>
      <c r="L98" s="137">
        <v>0.0</v>
      </c>
      <c r="M98" s="137">
        <v>0.0</v>
      </c>
      <c r="N98" s="137">
        <v>0.0</v>
      </c>
      <c r="O98" s="137">
        <v>0.0</v>
      </c>
      <c r="P98" s="135">
        <v>0.0</v>
      </c>
      <c r="Q98" s="135">
        <v>0.0</v>
      </c>
      <c r="R98" s="135">
        <v>0.0</v>
      </c>
      <c r="S98" s="135">
        <v>0.0</v>
      </c>
      <c r="T98" s="135">
        <v>0.0</v>
      </c>
      <c r="U98" s="135">
        <v>0.0</v>
      </c>
      <c r="V98" s="135">
        <v>0.0</v>
      </c>
      <c r="W98" s="135">
        <v>0.0</v>
      </c>
      <c r="X98" s="135">
        <v>0.0</v>
      </c>
      <c r="Y98" s="135">
        <v>0.0</v>
      </c>
      <c r="Z98" s="135">
        <v>0.0</v>
      </c>
      <c r="AA98" s="135">
        <v>0.0</v>
      </c>
      <c r="AB98" s="135">
        <v>0.0</v>
      </c>
      <c r="AC98" s="135">
        <v>0.0</v>
      </c>
      <c r="AD98" s="135">
        <v>0.0</v>
      </c>
      <c r="AE98" s="135">
        <v>0.0</v>
      </c>
      <c r="AF98" s="135">
        <v>0.0</v>
      </c>
      <c r="AG98" s="135">
        <v>0.0</v>
      </c>
      <c r="AH98" s="135">
        <v>0.0</v>
      </c>
      <c r="AI98" s="135">
        <v>0.0</v>
      </c>
      <c r="AJ98" s="135">
        <v>0.0</v>
      </c>
      <c r="AK98" s="135">
        <v>0.0</v>
      </c>
      <c r="AL98" s="135">
        <v>0.0</v>
      </c>
      <c r="AM98" s="135">
        <v>0.0</v>
      </c>
      <c r="AN98" s="137">
        <v>8.0</v>
      </c>
    </row>
    <row r="99">
      <c r="A99" s="98"/>
      <c r="B99" s="136" t="s">
        <v>200</v>
      </c>
      <c r="C99" s="137">
        <v>118.0</v>
      </c>
      <c r="D99" s="137">
        <v>66.0</v>
      </c>
      <c r="E99" s="137">
        <v>52.0</v>
      </c>
      <c r="F99" s="137">
        <v>54.0</v>
      </c>
      <c r="G99" s="137">
        <v>50.0</v>
      </c>
      <c r="H99" s="137">
        <v>10.0</v>
      </c>
      <c r="I99" s="137">
        <v>0.0</v>
      </c>
      <c r="J99" s="137">
        <v>2.0</v>
      </c>
      <c r="K99" s="137">
        <v>2.0</v>
      </c>
      <c r="L99" s="137">
        <v>0.0</v>
      </c>
      <c r="M99" s="137">
        <v>0.0</v>
      </c>
      <c r="N99" s="137">
        <v>0.0</v>
      </c>
      <c r="O99" s="137">
        <v>0.0</v>
      </c>
      <c r="P99" s="135">
        <v>0.0</v>
      </c>
      <c r="Q99" s="135">
        <v>0.0</v>
      </c>
      <c r="R99" s="135">
        <v>0.0</v>
      </c>
      <c r="S99" s="135">
        <v>0.0</v>
      </c>
      <c r="T99" s="135">
        <v>0.0</v>
      </c>
      <c r="U99" s="135">
        <v>0.0</v>
      </c>
      <c r="V99" s="135">
        <v>0.0</v>
      </c>
      <c r="W99" s="135">
        <v>0.0</v>
      </c>
      <c r="X99" s="135">
        <v>0.0</v>
      </c>
      <c r="Y99" s="135">
        <v>0.0</v>
      </c>
      <c r="Z99" s="135">
        <v>0.0</v>
      </c>
      <c r="AA99" s="135">
        <v>0.0</v>
      </c>
      <c r="AB99" s="135">
        <v>0.0</v>
      </c>
      <c r="AC99" s="135">
        <v>0.0</v>
      </c>
      <c r="AD99" s="135">
        <v>0.0</v>
      </c>
      <c r="AE99" s="135">
        <v>0.0</v>
      </c>
      <c r="AF99" s="135">
        <v>0.0</v>
      </c>
      <c r="AG99" s="135">
        <v>0.0</v>
      </c>
      <c r="AH99" s="135">
        <v>0.0</v>
      </c>
      <c r="AI99" s="135">
        <v>0.0</v>
      </c>
      <c r="AJ99" s="135">
        <v>0.0</v>
      </c>
      <c r="AK99" s="135">
        <v>0.0</v>
      </c>
      <c r="AL99" s="135">
        <v>0.0</v>
      </c>
      <c r="AM99" s="135">
        <v>0.0</v>
      </c>
      <c r="AN99" s="137">
        <v>104.0</v>
      </c>
    </row>
    <row r="100">
      <c r="A100" s="104"/>
      <c r="B100" s="136" t="s">
        <v>201</v>
      </c>
      <c r="C100" s="137">
        <v>0.0</v>
      </c>
      <c r="D100" s="137">
        <v>0.0</v>
      </c>
      <c r="E100" s="137">
        <v>0.0</v>
      </c>
      <c r="F100" s="137">
        <v>0.0</v>
      </c>
      <c r="G100" s="137">
        <v>0.0</v>
      </c>
      <c r="H100" s="137">
        <v>0.0</v>
      </c>
      <c r="I100" s="137">
        <v>0.0</v>
      </c>
      <c r="J100" s="137">
        <v>0.0</v>
      </c>
      <c r="K100" s="137">
        <v>0.0</v>
      </c>
      <c r="L100" s="137">
        <v>0.0</v>
      </c>
      <c r="M100" s="137">
        <v>0.0</v>
      </c>
      <c r="N100" s="137">
        <v>0.0</v>
      </c>
      <c r="O100" s="137">
        <v>0.0</v>
      </c>
      <c r="P100" s="135">
        <v>0.0</v>
      </c>
      <c r="Q100" s="135">
        <v>0.0</v>
      </c>
      <c r="R100" s="135">
        <v>0.0</v>
      </c>
      <c r="S100" s="135">
        <v>0.0</v>
      </c>
      <c r="T100" s="135">
        <v>0.0</v>
      </c>
      <c r="U100" s="135">
        <v>0.0</v>
      </c>
      <c r="V100" s="135">
        <v>0.0</v>
      </c>
      <c r="W100" s="135">
        <v>0.0</v>
      </c>
      <c r="X100" s="135">
        <v>0.0</v>
      </c>
      <c r="Y100" s="135">
        <v>0.0</v>
      </c>
      <c r="Z100" s="135">
        <v>0.0</v>
      </c>
      <c r="AA100" s="135">
        <v>0.0</v>
      </c>
      <c r="AB100" s="135">
        <v>0.0</v>
      </c>
      <c r="AC100" s="135">
        <v>0.0</v>
      </c>
      <c r="AD100" s="135">
        <v>0.0</v>
      </c>
      <c r="AE100" s="135">
        <v>0.0</v>
      </c>
      <c r="AF100" s="135">
        <v>0.0</v>
      </c>
      <c r="AG100" s="135">
        <v>0.0</v>
      </c>
      <c r="AH100" s="135">
        <v>0.0</v>
      </c>
      <c r="AI100" s="135">
        <v>0.0</v>
      </c>
      <c r="AJ100" s="135">
        <v>0.0</v>
      </c>
      <c r="AK100" s="135">
        <v>0.0</v>
      </c>
      <c r="AL100" s="135">
        <v>0.0</v>
      </c>
      <c r="AM100" s="135">
        <v>0.0</v>
      </c>
      <c r="AN100" s="137">
        <v>0.0</v>
      </c>
    </row>
    <row r="101">
      <c r="A101" s="138" t="s">
        <v>243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</row>
    <row r="102">
      <c r="A102" s="132" t="s">
        <v>197</v>
      </c>
      <c r="B102" s="133" t="s">
        <v>198</v>
      </c>
      <c r="C102" s="134">
        <v>45362.0</v>
      </c>
      <c r="D102" s="134">
        <v>16350.0</v>
      </c>
      <c r="E102" s="134">
        <v>29012.0</v>
      </c>
      <c r="F102" s="135">
        <v>0.0</v>
      </c>
      <c r="G102" s="135">
        <v>0.0</v>
      </c>
      <c r="H102" s="135">
        <v>0.0</v>
      </c>
      <c r="I102" s="135">
        <v>0.0</v>
      </c>
      <c r="J102" s="135">
        <v>0.0</v>
      </c>
      <c r="K102" s="135">
        <v>0.0</v>
      </c>
      <c r="L102" s="137">
        <v>34.0</v>
      </c>
      <c r="M102" s="137">
        <v>42.0</v>
      </c>
      <c r="N102" s="137">
        <v>32.0</v>
      </c>
      <c r="O102" s="137">
        <v>50.0</v>
      </c>
      <c r="P102" s="137">
        <v>72.0</v>
      </c>
      <c r="Q102" s="137">
        <v>202.0</v>
      </c>
      <c r="R102" s="137">
        <v>118.0</v>
      </c>
      <c r="S102" s="137">
        <v>402.0</v>
      </c>
      <c r="T102" s="137">
        <v>190.0</v>
      </c>
      <c r="U102" s="137">
        <v>594.0</v>
      </c>
      <c r="V102" s="137">
        <v>426.0</v>
      </c>
      <c r="W102" s="134">
        <v>1164.0</v>
      </c>
      <c r="X102" s="137">
        <v>672.0</v>
      </c>
      <c r="Y102" s="134">
        <v>1914.0</v>
      </c>
      <c r="Z102" s="134">
        <v>1220.0</v>
      </c>
      <c r="AA102" s="134">
        <v>2968.0</v>
      </c>
      <c r="AB102" s="134">
        <v>2100.0</v>
      </c>
      <c r="AC102" s="134">
        <v>3738.0</v>
      </c>
      <c r="AD102" s="134">
        <v>2160.0</v>
      </c>
      <c r="AE102" s="134">
        <v>4012.0</v>
      </c>
      <c r="AF102" s="134">
        <v>2614.0</v>
      </c>
      <c r="AG102" s="134">
        <v>3952.0</v>
      </c>
      <c r="AH102" s="134">
        <v>2382.0</v>
      </c>
      <c r="AI102" s="134">
        <v>3616.0</v>
      </c>
      <c r="AJ102" s="134">
        <v>2008.0</v>
      </c>
      <c r="AK102" s="134">
        <v>2758.0</v>
      </c>
      <c r="AL102" s="134">
        <v>2322.0</v>
      </c>
      <c r="AM102" s="134">
        <v>3592.0</v>
      </c>
      <c r="AN102" s="134">
        <v>45136.0</v>
      </c>
    </row>
    <row r="103">
      <c r="A103" s="98"/>
      <c r="B103" s="136" t="s">
        <v>199</v>
      </c>
      <c r="C103" s="134">
        <v>8922.0</v>
      </c>
      <c r="D103" s="134">
        <v>3116.0</v>
      </c>
      <c r="E103" s="134">
        <v>5806.0</v>
      </c>
      <c r="F103" s="135">
        <v>0.0</v>
      </c>
      <c r="G103" s="135">
        <v>0.0</v>
      </c>
      <c r="H103" s="135">
        <v>0.0</v>
      </c>
      <c r="I103" s="135">
        <v>0.0</v>
      </c>
      <c r="J103" s="135">
        <v>0.0</v>
      </c>
      <c r="K103" s="135">
        <v>0.0</v>
      </c>
      <c r="L103" s="137">
        <v>2.0</v>
      </c>
      <c r="M103" s="137">
        <v>8.0</v>
      </c>
      <c r="N103" s="137">
        <v>2.0</v>
      </c>
      <c r="O103" s="137">
        <v>12.0</v>
      </c>
      <c r="P103" s="137">
        <v>6.0</v>
      </c>
      <c r="Q103" s="137">
        <v>44.0</v>
      </c>
      <c r="R103" s="137">
        <v>30.0</v>
      </c>
      <c r="S103" s="137">
        <v>54.0</v>
      </c>
      <c r="T103" s="137">
        <v>26.0</v>
      </c>
      <c r="U103" s="137">
        <v>94.0</v>
      </c>
      <c r="V103" s="137">
        <v>76.0</v>
      </c>
      <c r="W103" s="137">
        <v>164.0</v>
      </c>
      <c r="X103" s="137">
        <v>140.0</v>
      </c>
      <c r="Y103" s="137">
        <v>366.0</v>
      </c>
      <c r="Z103" s="137">
        <v>250.0</v>
      </c>
      <c r="AA103" s="137">
        <v>576.0</v>
      </c>
      <c r="AB103" s="137">
        <v>330.0</v>
      </c>
      <c r="AC103" s="137">
        <v>702.0</v>
      </c>
      <c r="AD103" s="137">
        <v>430.0</v>
      </c>
      <c r="AE103" s="137">
        <v>896.0</v>
      </c>
      <c r="AF103" s="137">
        <v>476.0</v>
      </c>
      <c r="AG103" s="137">
        <v>810.0</v>
      </c>
      <c r="AH103" s="137">
        <v>480.0</v>
      </c>
      <c r="AI103" s="137">
        <v>788.0</v>
      </c>
      <c r="AJ103" s="137">
        <v>410.0</v>
      </c>
      <c r="AK103" s="137">
        <v>606.0</v>
      </c>
      <c r="AL103" s="137">
        <v>458.0</v>
      </c>
      <c r="AM103" s="137">
        <v>686.0</v>
      </c>
      <c r="AN103" s="134">
        <v>8878.0</v>
      </c>
    </row>
    <row r="104">
      <c r="A104" s="98"/>
      <c r="B104" s="136" t="s">
        <v>200</v>
      </c>
      <c r="C104" s="134">
        <v>10634.0</v>
      </c>
      <c r="D104" s="134">
        <v>3580.0</v>
      </c>
      <c r="E104" s="134">
        <v>7054.0</v>
      </c>
      <c r="F104" s="135">
        <v>0.0</v>
      </c>
      <c r="G104" s="135">
        <v>0.0</v>
      </c>
      <c r="H104" s="135">
        <v>0.0</v>
      </c>
      <c r="I104" s="135">
        <v>0.0</v>
      </c>
      <c r="J104" s="135">
        <v>0.0</v>
      </c>
      <c r="K104" s="135">
        <v>0.0</v>
      </c>
      <c r="L104" s="137">
        <v>8.0</v>
      </c>
      <c r="M104" s="137">
        <v>10.0</v>
      </c>
      <c r="N104" s="137">
        <v>8.0</v>
      </c>
      <c r="O104" s="137">
        <v>18.0</v>
      </c>
      <c r="P104" s="137">
        <v>24.0</v>
      </c>
      <c r="Q104" s="137">
        <v>58.0</v>
      </c>
      <c r="R104" s="137">
        <v>36.0</v>
      </c>
      <c r="S104" s="137">
        <v>130.0</v>
      </c>
      <c r="T104" s="137">
        <v>56.0</v>
      </c>
      <c r="U104" s="137">
        <v>146.0</v>
      </c>
      <c r="V104" s="137">
        <v>130.0</v>
      </c>
      <c r="W104" s="137">
        <v>288.0</v>
      </c>
      <c r="X104" s="137">
        <v>192.0</v>
      </c>
      <c r="Y104" s="137">
        <v>426.0</v>
      </c>
      <c r="Z104" s="137">
        <v>292.0</v>
      </c>
      <c r="AA104" s="137">
        <v>708.0</v>
      </c>
      <c r="AB104" s="137">
        <v>396.0</v>
      </c>
      <c r="AC104" s="134">
        <v>1010.0</v>
      </c>
      <c r="AD104" s="137">
        <v>474.0</v>
      </c>
      <c r="AE104" s="134">
        <v>1034.0</v>
      </c>
      <c r="AF104" s="137">
        <v>554.0</v>
      </c>
      <c r="AG104" s="137">
        <v>932.0</v>
      </c>
      <c r="AH104" s="137">
        <v>516.0</v>
      </c>
      <c r="AI104" s="137">
        <v>868.0</v>
      </c>
      <c r="AJ104" s="137">
        <v>440.0</v>
      </c>
      <c r="AK104" s="137">
        <v>680.0</v>
      </c>
      <c r="AL104" s="137">
        <v>454.0</v>
      </c>
      <c r="AM104" s="137">
        <v>746.0</v>
      </c>
      <c r="AN104" s="134">
        <v>10504.0</v>
      </c>
    </row>
    <row r="105">
      <c r="A105" s="104"/>
      <c r="B105" s="136" t="s">
        <v>201</v>
      </c>
      <c r="C105" s="137">
        <v>528.0</v>
      </c>
      <c r="D105" s="137">
        <v>212.0</v>
      </c>
      <c r="E105" s="137">
        <v>316.0</v>
      </c>
      <c r="F105" s="135">
        <v>0.0</v>
      </c>
      <c r="G105" s="135">
        <v>0.0</v>
      </c>
      <c r="H105" s="135">
        <v>0.0</v>
      </c>
      <c r="I105" s="135">
        <v>0.0</v>
      </c>
      <c r="J105" s="135">
        <v>0.0</v>
      </c>
      <c r="K105" s="135">
        <v>0.0</v>
      </c>
      <c r="L105" s="137">
        <v>0.0</v>
      </c>
      <c r="M105" s="137">
        <v>0.0</v>
      </c>
      <c r="N105" s="137">
        <v>0.0</v>
      </c>
      <c r="O105" s="137">
        <v>0.0</v>
      </c>
      <c r="P105" s="137">
        <v>0.0</v>
      </c>
      <c r="Q105" s="137">
        <v>0.0</v>
      </c>
      <c r="R105" s="137">
        <v>2.0</v>
      </c>
      <c r="S105" s="137">
        <v>6.0</v>
      </c>
      <c r="T105" s="137">
        <v>4.0</v>
      </c>
      <c r="U105" s="137">
        <v>10.0</v>
      </c>
      <c r="V105" s="137">
        <v>20.0</v>
      </c>
      <c r="W105" s="137">
        <v>12.0</v>
      </c>
      <c r="X105" s="137">
        <v>14.0</v>
      </c>
      <c r="Y105" s="137">
        <v>20.0</v>
      </c>
      <c r="Z105" s="137">
        <v>14.0</v>
      </c>
      <c r="AA105" s="137">
        <v>46.0</v>
      </c>
      <c r="AB105" s="137">
        <v>12.0</v>
      </c>
      <c r="AC105" s="137">
        <v>24.0</v>
      </c>
      <c r="AD105" s="137">
        <v>46.0</v>
      </c>
      <c r="AE105" s="137">
        <v>32.0</v>
      </c>
      <c r="AF105" s="137">
        <v>14.0</v>
      </c>
      <c r="AG105" s="137">
        <v>26.0</v>
      </c>
      <c r="AH105" s="137">
        <v>24.0</v>
      </c>
      <c r="AI105" s="137">
        <v>40.0</v>
      </c>
      <c r="AJ105" s="137">
        <v>32.0</v>
      </c>
      <c r="AK105" s="137">
        <v>72.0</v>
      </c>
      <c r="AL105" s="137">
        <v>30.0</v>
      </c>
      <c r="AM105" s="137">
        <v>28.0</v>
      </c>
      <c r="AN105" s="137">
        <v>514.0</v>
      </c>
    </row>
    <row r="106">
      <c r="A106" s="132" t="s">
        <v>202</v>
      </c>
      <c r="B106" s="136" t="s">
        <v>198</v>
      </c>
      <c r="C106" s="137">
        <v>82.0</v>
      </c>
      <c r="D106" s="137">
        <v>36.0</v>
      </c>
      <c r="E106" s="137">
        <v>46.0</v>
      </c>
      <c r="F106" s="137">
        <v>0.0</v>
      </c>
      <c r="G106" s="137">
        <v>0.0</v>
      </c>
      <c r="H106" s="137">
        <v>0.0</v>
      </c>
      <c r="I106" s="137">
        <v>0.0</v>
      </c>
      <c r="J106" s="137">
        <v>0.0</v>
      </c>
      <c r="K106" s="137">
        <v>0.0</v>
      </c>
      <c r="L106" s="137">
        <v>0.0</v>
      </c>
      <c r="M106" s="137">
        <v>0.0</v>
      </c>
      <c r="N106" s="137">
        <v>0.0</v>
      </c>
      <c r="O106" s="137">
        <v>2.0</v>
      </c>
      <c r="P106" s="137">
        <v>2.0</v>
      </c>
      <c r="Q106" s="137">
        <v>0.0</v>
      </c>
      <c r="R106" s="137">
        <v>0.0</v>
      </c>
      <c r="S106" s="137">
        <v>2.0</v>
      </c>
      <c r="T106" s="137">
        <v>0.0</v>
      </c>
      <c r="U106" s="137">
        <v>4.0</v>
      </c>
      <c r="V106" s="137">
        <v>2.0</v>
      </c>
      <c r="W106" s="137">
        <v>0.0</v>
      </c>
      <c r="X106" s="137">
        <v>0.0</v>
      </c>
      <c r="Y106" s="137">
        <v>12.0</v>
      </c>
      <c r="Z106" s="137">
        <v>0.0</v>
      </c>
      <c r="AA106" s="137">
        <v>10.0</v>
      </c>
      <c r="AB106" s="137">
        <v>24.0</v>
      </c>
      <c r="AC106" s="137">
        <v>12.0</v>
      </c>
      <c r="AD106" s="137">
        <v>2.0</v>
      </c>
      <c r="AE106" s="137">
        <v>0.0</v>
      </c>
      <c r="AF106" s="137">
        <v>4.0</v>
      </c>
      <c r="AG106" s="137">
        <v>4.0</v>
      </c>
      <c r="AH106" s="137">
        <v>2.0</v>
      </c>
      <c r="AI106" s="137">
        <v>0.0</v>
      </c>
      <c r="AJ106" s="137">
        <v>0.0</v>
      </c>
      <c r="AK106" s="137">
        <v>0.0</v>
      </c>
      <c r="AL106" s="137">
        <v>0.0</v>
      </c>
      <c r="AM106" s="137">
        <v>0.0</v>
      </c>
      <c r="AN106" s="137">
        <v>72.0</v>
      </c>
    </row>
    <row r="107">
      <c r="A107" s="104"/>
      <c r="B107" s="136" t="s">
        <v>199</v>
      </c>
      <c r="C107" s="137">
        <v>62.0</v>
      </c>
      <c r="D107" s="137">
        <v>22.0</v>
      </c>
      <c r="E107" s="137">
        <v>40.0</v>
      </c>
      <c r="F107" s="137">
        <v>0.0</v>
      </c>
      <c r="G107" s="137">
        <v>0.0</v>
      </c>
      <c r="H107" s="137">
        <v>0.0</v>
      </c>
      <c r="I107" s="137">
        <v>0.0</v>
      </c>
      <c r="J107" s="137">
        <v>0.0</v>
      </c>
      <c r="K107" s="137">
        <v>0.0</v>
      </c>
      <c r="L107" s="137">
        <v>0.0</v>
      </c>
      <c r="M107" s="137">
        <v>0.0</v>
      </c>
      <c r="N107" s="137">
        <v>0.0</v>
      </c>
      <c r="O107" s="137">
        <v>14.0</v>
      </c>
      <c r="P107" s="137">
        <v>4.0</v>
      </c>
      <c r="Q107" s="137">
        <v>0.0</v>
      </c>
      <c r="R107" s="137">
        <v>2.0</v>
      </c>
      <c r="S107" s="137">
        <v>0.0</v>
      </c>
      <c r="T107" s="137">
        <v>0.0</v>
      </c>
      <c r="U107" s="137">
        <v>0.0</v>
      </c>
      <c r="V107" s="137">
        <v>6.0</v>
      </c>
      <c r="W107" s="137">
        <v>0.0</v>
      </c>
      <c r="X107" s="137">
        <v>0.0</v>
      </c>
      <c r="Y107" s="137">
        <v>0.0</v>
      </c>
      <c r="Z107" s="137">
        <v>2.0</v>
      </c>
      <c r="AA107" s="137">
        <v>20.0</v>
      </c>
      <c r="AB107" s="137">
        <v>2.0</v>
      </c>
      <c r="AC107" s="137">
        <v>0.0</v>
      </c>
      <c r="AD107" s="137">
        <v>0.0</v>
      </c>
      <c r="AE107" s="137">
        <v>0.0</v>
      </c>
      <c r="AF107" s="137">
        <v>0.0</v>
      </c>
      <c r="AG107" s="137">
        <v>6.0</v>
      </c>
      <c r="AH107" s="137">
        <v>2.0</v>
      </c>
      <c r="AI107" s="137">
        <v>0.0</v>
      </c>
      <c r="AJ107" s="137">
        <v>4.0</v>
      </c>
      <c r="AK107" s="137">
        <v>0.0</v>
      </c>
      <c r="AL107" s="137">
        <v>0.0</v>
      </c>
      <c r="AM107" s="137">
        <v>0.0</v>
      </c>
      <c r="AN107" s="137">
        <v>60.0</v>
      </c>
    </row>
    <row r="108">
      <c r="A108" s="132" t="s">
        <v>203</v>
      </c>
      <c r="B108" s="136" t="s">
        <v>198</v>
      </c>
      <c r="C108" s="137">
        <v>0.0</v>
      </c>
      <c r="D108" s="137">
        <v>0.0</v>
      </c>
      <c r="E108" s="137">
        <v>0.0</v>
      </c>
      <c r="F108" s="135">
        <v>0.0</v>
      </c>
      <c r="G108" s="135">
        <v>0.0</v>
      </c>
      <c r="H108" s="135">
        <v>0.0</v>
      </c>
      <c r="I108" s="135">
        <v>0.0</v>
      </c>
      <c r="J108" s="135">
        <v>0.0</v>
      </c>
      <c r="K108" s="135">
        <v>0.0</v>
      </c>
      <c r="L108" s="135">
        <v>0.0</v>
      </c>
      <c r="M108" s="135">
        <v>0.0</v>
      </c>
      <c r="N108" s="135">
        <v>0.0</v>
      </c>
      <c r="O108" s="135">
        <v>0.0</v>
      </c>
      <c r="P108" s="135">
        <v>0.0</v>
      </c>
      <c r="Q108" s="135">
        <v>0.0</v>
      </c>
      <c r="R108" s="135">
        <v>0.0</v>
      </c>
      <c r="S108" s="135">
        <v>0.0</v>
      </c>
      <c r="T108" s="135">
        <v>0.0</v>
      </c>
      <c r="U108" s="135">
        <v>0.0</v>
      </c>
      <c r="V108" s="135">
        <v>0.0</v>
      </c>
      <c r="W108" s="135">
        <v>0.0</v>
      </c>
      <c r="X108" s="135">
        <v>0.0</v>
      </c>
      <c r="Y108" s="135">
        <v>0.0</v>
      </c>
      <c r="Z108" s="135">
        <v>0.0</v>
      </c>
      <c r="AA108" s="135">
        <v>0.0</v>
      </c>
      <c r="AB108" s="135">
        <v>0.0</v>
      </c>
      <c r="AC108" s="135">
        <v>0.0</v>
      </c>
      <c r="AD108" s="135">
        <v>0.0</v>
      </c>
      <c r="AE108" s="135">
        <v>0.0</v>
      </c>
      <c r="AF108" s="137">
        <v>0.0</v>
      </c>
      <c r="AG108" s="137">
        <v>0.0</v>
      </c>
      <c r="AH108" s="137">
        <v>0.0</v>
      </c>
      <c r="AI108" s="137">
        <v>0.0</v>
      </c>
      <c r="AJ108" s="137">
        <v>0.0</v>
      </c>
      <c r="AK108" s="137">
        <v>0.0</v>
      </c>
      <c r="AL108" s="137">
        <v>0.0</v>
      </c>
      <c r="AM108" s="137">
        <v>0.0</v>
      </c>
      <c r="AN108" s="137">
        <v>0.0</v>
      </c>
    </row>
    <row r="109">
      <c r="A109" s="104"/>
      <c r="B109" s="136" t="s">
        <v>199</v>
      </c>
      <c r="C109" s="137">
        <v>8.0</v>
      </c>
      <c r="D109" s="137">
        <v>2.0</v>
      </c>
      <c r="E109" s="137">
        <v>6.0</v>
      </c>
      <c r="F109" s="135">
        <v>0.0</v>
      </c>
      <c r="G109" s="135">
        <v>0.0</v>
      </c>
      <c r="H109" s="135">
        <v>0.0</v>
      </c>
      <c r="I109" s="135">
        <v>0.0</v>
      </c>
      <c r="J109" s="135">
        <v>0.0</v>
      </c>
      <c r="K109" s="135">
        <v>0.0</v>
      </c>
      <c r="L109" s="135">
        <v>0.0</v>
      </c>
      <c r="M109" s="135">
        <v>0.0</v>
      </c>
      <c r="N109" s="135">
        <v>0.0</v>
      </c>
      <c r="O109" s="135">
        <v>0.0</v>
      </c>
      <c r="P109" s="135">
        <v>0.0</v>
      </c>
      <c r="Q109" s="135">
        <v>0.0</v>
      </c>
      <c r="R109" s="135">
        <v>0.0</v>
      </c>
      <c r="S109" s="135">
        <v>0.0</v>
      </c>
      <c r="T109" s="135">
        <v>0.0</v>
      </c>
      <c r="U109" s="135">
        <v>0.0</v>
      </c>
      <c r="V109" s="135">
        <v>0.0</v>
      </c>
      <c r="W109" s="135">
        <v>0.0</v>
      </c>
      <c r="X109" s="135">
        <v>0.0</v>
      </c>
      <c r="Y109" s="135">
        <v>0.0</v>
      </c>
      <c r="Z109" s="135">
        <v>0.0</v>
      </c>
      <c r="AA109" s="135">
        <v>0.0</v>
      </c>
      <c r="AB109" s="135">
        <v>0.0</v>
      </c>
      <c r="AC109" s="135">
        <v>0.0</v>
      </c>
      <c r="AD109" s="135">
        <v>0.0</v>
      </c>
      <c r="AE109" s="135">
        <v>0.0</v>
      </c>
      <c r="AF109" s="137">
        <v>2.0</v>
      </c>
      <c r="AG109" s="137">
        <v>2.0</v>
      </c>
      <c r="AH109" s="137">
        <v>0.0</v>
      </c>
      <c r="AI109" s="137">
        <v>2.0</v>
      </c>
      <c r="AJ109" s="137">
        <v>0.0</v>
      </c>
      <c r="AK109" s="137">
        <v>0.0</v>
      </c>
      <c r="AL109" s="137">
        <v>0.0</v>
      </c>
      <c r="AM109" s="137">
        <v>2.0</v>
      </c>
      <c r="AN109" s="137">
        <v>8.0</v>
      </c>
    </row>
    <row r="110">
      <c r="A110" s="132" t="s">
        <v>204</v>
      </c>
      <c r="B110" s="136" t="s">
        <v>198</v>
      </c>
      <c r="C110" s="137">
        <v>22.0</v>
      </c>
      <c r="D110" s="137">
        <v>10.0</v>
      </c>
      <c r="E110" s="137">
        <v>12.0</v>
      </c>
      <c r="F110" s="135">
        <v>0.0</v>
      </c>
      <c r="G110" s="135">
        <v>0.0</v>
      </c>
      <c r="H110" s="135">
        <v>0.0</v>
      </c>
      <c r="I110" s="135">
        <v>0.0</v>
      </c>
      <c r="J110" s="135">
        <v>0.0</v>
      </c>
      <c r="K110" s="135">
        <v>0.0</v>
      </c>
      <c r="L110" s="135">
        <v>0.0</v>
      </c>
      <c r="M110" s="135">
        <v>0.0</v>
      </c>
      <c r="N110" s="135">
        <v>0.0</v>
      </c>
      <c r="O110" s="135">
        <v>0.0</v>
      </c>
      <c r="P110" s="135">
        <v>0.0</v>
      </c>
      <c r="Q110" s="135">
        <v>0.0</v>
      </c>
      <c r="R110" s="135">
        <v>0.0</v>
      </c>
      <c r="S110" s="135">
        <v>0.0</v>
      </c>
      <c r="T110" s="135">
        <v>0.0</v>
      </c>
      <c r="U110" s="135">
        <v>0.0</v>
      </c>
      <c r="V110" s="135">
        <v>0.0</v>
      </c>
      <c r="W110" s="135">
        <v>0.0</v>
      </c>
      <c r="X110" s="135">
        <v>0.0</v>
      </c>
      <c r="Y110" s="135">
        <v>0.0</v>
      </c>
      <c r="Z110" s="135">
        <v>0.0</v>
      </c>
      <c r="AA110" s="135">
        <v>0.0</v>
      </c>
      <c r="AB110" s="135">
        <v>0.0</v>
      </c>
      <c r="AC110" s="135">
        <v>0.0</v>
      </c>
      <c r="AD110" s="135">
        <v>0.0</v>
      </c>
      <c r="AE110" s="135">
        <v>0.0</v>
      </c>
      <c r="AF110" s="137">
        <v>4.0</v>
      </c>
      <c r="AG110" s="137">
        <v>2.0</v>
      </c>
      <c r="AH110" s="137">
        <v>2.0</v>
      </c>
      <c r="AI110" s="137">
        <v>2.0</v>
      </c>
      <c r="AJ110" s="137">
        <v>0.0</v>
      </c>
      <c r="AK110" s="137">
        <v>4.0</v>
      </c>
      <c r="AL110" s="137">
        <v>4.0</v>
      </c>
      <c r="AM110" s="137">
        <v>4.0</v>
      </c>
      <c r="AN110" s="137">
        <v>22.0</v>
      </c>
    </row>
    <row r="111">
      <c r="A111" s="104"/>
      <c r="B111" s="136" t="s">
        <v>199</v>
      </c>
      <c r="C111" s="137">
        <v>4.0</v>
      </c>
      <c r="D111" s="137">
        <v>2.0</v>
      </c>
      <c r="E111" s="137">
        <v>2.0</v>
      </c>
      <c r="F111" s="135">
        <v>0.0</v>
      </c>
      <c r="G111" s="135">
        <v>0.0</v>
      </c>
      <c r="H111" s="135">
        <v>0.0</v>
      </c>
      <c r="I111" s="135">
        <v>0.0</v>
      </c>
      <c r="J111" s="135">
        <v>0.0</v>
      </c>
      <c r="K111" s="135">
        <v>0.0</v>
      </c>
      <c r="L111" s="135">
        <v>0.0</v>
      </c>
      <c r="M111" s="135">
        <v>0.0</v>
      </c>
      <c r="N111" s="135">
        <v>0.0</v>
      </c>
      <c r="O111" s="135">
        <v>0.0</v>
      </c>
      <c r="P111" s="135">
        <v>0.0</v>
      </c>
      <c r="Q111" s="135">
        <v>0.0</v>
      </c>
      <c r="R111" s="135">
        <v>0.0</v>
      </c>
      <c r="S111" s="135">
        <v>0.0</v>
      </c>
      <c r="T111" s="135">
        <v>0.0</v>
      </c>
      <c r="U111" s="135">
        <v>0.0</v>
      </c>
      <c r="V111" s="135">
        <v>0.0</v>
      </c>
      <c r="W111" s="135">
        <v>0.0</v>
      </c>
      <c r="X111" s="135">
        <v>0.0</v>
      </c>
      <c r="Y111" s="135">
        <v>0.0</v>
      </c>
      <c r="Z111" s="135">
        <v>0.0</v>
      </c>
      <c r="AA111" s="135">
        <v>0.0</v>
      </c>
      <c r="AB111" s="135">
        <v>0.0</v>
      </c>
      <c r="AC111" s="135">
        <v>0.0</v>
      </c>
      <c r="AD111" s="135">
        <v>0.0</v>
      </c>
      <c r="AE111" s="135">
        <v>0.0</v>
      </c>
      <c r="AF111" s="137">
        <v>0.0</v>
      </c>
      <c r="AG111" s="137">
        <v>2.0</v>
      </c>
      <c r="AH111" s="137">
        <v>2.0</v>
      </c>
      <c r="AI111" s="137">
        <v>0.0</v>
      </c>
      <c r="AJ111" s="137">
        <v>0.0</v>
      </c>
      <c r="AK111" s="137">
        <v>0.0</v>
      </c>
      <c r="AL111" s="137">
        <v>0.0</v>
      </c>
      <c r="AM111" s="137">
        <v>0.0</v>
      </c>
      <c r="AN111" s="137">
        <v>2.0</v>
      </c>
    </row>
    <row r="112">
      <c r="A112" s="132" t="s">
        <v>205</v>
      </c>
      <c r="B112" s="136" t="s">
        <v>198</v>
      </c>
      <c r="C112" s="137">
        <v>62.0</v>
      </c>
      <c r="D112" s="137">
        <v>8.0</v>
      </c>
      <c r="E112" s="137">
        <v>54.0</v>
      </c>
      <c r="F112" s="137">
        <v>0.0</v>
      </c>
      <c r="G112" s="137">
        <v>0.0</v>
      </c>
      <c r="H112" s="137">
        <v>0.0</v>
      </c>
      <c r="I112" s="137">
        <v>0.0</v>
      </c>
      <c r="J112" s="137">
        <v>0.0</v>
      </c>
      <c r="K112" s="137">
        <v>0.0</v>
      </c>
      <c r="L112" s="137">
        <v>0.0</v>
      </c>
      <c r="M112" s="137">
        <v>0.0</v>
      </c>
      <c r="N112" s="137">
        <v>0.0</v>
      </c>
      <c r="O112" s="137">
        <v>0.0</v>
      </c>
      <c r="P112" s="137">
        <v>0.0</v>
      </c>
      <c r="Q112" s="137">
        <v>2.0</v>
      </c>
      <c r="R112" s="137">
        <v>0.0</v>
      </c>
      <c r="S112" s="137">
        <v>4.0</v>
      </c>
      <c r="T112" s="137">
        <v>0.0</v>
      </c>
      <c r="U112" s="137">
        <v>8.0</v>
      </c>
      <c r="V112" s="137">
        <v>0.0</v>
      </c>
      <c r="W112" s="137">
        <v>6.0</v>
      </c>
      <c r="X112" s="137">
        <v>0.0</v>
      </c>
      <c r="Y112" s="137">
        <v>0.0</v>
      </c>
      <c r="Z112" s="137">
        <v>0.0</v>
      </c>
      <c r="AA112" s="137">
        <v>8.0</v>
      </c>
      <c r="AB112" s="137">
        <v>0.0</v>
      </c>
      <c r="AC112" s="137">
        <v>4.0</v>
      </c>
      <c r="AD112" s="137">
        <v>0.0</v>
      </c>
      <c r="AE112" s="137">
        <v>4.0</v>
      </c>
      <c r="AF112" s="137">
        <v>0.0</v>
      </c>
      <c r="AG112" s="137">
        <v>14.0</v>
      </c>
      <c r="AH112" s="137">
        <v>2.0</v>
      </c>
      <c r="AI112" s="137">
        <v>0.0</v>
      </c>
      <c r="AJ112" s="137">
        <v>4.0</v>
      </c>
      <c r="AK112" s="137">
        <v>2.0</v>
      </c>
      <c r="AL112" s="137">
        <v>2.0</v>
      </c>
      <c r="AM112" s="137">
        <v>2.0</v>
      </c>
      <c r="AN112" s="137">
        <v>62.0</v>
      </c>
    </row>
    <row r="113">
      <c r="A113" s="98"/>
      <c r="B113" s="136" t="s">
        <v>199</v>
      </c>
      <c r="C113" s="137">
        <v>0.0</v>
      </c>
      <c r="D113" s="137">
        <v>0.0</v>
      </c>
      <c r="E113" s="137">
        <v>0.0</v>
      </c>
      <c r="F113" s="137">
        <v>0.0</v>
      </c>
      <c r="G113" s="137">
        <v>0.0</v>
      </c>
      <c r="H113" s="137">
        <v>0.0</v>
      </c>
      <c r="I113" s="137">
        <v>0.0</v>
      </c>
      <c r="J113" s="137">
        <v>0.0</v>
      </c>
      <c r="K113" s="137">
        <v>0.0</v>
      </c>
      <c r="L113" s="137">
        <v>0.0</v>
      </c>
      <c r="M113" s="137">
        <v>0.0</v>
      </c>
      <c r="N113" s="137">
        <v>0.0</v>
      </c>
      <c r="O113" s="137">
        <v>0.0</v>
      </c>
      <c r="P113" s="137">
        <v>0.0</v>
      </c>
      <c r="Q113" s="137">
        <v>0.0</v>
      </c>
      <c r="R113" s="137">
        <v>0.0</v>
      </c>
      <c r="S113" s="137">
        <v>0.0</v>
      </c>
      <c r="T113" s="137">
        <v>0.0</v>
      </c>
      <c r="U113" s="137">
        <v>0.0</v>
      </c>
      <c r="V113" s="137">
        <v>0.0</v>
      </c>
      <c r="W113" s="137">
        <v>0.0</v>
      </c>
      <c r="X113" s="137">
        <v>0.0</v>
      </c>
      <c r="Y113" s="137">
        <v>0.0</v>
      </c>
      <c r="Z113" s="137">
        <v>0.0</v>
      </c>
      <c r="AA113" s="137">
        <v>0.0</v>
      </c>
      <c r="AB113" s="137">
        <v>0.0</v>
      </c>
      <c r="AC113" s="137">
        <v>0.0</v>
      </c>
      <c r="AD113" s="137">
        <v>0.0</v>
      </c>
      <c r="AE113" s="137">
        <v>0.0</v>
      </c>
      <c r="AF113" s="137">
        <v>0.0</v>
      </c>
      <c r="AG113" s="137">
        <v>0.0</v>
      </c>
      <c r="AH113" s="137">
        <v>0.0</v>
      </c>
      <c r="AI113" s="137">
        <v>0.0</v>
      </c>
      <c r="AJ113" s="137">
        <v>0.0</v>
      </c>
      <c r="AK113" s="137">
        <v>0.0</v>
      </c>
      <c r="AL113" s="137">
        <v>0.0</v>
      </c>
      <c r="AM113" s="137">
        <v>0.0</v>
      </c>
      <c r="AN113" s="137">
        <v>0.0</v>
      </c>
    </row>
    <row r="114">
      <c r="A114" s="104"/>
      <c r="B114" s="136" t="s">
        <v>206</v>
      </c>
      <c r="C114" s="137">
        <v>10.0</v>
      </c>
      <c r="D114" s="137">
        <v>4.0</v>
      </c>
      <c r="E114" s="137">
        <v>6.0</v>
      </c>
      <c r="F114" s="137">
        <v>2.0</v>
      </c>
      <c r="G114" s="137">
        <v>0.0</v>
      </c>
      <c r="H114" s="137">
        <v>0.0</v>
      </c>
      <c r="I114" s="137">
        <v>0.0</v>
      </c>
      <c r="J114" s="137">
        <v>0.0</v>
      </c>
      <c r="K114" s="137">
        <v>0.0</v>
      </c>
      <c r="L114" s="137">
        <v>0.0</v>
      </c>
      <c r="M114" s="137">
        <v>0.0</v>
      </c>
      <c r="N114" s="137">
        <v>0.0</v>
      </c>
      <c r="O114" s="137">
        <v>0.0</v>
      </c>
      <c r="P114" s="137">
        <v>0.0</v>
      </c>
      <c r="Q114" s="137">
        <v>2.0</v>
      </c>
      <c r="R114" s="137">
        <v>2.0</v>
      </c>
      <c r="S114" s="137">
        <v>0.0</v>
      </c>
      <c r="T114" s="137">
        <v>0.0</v>
      </c>
      <c r="U114" s="137">
        <v>0.0</v>
      </c>
      <c r="V114" s="137">
        <v>0.0</v>
      </c>
      <c r="W114" s="137">
        <v>2.0</v>
      </c>
      <c r="X114" s="137">
        <v>0.0</v>
      </c>
      <c r="Y114" s="137">
        <v>0.0</v>
      </c>
      <c r="Z114" s="137">
        <v>0.0</v>
      </c>
      <c r="AA114" s="137">
        <v>0.0</v>
      </c>
      <c r="AB114" s="137">
        <v>0.0</v>
      </c>
      <c r="AC114" s="137">
        <v>0.0</v>
      </c>
      <c r="AD114" s="137">
        <v>0.0</v>
      </c>
      <c r="AE114" s="137">
        <v>2.0</v>
      </c>
      <c r="AF114" s="137">
        <v>0.0</v>
      </c>
      <c r="AG114" s="137">
        <v>0.0</v>
      </c>
      <c r="AH114" s="137">
        <v>0.0</v>
      </c>
      <c r="AI114" s="137">
        <v>0.0</v>
      </c>
      <c r="AJ114" s="137">
        <v>0.0</v>
      </c>
      <c r="AK114" s="137">
        <v>0.0</v>
      </c>
      <c r="AL114" s="137">
        <v>0.0</v>
      </c>
      <c r="AM114" s="137">
        <v>0.0</v>
      </c>
      <c r="AN114" s="137">
        <v>8.0</v>
      </c>
    </row>
    <row r="115">
      <c r="A115" s="132" t="s">
        <v>207</v>
      </c>
      <c r="B115" s="136" t="s">
        <v>198</v>
      </c>
      <c r="C115" s="134">
        <v>7024.0</v>
      </c>
      <c r="D115" s="134">
        <v>1632.0</v>
      </c>
      <c r="E115" s="134">
        <v>5392.0</v>
      </c>
      <c r="F115" s="137">
        <v>16.0</v>
      </c>
      <c r="G115" s="137">
        <v>14.0</v>
      </c>
      <c r="H115" s="137">
        <v>22.0</v>
      </c>
      <c r="I115" s="137">
        <v>16.0</v>
      </c>
      <c r="J115" s="137">
        <v>26.0</v>
      </c>
      <c r="K115" s="137">
        <v>28.0</v>
      </c>
      <c r="L115" s="137">
        <v>40.0</v>
      </c>
      <c r="M115" s="137">
        <v>96.0</v>
      </c>
      <c r="N115" s="137">
        <v>32.0</v>
      </c>
      <c r="O115" s="137">
        <v>110.0</v>
      </c>
      <c r="P115" s="137">
        <v>22.0</v>
      </c>
      <c r="Q115" s="137">
        <v>124.0</v>
      </c>
      <c r="R115" s="137">
        <v>28.0</v>
      </c>
      <c r="S115" s="137">
        <v>192.0</v>
      </c>
      <c r="T115" s="137">
        <v>26.0</v>
      </c>
      <c r="U115" s="137">
        <v>220.0</v>
      </c>
      <c r="V115" s="137">
        <v>54.0</v>
      </c>
      <c r="W115" s="137">
        <v>286.0</v>
      </c>
      <c r="X115" s="137">
        <v>54.0</v>
      </c>
      <c r="Y115" s="137">
        <v>420.0</v>
      </c>
      <c r="Z115" s="137">
        <v>92.0</v>
      </c>
      <c r="AA115" s="137">
        <v>600.0</v>
      </c>
      <c r="AB115" s="137">
        <v>136.0</v>
      </c>
      <c r="AC115" s="137">
        <v>656.0</v>
      </c>
      <c r="AD115" s="137">
        <v>160.0</v>
      </c>
      <c r="AE115" s="137">
        <v>636.0</v>
      </c>
      <c r="AF115" s="137">
        <v>258.0</v>
      </c>
      <c r="AG115" s="137">
        <v>632.0</v>
      </c>
      <c r="AH115" s="137">
        <v>158.0</v>
      </c>
      <c r="AI115" s="137">
        <v>520.0</v>
      </c>
      <c r="AJ115" s="137">
        <v>228.0</v>
      </c>
      <c r="AK115" s="137">
        <v>384.0</v>
      </c>
      <c r="AL115" s="137">
        <v>280.0</v>
      </c>
      <c r="AM115" s="137">
        <v>458.0</v>
      </c>
      <c r="AN115" s="134">
        <v>6954.0</v>
      </c>
    </row>
    <row r="116">
      <c r="A116" s="98"/>
      <c r="B116" s="136" t="s">
        <v>199</v>
      </c>
      <c r="C116" s="137">
        <v>280.0</v>
      </c>
      <c r="D116" s="137">
        <v>92.0</v>
      </c>
      <c r="E116" s="137">
        <v>188.0</v>
      </c>
      <c r="F116" s="137">
        <v>38.0</v>
      </c>
      <c r="G116" s="137">
        <v>30.0</v>
      </c>
      <c r="H116" s="137">
        <v>18.0</v>
      </c>
      <c r="I116" s="137">
        <v>6.0</v>
      </c>
      <c r="J116" s="137">
        <v>2.0</v>
      </c>
      <c r="K116" s="137">
        <v>0.0</v>
      </c>
      <c r="L116" s="137">
        <v>0.0</v>
      </c>
      <c r="M116" s="137">
        <v>0.0</v>
      </c>
      <c r="N116" s="137">
        <v>0.0</v>
      </c>
      <c r="O116" s="137">
        <v>0.0</v>
      </c>
      <c r="P116" s="137">
        <v>0.0</v>
      </c>
      <c r="Q116" s="137">
        <v>6.0</v>
      </c>
      <c r="R116" s="137">
        <v>2.0</v>
      </c>
      <c r="S116" s="137">
        <v>6.0</v>
      </c>
      <c r="T116" s="137">
        <v>2.0</v>
      </c>
      <c r="U116" s="137">
        <v>8.0</v>
      </c>
      <c r="V116" s="137">
        <v>0.0</v>
      </c>
      <c r="W116" s="137">
        <v>4.0</v>
      </c>
      <c r="X116" s="137">
        <v>0.0</v>
      </c>
      <c r="Y116" s="137">
        <v>2.0</v>
      </c>
      <c r="Z116" s="137">
        <v>2.0</v>
      </c>
      <c r="AA116" s="137">
        <v>16.0</v>
      </c>
      <c r="AB116" s="137">
        <v>0.0</v>
      </c>
      <c r="AC116" s="137">
        <v>18.0</v>
      </c>
      <c r="AD116" s="137">
        <v>4.0</v>
      </c>
      <c r="AE116" s="137">
        <v>18.0</v>
      </c>
      <c r="AF116" s="137">
        <v>4.0</v>
      </c>
      <c r="AG116" s="137">
        <v>22.0</v>
      </c>
      <c r="AH116" s="137">
        <v>6.0</v>
      </c>
      <c r="AI116" s="137">
        <v>18.0</v>
      </c>
      <c r="AJ116" s="137">
        <v>6.0</v>
      </c>
      <c r="AK116" s="137">
        <v>12.0</v>
      </c>
      <c r="AL116" s="137">
        <v>8.0</v>
      </c>
      <c r="AM116" s="137">
        <v>22.0</v>
      </c>
      <c r="AN116" s="137">
        <v>264.0</v>
      </c>
    </row>
    <row r="117">
      <c r="A117" s="98"/>
      <c r="B117" s="136" t="s">
        <v>206</v>
      </c>
      <c r="C117" s="137">
        <v>0.0</v>
      </c>
      <c r="D117" s="137">
        <v>0.0</v>
      </c>
      <c r="E117" s="137">
        <v>0.0</v>
      </c>
      <c r="F117" s="137">
        <v>0.0</v>
      </c>
      <c r="G117" s="137">
        <v>0.0</v>
      </c>
      <c r="H117" s="137">
        <v>0.0</v>
      </c>
      <c r="I117" s="137">
        <v>0.0</v>
      </c>
      <c r="J117" s="137">
        <v>0.0</v>
      </c>
      <c r="K117" s="137">
        <v>0.0</v>
      </c>
      <c r="L117" s="137">
        <v>0.0</v>
      </c>
      <c r="M117" s="137">
        <v>0.0</v>
      </c>
      <c r="N117" s="137">
        <v>0.0</v>
      </c>
      <c r="O117" s="137">
        <v>0.0</v>
      </c>
      <c r="P117" s="137">
        <v>0.0</v>
      </c>
      <c r="Q117" s="137">
        <v>0.0</v>
      </c>
      <c r="R117" s="137">
        <v>0.0</v>
      </c>
      <c r="S117" s="137">
        <v>0.0</v>
      </c>
      <c r="T117" s="137">
        <v>0.0</v>
      </c>
      <c r="U117" s="137">
        <v>0.0</v>
      </c>
      <c r="V117" s="137">
        <v>0.0</v>
      </c>
      <c r="W117" s="137">
        <v>0.0</v>
      </c>
      <c r="X117" s="137">
        <v>0.0</v>
      </c>
      <c r="Y117" s="137">
        <v>0.0</v>
      </c>
      <c r="Z117" s="137">
        <v>0.0</v>
      </c>
      <c r="AA117" s="137">
        <v>0.0</v>
      </c>
      <c r="AB117" s="137">
        <v>0.0</v>
      </c>
      <c r="AC117" s="137">
        <v>0.0</v>
      </c>
      <c r="AD117" s="137">
        <v>0.0</v>
      </c>
      <c r="AE117" s="137">
        <v>0.0</v>
      </c>
      <c r="AF117" s="137">
        <v>0.0</v>
      </c>
      <c r="AG117" s="137">
        <v>0.0</v>
      </c>
      <c r="AH117" s="137">
        <v>0.0</v>
      </c>
      <c r="AI117" s="137">
        <v>0.0</v>
      </c>
      <c r="AJ117" s="137">
        <v>0.0</v>
      </c>
      <c r="AK117" s="137">
        <v>0.0</v>
      </c>
      <c r="AL117" s="137">
        <v>0.0</v>
      </c>
      <c r="AM117" s="137">
        <v>0.0</v>
      </c>
      <c r="AN117" s="137">
        <v>0.0</v>
      </c>
    </row>
    <row r="118">
      <c r="A118" s="98"/>
      <c r="B118" s="136" t="s">
        <v>200</v>
      </c>
      <c r="C118" s="137">
        <v>296.0</v>
      </c>
      <c r="D118" s="137">
        <v>80.0</v>
      </c>
      <c r="E118" s="137">
        <v>216.0</v>
      </c>
      <c r="F118" s="137">
        <v>8.0</v>
      </c>
      <c r="G118" s="137">
        <v>14.0</v>
      </c>
      <c r="H118" s="137">
        <v>6.0</v>
      </c>
      <c r="I118" s="137">
        <v>6.0</v>
      </c>
      <c r="J118" s="137">
        <v>2.0</v>
      </c>
      <c r="K118" s="137">
        <v>4.0</v>
      </c>
      <c r="L118" s="137">
        <v>4.0</v>
      </c>
      <c r="M118" s="137">
        <v>6.0</v>
      </c>
      <c r="N118" s="137">
        <v>0.0</v>
      </c>
      <c r="O118" s="137">
        <v>4.0</v>
      </c>
      <c r="P118" s="137">
        <v>0.0</v>
      </c>
      <c r="Q118" s="137">
        <v>0.0</v>
      </c>
      <c r="R118" s="137">
        <v>2.0</v>
      </c>
      <c r="S118" s="137">
        <v>8.0</v>
      </c>
      <c r="T118" s="137">
        <v>2.0</v>
      </c>
      <c r="U118" s="137">
        <v>8.0</v>
      </c>
      <c r="V118" s="137">
        <v>0.0</v>
      </c>
      <c r="W118" s="137">
        <v>2.0</v>
      </c>
      <c r="X118" s="137">
        <v>4.0</v>
      </c>
      <c r="Y118" s="137">
        <v>26.0</v>
      </c>
      <c r="Z118" s="137">
        <v>4.0</v>
      </c>
      <c r="AA118" s="137">
        <v>22.0</v>
      </c>
      <c r="AB118" s="137">
        <v>4.0</v>
      </c>
      <c r="AC118" s="137">
        <v>24.0</v>
      </c>
      <c r="AD118" s="137">
        <v>8.0</v>
      </c>
      <c r="AE118" s="137">
        <v>18.0</v>
      </c>
      <c r="AF118" s="137">
        <v>12.0</v>
      </c>
      <c r="AG118" s="137">
        <v>14.0</v>
      </c>
      <c r="AH118" s="137">
        <v>4.0</v>
      </c>
      <c r="AI118" s="137">
        <v>30.0</v>
      </c>
      <c r="AJ118" s="137">
        <v>14.0</v>
      </c>
      <c r="AK118" s="137">
        <v>16.0</v>
      </c>
      <c r="AL118" s="137">
        <v>6.0</v>
      </c>
      <c r="AM118" s="137">
        <v>14.0</v>
      </c>
      <c r="AN118" s="137">
        <v>270.0</v>
      </c>
    </row>
    <row r="119">
      <c r="A119" s="104"/>
      <c r="B119" s="136" t="s">
        <v>201</v>
      </c>
      <c r="C119" s="137">
        <v>390.0</v>
      </c>
      <c r="D119" s="137">
        <v>86.0</v>
      </c>
      <c r="E119" s="137">
        <v>304.0</v>
      </c>
      <c r="F119" s="137">
        <v>10.0</v>
      </c>
      <c r="G119" s="137">
        <v>18.0</v>
      </c>
      <c r="H119" s="137">
        <v>8.0</v>
      </c>
      <c r="I119" s="137">
        <v>2.0</v>
      </c>
      <c r="J119" s="137">
        <v>6.0</v>
      </c>
      <c r="K119" s="137">
        <v>4.0</v>
      </c>
      <c r="L119" s="137">
        <v>2.0</v>
      </c>
      <c r="M119" s="137">
        <v>18.0</v>
      </c>
      <c r="N119" s="137">
        <v>12.0</v>
      </c>
      <c r="O119" s="137">
        <v>2.0</v>
      </c>
      <c r="P119" s="137">
        <v>0.0</v>
      </c>
      <c r="Q119" s="137">
        <v>14.0</v>
      </c>
      <c r="R119" s="137">
        <v>8.0</v>
      </c>
      <c r="S119" s="137">
        <v>18.0</v>
      </c>
      <c r="T119" s="137">
        <v>4.0</v>
      </c>
      <c r="U119" s="137">
        <v>12.0</v>
      </c>
      <c r="V119" s="137">
        <v>2.0</v>
      </c>
      <c r="W119" s="137">
        <v>32.0</v>
      </c>
      <c r="X119" s="137">
        <v>2.0</v>
      </c>
      <c r="Y119" s="137">
        <v>20.0</v>
      </c>
      <c r="Z119" s="137">
        <v>8.0</v>
      </c>
      <c r="AA119" s="137">
        <v>12.0</v>
      </c>
      <c r="AB119" s="137">
        <v>4.0</v>
      </c>
      <c r="AC119" s="137">
        <v>18.0</v>
      </c>
      <c r="AD119" s="137">
        <v>2.0</v>
      </c>
      <c r="AE119" s="137">
        <v>20.0</v>
      </c>
      <c r="AF119" s="137">
        <v>2.0</v>
      </c>
      <c r="AG119" s="137">
        <v>54.0</v>
      </c>
      <c r="AH119" s="137">
        <v>2.0</v>
      </c>
      <c r="AI119" s="137">
        <v>8.0</v>
      </c>
      <c r="AJ119" s="137">
        <v>4.0</v>
      </c>
      <c r="AK119" s="137">
        <v>12.0</v>
      </c>
      <c r="AL119" s="137">
        <v>10.0</v>
      </c>
      <c r="AM119" s="137">
        <v>40.0</v>
      </c>
      <c r="AN119" s="137">
        <v>346.0</v>
      </c>
    </row>
    <row r="120">
      <c r="A120" s="132" t="s">
        <v>208</v>
      </c>
      <c r="B120" s="136" t="s">
        <v>198</v>
      </c>
      <c r="C120" s="137">
        <v>22.0</v>
      </c>
      <c r="D120" s="137">
        <v>10.0</v>
      </c>
      <c r="E120" s="137">
        <v>12.0</v>
      </c>
      <c r="F120" s="137">
        <v>8.0</v>
      </c>
      <c r="G120" s="137">
        <v>6.0</v>
      </c>
      <c r="H120" s="137">
        <v>0.0</v>
      </c>
      <c r="I120" s="137">
        <v>2.0</v>
      </c>
      <c r="J120" s="137">
        <v>2.0</v>
      </c>
      <c r="K120" s="137">
        <v>4.0</v>
      </c>
      <c r="L120" s="137">
        <v>0.0</v>
      </c>
      <c r="M120" s="137">
        <v>0.0</v>
      </c>
      <c r="N120" s="137">
        <v>0.0</v>
      </c>
      <c r="O120" s="137">
        <v>0.0</v>
      </c>
      <c r="P120" s="135">
        <v>0.0</v>
      </c>
      <c r="Q120" s="135">
        <v>0.0</v>
      </c>
      <c r="R120" s="135">
        <v>0.0</v>
      </c>
      <c r="S120" s="135">
        <v>0.0</v>
      </c>
      <c r="T120" s="135">
        <v>0.0</v>
      </c>
      <c r="U120" s="135">
        <v>0.0</v>
      </c>
      <c r="V120" s="135">
        <v>0.0</v>
      </c>
      <c r="W120" s="135">
        <v>0.0</v>
      </c>
      <c r="X120" s="135">
        <v>0.0</v>
      </c>
      <c r="Y120" s="135">
        <v>0.0</v>
      </c>
      <c r="Z120" s="135">
        <v>0.0</v>
      </c>
      <c r="AA120" s="135">
        <v>0.0</v>
      </c>
      <c r="AB120" s="135">
        <v>0.0</v>
      </c>
      <c r="AC120" s="135">
        <v>0.0</v>
      </c>
      <c r="AD120" s="135">
        <v>0.0</v>
      </c>
      <c r="AE120" s="135">
        <v>0.0</v>
      </c>
      <c r="AF120" s="135">
        <v>0.0</v>
      </c>
      <c r="AG120" s="135">
        <v>0.0</v>
      </c>
      <c r="AH120" s="135">
        <v>0.0</v>
      </c>
      <c r="AI120" s="135">
        <v>0.0</v>
      </c>
      <c r="AJ120" s="135">
        <v>0.0</v>
      </c>
      <c r="AK120" s="135">
        <v>0.0</v>
      </c>
      <c r="AL120" s="135">
        <v>0.0</v>
      </c>
      <c r="AM120" s="135">
        <v>0.0</v>
      </c>
      <c r="AN120" s="137">
        <v>14.0</v>
      </c>
    </row>
    <row r="121">
      <c r="A121" s="98"/>
      <c r="B121" s="136" t="s">
        <v>199</v>
      </c>
      <c r="C121" s="137">
        <v>0.0</v>
      </c>
      <c r="D121" s="137">
        <v>0.0</v>
      </c>
      <c r="E121" s="137">
        <v>0.0</v>
      </c>
      <c r="F121" s="137">
        <v>0.0</v>
      </c>
      <c r="G121" s="137">
        <v>0.0</v>
      </c>
      <c r="H121" s="137">
        <v>0.0</v>
      </c>
      <c r="I121" s="137">
        <v>0.0</v>
      </c>
      <c r="J121" s="137">
        <v>0.0</v>
      </c>
      <c r="K121" s="137">
        <v>0.0</v>
      </c>
      <c r="L121" s="137">
        <v>0.0</v>
      </c>
      <c r="M121" s="137">
        <v>0.0</v>
      </c>
      <c r="N121" s="137">
        <v>0.0</v>
      </c>
      <c r="O121" s="137">
        <v>0.0</v>
      </c>
      <c r="P121" s="135">
        <v>0.0</v>
      </c>
      <c r="Q121" s="135">
        <v>0.0</v>
      </c>
      <c r="R121" s="135">
        <v>0.0</v>
      </c>
      <c r="S121" s="135">
        <v>0.0</v>
      </c>
      <c r="T121" s="135">
        <v>0.0</v>
      </c>
      <c r="U121" s="135">
        <v>0.0</v>
      </c>
      <c r="V121" s="135">
        <v>0.0</v>
      </c>
      <c r="W121" s="135">
        <v>0.0</v>
      </c>
      <c r="X121" s="135">
        <v>0.0</v>
      </c>
      <c r="Y121" s="135">
        <v>0.0</v>
      </c>
      <c r="Z121" s="135">
        <v>0.0</v>
      </c>
      <c r="AA121" s="135">
        <v>0.0</v>
      </c>
      <c r="AB121" s="135">
        <v>0.0</v>
      </c>
      <c r="AC121" s="135">
        <v>0.0</v>
      </c>
      <c r="AD121" s="135">
        <v>0.0</v>
      </c>
      <c r="AE121" s="135">
        <v>0.0</v>
      </c>
      <c r="AF121" s="135">
        <v>0.0</v>
      </c>
      <c r="AG121" s="135">
        <v>0.0</v>
      </c>
      <c r="AH121" s="135">
        <v>0.0</v>
      </c>
      <c r="AI121" s="135">
        <v>0.0</v>
      </c>
      <c r="AJ121" s="135">
        <v>0.0</v>
      </c>
      <c r="AK121" s="135">
        <v>0.0</v>
      </c>
      <c r="AL121" s="135">
        <v>0.0</v>
      </c>
      <c r="AM121" s="135">
        <v>0.0</v>
      </c>
      <c r="AN121" s="137">
        <v>0.0</v>
      </c>
    </row>
    <row r="122">
      <c r="A122" s="98"/>
      <c r="B122" s="136" t="s">
        <v>206</v>
      </c>
      <c r="C122" s="137">
        <v>0.0</v>
      </c>
      <c r="D122" s="137">
        <v>0.0</v>
      </c>
      <c r="E122" s="137">
        <v>0.0</v>
      </c>
      <c r="F122" s="137">
        <v>0.0</v>
      </c>
      <c r="G122" s="137">
        <v>0.0</v>
      </c>
      <c r="H122" s="137">
        <v>0.0</v>
      </c>
      <c r="I122" s="137">
        <v>0.0</v>
      </c>
      <c r="J122" s="137">
        <v>0.0</v>
      </c>
      <c r="K122" s="137">
        <v>0.0</v>
      </c>
      <c r="L122" s="137">
        <v>0.0</v>
      </c>
      <c r="M122" s="137">
        <v>0.0</v>
      </c>
      <c r="N122" s="137">
        <v>0.0</v>
      </c>
      <c r="O122" s="137">
        <v>0.0</v>
      </c>
      <c r="P122" s="135">
        <v>0.0</v>
      </c>
      <c r="Q122" s="135">
        <v>0.0</v>
      </c>
      <c r="R122" s="135">
        <v>0.0</v>
      </c>
      <c r="S122" s="135">
        <v>0.0</v>
      </c>
      <c r="T122" s="135">
        <v>0.0</v>
      </c>
      <c r="U122" s="135">
        <v>0.0</v>
      </c>
      <c r="V122" s="135">
        <v>0.0</v>
      </c>
      <c r="W122" s="135">
        <v>0.0</v>
      </c>
      <c r="X122" s="135">
        <v>0.0</v>
      </c>
      <c r="Y122" s="135">
        <v>0.0</v>
      </c>
      <c r="Z122" s="135">
        <v>0.0</v>
      </c>
      <c r="AA122" s="135">
        <v>0.0</v>
      </c>
      <c r="AB122" s="135">
        <v>0.0</v>
      </c>
      <c r="AC122" s="135">
        <v>0.0</v>
      </c>
      <c r="AD122" s="135">
        <v>0.0</v>
      </c>
      <c r="AE122" s="135">
        <v>0.0</v>
      </c>
      <c r="AF122" s="135">
        <v>0.0</v>
      </c>
      <c r="AG122" s="135">
        <v>0.0</v>
      </c>
      <c r="AH122" s="135">
        <v>0.0</v>
      </c>
      <c r="AI122" s="135">
        <v>0.0</v>
      </c>
      <c r="AJ122" s="135">
        <v>0.0</v>
      </c>
      <c r="AK122" s="135">
        <v>0.0</v>
      </c>
      <c r="AL122" s="135">
        <v>0.0</v>
      </c>
      <c r="AM122" s="135">
        <v>0.0</v>
      </c>
      <c r="AN122" s="137">
        <v>0.0</v>
      </c>
    </row>
    <row r="123">
      <c r="A123" s="98"/>
      <c r="B123" s="136" t="s">
        <v>200</v>
      </c>
      <c r="C123" s="137">
        <v>2.0</v>
      </c>
      <c r="D123" s="137">
        <v>2.0</v>
      </c>
      <c r="E123" s="137">
        <v>0.0</v>
      </c>
      <c r="F123" s="137">
        <v>0.0</v>
      </c>
      <c r="G123" s="137">
        <v>0.0</v>
      </c>
      <c r="H123" s="137">
        <v>0.0</v>
      </c>
      <c r="I123" s="137">
        <v>0.0</v>
      </c>
      <c r="J123" s="137">
        <v>2.0</v>
      </c>
      <c r="K123" s="137">
        <v>0.0</v>
      </c>
      <c r="L123" s="137">
        <v>0.0</v>
      </c>
      <c r="M123" s="137">
        <v>0.0</v>
      </c>
      <c r="N123" s="137">
        <v>0.0</v>
      </c>
      <c r="O123" s="137">
        <v>0.0</v>
      </c>
      <c r="P123" s="135">
        <v>0.0</v>
      </c>
      <c r="Q123" s="135">
        <v>0.0</v>
      </c>
      <c r="R123" s="135">
        <v>0.0</v>
      </c>
      <c r="S123" s="135">
        <v>0.0</v>
      </c>
      <c r="T123" s="135">
        <v>0.0</v>
      </c>
      <c r="U123" s="135">
        <v>0.0</v>
      </c>
      <c r="V123" s="135">
        <v>0.0</v>
      </c>
      <c r="W123" s="135">
        <v>0.0</v>
      </c>
      <c r="X123" s="135">
        <v>0.0</v>
      </c>
      <c r="Y123" s="135">
        <v>0.0</v>
      </c>
      <c r="Z123" s="135">
        <v>0.0</v>
      </c>
      <c r="AA123" s="135">
        <v>0.0</v>
      </c>
      <c r="AB123" s="135">
        <v>0.0</v>
      </c>
      <c r="AC123" s="135">
        <v>0.0</v>
      </c>
      <c r="AD123" s="135">
        <v>0.0</v>
      </c>
      <c r="AE123" s="135">
        <v>0.0</v>
      </c>
      <c r="AF123" s="135">
        <v>0.0</v>
      </c>
      <c r="AG123" s="135">
        <v>0.0</v>
      </c>
      <c r="AH123" s="135">
        <v>0.0</v>
      </c>
      <c r="AI123" s="135">
        <v>0.0</v>
      </c>
      <c r="AJ123" s="135">
        <v>0.0</v>
      </c>
      <c r="AK123" s="135">
        <v>0.0</v>
      </c>
      <c r="AL123" s="135">
        <v>0.0</v>
      </c>
      <c r="AM123" s="135">
        <v>0.0</v>
      </c>
      <c r="AN123" s="137">
        <v>0.0</v>
      </c>
    </row>
    <row r="124">
      <c r="A124" s="104"/>
      <c r="B124" s="136" t="s">
        <v>201</v>
      </c>
      <c r="C124" s="137">
        <v>2.0</v>
      </c>
      <c r="D124" s="137">
        <v>2.0</v>
      </c>
      <c r="E124" s="137">
        <v>0.0</v>
      </c>
      <c r="F124" s="137">
        <v>2.0</v>
      </c>
      <c r="G124" s="137">
        <v>0.0</v>
      </c>
      <c r="H124" s="137">
        <v>0.0</v>
      </c>
      <c r="I124" s="137">
        <v>0.0</v>
      </c>
      <c r="J124" s="137">
        <v>0.0</v>
      </c>
      <c r="K124" s="137">
        <v>0.0</v>
      </c>
      <c r="L124" s="137">
        <v>0.0</v>
      </c>
      <c r="M124" s="137">
        <v>0.0</v>
      </c>
      <c r="N124" s="137">
        <v>0.0</v>
      </c>
      <c r="O124" s="137">
        <v>0.0</v>
      </c>
      <c r="P124" s="135">
        <v>0.0</v>
      </c>
      <c r="Q124" s="135">
        <v>0.0</v>
      </c>
      <c r="R124" s="135">
        <v>0.0</v>
      </c>
      <c r="S124" s="135">
        <v>0.0</v>
      </c>
      <c r="T124" s="135">
        <v>0.0</v>
      </c>
      <c r="U124" s="135">
        <v>0.0</v>
      </c>
      <c r="V124" s="135">
        <v>0.0</v>
      </c>
      <c r="W124" s="135">
        <v>0.0</v>
      </c>
      <c r="X124" s="135">
        <v>0.0</v>
      </c>
      <c r="Y124" s="135">
        <v>0.0</v>
      </c>
      <c r="Z124" s="135">
        <v>0.0</v>
      </c>
      <c r="AA124" s="135">
        <v>0.0</v>
      </c>
      <c r="AB124" s="135">
        <v>0.0</v>
      </c>
      <c r="AC124" s="135">
        <v>0.0</v>
      </c>
      <c r="AD124" s="135">
        <v>0.0</v>
      </c>
      <c r="AE124" s="135">
        <v>0.0</v>
      </c>
      <c r="AF124" s="135">
        <v>0.0</v>
      </c>
      <c r="AG124" s="135">
        <v>0.0</v>
      </c>
      <c r="AH124" s="135">
        <v>0.0</v>
      </c>
      <c r="AI124" s="135">
        <v>0.0</v>
      </c>
      <c r="AJ124" s="135">
        <v>0.0</v>
      </c>
      <c r="AK124" s="135">
        <v>0.0</v>
      </c>
      <c r="AL124" s="135">
        <v>0.0</v>
      </c>
      <c r="AM124" s="135">
        <v>0.0</v>
      </c>
      <c r="AN124" s="137">
        <v>2.0</v>
      </c>
    </row>
    <row r="125">
      <c r="A125" s="138" t="s">
        <v>244</v>
      </c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</row>
    <row r="126">
      <c r="A126" s="132" t="s">
        <v>197</v>
      </c>
      <c r="B126" s="133" t="s">
        <v>198</v>
      </c>
      <c r="C126" s="134">
        <v>125718.0</v>
      </c>
      <c r="D126" s="134">
        <v>44744.0</v>
      </c>
      <c r="E126" s="134">
        <v>82384.0</v>
      </c>
      <c r="F126" s="135">
        <v>0.0</v>
      </c>
      <c r="G126" s="135">
        <v>0.0</v>
      </c>
      <c r="H126" s="135">
        <v>0.0</v>
      </c>
      <c r="I126" s="135">
        <v>0.0</v>
      </c>
      <c r="J126" s="135">
        <v>0.0</v>
      </c>
      <c r="K126" s="135">
        <v>0.0</v>
      </c>
      <c r="L126" s="137">
        <v>112.0</v>
      </c>
      <c r="M126" s="137">
        <v>170.0</v>
      </c>
      <c r="N126" s="137">
        <v>130.0</v>
      </c>
      <c r="O126" s="137">
        <v>362.0</v>
      </c>
      <c r="P126" s="137">
        <v>200.0</v>
      </c>
      <c r="Q126" s="137">
        <v>506.0</v>
      </c>
      <c r="R126" s="137">
        <v>388.0</v>
      </c>
      <c r="S126" s="134">
        <v>1042.0</v>
      </c>
      <c r="T126" s="137">
        <v>692.0</v>
      </c>
      <c r="U126" s="134">
        <v>1806.0</v>
      </c>
      <c r="V126" s="134">
        <v>1126.0</v>
      </c>
      <c r="W126" s="134">
        <v>2976.0</v>
      </c>
      <c r="X126" s="134">
        <v>1938.0</v>
      </c>
      <c r="Y126" s="134">
        <v>5068.0</v>
      </c>
      <c r="Z126" s="134">
        <v>3250.0</v>
      </c>
      <c r="AA126" s="134">
        <v>8180.0</v>
      </c>
      <c r="AB126" s="134">
        <v>4846.0</v>
      </c>
      <c r="AC126" s="134">
        <v>10306.0</v>
      </c>
      <c r="AD126" s="134">
        <v>6006.0</v>
      </c>
      <c r="AE126" s="134">
        <v>11118.0</v>
      </c>
      <c r="AF126" s="134">
        <v>6862.0</v>
      </c>
      <c r="AG126" s="134">
        <v>11458.0</v>
      </c>
      <c r="AH126" s="134">
        <v>6618.0</v>
      </c>
      <c r="AI126" s="134">
        <v>10216.0</v>
      </c>
      <c r="AJ126" s="134">
        <v>5846.0</v>
      </c>
      <c r="AK126" s="134">
        <v>8740.0</v>
      </c>
      <c r="AL126" s="134">
        <v>6730.0</v>
      </c>
      <c r="AM126" s="134">
        <v>10434.0</v>
      </c>
      <c r="AN126" s="134">
        <v>124684.0</v>
      </c>
    </row>
    <row r="127">
      <c r="A127" s="98"/>
      <c r="B127" s="136" t="s">
        <v>199</v>
      </c>
      <c r="C127" s="134">
        <v>48060.0</v>
      </c>
      <c r="D127" s="134">
        <v>16898.0</v>
      </c>
      <c r="E127" s="134">
        <v>30308.0</v>
      </c>
      <c r="F127" s="135">
        <v>0.0</v>
      </c>
      <c r="G127" s="135">
        <v>0.0</v>
      </c>
      <c r="H127" s="135">
        <v>0.0</v>
      </c>
      <c r="I127" s="135">
        <v>0.0</v>
      </c>
      <c r="J127" s="135">
        <v>0.0</v>
      </c>
      <c r="K127" s="135">
        <v>0.0</v>
      </c>
      <c r="L127" s="137">
        <v>18.0</v>
      </c>
      <c r="M127" s="137">
        <v>36.0</v>
      </c>
      <c r="N127" s="137">
        <v>32.0</v>
      </c>
      <c r="O127" s="137">
        <v>90.0</v>
      </c>
      <c r="P127" s="137">
        <v>70.0</v>
      </c>
      <c r="Q127" s="137">
        <v>202.0</v>
      </c>
      <c r="R127" s="137">
        <v>140.0</v>
      </c>
      <c r="S127" s="137">
        <v>424.0</v>
      </c>
      <c r="T127" s="137">
        <v>260.0</v>
      </c>
      <c r="U127" s="137">
        <v>618.0</v>
      </c>
      <c r="V127" s="137">
        <v>404.0</v>
      </c>
      <c r="W127" s="134">
        <v>1030.0</v>
      </c>
      <c r="X127" s="137">
        <v>748.0</v>
      </c>
      <c r="Y127" s="134">
        <v>1738.0</v>
      </c>
      <c r="Z127" s="134">
        <v>1214.0</v>
      </c>
      <c r="AA127" s="134">
        <v>2810.0</v>
      </c>
      <c r="AB127" s="134">
        <v>1676.0</v>
      </c>
      <c r="AC127" s="134">
        <v>3632.0</v>
      </c>
      <c r="AD127" s="134">
        <v>2124.0</v>
      </c>
      <c r="AE127" s="134">
        <v>3858.0</v>
      </c>
      <c r="AF127" s="134">
        <v>2848.0</v>
      </c>
      <c r="AG127" s="134">
        <v>4512.0</v>
      </c>
      <c r="AH127" s="134">
        <v>2648.0</v>
      </c>
      <c r="AI127" s="134">
        <v>4074.0</v>
      </c>
      <c r="AJ127" s="134">
        <v>2420.0</v>
      </c>
      <c r="AK127" s="134">
        <v>3336.0</v>
      </c>
      <c r="AL127" s="134">
        <v>2294.0</v>
      </c>
      <c r="AM127" s="134">
        <v>3948.0</v>
      </c>
      <c r="AN127" s="134">
        <v>45758.0</v>
      </c>
    </row>
    <row r="128">
      <c r="A128" s="98"/>
      <c r="B128" s="136" t="s">
        <v>200</v>
      </c>
      <c r="C128" s="134">
        <v>40686.0</v>
      </c>
      <c r="D128" s="134">
        <v>13560.0</v>
      </c>
      <c r="E128" s="134">
        <v>26784.0</v>
      </c>
      <c r="F128" s="135">
        <v>0.0</v>
      </c>
      <c r="G128" s="135">
        <v>0.0</v>
      </c>
      <c r="H128" s="135">
        <v>0.0</v>
      </c>
      <c r="I128" s="135">
        <v>2.0</v>
      </c>
      <c r="J128" s="135">
        <v>2.0</v>
      </c>
      <c r="K128" s="135">
        <v>0.0</v>
      </c>
      <c r="L128" s="137">
        <v>34.0</v>
      </c>
      <c r="M128" s="137">
        <v>62.0</v>
      </c>
      <c r="N128" s="137">
        <v>48.0</v>
      </c>
      <c r="O128" s="137">
        <v>128.0</v>
      </c>
      <c r="P128" s="137">
        <v>64.0</v>
      </c>
      <c r="Q128" s="137">
        <v>230.0</v>
      </c>
      <c r="R128" s="137">
        <v>188.0</v>
      </c>
      <c r="S128" s="137">
        <v>428.0</v>
      </c>
      <c r="T128" s="137">
        <v>274.0</v>
      </c>
      <c r="U128" s="137">
        <v>690.0</v>
      </c>
      <c r="V128" s="137">
        <v>474.0</v>
      </c>
      <c r="W128" s="134">
        <v>1166.0</v>
      </c>
      <c r="X128" s="137">
        <v>658.0</v>
      </c>
      <c r="Y128" s="134">
        <v>1950.0</v>
      </c>
      <c r="Z128" s="134">
        <v>1114.0</v>
      </c>
      <c r="AA128" s="134">
        <v>2962.0</v>
      </c>
      <c r="AB128" s="134">
        <v>1576.0</v>
      </c>
      <c r="AC128" s="134">
        <v>3662.0</v>
      </c>
      <c r="AD128" s="134">
        <v>1828.0</v>
      </c>
      <c r="AE128" s="134">
        <v>3684.0</v>
      </c>
      <c r="AF128" s="134">
        <v>1992.0</v>
      </c>
      <c r="AG128" s="134">
        <v>3556.0</v>
      </c>
      <c r="AH128" s="134">
        <v>1952.0</v>
      </c>
      <c r="AI128" s="134">
        <v>3130.0</v>
      </c>
      <c r="AJ128" s="134">
        <v>1674.0</v>
      </c>
      <c r="AK128" s="134">
        <v>2382.0</v>
      </c>
      <c r="AL128" s="134">
        <v>1682.0</v>
      </c>
      <c r="AM128" s="134">
        <v>2754.0</v>
      </c>
      <c r="AN128" s="134">
        <v>39792.0</v>
      </c>
    </row>
    <row r="129">
      <c r="A129" s="104"/>
      <c r="B129" s="136" t="s">
        <v>201</v>
      </c>
      <c r="C129" s="134">
        <v>10756.0</v>
      </c>
      <c r="D129" s="134">
        <v>3972.0</v>
      </c>
      <c r="E129" s="134">
        <v>6570.0</v>
      </c>
      <c r="F129" s="135">
        <v>0.0</v>
      </c>
      <c r="G129" s="135">
        <v>0.0</v>
      </c>
      <c r="H129" s="135">
        <v>0.0</v>
      </c>
      <c r="I129" s="135">
        <v>0.0</v>
      </c>
      <c r="J129" s="135">
        <v>0.0</v>
      </c>
      <c r="K129" s="135">
        <v>0.0</v>
      </c>
      <c r="L129" s="137">
        <v>4.0</v>
      </c>
      <c r="M129" s="137">
        <v>12.0</v>
      </c>
      <c r="N129" s="137">
        <v>2.0</v>
      </c>
      <c r="O129" s="137">
        <v>16.0</v>
      </c>
      <c r="P129" s="137">
        <v>56.0</v>
      </c>
      <c r="Q129" s="137">
        <v>26.0</v>
      </c>
      <c r="R129" s="137">
        <v>54.0</v>
      </c>
      <c r="S129" s="137">
        <v>140.0</v>
      </c>
      <c r="T129" s="137">
        <v>66.0</v>
      </c>
      <c r="U129" s="137">
        <v>58.0</v>
      </c>
      <c r="V129" s="137">
        <v>140.0</v>
      </c>
      <c r="W129" s="137">
        <v>238.0</v>
      </c>
      <c r="X129" s="137">
        <v>154.0</v>
      </c>
      <c r="Y129" s="137">
        <v>394.0</v>
      </c>
      <c r="Z129" s="137">
        <v>208.0</v>
      </c>
      <c r="AA129" s="137">
        <v>748.0</v>
      </c>
      <c r="AB129" s="137">
        <v>488.0</v>
      </c>
      <c r="AC129" s="137">
        <v>782.0</v>
      </c>
      <c r="AD129" s="137">
        <v>606.0</v>
      </c>
      <c r="AE129" s="137">
        <v>810.0</v>
      </c>
      <c r="AF129" s="137">
        <v>664.0</v>
      </c>
      <c r="AG129" s="137">
        <v>914.0</v>
      </c>
      <c r="AH129" s="137">
        <v>520.0</v>
      </c>
      <c r="AI129" s="137">
        <v>712.0</v>
      </c>
      <c r="AJ129" s="137">
        <v>396.0</v>
      </c>
      <c r="AK129" s="137">
        <v>836.0</v>
      </c>
      <c r="AL129" s="137">
        <v>614.0</v>
      </c>
      <c r="AM129" s="137">
        <v>884.0</v>
      </c>
      <c r="AN129" s="134">
        <v>10524.0</v>
      </c>
    </row>
    <row r="130">
      <c r="A130" s="132" t="s">
        <v>202</v>
      </c>
      <c r="B130" s="136" t="s">
        <v>198</v>
      </c>
      <c r="C130" s="137">
        <v>526.0</v>
      </c>
      <c r="D130" s="137">
        <v>328.0</v>
      </c>
      <c r="E130" s="137">
        <v>208.0</v>
      </c>
      <c r="F130" s="137">
        <v>4.0</v>
      </c>
      <c r="G130" s="137">
        <v>6.0</v>
      </c>
      <c r="H130" s="137">
        <v>6.0</v>
      </c>
      <c r="I130" s="137">
        <v>8.0</v>
      </c>
      <c r="J130" s="137">
        <v>10.0</v>
      </c>
      <c r="K130" s="137">
        <v>24.0</v>
      </c>
      <c r="L130" s="137">
        <v>14.0</v>
      </c>
      <c r="M130" s="137">
        <v>8.0</v>
      </c>
      <c r="N130" s="137">
        <v>18.0</v>
      </c>
      <c r="O130" s="137">
        <v>20.0</v>
      </c>
      <c r="P130" s="137">
        <v>18.0</v>
      </c>
      <c r="Q130" s="137">
        <v>16.0</v>
      </c>
      <c r="R130" s="137">
        <v>16.0</v>
      </c>
      <c r="S130" s="137">
        <v>24.0</v>
      </c>
      <c r="T130" s="137">
        <v>36.0</v>
      </c>
      <c r="U130" s="137">
        <v>6.0</v>
      </c>
      <c r="V130" s="137">
        <v>34.0</v>
      </c>
      <c r="W130" s="137">
        <v>14.0</v>
      </c>
      <c r="X130" s="137">
        <v>28.0</v>
      </c>
      <c r="Y130" s="137">
        <v>2.0</v>
      </c>
      <c r="Z130" s="137">
        <v>26.0</v>
      </c>
      <c r="AA130" s="137">
        <v>30.0</v>
      </c>
      <c r="AB130" s="137">
        <v>28.0</v>
      </c>
      <c r="AC130" s="137">
        <v>8.0</v>
      </c>
      <c r="AD130" s="137">
        <v>14.0</v>
      </c>
      <c r="AE130" s="137">
        <v>12.0</v>
      </c>
      <c r="AF130" s="137">
        <v>28.0</v>
      </c>
      <c r="AG130" s="137">
        <v>6.0</v>
      </c>
      <c r="AH130" s="137">
        <v>20.0</v>
      </c>
      <c r="AI130" s="137">
        <v>10.0</v>
      </c>
      <c r="AJ130" s="137">
        <v>4.0</v>
      </c>
      <c r="AK130" s="137">
        <v>6.0</v>
      </c>
      <c r="AL130" s="137">
        <v>24.0</v>
      </c>
      <c r="AM130" s="137">
        <v>8.0</v>
      </c>
      <c r="AN130" s="137">
        <v>510.0</v>
      </c>
    </row>
    <row r="131">
      <c r="A131" s="104"/>
      <c r="B131" s="136" t="s">
        <v>199</v>
      </c>
      <c r="C131" s="137">
        <v>176.0</v>
      </c>
      <c r="D131" s="137">
        <v>104.0</v>
      </c>
      <c r="E131" s="137">
        <v>66.0</v>
      </c>
      <c r="F131" s="137">
        <v>0.0</v>
      </c>
      <c r="G131" s="137">
        <v>2.0</v>
      </c>
      <c r="H131" s="137">
        <v>0.0</v>
      </c>
      <c r="I131" s="137">
        <v>0.0</v>
      </c>
      <c r="J131" s="137">
        <v>2.0</v>
      </c>
      <c r="K131" s="137">
        <v>4.0</v>
      </c>
      <c r="L131" s="137">
        <v>6.0</v>
      </c>
      <c r="M131" s="137">
        <v>6.0</v>
      </c>
      <c r="N131" s="137">
        <v>6.0</v>
      </c>
      <c r="O131" s="137">
        <v>4.0</v>
      </c>
      <c r="P131" s="137">
        <v>4.0</v>
      </c>
      <c r="Q131" s="137">
        <v>0.0</v>
      </c>
      <c r="R131" s="137">
        <v>14.0</v>
      </c>
      <c r="S131" s="137">
        <v>4.0</v>
      </c>
      <c r="T131" s="137">
        <v>6.0</v>
      </c>
      <c r="U131" s="137">
        <v>4.0</v>
      </c>
      <c r="V131" s="137">
        <v>12.0</v>
      </c>
      <c r="W131" s="137">
        <v>12.0</v>
      </c>
      <c r="X131" s="137">
        <v>18.0</v>
      </c>
      <c r="Y131" s="137">
        <v>0.0</v>
      </c>
      <c r="Z131" s="137">
        <v>6.0</v>
      </c>
      <c r="AA131" s="137">
        <v>16.0</v>
      </c>
      <c r="AB131" s="137">
        <v>6.0</v>
      </c>
      <c r="AC131" s="137">
        <v>2.0</v>
      </c>
      <c r="AD131" s="137">
        <v>12.0</v>
      </c>
      <c r="AE131" s="137">
        <v>6.0</v>
      </c>
      <c r="AF131" s="137">
        <v>4.0</v>
      </c>
      <c r="AG131" s="137">
        <v>4.0</v>
      </c>
      <c r="AH131" s="137">
        <v>2.0</v>
      </c>
      <c r="AI131" s="137">
        <v>0.0</v>
      </c>
      <c r="AJ131" s="137">
        <v>0.0</v>
      </c>
      <c r="AK131" s="137">
        <v>2.0</v>
      </c>
      <c r="AL131" s="137">
        <v>6.0</v>
      </c>
      <c r="AM131" s="137">
        <v>0.0</v>
      </c>
      <c r="AN131" s="137">
        <v>146.0</v>
      </c>
    </row>
    <row r="132">
      <c r="A132" s="132" t="s">
        <v>203</v>
      </c>
      <c r="B132" s="136" t="s">
        <v>198</v>
      </c>
      <c r="C132" s="137">
        <v>82.0</v>
      </c>
      <c r="D132" s="137">
        <v>30.0</v>
      </c>
      <c r="E132" s="137">
        <v>72.0</v>
      </c>
      <c r="F132" s="135">
        <v>0.0</v>
      </c>
      <c r="G132" s="135">
        <v>0.0</v>
      </c>
      <c r="H132" s="135">
        <v>0.0</v>
      </c>
      <c r="I132" s="135">
        <v>0.0</v>
      </c>
      <c r="J132" s="135">
        <v>0.0</v>
      </c>
      <c r="K132" s="135">
        <v>0.0</v>
      </c>
      <c r="L132" s="135">
        <v>0.0</v>
      </c>
      <c r="M132" s="135">
        <v>0.0</v>
      </c>
      <c r="N132" s="135">
        <v>0.0</v>
      </c>
      <c r="O132" s="135">
        <v>0.0</v>
      </c>
      <c r="P132" s="135">
        <v>0.0</v>
      </c>
      <c r="Q132" s="135">
        <v>0.0</v>
      </c>
      <c r="R132" s="135">
        <v>0.0</v>
      </c>
      <c r="S132" s="135">
        <v>0.0</v>
      </c>
      <c r="T132" s="135">
        <v>0.0</v>
      </c>
      <c r="U132" s="135">
        <v>0.0</v>
      </c>
      <c r="V132" s="135">
        <v>0.0</v>
      </c>
      <c r="W132" s="135">
        <v>0.0</v>
      </c>
      <c r="X132" s="135">
        <v>0.0</v>
      </c>
      <c r="Y132" s="135">
        <v>0.0</v>
      </c>
      <c r="Z132" s="135">
        <v>0.0</v>
      </c>
      <c r="AA132" s="135">
        <v>0.0</v>
      </c>
      <c r="AB132" s="135">
        <v>0.0</v>
      </c>
      <c r="AC132" s="135">
        <v>0.0</v>
      </c>
      <c r="AD132" s="135">
        <v>0.0</v>
      </c>
      <c r="AE132" s="135">
        <v>0.0</v>
      </c>
      <c r="AF132" s="137">
        <v>12.0</v>
      </c>
      <c r="AG132" s="137">
        <v>18.0</v>
      </c>
      <c r="AH132" s="137">
        <v>4.0</v>
      </c>
      <c r="AI132" s="137">
        <v>24.0</v>
      </c>
      <c r="AJ132" s="137">
        <v>6.0</v>
      </c>
      <c r="AK132" s="137">
        <v>14.0</v>
      </c>
      <c r="AL132" s="137">
        <v>8.0</v>
      </c>
      <c r="AM132" s="137">
        <v>16.0</v>
      </c>
      <c r="AN132" s="137">
        <v>78.0</v>
      </c>
    </row>
    <row r="133">
      <c r="A133" s="104"/>
      <c r="B133" s="136" t="s">
        <v>199</v>
      </c>
      <c r="C133" s="134">
        <v>1474.0</v>
      </c>
      <c r="D133" s="137">
        <v>534.0</v>
      </c>
      <c r="E133" s="137">
        <v>956.0</v>
      </c>
      <c r="F133" s="135">
        <v>0.0</v>
      </c>
      <c r="G133" s="135">
        <v>0.0</v>
      </c>
      <c r="H133" s="135">
        <v>0.0</v>
      </c>
      <c r="I133" s="135">
        <v>0.0</v>
      </c>
      <c r="J133" s="135">
        <v>0.0</v>
      </c>
      <c r="K133" s="135">
        <v>0.0</v>
      </c>
      <c r="L133" s="135">
        <v>0.0</v>
      </c>
      <c r="M133" s="135">
        <v>0.0</v>
      </c>
      <c r="N133" s="135">
        <v>0.0</v>
      </c>
      <c r="O133" s="135">
        <v>0.0</v>
      </c>
      <c r="P133" s="135">
        <v>0.0</v>
      </c>
      <c r="Q133" s="135">
        <v>0.0</v>
      </c>
      <c r="R133" s="135">
        <v>0.0</v>
      </c>
      <c r="S133" s="135">
        <v>0.0</v>
      </c>
      <c r="T133" s="135">
        <v>0.0</v>
      </c>
      <c r="U133" s="135">
        <v>0.0</v>
      </c>
      <c r="V133" s="135">
        <v>0.0</v>
      </c>
      <c r="W133" s="135">
        <v>0.0</v>
      </c>
      <c r="X133" s="135">
        <v>0.0</v>
      </c>
      <c r="Y133" s="135">
        <v>0.0</v>
      </c>
      <c r="Z133" s="135">
        <v>0.0</v>
      </c>
      <c r="AA133" s="135">
        <v>0.0</v>
      </c>
      <c r="AB133" s="135">
        <v>0.0</v>
      </c>
      <c r="AC133" s="135">
        <v>0.0</v>
      </c>
      <c r="AD133" s="135">
        <v>0.0</v>
      </c>
      <c r="AE133" s="135">
        <v>0.0</v>
      </c>
      <c r="AF133" s="137">
        <v>150.0</v>
      </c>
      <c r="AG133" s="137">
        <v>268.0</v>
      </c>
      <c r="AH133" s="137">
        <v>146.0</v>
      </c>
      <c r="AI133" s="137">
        <v>270.0</v>
      </c>
      <c r="AJ133" s="137">
        <v>116.0</v>
      </c>
      <c r="AK133" s="137">
        <v>232.0</v>
      </c>
      <c r="AL133" s="137">
        <v>122.0</v>
      </c>
      <c r="AM133" s="137">
        <v>186.0</v>
      </c>
      <c r="AN133" s="134">
        <v>1446.0</v>
      </c>
    </row>
    <row r="134">
      <c r="A134" s="132" t="s">
        <v>204</v>
      </c>
      <c r="B134" s="136" t="s">
        <v>198</v>
      </c>
      <c r="C134" s="137">
        <v>96.0</v>
      </c>
      <c r="D134" s="137">
        <v>20.0</v>
      </c>
      <c r="E134" s="137">
        <v>36.0</v>
      </c>
      <c r="F134" s="135">
        <v>0.0</v>
      </c>
      <c r="G134" s="135">
        <v>0.0</v>
      </c>
      <c r="H134" s="135">
        <v>0.0</v>
      </c>
      <c r="I134" s="135">
        <v>0.0</v>
      </c>
      <c r="J134" s="135">
        <v>0.0</v>
      </c>
      <c r="K134" s="135">
        <v>0.0</v>
      </c>
      <c r="L134" s="135">
        <v>0.0</v>
      </c>
      <c r="M134" s="135">
        <v>0.0</v>
      </c>
      <c r="N134" s="135">
        <v>0.0</v>
      </c>
      <c r="O134" s="135">
        <v>0.0</v>
      </c>
      <c r="P134" s="135">
        <v>0.0</v>
      </c>
      <c r="Q134" s="135">
        <v>0.0</v>
      </c>
      <c r="R134" s="135">
        <v>0.0</v>
      </c>
      <c r="S134" s="135">
        <v>0.0</v>
      </c>
      <c r="T134" s="135">
        <v>0.0</v>
      </c>
      <c r="U134" s="135">
        <v>0.0</v>
      </c>
      <c r="V134" s="135">
        <v>0.0</v>
      </c>
      <c r="W134" s="135">
        <v>0.0</v>
      </c>
      <c r="X134" s="135">
        <v>0.0</v>
      </c>
      <c r="Y134" s="135">
        <v>0.0</v>
      </c>
      <c r="Z134" s="135">
        <v>0.0</v>
      </c>
      <c r="AA134" s="135">
        <v>0.0</v>
      </c>
      <c r="AB134" s="135">
        <v>0.0</v>
      </c>
      <c r="AC134" s="135">
        <v>0.0</v>
      </c>
      <c r="AD134" s="135">
        <v>0.0</v>
      </c>
      <c r="AE134" s="135">
        <v>0.0</v>
      </c>
      <c r="AF134" s="137">
        <v>0.0</v>
      </c>
      <c r="AG134" s="137">
        <v>4.0</v>
      </c>
      <c r="AH134" s="137">
        <v>4.0</v>
      </c>
      <c r="AI134" s="137">
        <v>4.0</v>
      </c>
      <c r="AJ134" s="137">
        <v>6.0</v>
      </c>
      <c r="AK134" s="137">
        <v>4.0</v>
      </c>
      <c r="AL134" s="137">
        <v>10.0</v>
      </c>
      <c r="AM134" s="137">
        <v>24.0</v>
      </c>
      <c r="AN134" s="137">
        <v>56.0</v>
      </c>
    </row>
    <row r="135">
      <c r="A135" s="104"/>
      <c r="B135" s="136" t="s">
        <v>199</v>
      </c>
      <c r="C135" s="137">
        <v>566.0</v>
      </c>
      <c r="D135" s="137">
        <v>220.0</v>
      </c>
      <c r="E135" s="137">
        <v>360.0</v>
      </c>
      <c r="F135" s="135">
        <v>0.0</v>
      </c>
      <c r="G135" s="135">
        <v>0.0</v>
      </c>
      <c r="H135" s="135">
        <v>0.0</v>
      </c>
      <c r="I135" s="135">
        <v>0.0</v>
      </c>
      <c r="J135" s="135">
        <v>0.0</v>
      </c>
      <c r="K135" s="135">
        <v>0.0</v>
      </c>
      <c r="L135" s="135">
        <v>0.0</v>
      </c>
      <c r="M135" s="135">
        <v>0.0</v>
      </c>
      <c r="N135" s="135">
        <v>0.0</v>
      </c>
      <c r="O135" s="135">
        <v>0.0</v>
      </c>
      <c r="P135" s="135">
        <v>0.0</v>
      </c>
      <c r="Q135" s="135">
        <v>0.0</v>
      </c>
      <c r="R135" s="135">
        <v>0.0</v>
      </c>
      <c r="S135" s="135">
        <v>0.0</v>
      </c>
      <c r="T135" s="135">
        <v>0.0</v>
      </c>
      <c r="U135" s="135">
        <v>0.0</v>
      </c>
      <c r="V135" s="135">
        <v>0.0</v>
      </c>
      <c r="W135" s="135">
        <v>0.0</v>
      </c>
      <c r="X135" s="135">
        <v>0.0</v>
      </c>
      <c r="Y135" s="135">
        <v>0.0</v>
      </c>
      <c r="Z135" s="135">
        <v>0.0</v>
      </c>
      <c r="AA135" s="135">
        <v>0.0</v>
      </c>
      <c r="AB135" s="135">
        <v>0.0</v>
      </c>
      <c r="AC135" s="135">
        <v>0.0</v>
      </c>
      <c r="AD135" s="135">
        <v>0.0</v>
      </c>
      <c r="AE135" s="135">
        <v>0.0</v>
      </c>
      <c r="AF135" s="137">
        <v>44.0</v>
      </c>
      <c r="AG135" s="137">
        <v>22.0</v>
      </c>
      <c r="AH135" s="137">
        <v>36.0</v>
      </c>
      <c r="AI135" s="137">
        <v>56.0</v>
      </c>
      <c r="AJ135" s="137">
        <v>32.0</v>
      </c>
      <c r="AK135" s="137">
        <v>84.0</v>
      </c>
      <c r="AL135" s="137">
        <v>108.0</v>
      </c>
      <c r="AM135" s="137">
        <v>198.0</v>
      </c>
      <c r="AN135" s="137">
        <v>572.0</v>
      </c>
    </row>
    <row r="136">
      <c r="A136" s="132" t="s">
        <v>205</v>
      </c>
      <c r="B136" s="136" t="s">
        <v>198</v>
      </c>
      <c r="C136" s="137">
        <v>56.0</v>
      </c>
      <c r="D136" s="137">
        <v>14.0</v>
      </c>
      <c r="E136" s="137">
        <v>28.0</v>
      </c>
      <c r="F136" s="137">
        <v>2.0</v>
      </c>
      <c r="G136" s="137">
        <v>0.0</v>
      </c>
      <c r="H136" s="137">
        <v>0.0</v>
      </c>
      <c r="I136" s="137">
        <v>0.0</v>
      </c>
      <c r="J136" s="137">
        <v>0.0</v>
      </c>
      <c r="K136" s="137">
        <v>0.0</v>
      </c>
      <c r="L136" s="137">
        <v>0.0</v>
      </c>
      <c r="M136" s="137">
        <v>4.0</v>
      </c>
      <c r="N136" s="137">
        <v>4.0</v>
      </c>
      <c r="O136" s="137">
        <v>2.0</v>
      </c>
      <c r="P136" s="137">
        <v>4.0</v>
      </c>
      <c r="Q136" s="137">
        <v>2.0</v>
      </c>
      <c r="R136" s="137">
        <v>0.0</v>
      </c>
      <c r="S136" s="137">
        <v>2.0</v>
      </c>
      <c r="T136" s="137">
        <v>0.0</v>
      </c>
      <c r="U136" s="137">
        <v>4.0</v>
      </c>
      <c r="V136" s="137">
        <v>2.0</v>
      </c>
      <c r="W136" s="137">
        <v>0.0</v>
      </c>
      <c r="X136" s="137">
        <v>0.0</v>
      </c>
      <c r="Y136" s="137">
        <v>6.0</v>
      </c>
      <c r="Z136" s="137">
        <v>0.0</v>
      </c>
      <c r="AA136" s="137">
        <v>0.0</v>
      </c>
      <c r="AB136" s="137">
        <v>0.0</v>
      </c>
      <c r="AC136" s="137">
        <v>2.0</v>
      </c>
      <c r="AD136" s="137">
        <v>2.0</v>
      </c>
      <c r="AE136" s="137">
        <v>2.0</v>
      </c>
      <c r="AF136" s="137">
        <v>0.0</v>
      </c>
      <c r="AG136" s="137">
        <v>0.0</v>
      </c>
      <c r="AH136" s="137">
        <v>0.0</v>
      </c>
      <c r="AI136" s="137">
        <v>2.0</v>
      </c>
      <c r="AJ136" s="137">
        <v>0.0</v>
      </c>
      <c r="AK136" s="137">
        <v>2.0</v>
      </c>
      <c r="AL136" s="137">
        <v>0.0</v>
      </c>
      <c r="AM136" s="137">
        <v>0.0</v>
      </c>
      <c r="AN136" s="137">
        <v>50.0</v>
      </c>
    </row>
    <row r="137">
      <c r="A137" s="98"/>
      <c r="B137" s="136" t="s">
        <v>199</v>
      </c>
      <c r="C137" s="137">
        <v>28.0</v>
      </c>
      <c r="D137" s="137">
        <v>6.0</v>
      </c>
      <c r="E137" s="137">
        <v>22.0</v>
      </c>
      <c r="F137" s="137">
        <v>0.0</v>
      </c>
      <c r="G137" s="137">
        <v>0.0</v>
      </c>
      <c r="H137" s="137">
        <v>0.0</v>
      </c>
      <c r="I137" s="137">
        <v>0.0</v>
      </c>
      <c r="J137" s="137">
        <v>0.0</v>
      </c>
      <c r="K137" s="137">
        <v>2.0</v>
      </c>
      <c r="L137" s="137">
        <v>0.0</v>
      </c>
      <c r="M137" s="137">
        <v>2.0</v>
      </c>
      <c r="N137" s="137">
        <v>0.0</v>
      </c>
      <c r="O137" s="137">
        <v>0.0</v>
      </c>
      <c r="P137" s="137">
        <v>4.0</v>
      </c>
      <c r="Q137" s="137">
        <v>2.0</v>
      </c>
      <c r="R137" s="137">
        <v>0.0</v>
      </c>
      <c r="S137" s="137">
        <v>6.0</v>
      </c>
      <c r="T137" s="137">
        <v>0.0</v>
      </c>
      <c r="U137" s="137">
        <v>4.0</v>
      </c>
      <c r="V137" s="137">
        <v>0.0</v>
      </c>
      <c r="W137" s="137">
        <v>2.0</v>
      </c>
      <c r="X137" s="137">
        <v>0.0</v>
      </c>
      <c r="Y137" s="137">
        <v>0.0</v>
      </c>
      <c r="Z137" s="137">
        <v>0.0</v>
      </c>
      <c r="AA137" s="137">
        <v>2.0</v>
      </c>
      <c r="AB137" s="137">
        <v>0.0</v>
      </c>
      <c r="AC137" s="137">
        <v>0.0</v>
      </c>
      <c r="AD137" s="137">
        <v>0.0</v>
      </c>
      <c r="AE137" s="137">
        <v>2.0</v>
      </c>
      <c r="AF137" s="137">
        <v>2.0</v>
      </c>
      <c r="AG137" s="137">
        <v>0.0</v>
      </c>
      <c r="AH137" s="137">
        <v>0.0</v>
      </c>
      <c r="AI137" s="137">
        <v>0.0</v>
      </c>
      <c r="AJ137" s="137">
        <v>0.0</v>
      </c>
      <c r="AK137" s="137">
        <v>0.0</v>
      </c>
      <c r="AL137" s="137">
        <v>0.0</v>
      </c>
      <c r="AM137" s="137">
        <v>0.0</v>
      </c>
      <c r="AN137" s="137">
        <v>28.0</v>
      </c>
    </row>
    <row r="138">
      <c r="A138" s="104"/>
      <c r="B138" s="136" t="s">
        <v>206</v>
      </c>
      <c r="C138" s="137">
        <v>160.0</v>
      </c>
      <c r="D138" s="137">
        <v>22.0</v>
      </c>
      <c r="E138" s="137">
        <v>138.0</v>
      </c>
      <c r="F138" s="137">
        <v>0.0</v>
      </c>
      <c r="G138" s="137">
        <v>0.0</v>
      </c>
      <c r="H138" s="137">
        <v>0.0</v>
      </c>
      <c r="I138" s="137">
        <v>0.0</v>
      </c>
      <c r="J138" s="137">
        <v>0.0</v>
      </c>
      <c r="K138" s="137">
        <v>2.0</v>
      </c>
      <c r="L138" s="137">
        <v>8.0</v>
      </c>
      <c r="M138" s="137">
        <v>10.0</v>
      </c>
      <c r="N138" s="137">
        <v>2.0</v>
      </c>
      <c r="O138" s="137">
        <v>30.0</v>
      </c>
      <c r="P138" s="137">
        <v>4.0</v>
      </c>
      <c r="Q138" s="137">
        <v>26.0</v>
      </c>
      <c r="R138" s="137">
        <v>2.0</v>
      </c>
      <c r="S138" s="137">
        <v>20.0</v>
      </c>
      <c r="T138" s="137">
        <v>0.0</v>
      </c>
      <c r="U138" s="137">
        <v>10.0</v>
      </c>
      <c r="V138" s="137">
        <v>4.0</v>
      </c>
      <c r="W138" s="137">
        <v>12.0</v>
      </c>
      <c r="X138" s="137">
        <v>0.0</v>
      </c>
      <c r="Y138" s="137">
        <v>12.0</v>
      </c>
      <c r="Z138" s="137">
        <v>0.0</v>
      </c>
      <c r="AA138" s="137">
        <v>0.0</v>
      </c>
      <c r="AB138" s="137">
        <v>2.0</v>
      </c>
      <c r="AC138" s="137">
        <v>2.0</v>
      </c>
      <c r="AD138" s="137">
        <v>0.0</v>
      </c>
      <c r="AE138" s="137">
        <v>12.0</v>
      </c>
      <c r="AF138" s="137">
        <v>0.0</v>
      </c>
      <c r="AG138" s="137">
        <v>0.0</v>
      </c>
      <c r="AH138" s="137">
        <v>0.0</v>
      </c>
      <c r="AI138" s="137">
        <v>2.0</v>
      </c>
      <c r="AJ138" s="137">
        <v>0.0</v>
      </c>
      <c r="AK138" s="137">
        <v>0.0</v>
      </c>
      <c r="AL138" s="137">
        <v>0.0</v>
      </c>
      <c r="AM138" s="137">
        <v>0.0</v>
      </c>
      <c r="AN138" s="137">
        <v>158.0</v>
      </c>
    </row>
    <row r="139">
      <c r="A139" s="132" t="s">
        <v>207</v>
      </c>
      <c r="B139" s="136" t="s">
        <v>198</v>
      </c>
      <c r="C139" s="134">
        <v>35864.0</v>
      </c>
      <c r="D139" s="134">
        <v>12078.0</v>
      </c>
      <c r="E139" s="134">
        <v>24388.0</v>
      </c>
      <c r="F139" s="137">
        <v>192.0</v>
      </c>
      <c r="G139" s="137">
        <v>192.0</v>
      </c>
      <c r="H139" s="137">
        <v>170.0</v>
      </c>
      <c r="I139" s="137">
        <v>154.0</v>
      </c>
      <c r="J139" s="137">
        <v>190.0</v>
      </c>
      <c r="K139" s="137">
        <v>222.0</v>
      </c>
      <c r="L139" s="137">
        <v>248.0</v>
      </c>
      <c r="M139" s="137">
        <v>440.0</v>
      </c>
      <c r="N139" s="137">
        <v>248.0</v>
      </c>
      <c r="O139" s="137">
        <v>554.0</v>
      </c>
      <c r="P139" s="137">
        <v>224.0</v>
      </c>
      <c r="Q139" s="137">
        <v>612.0</v>
      </c>
      <c r="R139" s="137">
        <v>190.0</v>
      </c>
      <c r="S139" s="137">
        <v>918.0</v>
      </c>
      <c r="T139" s="137">
        <v>282.0</v>
      </c>
      <c r="U139" s="134">
        <v>1006.0</v>
      </c>
      <c r="V139" s="137">
        <v>288.0</v>
      </c>
      <c r="W139" s="134">
        <v>1172.0</v>
      </c>
      <c r="X139" s="137">
        <v>366.0</v>
      </c>
      <c r="Y139" s="134">
        <v>1616.0</v>
      </c>
      <c r="Z139" s="137">
        <v>684.0</v>
      </c>
      <c r="AA139" s="134">
        <v>2180.0</v>
      </c>
      <c r="AB139" s="134">
        <v>1056.0</v>
      </c>
      <c r="AC139" s="134">
        <v>2584.0</v>
      </c>
      <c r="AD139" s="134">
        <v>1292.0</v>
      </c>
      <c r="AE139" s="134">
        <v>2660.0</v>
      </c>
      <c r="AF139" s="134">
        <v>1422.0</v>
      </c>
      <c r="AG139" s="134">
        <v>2742.0</v>
      </c>
      <c r="AH139" s="134">
        <v>1478.0</v>
      </c>
      <c r="AI139" s="134">
        <v>2392.0</v>
      </c>
      <c r="AJ139" s="134">
        <v>1778.0</v>
      </c>
      <c r="AK139" s="134">
        <v>1848.0</v>
      </c>
      <c r="AL139" s="134">
        <v>1972.0</v>
      </c>
      <c r="AM139" s="134">
        <v>3096.0</v>
      </c>
      <c r="AN139" s="134">
        <v>35666.0</v>
      </c>
    </row>
    <row r="140">
      <c r="A140" s="98"/>
      <c r="B140" s="136" t="s">
        <v>199</v>
      </c>
      <c r="C140" s="134">
        <v>7980.0</v>
      </c>
      <c r="D140" s="134">
        <v>4060.0</v>
      </c>
      <c r="E140" s="134">
        <v>3392.0</v>
      </c>
      <c r="F140" s="137">
        <v>18.0</v>
      </c>
      <c r="G140" s="137">
        <v>26.0</v>
      </c>
      <c r="H140" s="137">
        <v>12.0</v>
      </c>
      <c r="I140" s="137">
        <v>10.0</v>
      </c>
      <c r="J140" s="137">
        <v>16.0</v>
      </c>
      <c r="K140" s="137">
        <v>12.0</v>
      </c>
      <c r="L140" s="137">
        <v>18.0</v>
      </c>
      <c r="M140" s="137">
        <v>86.0</v>
      </c>
      <c r="N140" s="137">
        <v>20.0</v>
      </c>
      <c r="O140" s="137">
        <v>44.0</v>
      </c>
      <c r="P140" s="137">
        <v>20.0</v>
      </c>
      <c r="Q140" s="137">
        <v>36.0</v>
      </c>
      <c r="R140" s="137">
        <v>116.0</v>
      </c>
      <c r="S140" s="137">
        <v>68.0</v>
      </c>
      <c r="T140" s="137">
        <v>38.0</v>
      </c>
      <c r="U140" s="137">
        <v>116.0</v>
      </c>
      <c r="V140" s="137">
        <v>70.0</v>
      </c>
      <c r="W140" s="137">
        <v>82.0</v>
      </c>
      <c r="X140" s="137">
        <v>84.0</v>
      </c>
      <c r="Y140" s="137">
        <v>162.0</v>
      </c>
      <c r="Z140" s="137">
        <v>394.0</v>
      </c>
      <c r="AA140" s="137">
        <v>130.0</v>
      </c>
      <c r="AB140" s="137">
        <v>318.0</v>
      </c>
      <c r="AC140" s="137">
        <v>280.0</v>
      </c>
      <c r="AD140" s="137">
        <v>522.0</v>
      </c>
      <c r="AE140" s="137">
        <v>568.0</v>
      </c>
      <c r="AF140" s="137">
        <v>716.0</v>
      </c>
      <c r="AG140" s="137">
        <v>732.0</v>
      </c>
      <c r="AH140" s="137">
        <v>310.0</v>
      </c>
      <c r="AI140" s="137">
        <v>338.0</v>
      </c>
      <c r="AJ140" s="134">
        <v>1124.0</v>
      </c>
      <c r="AK140" s="137">
        <v>326.0</v>
      </c>
      <c r="AL140" s="137">
        <v>264.0</v>
      </c>
      <c r="AM140" s="137">
        <v>376.0</v>
      </c>
      <c r="AN140" s="134">
        <v>7040.0</v>
      </c>
    </row>
    <row r="141">
      <c r="A141" s="98"/>
      <c r="B141" s="136" t="s">
        <v>206</v>
      </c>
      <c r="C141" s="137">
        <v>172.0</v>
      </c>
      <c r="D141" s="137">
        <v>2.0</v>
      </c>
      <c r="E141" s="137">
        <v>96.0</v>
      </c>
      <c r="F141" s="137">
        <v>0.0</v>
      </c>
      <c r="G141" s="137">
        <v>4.0</v>
      </c>
      <c r="H141" s="137">
        <v>0.0</v>
      </c>
      <c r="I141" s="137">
        <v>0.0</v>
      </c>
      <c r="J141" s="137">
        <v>0.0</v>
      </c>
      <c r="K141" s="137">
        <v>0.0</v>
      </c>
      <c r="L141" s="137">
        <v>0.0</v>
      </c>
      <c r="M141" s="137">
        <v>8.0</v>
      </c>
      <c r="N141" s="137">
        <v>0.0</v>
      </c>
      <c r="O141" s="137">
        <v>20.0</v>
      </c>
      <c r="P141" s="137">
        <v>2.0</v>
      </c>
      <c r="Q141" s="137">
        <v>20.0</v>
      </c>
      <c r="R141" s="137">
        <v>0.0</v>
      </c>
      <c r="S141" s="137">
        <v>10.0</v>
      </c>
      <c r="T141" s="137">
        <v>0.0</v>
      </c>
      <c r="U141" s="137">
        <v>0.0</v>
      </c>
      <c r="V141" s="137">
        <v>0.0</v>
      </c>
      <c r="W141" s="137">
        <v>4.0</v>
      </c>
      <c r="X141" s="137">
        <v>0.0</v>
      </c>
      <c r="Y141" s="137">
        <v>4.0</v>
      </c>
      <c r="Z141" s="137">
        <v>0.0</v>
      </c>
      <c r="AA141" s="137">
        <v>0.0</v>
      </c>
      <c r="AB141" s="137">
        <v>0.0</v>
      </c>
      <c r="AC141" s="137">
        <v>2.0</v>
      </c>
      <c r="AD141" s="137">
        <v>0.0</v>
      </c>
      <c r="AE141" s="137">
        <v>4.0</v>
      </c>
      <c r="AF141" s="137">
        <v>0.0</v>
      </c>
      <c r="AG141" s="137">
        <v>6.0</v>
      </c>
      <c r="AH141" s="137">
        <v>0.0</v>
      </c>
      <c r="AI141" s="137">
        <v>0.0</v>
      </c>
      <c r="AJ141" s="137">
        <v>0.0</v>
      </c>
      <c r="AK141" s="137">
        <v>0.0</v>
      </c>
      <c r="AL141" s="137">
        <v>0.0</v>
      </c>
      <c r="AM141" s="137">
        <v>14.0</v>
      </c>
      <c r="AN141" s="137">
        <v>94.0</v>
      </c>
    </row>
    <row r="142">
      <c r="A142" s="98"/>
      <c r="B142" s="136" t="s">
        <v>200</v>
      </c>
      <c r="C142" s="134">
        <v>2812.0</v>
      </c>
      <c r="D142" s="137">
        <v>700.0</v>
      </c>
      <c r="E142" s="134">
        <v>2136.0</v>
      </c>
      <c r="F142" s="137">
        <v>206.0</v>
      </c>
      <c r="G142" s="137">
        <v>186.0</v>
      </c>
      <c r="H142" s="137">
        <v>36.0</v>
      </c>
      <c r="I142" s="137">
        <v>28.0</v>
      </c>
      <c r="J142" s="137">
        <v>38.0</v>
      </c>
      <c r="K142" s="137">
        <v>64.0</v>
      </c>
      <c r="L142" s="137">
        <v>24.0</v>
      </c>
      <c r="M142" s="137">
        <v>138.0</v>
      </c>
      <c r="N142" s="137">
        <v>26.0</v>
      </c>
      <c r="O142" s="137">
        <v>202.0</v>
      </c>
      <c r="P142" s="137">
        <v>24.0</v>
      </c>
      <c r="Q142" s="137">
        <v>200.0</v>
      </c>
      <c r="R142" s="137">
        <v>38.0</v>
      </c>
      <c r="S142" s="137">
        <v>206.0</v>
      </c>
      <c r="T142" s="137">
        <v>30.0</v>
      </c>
      <c r="U142" s="137">
        <v>164.0</v>
      </c>
      <c r="V142" s="137">
        <v>22.0</v>
      </c>
      <c r="W142" s="137">
        <v>146.0</v>
      </c>
      <c r="X142" s="137">
        <v>14.0</v>
      </c>
      <c r="Y142" s="137">
        <v>164.0</v>
      </c>
      <c r="Z142" s="137">
        <v>26.0</v>
      </c>
      <c r="AA142" s="137">
        <v>128.0</v>
      </c>
      <c r="AB142" s="137">
        <v>46.0</v>
      </c>
      <c r="AC142" s="137">
        <v>156.0</v>
      </c>
      <c r="AD142" s="137">
        <v>40.0</v>
      </c>
      <c r="AE142" s="137">
        <v>84.0</v>
      </c>
      <c r="AF142" s="137">
        <v>42.0</v>
      </c>
      <c r="AG142" s="137">
        <v>106.0</v>
      </c>
      <c r="AH142" s="137">
        <v>32.0</v>
      </c>
      <c r="AI142" s="137">
        <v>68.0</v>
      </c>
      <c r="AJ142" s="137">
        <v>24.0</v>
      </c>
      <c r="AK142" s="137">
        <v>36.0</v>
      </c>
      <c r="AL142" s="137">
        <v>32.0</v>
      </c>
      <c r="AM142" s="137">
        <v>60.0</v>
      </c>
      <c r="AN142" s="134">
        <v>2750.0</v>
      </c>
    </row>
    <row r="143">
      <c r="A143" s="104"/>
      <c r="B143" s="136" t="s">
        <v>201</v>
      </c>
      <c r="C143" s="134">
        <v>2582.0</v>
      </c>
      <c r="D143" s="134">
        <v>1158.0</v>
      </c>
      <c r="E143" s="134">
        <v>1400.0</v>
      </c>
      <c r="F143" s="137">
        <v>24.0</v>
      </c>
      <c r="G143" s="137">
        <v>10.0</v>
      </c>
      <c r="H143" s="137">
        <v>10.0</v>
      </c>
      <c r="I143" s="137">
        <v>2.0</v>
      </c>
      <c r="J143" s="137">
        <v>22.0</v>
      </c>
      <c r="K143" s="137">
        <v>16.0</v>
      </c>
      <c r="L143" s="137">
        <v>40.0</v>
      </c>
      <c r="M143" s="137">
        <v>8.0</v>
      </c>
      <c r="N143" s="137">
        <v>24.0</v>
      </c>
      <c r="O143" s="137">
        <v>38.0</v>
      </c>
      <c r="P143" s="137">
        <v>50.0</v>
      </c>
      <c r="Q143" s="137">
        <v>62.0</v>
      </c>
      <c r="R143" s="137">
        <v>66.0</v>
      </c>
      <c r="S143" s="137">
        <v>106.0</v>
      </c>
      <c r="T143" s="137">
        <v>66.0</v>
      </c>
      <c r="U143" s="137">
        <v>90.0</v>
      </c>
      <c r="V143" s="137">
        <v>34.0</v>
      </c>
      <c r="W143" s="137">
        <v>162.0</v>
      </c>
      <c r="X143" s="137">
        <v>104.0</v>
      </c>
      <c r="Y143" s="137">
        <v>106.0</v>
      </c>
      <c r="Z143" s="137">
        <v>50.0</v>
      </c>
      <c r="AA143" s="137">
        <v>136.0</v>
      </c>
      <c r="AB143" s="137">
        <v>26.0</v>
      </c>
      <c r="AC143" s="137">
        <v>144.0</v>
      </c>
      <c r="AD143" s="137">
        <v>64.0</v>
      </c>
      <c r="AE143" s="137">
        <v>176.0</v>
      </c>
      <c r="AF143" s="137">
        <v>62.0</v>
      </c>
      <c r="AG143" s="137">
        <v>40.0</v>
      </c>
      <c r="AH143" s="137">
        <v>78.0</v>
      </c>
      <c r="AI143" s="137">
        <v>68.0</v>
      </c>
      <c r="AJ143" s="137">
        <v>114.0</v>
      </c>
      <c r="AK143" s="137">
        <v>52.0</v>
      </c>
      <c r="AL143" s="137">
        <v>324.0</v>
      </c>
      <c r="AM143" s="137">
        <v>184.0</v>
      </c>
      <c r="AN143" s="134">
        <v>2494.0</v>
      </c>
    </row>
    <row r="144">
      <c r="A144" s="132" t="s">
        <v>208</v>
      </c>
      <c r="B144" s="136" t="s">
        <v>198</v>
      </c>
      <c r="C144" s="137">
        <v>68.0</v>
      </c>
      <c r="D144" s="137">
        <v>32.0</v>
      </c>
      <c r="E144" s="137">
        <v>36.0</v>
      </c>
      <c r="F144" s="137">
        <v>26.0</v>
      </c>
      <c r="G144" s="137">
        <v>28.0</v>
      </c>
      <c r="H144" s="137">
        <v>2.0</v>
      </c>
      <c r="I144" s="137">
        <v>6.0</v>
      </c>
      <c r="J144" s="137">
        <v>2.0</v>
      </c>
      <c r="K144" s="137">
        <v>2.0</v>
      </c>
      <c r="L144" s="137">
        <v>2.0</v>
      </c>
      <c r="M144" s="137">
        <v>0.0</v>
      </c>
      <c r="N144" s="137">
        <v>0.0</v>
      </c>
      <c r="O144" s="137">
        <v>0.0</v>
      </c>
      <c r="P144" s="135">
        <v>0.0</v>
      </c>
      <c r="Q144" s="135">
        <v>0.0</v>
      </c>
      <c r="R144" s="135">
        <v>0.0</v>
      </c>
      <c r="S144" s="135">
        <v>0.0</v>
      </c>
      <c r="T144" s="135">
        <v>0.0</v>
      </c>
      <c r="U144" s="135">
        <v>0.0</v>
      </c>
      <c r="V144" s="135">
        <v>0.0</v>
      </c>
      <c r="W144" s="135">
        <v>0.0</v>
      </c>
      <c r="X144" s="135">
        <v>0.0</v>
      </c>
      <c r="Y144" s="135">
        <v>0.0</v>
      </c>
      <c r="Z144" s="135">
        <v>0.0</v>
      </c>
      <c r="AA144" s="135">
        <v>0.0</v>
      </c>
      <c r="AB144" s="135">
        <v>0.0</v>
      </c>
      <c r="AC144" s="135">
        <v>0.0</v>
      </c>
      <c r="AD144" s="135">
        <v>0.0</v>
      </c>
      <c r="AE144" s="135">
        <v>0.0</v>
      </c>
      <c r="AF144" s="135">
        <v>0.0</v>
      </c>
      <c r="AG144" s="135">
        <v>0.0</v>
      </c>
      <c r="AH144" s="135">
        <v>0.0</v>
      </c>
      <c r="AI144" s="135">
        <v>0.0</v>
      </c>
      <c r="AJ144" s="135">
        <v>0.0</v>
      </c>
      <c r="AK144" s="135">
        <v>0.0</v>
      </c>
      <c r="AL144" s="135">
        <v>0.0</v>
      </c>
      <c r="AM144" s="135">
        <v>0.0</v>
      </c>
      <c r="AN144" s="137">
        <v>60.0</v>
      </c>
    </row>
    <row r="145">
      <c r="A145" s="98"/>
      <c r="B145" s="136" t="s">
        <v>199</v>
      </c>
      <c r="C145" s="137">
        <v>266.0</v>
      </c>
      <c r="D145" s="137">
        <v>148.0</v>
      </c>
      <c r="E145" s="137">
        <v>118.0</v>
      </c>
      <c r="F145" s="137">
        <v>132.0</v>
      </c>
      <c r="G145" s="137">
        <v>98.0</v>
      </c>
      <c r="H145" s="137">
        <v>10.0</v>
      </c>
      <c r="I145" s="137">
        <v>20.0</v>
      </c>
      <c r="J145" s="137">
        <v>4.0</v>
      </c>
      <c r="K145" s="137">
        <v>0.0</v>
      </c>
      <c r="L145" s="137">
        <v>2.0</v>
      </c>
      <c r="M145" s="137">
        <v>0.0</v>
      </c>
      <c r="N145" s="137">
        <v>0.0</v>
      </c>
      <c r="O145" s="137">
        <v>0.0</v>
      </c>
      <c r="P145" s="135">
        <v>0.0</v>
      </c>
      <c r="Q145" s="135">
        <v>0.0</v>
      </c>
      <c r="R145" s="135">
        <v>0.0</v>
      </c>
      <c r="S145" s="135">
        <v>0.0</v>
      </c>
      <c r="T145" s="135">
        <v>0.0</v>
      </c>
      <c r="U145" s="135">
        <v>0.0</v>
      </c>
      <c r="V145" s="135">
        <v>0.0</v>
      </c>
      <c r="W145" s="135">
        <v>0.0</v>
      </c>
      <c r="X145" s="135">
        <v>0.0</v>
      </c>
      <c r="Y145" s="135">
        <v>0.0</v>
      </c>
      <c r="Z145" s="135">
        <v>0.0</v>
      </c>
      <c r="AA145" s="135">
        <v>0.0</v>
      </c>
      <c r="AB145" s="135">
        <v>0.0</v>
      </c>
      <c r="AC145" s="135">
        <v>0.0</v>
      </c>
      <c r="AD145" s="135">
        <v>0.0</v>
      </c>
      <c r="AE145" s="135">
        <v>0.0</v>
      </c>
      <c r="AF145" s="135">
        <v>0.0</v>
      </c>
      <c r="AG145" s="135">
        <v>0.0</v>
      </c>
      <c r="AH145" s="135">
        <v>0.0</v>
      </c>
      <c r="AI145" s="135">
        <v>0.0</v>
      </c>
      <c r="AJ145" s="135">
        <v>0.0</v>
      </c>
      <c r="AK145" s="135">
        <v>0.0</v>
      </c>
      <c r="AL145" s="135">
        <v>0.0</v>
      </c>
      <c r="AM145" s="135">
        <v>0.0</v>
      </c>
      <c r="AN145" s="137">
        <v>222.0</v>
      </c>
    </row>
    <row r="146">
      <c r="A146" s="98"/>
      <c r="B146" s="136" t="s">
        <v>206</v>
      </c>
      <c r="C146" s="137">
        <v>4.0</v>
      </c>
      <c r="D146" s="137">
        <v>4.0</v>
      </c>
      <c r="E146" s="137">
        <v>0.0</v>
      </c>
      <c r="F146" s="137">
        <v>2.0</v>
      </c>
      <c r="G146" s="137">
        <v>0.0</v>
      </c>
      <c r="H146" s="137">
        <v>0.0</v>
      </c>
      <c r="I146" s="137">
        <v>0.0</v>
      </c>
      <c r="J146" s="137">
        <v>2.0</v>
      </c>
      <c r="K146" s="137">
        <v>0.0</v>
      </c>
      <c r="L146" s="137">
        <v>0.0</v>
      </c>
      <c r="M146" s="137">
        <v>0.0</v>
      </c>
      <c r="N146" s="137">
        <v>0.0</v>
      </c>
      <c r="O146" s="137">
        <v>0.0</v>
      </c>
      <c r="P146" s="135">
        <v>0.0</v>
      </c>
      <c r="Q146" s="135">
        <v>0.0</v>
      </c>
      <c r="R146" s="135">
        <v>0.0</v>
      </c>
      <c r="S146" s="135">
        <v>0.0</v>
      </c>
      <c r="T146" s="135">
        <v>0.0</v>
      </c>
      <c r="U146" s="135">
        <v>0.0</v>
      </c>
      <c r="V146" s="135">
        <v>0.0</v>
      </c>
      <c r="W146" s="135">
        <v>0.0</v>
      </c>
      <c r="X146" s="135">
        <v>0.0</v>
      </c>
      <c r="Y146" s="135">
        <v>0.0</v>
      </c>
      <c r="Z146" s="135">
        <v>0.0</v>
      </c>
      <c r="AA146" s="135">
        <v>0.0</v>
      </c>
      <c r="AB146" s="135">
        <v>0.0</v>
      </c>
      <c r="AC146" s="135">
        <v>0.0</v>
      </c>
      <c r="AD146" s="135">
        <v>0.0</v>
      </c>
      <c r="AE146" s="135">
        <v>0.0</v>
      </c>
      <c r="AF146" s="135">
        <v>0.0</v>
      </c>
      <c r="AG146" s="135">
        <v>0.0</v>
      </c>
      <c r="AH146" s="135">
        <v>0.0</v>
      </c>
      <c r="AI146" s="135">
        <v>0.0</v>
      </c>
      <c r="AJ146" s="135">
        <v>0.0</v>
      </c>
      <c r="AK146" s="135">
        <v>0.0</v>
      </c>
      <c r="AL146" s="135">
        <v>0.0</v>
      </c>
      <c r="AM146" s="135">
        <v>0.0</v>
      </c>
      <c r="AN146" s="137">
        <v>2.0</v>
      </c>
    </row>
    <row r="147">
      <c r="A147" s="98"/>
      <c r="B147" s="136" t="s">
        <v>200</v>
      </c>
      <c r="C147" s="137">
        <v>84.0</v>
      </c>
      <c r="D147" s="137">
        <v>46.0</v>
      </c>
      <c r="E147" s="137">
        <v>38.0</v>
      </c>
      <c r="F147" s="137">
        <v>26.0</v>
      </c>
      <c r="G147" s="137">
        <v>28.0</v>
      </c>
      <c r="H147" s="137">
        <v>12.0</v>
      </c>
      <c r="I147" s="137">
        <v>4.0</v>
      </c>
      <c r="J147" s="137">
        <v>4.0</v>
      </c>
      <c r="K147" s="137">
        <v>0.0</v>
      </c>
      <c r="L147" s="137">
        <v>4.0</v>
      </c>
      <c r="M147" s="137">
        <v>6.0</v>
      </c>
      <c r="N147" s="137">
        <v>0.0</v>
      </c>
      <c r="O147" s="137">
        <v>0.0</v>
      </c>
      <c r="P147" s="135">
        <v>0.0</v>
      </c>
      <c r="Q147" s="135">
        <v>0.0</v>
      </c>
      <c r="R147" s="135">
        <v>0.0</v>
      </c>
      <c r="S147" s="135">
        <v>0.0</v>
      </c>
      <c r="T147" s="135">
        <v>0.0</v>
      </c>
      <c r="U147" s="135">
        <v>0.0</v>
      </c>
      <c r="V147" s="135">
        <v>0.0</v>
      </c>
      <c r="W147" s="135">
        <v>0.0</v>
      </c>
      <c r="X147" s="135">
        <v>0.0</v>
      </c>
      <c r="Y147" s="135">
        <v>0.0</v>
      </c>
      <c r="Z147" s="135">
        <v>0.0</v>
      </c>
      <c r="AA147" s="135">
        <v>0.0</v>
      </c>
      <c r="AB147" s="135">
        <v>0.0</v>
      </c>
      <c r="AC147" s="135">
        <v>0.0</v>
      </c>
      <c r="AD147" s="135">
        <v>0.0</v>
      </c>
      <c r="AE147" s="135">
        <v>0.0</v>
      </c>
      <c r="AF147" s="135">
        <v>0.0</v>
      </c>
      <c r="AG147" s="135">
        <v>0.0</v>
      </c>
      <c r="AH147" s="135">
        <v>0.0</v>
      </c>
      <c r="AI147" s="135">
        <v>0.0</v>
      </c>
      <c r="AJ147" s="135">
        <v>0.0</v>
      </c>
      <c r="AK147" s="135">
        <v>0.0</v>
      </c>
      <c r="AL147" s="135">
        <v>0.0</v>
      </c>
      <c r="AM147" s="135">
        <v>0.0</v>
      </c>
      <c r="AN147" s="137">
        <v>66.0</v>
      </c>
    </row>
    <row r="148">
      <c r="A148" s="104"/>
      <c r="B148" s="136" t="s">
        <v>201</v>
      </c>
      <c r="C148" s="137">
        <v>32.0</v>
      </c>
      <c r="D148" s="137">
        <v>24.0</v>
      </c>
      <c r="E148" s="137">
        <v>8.0</v>
      </c>
      <c r="F148" s="137">
        <v>20.0</v>
      </c>
      <c r="G148" s="137">
        <v>8.0</v>
      </c>
      <c r="H148" s="137">
        <v>4.0</v>
      </c>
      <c r="I148" s="137">
        <v>0.0</v>
      </c>
      <c r="J148" s="137">
        <v>0.0</v>
      </c>
      <c r="K148" s="137">
        <v>0.0</v>
      </c>
      <c r="L148" s="137">
        <v>0.0</v>
      </c>
      <c r="M148" s="137">
        <v>0.0</v>
      </c>
      <c r="N148" s="137">
        <v>0.0</v>
      </c>
      <c r="O148" s="137">
        <v>0.0</v>
      </c>
      <c r="P148" s="135">
        <v>0.0</v>
      </c>
      <c r="Q148" s="135">
        <v>0.0</v>
      </c>
      <c r="R148" s="135">
        <v>0.0</v>
      </c>
      <c r="S148" s="135">
        <v>0.0</v>
      </c>
      <c r="T148" s="135">
        <v>0.0</v>
      </c>
      <c r="U148" s="135">
        <v>0.0</v>
      </c>
      <c r="V148" s="135">
        <v>0.0</v>
      </c>
      <c r="W148" s="135">
        <v>0.0</v>
      </c>
      <c r="X148" s="135">
        <v>0.0</v>
      </c>
      <c r="Y148" s="135">
        <v>0.0</v>
      </c>
      <c r="Z148" s="135">
        <v>0.0</v>
      </c>
      <c r="AA148" s="135">
        <v>0.0</v>
      </c>
      <c r="AB148" s="135">
        <v>0.0</v>
      </c>
      <c r="AC148" s="135">
        <v>0.0</v>
      </c>
      <c r="AD148" s="135">
        <v>0.0</v>
      </c>
      <c r="AE148" s="135">
        <v>0.0</v>
      </c>
      <c r="AF148" s="135">
        <v>0.0</v>
      </c>
      <c r="AG148" s="135">
        <v>0.0</v>
      </c>
      <c r="AH148" s="135">
        <v>0.0</v>
      </c>
      <c r="AI148" s="135">
        <v>0.0</v>
      </c>
      <c r="AJ148" s="135">
        <v>0.0</v>
      </c>
      <c r="AK148" s="135">
        <v>0.0</v>
      </c>
      <c r="AL148" s="135">
        <v>0.0</v>
      </c>
      <c r="AM148" s="135">
        <v>0.0</v>
      </c>
      <c r="AN148" s="137">
        <v>22.0</v>
      </c>
    </row>
    <row r="149">
      <c r="A149" s="138" t="s">
        <v>245</v>
      </c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</row>
    <row r="150">
      <c r="A150" s="132" t="s">
        <v>197</v>
      </c>
      <c r="B150" s="133" t="s">
        <v>198</v>
      </c>
      <c r="C150" s="134">
        <v>93772.0</v>
      </c>
      <c r="D150" s="134">
        <v>35084.0</v>
      </c>
      <c r="E150" s="134">
        <v>58688.0</v>
      </c>
      <c r="F150" s="135">
        <v>0.0</v>
      </c>
      <c r="G150" s="135">
        <v>0.0</v>
      </c>
      <c r="H150" s="135">
        <v>0.0</v>
      </c>
      <c r="I150" s="135">
        <v>0.0</v>
      </c>
      <c r="J150" s="135">
        <v>0.0</v>
      </c>
      <c r="K150" s="135">
        <v>0.0</v>
      </c>
      <c r="L150" s="137">
        <v>118.0</v>
      </c>
      <c r="M150" s="137">
        <v>188.0</v>
      </c>
      <c r="N150" s="137">
        <v>138.0</v>
      </c>
      <c r="O150" s="137">
        <v>286.0</v>
      </c>
      <c r="P150" s="137">
        <v>176.0</v>
      </c>
      <c r="Q150" s="137">
        <v>530.0</v>
      </c>
      <c r="R150" s="137">
        <v>382.0</v>
      </c>
      <c r="S150" s="137">
        <v>806.0</v>
      </c>
      <c r="T150" s="137">
        <v>588.0</v>
      </c>
      <c r="U150" s="134">
        <v>1390.0</v>
      </c>
      <c r="V150" s="134">
        <v>1054.0</v>
      </c>
      <c r="W150" s="134">
        <v>2046.0</v>
      </c>
      <c r="X150" s="134">
        <v>1674.0</v>
      </c>
      <c r="Y150" s="134">
        <v>3268.0</v>
      </c>
      <c r="Z150" s="134">
        <v>2780.0</v>
      </c>
      <c r="AA150" s="134">
        <v>5130.0</v>
      </c>
      <c r="AB150" s="134">
        <v>4252.0</v>
      </c>
      <c r="AC150" s="134">
        <v>7064.0</v>
      </c>
      <c r="AD150" s="134">
        <v>5024.0</v>
      </c>
      <c r="AE150" s="134">
        <v>8396.0</v>
      </c>
      <c r="AF150" s="134">
        <v>5298.0</v>
      </c>
      <c r="AG150" s="134">
        <v>8252.0</v>
      </c>
      <c r="AH150" s="134">
        <v>5380.0</v>
      </c>
      <c r="AI150" s="134">
        <v>7760.0</v>
      </c>
      <c r="AJ150" s="134">
        <v>4058.0</v>
      </c>
      <c r="AK150" s="134">
        <v>6274.0</v>
      </c>
      <c r="AL150" s="134">
        <v>4162.0</v>
      </c>
      <c r="AM150" s="134">
        <v>7298.0</v>
      </c>
      <c r="AN150" s="134">
        <v>92882.0</v>
      </c>
    </row>
    <row r="151">
      <c r="A151" s="98"/>
      <c r="B151" s="136" t="s">
        <v>199</v>
      </c>
      <c r="C151" s="134">
        <v>24186.0</v>
      </c>
      <c r="D151" s="134">
        <v>9400.0</v>
      </c>
      <c r="E151" s="134">
        <v>14786.0</v>
      </c>
      <c r="F151" s="135">
        <v>0.0</v>
      </c>
      <c r="G151" s="135">
        <v>0.0</v>
      </c>
      <c r="H151" s="135">
        <v>0.0</v>
      </c>
      <c r="I151" s="135">
        <v>0.0</v>
      </c>
      <c r="J151" s="135">
        <v>0.0</v>
      </c>
      <c r="K151" s="135">
        <v>0.0</v>
      </c>
      <c r="L151" s="137">
        <v>12.0</v>
      </c>
      <c r="M151" s="137">
        <v>2.0</v>
      </c>
      <c r="N151" s="137">
        <v>12.0</v>
      </c>
      <c r="O151" s="137">
        <v>24.0</v>
      </c>
      <c r="P151" s="137">
        <v>36.0</v>
      </c>
      <c r="Q151" s="137">
        <v>84.0</v>
      </c>
      <c r="R151" s="137">
        <v>60.0</v>
      </c>
      <c r="S151" s="137">
        <v>148.0</v>
      </c>
      <c r="T151" s="137">
        <v>122.0</v>
      </c>
      <c r="U151" s="137">
        <v>200.0</v>
      </c>
      <c r="V151" s="137">
        <v>176.0</v>
      </c>
      <c r="W151" s="137">
        <v>358.0</v>
      </c>
      <c r="X151" s="137">
        <v>322.0</v>
      </c>
      <c r="Y151" s="137">
        <v>596.0</v>
      </c>
      <c r="Z151" s="137">
        <v>594.0</v>
      </c>
      <c r="AA151" s="137">
        <v>994.0</v>
      </c>
      <c r="AB151" s="137">
        <v>836.0</v>
      </c>
      <c r="AC151" s="134">
        <v>1534.0</v>
      </c>
      <c r="AD151" s="134">
        <v>1192.0</v>
      </c>
      <c r="AE151" s="134">
        <v>1808.0</v>
      </c>
      <c r="AF151" s="134">
        <v>1462.0</v>
      </c>
      <c r="AG151" s="134">
        <v>2172.0</v>
      </c>
      <c r="AH151" s="134">
        <v>1674.0</v>
      </c>
      <c r="AI151" s="134">
        <v>2524.0</v>
      </c>
      <c r="AJ151" s="134">
        <v>1482.0</v>
      </c>
      <c r="AK151" s="134">
        <v>1940.0</v>
      </c>
      <c r="AL151" s="134">
        <v>1420.0</v>
      </c>
      <c r="AM151" s="134">
        <v>2402.0</v>
      </c>
      <c r="AN151" s="134">
        <v>23672.0</v>
      </c>
    </row>
    <row r="152">
      <c r="A152" s="98"/>
      <c r="B152" s="136" t="s">
        <v>200</v>
      </c>
      <c r="C152" s="134">
        <v>17706.0</v>
      </c>
      <c r="D152" s="134">
        <v>6108.0</v>
      </c>
      <c r="E152" s="134">
        <v>11598.0</v>
      </c>
      <c r="F152" s="135">
        <v>0.0</v>
      </c>
      <c r="G152" s="135">
        <v>0.0</v>
      </c>
      <c r="H152" s="135">
        <v>0.0</v>
      </c>
      <c r="I152" s="135">
        <v>0.0</v>
      </c>
      <c r="J152" s="135">
        <v>0.0</v>
      </c>
      <c r="K152" s="135">
        <v>0.0</v>
      </c>
      <c r="L152" s="137">
        <v>32.0</v>
      </c>
      <c r="M152" s="137">
        <v>40.0</v>
      </c>
      <c r="N152" s="137">
        <v>32.0</v>
      </c>
      <c r="O152" s="137">
        <v>106.0</v>
      </c>
      <c r="P152" s="137">
        <v>70.0</v>
      </c>
      <c r="Q152" s="137">
        <v>142.0</v>
      </c>
      <c r="R152" s="137">
        <v>90.0</v>
      </c>
      <c r="S152" s="137">
        <v>234.0</v>
      </c>
      <c r="T152" s="137">
        <v>162.0</v>
      </c>
      <c r="U152" s="137">
        <v>354.0</v>
      </c>
      <c r="V152" s="137">
        <v>210.0</v>
      </c>
      <c r="W152" s="137">
        <v>466.0</v>
      </c>
      <c r="X152" s="137">
        <v>270.0</v>
      </c>
      <c r="Y152" s="137">
        <v>740.0</v>
      </c>
      <c r="Z152" s="137">
        <v>568.0</v>
      </c>
      <c r="AA152" s="134">
        <v>1240.0</v>
      </c>
      <c r="AB152" s="137">
        <v>752.0</v>
      </c>
      <c r="AC152" s="134">
        <v>1480.0</v>
      </c>
      <c r="AD152" s="137">
        <v>884.0</v>
      </c>
      <c r="AE152" s="134">
        <v>1688.0</v>
      </c>
      <c r="AF152" s="137">
        <v>924.0</v>
      </c>
      <c r="AG152" s="134">
        <v>1676.0</v>
      </c>
      <c r="AH152" s="137">
        <v>904.0</v>
      </c>
      <c r="AI152" s="134">
        <v>1410.0</v>
      </c>
      <c r="AJ152" s="137">
        <v>662.0</v>
      </c>
      <c r="AK152" s="134">
        <v>1058.0</v>
      </c>
      <c r="AL152" s="137">
        <v>548.0</v>
      </c>
      <c r="AM152" s="137">
        <v>964.0</v>
      </c>
      <c r="AN152" s="134">
        <v>17494.0</v>
      </c>
    </row>
    <row r="153">
      <c r="A153" s="104"/>
      <c r="B153" s="136" t="s">
        <v>201</v>
      </c>
      <c r="C153" s="134">
        <v>14074.0</v>
      </c>
      <c r="D153" s="134">
        <v>6066.0</v>
      </c>
      <c r="E153" s="134">
        <v>8008.0</v>
      </c>
      <c r="F153" s="135">
        <v>0.0</v>
      </c>
      <c r="G153" s="135">
        <v>0.0</v>
      </c>
      <c r="H153" s="135">
        <v>0.0</v>
      </c>
      <c r="I153" s="135">
        <v>0.0</v>
      </c>
      <c r="J153" s="135">
        <v>0.0</v>
      </c>
      <c r="K153" s="135">
        <v>0.0</v>
      </c>
      <c r="L153" s="137">
        <v>22.0</v>
      </c>
      <c r="M153" s="137">
        <v>28.0</v>
      </c>
      <c r="N153" s="137">
        <v>26.0</v>
      </c>
      <c r="O153" s="137">
        <v>46.0</v>
      </c>
      <c r="P153" s="137">
        <v>44.0</v>
      </c>
      <c r="Q153" s="137">
        <v>94.0</v>
      </c>
      <c r="R153" s="137">
        <v>48.0</v>
      </c>
      <c r="S153" s="137">
        <v>260.0</v>
      </c>
      <c r="T153" s="137">
        <v>120.0</v>
      </c>
      <c r="U153" s="137">
        <v>254.0</v>
      </c>
      <c r="V153" s="137">
        <v>220.0</v>
      </c>
      <c r="W153" s="137">
        <v>326.0</v>
      </c>
      <c r="X153" s="137">
        <v>168.0</v>
      </c>
      <c r="Y153" s="137">
        <v>512.0</v>
      </c>
      <c r="Z153" s="137">
        <v>544.0</v>
      </c>
      <c r="AA153" s="137">
        <v>674.0</v>
      </c>
      <c r="AB153" s="137">
        <v>910.0</v>
      </c>
      <c r="AC153" s="134">
        <v>1058.0</v>
      </c>
      <c r="AD153" s="137">
        <v>870.0</v>
      </c>
      <c r="AE153" s="134">
        <v>1234.0</v>
      </c>
      <c r="AF153" s="137">
        <v>720.0</v>
      </c>
      <c r="AG153" s="134">
        <v>1112.0</v>
      </c>
      <c r="AH153" s="137">
        <v>930.0</v>
      </c>
      <c r="AI153" s="137">
        <v>726.0</v>
      </c>
      <c r="AJ153" s="137">
        <v>678.0</v>
      </c>
      <c r="AK153" s="137">
        <v>738.0</v>
      </c>
      <c r="AL153" s="137">
        <v>766.0</v>
      </c>
      <c r="AM153" s="137">
        <v>946.0</v>
      </c>
      <c r="AN153" s="134">
        <v>13788.0</v>
      </c>
    </row>
    <row r="154">
      <c r="A154" s="132" t="s">
        <v>202</v>
      </c>
      <c r="B154" s="136" t="s">
        <v>198</v>
      </c>
      <c r="C154" s="137">
        <v>452.0</v>
      </c>
      <c r="D154" s="137">
        <v>270.0</v>
      </c>
      <c r="E154" s="137">
        <v>182.0</v>
      </c>
      <c r="F154" s="137">
        <v>8.0</v>
      </c>
      <c r="G154" s="137">
        <v>4.0</v>
      </c>
      <c r="H154" s="137">
        <v>0.0</v>
      </c>
      <c r="I154" s="137">
        <v>2.0</v>
      </c>
      <c r="J154" s="137">
        <v>8.0</v>
      </c>
      <c r="K154" s="137">
        <v>0.0</v>
      </c>
      <c r="L154" s="137">
        <v>2.0</v>
      </c>
      <c r="M154" s="137">
        <v>8.0</v>
      </c>
      <c r="N154" s="137">
        <v>16.0</v>
      </c>
      <c r="O154" s="137">
        <v>6.0</v>
      </c>
      <c r="P154" s="137">
        <v>22.0</v>
      </c>
      <c r="Q154" s="137">
        <v>10.0</v>
      </c>
      <c r="R154" s="137">
        <v>32.0</v>
      </c>
      <c r="S154" s="137">
        <v>8.0</v>
      </c>
      <c r="T154" s="137">
        <v>24.0</v>
      </c>
      <c r="U154" s="137">
        <v>8.0</v>
      </c>
      <c r="V154" s="137">
        <v>30.0</v>
      </c>
      <c r="W154" s="137">
        <v>10.0</v>
      </c>
      <c r="X154" s="137">
        <v>36.0</v>
      </c>
      <c r="Y154" s="137">
        <v>24.0</v>
      </c>
      <c r="Z154" s="137">
        <v>20.0</v>
      </c>
      <c r="AA154" s="137">
        <v>22.0</v>
      </c>
      <c r="AB154" s="137">
        <v>30.0</v>
      </c>
      <c r="AC154" s="137">
        <v>14.0</v>
      </c>
      <c r="AD154" s="137">
        <v>8.0</v>
      </c>
      <c r="AE154" s="137">
        <v>18.0</v>
      </c>
      <c r="AF154" s="137">
        <v>8.0</v>
      </c>
      <c r="AG154" s="137">
        <v>26.0</v>
      </c>
      <c r="AH154" s="137">
        <v>10.0</v>
      </c>
      <c r="AI154" s="137">
        <v>14.0</v>
      </c>
      <c r="AJ154" s="137">
        <v>6.0</v>
      </c>
      <c r="AK154" s="137">
        <v>4.0</v>
      </c>
      <c r="AL154" s="137">
        <v>10.0</v>
      </c>
      <c r="AM154" s="137">
        <v>4.0</v>
      </c>
      <c r="AN154" s="137">
        <v>448.0</v>
      </c>
    </row>
    <row r="155">
      <c r="A155" s="104"/>
      <c r="B155" s="136" t="s">
        <v>199</v>
      </c>
      <c r="C155" s="137">
        <v>206.0</v>
      </c>
      <c r="D155" s="137">
        <v>140.0</v>
      </c>
      <c r="E155" s="137">
        <v>66.0</v>
      </c>
      <c r="F155" s="137">
        <v>8.0</v>
      </c>
      <c r="G155" s="137">
        <v>10.0</v>
      </c>
      <c r="H155" s="137">
        <v>10.0</v>
      </c>
      <c r="I155" s="137">
        <v>4.0</v>
      </c>
      <c r="J155" s="137">
        <v>6.0</v>
      </c>
      <c r="K155" s="137">
        <v>2.0</v>
      </c>
      <c r="L155" s="137">
        <v>8.0</v>
      </c>
      <c r="M155" s="137">
        <v>6.0</v>
      </c>
      <c r="N155" s="137">
        <v>0.0</v>
      </c>
      <c r="O155" s="137">
        <v>0.0</v>
      </c>
      <c r="P155" s="137">
        <v>14.0</v>
      </c>
      <c r="Q155" s="137">
        <v>10.0</v>
      </c>
      <c r="R155" s="137">
        <v>20.0</v>
      </c>
      <c r="S155" s="137">
        <v>4.0</v>
      </c>
      <c r="T155" s="137">
        <v>16.0</v>
      </c>
      <c r="U155" s="137">
        <v>4.0</v>
      </c>
      <c r="V155" s="137">
        <v>6.0</v>
      </c>
      <c r="W155" s="137">
        <v>6.0</v>
      </c>
      <c r="X155" s="137">
        <v>10.0</v>
      </c>
      <c r="Y155" s="137">
        <v>2.0</v>
      </c>
      <c r="Z155" s="137">
        <v>6.0</v>
      </c>
      <c r="AA155" s="137">
        <v>2.0</v>
      </c>
      <c r="AB155" s="137">
        <v>18.0</v>
      </c>
      <c r="AC155" s="137">
        <v>4.0</v>
      </c>
      <c r="AD155" s="137">
        <v>0.0</v>
      </c>
      <c r="AE155" s="137">
        <v>2.0</v>
      </c>
      <c r="AF155" s="137">
        <v>0.0</v>
      </c>
      <c r="AG155" s="137">
        <v>10.0</v>
      </c>
      <c r="AH155" s="137">
        <v>4.0</v>
      </c>
      <c r="AI155" s="137">
        <v>0.0</v>
      </c>
      <c r="AJ155" s="137">
        <v>4.0</v>
      </c>
      <c r="AK155" s="137">
        <v>0.0</v>
      </c>
      <c r="AL155" s="137">
        <v>10.0</v>
      </c>
      <c r="AM155" s="137">
        <v>0.0</v>
      </c>
      <c r="AN155" s="137">
        <v>206.0</v>
      </c>
    </row>
    <row r="156">
      <c r="A156" s="132" t="s">
        <v>203</v>
      </c>
      <c r="B156" s="136" t="s">
        <v>198</v>
      </c>
      <c r="C156" s="137">
        <v>6.0</v>
      </c>
      <c r="D156" s="137">
        <v>4.0</v>
      </c>
      <c r="E156" s="137">
        <v>2.0</v>
      </c>
      <c r="F156" s="135">
        <v>0.0</v>
      </c>
      <c r="G156" s="135">
        <v>0.0</v>
      </c>
      <c r="H156" s="135">
        <v>0.0</v>
      </c>
      <c r="I156" s="135">
        <v>0.0</v>
      </c>
      <c r="J156" s="135">
        <v>0.0</v>
      </c>
      <c r="K156" s="135">
        <v>0.0</v>
      </c>
      <c r="L156" s="135">
        <v>0.0</v>
      </c>
      <c r="M156" s="135">
        <v>0.0</v>
      </c>
      <c r="N156" s="135">
        <v>0.0</v>
      </c>
      <c r="O156" s="135">
        <v>0.0</v>
      </c>
      <c r="P156" s="135">
        <v>0.0</v>
      </c>
      <c r="Q156" s="135">
        <v>0.0</v>
      </c>
      <c r="R156" s="135">
        <v>0.0</v>
      </c>
      <c r="S156" s="135">
        <v>0.0</v>
      </c>
      <c r="T156" s="135">
        <v>0.0</v>
      </c>
      <c r="U156" s="135">
        <v>0.0</v>
      </c>
      <c r="V156" s="135">
        <v>0.0</v>
      </c>
      <c r="W156" s="135">
        <v>0.0</v>
      </c>
      <c r="X156" s="135">
        <v>0.0</v>
      </c>
      <c r="Y156" s="135">
        <v>0.0</v>
      </c>
      <c r="Z156" s="135">
        <v>0.0</v>
      </c>
      <c r="AA156" s="135">
        <v>0.0</v>
      </c>
      <c r="AB156" s="135">
        <v>0.0</v>
      </c>
      <c r="AC156" s="135">
        <v>0.0</v>
      </c>
      <c r="AD156" s="135">
        <v>0.0</v>
      </c>
      <c r="AE156" s="135">
        <v>0.0</v>
      </c>
      <c r="AF156" s="137">
        <v>2.0</v>
      </c>
      <c r="AG156" s="137">
        <v>0.0</v>
      </c>
      <c r="AH156" s="137">
        <v>0.0</v>
      </c>
      <c r="AI156" s="137">
        <v>2.0</v>
      </c>
      <c r="AJ156" s="137">
        <v>0.0</v>
      </c>
      <c r="AK156" s="137">
        <v>0.0</v>
      </c>
      <c r="AL156" s="137">
        <v>2.0</v>
      </c>
      <c r="AM156" s="137">
        <v>0.0</v>
      </c>
      <c r="AN156" s="137">
        <v>6.0</v>
      </c>
    </row>
    <row r="157">
      <c r="A157" s="104"/>
      <c r="B157" s="136" t="s">
        <v>199</v>
      </c>
      <c r="C157" s="137">
        <v>236.0</v>
      </c>
      <c r="D157" s="137">
        <v>76.0</v>
      </c>
      <c r="E157" s="137">
        <v>160.0</v>
      </c>
      <c r="F157" s="135">
        <v>0.0</v>
      </c>
      <c r="G157" s="135">
        <v>0.0</v>
      </c>
      <c r="H157" s="135">
        <v>0.0</v>
      </c>
      <c r="I157" s="135">
        <v>0.0</v>
      </c>
      <c r="J157" s="135">
        <v>0.0</v>
      </c>
      <c r="K157" s="135">
        <v>0.0</v>
      </c>
      <c r="L157" s="135">
        <v>0.0</v>
      </c>
      <c r="M157" s="135">
        <v>0.0</v>
      </c>
      <c r="N157" s="135">
        <v>0.0</v>
      </c>
      <c r="O157" s="135">
        <v>0.0</v>
      </c>
      <c r="P157" s="135">
        <v>0.0</v>
      </c>
      <c r="Q157" s="135">
        <v>0.0</v>
      </c>
      <c r="R157" s="135">
        <v>0.0</v>
      </c>
      <c r="S157" s="135">
        <v>0.0</v>
      </c>
      <c r="T157" s="135">
        <v>0.0</v>
      </c>
      <c r="U157" s="135">
        <v>0.0</v>
      </c>
      <c r="V157" s="135">
        <v>0.0</v>
      </c>
      <c r="W157" s="135">
        <v>0.0</v>
      </c>
      <c r="X157" s="135">
        <v>0.0</v>
      </c>
      <c r="Y157" s="135">
        <v>0.0</v>
      </c>
      <c r="Z157" s="135">
        <v>0.0</v>
      </c>
      <c r="AA157" s="135">
        <v>0.0</v>
      </c>
      <c r="AB157" s="135">
        <v>0.0</v>
      </c>
      <c r="AC157" s="135">
        <v>0.0</v>
      </c>
      <c r="AD157" s="135">
        <v>0.0</v>
      </c>
      <c r="AE157" s="135">
        <v>0.0</v>
      </c>
      <c r="AF157" s="137">
        <v>18.0</v>
      </c>
      <c r="AG157" s="137">
        <v>34.0</v>
      </c>
      <c r="AH157" s="137">
        <v>32.0</v>
      </c>
      <c r="AI157" s="137">
        <v>56.0</v>
      </c>
      <c r="AJ157" s="137">
        <v>12.0</v>
      </c>
      <c r="AK157" s="137">
        <v>42.0</v>
      </c>
      <c r="AL157" s="137">
        <v>14.0</v>
      </c>
      <c r="AM157" s="137">
        <v>28.0</v>
      </c>
      <c r="AN157" s="137">
        <v>232.0</v>
      </c>
    </row>
    <row r="158">
      <c r="A158" s="132" t="s">
        <v>204</v>
      </c>
      <c r="B158" s="136" t="s">
        <v>198</v>
      </c>
      <c r="C158" s="137">
        <v>14.0</v>
      </c>
      <c r="D158" s="137">
        <v>8.0</v>
      </c>
      <c r="E158" s="137">
        <v>6.0</v>
      </c>
      <c r="F158" s="135">
        <v>0.0</v>
      </c>
      <c r="G158" s="135">
        <v>0.0</v>
      </c>
      <c r="H158" s="135">
        <v>0.0</v>
      </c>
      <c r="I158" s="135">
        <v>0.0</v>
      </c>
      <c r="J158" s="135">
        <v>0.0</v>
      </c>
      <c r="K158" s="135">
        <v>0.0</v>
      </c>
      <c r="L158" s="135">
        <v>0.0</v>
      </c>
      <c r="M158" s="135">
        <v>0.0</v>
      </c>
      <c r="N158" s="135">
        <v>0.0</v>
      </c>
      <c r="O158" s="135">
        <v>0.0</v>
      </c>
      <c r="P158" s="135">
        <v>0.0</v>
      </c>
      <c r="Q158" s="135">
        <v>0.0</v>
      </c>
      <c r="R158" s="135">
        <v>0.0</v>
      </c>
      <c r="S158" s="135">
        <v>0.0</v>
      </c>
      <c r="T158" s="135">
        <v>0.0</v>
      </c>
      <c r="U158" s="135">
        <v>0.0</v>
      </c>
      <c r="V158" s="135">
        <v>0.0</v>
      </c>
      <c r="W158" s="135">
        <v>0.0</v>
      </c>
      <c r="X158" s="135">
        <v>0.0</v>
      </c>
      <c r="Y158" s="135">
        <v>0.0</v>
      </c>
      <c r="Z158" s="135">
        <v>0.0</v>
      </c>
      <c r="AA158" s="135">
        <v>0.0</v>
      </c>
      <c r="AB158" s="135">
        <v>0.0</v>
      </c>
      <c r="AC158" s="135">
        <v>0.0</v>
      </c>
      <c r="AD158" s="135">
        <v>0.0</v>
      </c>
      <c r="AE158" s="135">
        <v>0.0</v>
      </c>
      <c r="AF158" s="137">
        <v>0.0</v>
      </c>
      <c r="AG158" s="137">
        <v>0.0</v>
      </c>
      <c r="AH158" s="137">
        <v>2.0</v>
      </c>
      <c r="AI158" s="137">
        <v>4.0</v>
      </c>
      <c r="AJ158" s="137">
        <v>4.0</v>
      </c>
      <c r="AK158" s="137">
        <v>2.0</v>
      </c>
      <c r="AL158" s="137">
        <v>2.0</v>
      </c>
      <c r="AM158" s="137">
        <v>0.0</v>
      </c>
      <c r="AN158" s="137">
        <v>14.0</v>
      </c>
    </row>
    <row r="159">
      <c r="A159" s="104"/>
      <c r="B159" s="136" t="s">
        <v>199</v>
      </c>
      <c r="C159" s="137">
        <v>110.0</v>
      </c>
      <c r="D159" s="137">
        <v>40.0</v>
      </c>
      <c r="E159" s="137">
        <v>70.0</v>
      </c>
      <c r="F159" s="135">
        <v>0.0</v>
      </c>
      <c r="G159" s="135">
        <v>0.0</v>
      </c>
      <c r="H159" s="135">
        <v>0.0</v>
      </c>
      <c r="I159" s="135">
        <v>0.0</v>
      </c>
      <c r="J159" s="135">
        <v>0.0</v>
      </c>
      <c r="K159" s="135">
        <v>0.0</v>
      </c>
      <c r="L159" s="135">
        <v>0.0</v>
      </c>
      <c r="M159" s="135">
        <v>0.0</v>
      </c>
      <c r="N159" s="135">
        <v>0.0</v>
      </c>
      <c r="O159" s="135">
        <v>0.0</v>
      </c>
      <c r="P159" s="135">
        <v>0.0</v>
      </c>
      <c r="Q159" s="135">
        <v>0.0</v>
      </c>
      <c r="R159" s="135">
        <v>0.0</v>
      </c>
      <c r="S159" s="135">
        <v>0.0</v>
      </c>
      <c r="T159" s="135">
        <v>0.0</v>
      </c>
      <c r="U159" s="135">
        <v>0.0</v>
      </c>
      <c r="V159" s="135">
        <v>0.0</v>
      </c>
      <c r="W159" s="135">
        <v>0.0</v>
      </c>
      <c r="X159" s="135">
        <v>0.0</v>
      </c>
      <c r="Y159" s="135">
        <v>0.0</v>
      </c>
      <c r="Z159" s="135">
        <v>0.0</v>
      </c>
      <c r="AA159" s="135">
        <v>0.0</v>
      </c>
      <c r="AB159" s="135">
        <v>0.0</v>
      </c>
      <c r="AC159" s="135">
        <v>0.0</v>
      </c>
      <c r="AD159" s="135">
        <v>0.0</v>
      </c>
      <c r="AE159" s="135">
        <v>0.0</v>
      </c>
      <c r="AF159" s="137">
        <v>2.0</v>
      </c>
      <c r="AG159" s="137">
        <v>8.0</v>
      </c>
      <c r="AH159" s="137">
        <v>6.0</v>
      </c>
      <c r="AI159" s="137">
        <v>16.0</v>
      </c>
      <c r="AJ159" s="137">
        <v>6.0</v>
      </c>
      <c r="AK159" s="137">
        <v>18.0</v>
      </c>
      <c r="AL159" s="137">
        <v>26.0</v>
      </c>
      <c r="AM159" s="137">
        <v>28.0</v>
      </c>
      <c r="AN159" s="137">
        <v>110.0</v>
      </c>
    </row>
    <row r="160">
      <c r="A160" s="132" t="s">
        <v>205</v>
      </c>
      <c r="B160" s="136" t="s">
        <v>198</v>
      </c>
      <c r="C160" s="137">
        <v>10.0</v>
      </c>
      <c r="D160" s="137">
        <v>6.0</v>
      </c>
      <c r="E160" s="137">
        <v>4.0</v>
      </c>
      <c r="F160" s="137">
        <v>0.0</v>
      </c>
      <c r="G160" s="137">
        <v>0.0</v>
      </c>
      <c r="H160" s="137">
        <v>0.0</v>
      </c>
      <c r="I160" s="137">
        <v>0.0</v>
      </c>
      <c r="J160" s="137">
        <v>0.0</v>
      </c>
      <c r="K160" s="137">
        <v>0.0</v>
      </c>
      <c r="L160" s="137">
        <v>0.0</v>
      </c>
      <c r="M160" s="137">
        <v>0.0</v>
      </c>
      <c r="N160" s="137">
        <v>0.0</v>
      </c>
      <c r="O160" s="137">
        <v>2.0</v>
      </c>
      <c r="P160" s="137">
        <v>0.0</v>
      </c>
      <c r="Q160" s="137">
        <v>2.0</v>
      </c>
      <c r="R160" s="137">
        <v>0.0</v>
      </c>
      <c r="S160" s="137">
        <v>0.0</v>
      </c>
      <c r="T160" s="137">
        <v>0.0</v>
      </c>
      <c r="U160" s="137">
        <v>0.0</v>
      </c>
      <c r="V160" s="137">
        <v>2.0</v>
      </c>
      <c r="W160" s="137">
        <v>0.0</v>
      </c>
      <c r="X160" s="137">
        <v>0.0</v>
      </c>
      <c r="Y160" s="137">
        <v>0.0</v>
      </c>
      <c r="Z160" s="137">
        <v>4.0</v>
      </c>
      <c r="AA160" s="137">
        <v>0.0</v>
      </c>
      <c r="AB160" s="137">
        <v>0.0</v>
      </c>
      <c r="AC160" s="137">
        <v>0.0</v>
      </c>
      <c r="AD160" s="137">
        <v>0.0</v>
      </c>
      <c r="AE160" s="137">
        <v>0.0</v>
      </c>
      <c r="AF160" s="137">
        <v>0.0</v>
      </c>
      <c r="AG160" s="137">
        <v>0.0</v>
      </c>
      <c r="AH160" s="137">
        <v>0.0</v>
      </c>
      <c r="AI160" s="137">
        <v>0.0</v>
      </c>
      <c r="AJ160" s="137">
        <v>0.0</v>
      </c>
      <c r="AK160" s="137">
        <v>0.0</v>
      </c>
      <c r="AL160" s="137">
        <v>0.0</v>
      </c>
      <c r="AM160" s="137">
        <v>0.0</v>
      </c>
      <c r="AN160" s="137">
        <v>10.0</v>
      </c>
    </row>
    <row r="161">
      <c r="A161" s="98"/>
      <c r="B161" s="136" t="s">
        <v>199</v>
      </c>
      <c r="C161" s="137">
        <v>4.0</v>
      </c>
      <c r="D161" s="137">
        <v>4.0</v>
      </c>
      <c r="E161" s="137">
        <v>0.0</v>
      </c>
      <c r="F161" s="137">
        <v>0.0</v>
      </c>
      <c r="G161" s="137">
        <v>0.0</v>
      </c>
      <c r="H161" s="137">
        <v>0.0</v>
      </c>
      <c r="I161" s="137">
        <v>0.0</v>
      </c>
      <c r="J161" s="137">
        <v>0.0</v>
      </c>
      <c r="K161" s="137">
        <v>0.0</v>
      </c>
      <c r="L161" s="137">
        <v>2.0</v>
      </c>
      <c r="M161" s="137">
        <v>0.0</v>
      </c>
      <c r="N161" s="137">
        <v>0.0</v>
      </c>
      <c r="O161" s="137">
        <v>0.0</v>
      </c>
      <c r="P161" s="137">
        <v>0.0</v>
      </c>
      <c r="Q161" s="137">
        <v>0.0</v>
      </c>
      <c r="R161" s="137">
        <v>0.0</v>
      </c>
      <c r="S161" s="137">
        <v>0.0</v>
      </c>
      <c r="T161" s="137">
        <v>0.0</v>
      </c>
      <c r="U161" s="137">
        <v>0.0</v>
      </c>
      <c r="V161" s="137">
        <v>0.0</v>
      </c>
      <c r="W161" s="137">
        <v>0.0</v>
      </c>
      <c r="X161" s="137">
        <v>0.0</v>
      </c>
      <c r="Y161" s="137">
        <v>0.0</v>
      </c>
      <c r="Z161" s="137">
        <v>0.0</v>
      </c>
      <c r="AA161" s="137">
        <v>0.0</v>
      </c>
      <c r="AB161" s="137">
        <v>0.0</v>
      </c>
      <c r="AC161" s="137">
        <v>0.0</v>
      </c>
      <c r="AD161" s="137">
        <v>0.0</v>
      </c>
      <c r="AE161" s="137">
        <v>0.0</v>
      </c>
      <c r="AF161" s="137">
        <v>2.0</v>
      </c>
      <c r="AG161" s="137">
        <v>0.0</v>
      </c>
      <c r="AH161" s="137">
        <v>0.0</v>
      </c>
      <c r="AI161" s="137">
        <v>0.0</v>
      </c>
      <c r="AJ161" s="137">
        <v>0.0</v>
      </c>
      <c r="AK161" s="137">
        <v>0.0</v>
      </c>
      <c r="AL161" s="137">
        <v>0.0</v>
      </c>
      <c r="AM161" s="137">
        <v>0.0</v>
      </c>
      <c r="AN161" s="137">
        <v>2.0</v>
      </c>
    </row>
    <row r="162">
      <c r="A162" s="104"/>
      <c r="B162" s="136" t="s">
        <v>206</v>
      </c>
      <c r="C162" s="137">
        <v>6.0</v>
      </c>
      <c r="D162" s="137">
        <v>2.0</v>
      </c>
      <c r="E162" s="137">
        <v>4.0</v>
      </c>
      <c r="F162" s="137">
        <v>0.0</v>
      </c>
      <c r="G162" s="137">
        <v>0.0</v>
      </c>
      <c r="H162" s="137">
        <v>0.0</v>
      </c>
      <c r="I162" s="137">
        <v>0.0</v>
      </c>
      <c r="J162" s="137">
        <v>0.0</v>
      </c>
      <c r="K162" s="137">
        <v>0.0</v>
      </c>
      <c r="L162" s="137">
        <v>2.0</v>
      </c>
      <c r="M162" s="137">
        <v>0.0</v>
      </c>
      <c r="N162" s="137">
        <v>0.0</v>
      </c>
      <c r="O162" s="137">
        <v>0.0</v>
      </c>
      <c r="P162" s="137">
        <v>0.0</v>
      </c>
      <c r="Q162" s="137">
        <v>2.0</v>
      </c>
      <c r="R162" s="137">
        <v>0.0</v>
      </c>
      <c r="S162" s="137">
        <v>0.0</v>
      </c>
      <c r="T162" s="137">
        <v>0.0</v>
      </c>
      <c r="U162" s="137">
        <v>0.0</v>
      </c>
      <c r="V162" s="137">
        <v>0.0</v>
      </c>
      <c r="W162" s="137">
        <v>2.0</v>
      </c>
      <c r="X162" s="137">
        <v>0.0</v>
      </c>
      <c r="Y162" s="137">
        <v>0.0</v>
      </c>
      <c r="Z162" s="137">
        <v>0.0</v>
      </c>
      <c r="AA162" s="137">
        <v>0.0</v>
      </c>
      <c r="AB162" s="137">
        <v>0.0</v>
      </c>
      <c r="AC162" s="137">
        <v>0.0</v>
      </c>
      <c r="AD162" s="137">
        <v>0.0</v>
      </c>
      <c r="AE162" s="137">
        <v>0.0</v>
      </c>
      <c r="AF162" s="137">
        <v>0.0</v>
      </c>
      <c r="AG162" s="137">
        <v>0.0</v>
      </c>
      <c r="AH162" s="137">
        <v>0.0</v>
      </c>
      <c r="AI162" s="137">
        <v>0.0</v>
      </c>
      <c r="AJ162" s="137">
        <v>0.0</v>
      </c>
      <c r="AK162" s="137">
        <v>0.0</v>
      </c>
      <c r="AL162" s="137">
        <v>0.0</v>
      </c>
      <c r="AM162" s="137">
        <v>0.0</v>
      </c>
      <c r="AN162" s="137">
        <v>6.0</v>
      </c>
    </row>
    <row r="163">
      <c r="A163" s="132" t="s">
        <v>207</v>
      </c>
      <c r="B163" s="136" t="s">
        <v>198</v>
      </c>
      <c r="C163" s="134">
        <v>24502.0</v>
      </c>
      <c r="D163" s="134">
        <v>7628.0</v>
      </c>
      <c r="E163" s="134">
        <v>16874.0</v>
      </c>
      <c r="F163" s="137">
        <v>628.0</v>
      </c>
      <c r="G163" s="137">
        <v>518.0</v>
      </c>
      <c r="H163" s="137">
        <v>274.0</v>
      </c>
      <c r="I163" s="137">
        <v>272.0</v>
      </c>
      <c r="J163" s="137">
        <v>286.0</v>
      </c>
      <c r="K163" s="137">
        <v>262.0</v>
      </c>
      <c r="L163" s="137">
        <v>236.0</v>
      </c>
      <c r="M163" s="137">
        <v>356.0</v>
      </c>
      <c r="N163" s="137">
        <v>168.0</v>
      </c>
      <c r="O163" s="137">
        <v>428.0</v>
      </c>
      <c r="P163" s="137">
        <v>186.0</v>
      </c>
      <c r="Q163" s="137">
        <v>560.0</v>
      </c>
      <c r="R163" s="137">
        <v>182.0</v>
      </c>
      <c r="S163" s="137">
        <v>610.0</v>
      </c>
      <c r="T163" s="137">
        <v>226.0</v>
      </c>
      <c r="U163" s="137">
        <v>708.0</v>
      </c>
      <c r="V163" s="137">
        <v>262.0</v>
      </c>
      <c r="W163" s="137">
        <v>776.0</v>
      </c>
      <c r="X163" s="137">
        <v>328.0</v>
      </c>
      <c r="Y163" s="134">
        <v>1054.0</v>
      </c>
      <c r="Z163" s="137">
        <v>482.0</v>
      </c>
      <c r="AA163" s="134">
        <v>1368.0</v>
      </c>
      <c r="AB163" s="137">
        <v>624.0</v>
      </c>
      <c r="AC163" s="134">
        <v>1766.0</v>
      </c>
      <c r="AD163" s="137">
        <v>648.0</v>
      </c>
      <c r="AE163" s="134">
        <v>1890.0</v>
      </c>
      <c r="AF163" s="137">
        <v>752.0</v>
      </c>
      <c r="AG163" s="134">
        <v>1690.0</v>
      </c>
      <c r="AH163" s="137">
        <v>758.0</v>
      </c>
      <c r="AI163" s="134">
        <v>1562.0</v>
      </c>
      <c r="AJ163" s="137">
        <v>744.0</v>
      </c>
      <c r="AK163" s="134">
        <v>1308.0</v>
      </c>
      <c r="AL163" s="137">
        <v>844.0</v>
      </c>
      <c r="AM163" s="134">
        <v>1746.0</v>
      </c>
      <c r="AN163" s="134">
        <v>24078.0</v>
      </c>
    </row>
    <row r="164">
      <c r="A164" s="98"/>
      <c r="B164" s="136" t="s">
        <v>199</v>
      </c>
      <c r="C164" s="134">
        <v>1846.0</v>
      </c>
      <c r="D164" s="137">
        <v>896.0</v>
      </c>
      <c r="E164" s="137">
        <v>950.0</v>
      </c>
      <c r="F164" s="137">
        <v>64.0</v>
      </c>
      <c r="G164" s="137">
        <v>66.0</v>
      </c>
      <c r="H164" s="137">
        <v>10.0</v>
      </c>
      <c r="I164" s="137">
        <v>20.0</v>
      </c>
      <c r="J164" s="137">
        <v>8.0</v>
      </c>
      <c r="K164" s="137">
        <v>20.0</v>
      </c>
      <c r="L164" s="137">
        <v>22.0</v>
      </c>
      <c r="M164" s="137">
        <v>24.0</v>
      </c>
      <c r="N164" s="137">
        <v>6.0</v>
      </c>
      <c r="O164" s="137">
        <v>18.0</v>
      </c>
      <c r="P164" s="137">
        <v>18.0</v>
      </c>
      <c r="Q164" s="137">
        <v>22.0</v>
      </c>
      <c r="R164" s="137">
        <v>12.0</v>
      </c>
      <c r="S164" s="137">
        <v>40.0</v>
      </c>
      <c r="T164" s="137">
        <v>44.0</v>
      </c>
      <c r="U164" s="137">
        <v>30.0</v>
      </c>
      <c r="V164" s="137">
        <v>26.0</v>
      </c>
      <c r="W164" s="137">
        <v>40.0</v>
      </c>
      <c r="X164" s="137">
        <v>80.0</v>
      </c>
      <c r="Y164" s="137">
        <v>56.0</v>
      </c>
      <c r="Z164" s="137">
        <v>38.0</v>
      </c>
      <c r="AA164" s="137">
        <v>76.0</v>
      </c>
      <c r="AB164" s="137">
        <v>90.0</v>
      </c>
      <c r="AC164" s="137">
        <v>78.0</v>
      </c>
      <c r="AD164" s="137">
        <v>68.0</v>
      </c>
      <c r="AE164" s="137">
        <v>62.0</v>
      </c>
      <c r="AF164" s="137">
        <v>172.0</v>
      </c>
      <c r="AG164" s="137">
        <v>68.0</v>
      </c>
      <c r="AH164" s="137">
        <v>80.0</v>
      </c>
      <c r="AI164" s="137">
        <v>118.0</v>
      </c>
      <c r="AJ164" s="137">
        <v>76.0</v>
      </c>
      <c r="AK164" s="137">
        <v>58.0</v>
      </c>
      <c r="AL164" s="137">
        <v>82.0</v>
      </c>
      <c r="AM164" s="137">
        <v>154.0</v>
      </c>
      <c r="AN164" s="134">
        <v>1826.0</v>
      </c>
    </row>
    <row r="165">
      <c r="A165" s="98"/>
      <c r="B165" s="136" t="s">
        <v>206</v>
      </c>
      <c r="C165" s="137">
        <v>450.0</v>
      </c>
      <c r="D165" s="137">
        <v>94.0</v>
      </c>
      <c r="E165" s="137">
        <v>356.0</v>
      </c>
      <c r="F165" s="137">
        <v>54.0</v>
      </c>
      <c r="G165" s="137">
        <v>48.0</v>
      </c>
      <c r="H165" s="137">
        <v>0.0</v>
      </c>
      <c r="I165" s="137">
        <v>0.0</v>
      </c>
      <c r="J165" s="137">
        <v>2.0</v>
      </c>
      <c r="K165" s="137">
        <v>14.0</v>
      </c>
      <c r="L165" s="137">
        <v>10.0</v>
      </c>
      <c r="M165" s="137">
        <v>24.0</v>
      </c>
      <c r="N165" s="137">
        <v>2.0</v>
      </c>
      <c r="O165" s="137">
        <v>56.0</v>
      </c>
      <c r="P165" s="137">
        <v>12.0</v>
      </c>
      <c r="Q165" s="137">
        <v>52.0</v>
      </c>
      <c r="R165" s="137">
        <v>4.0</v>
      </c>
      <c r="S165" s="137">
        <v>28.0</v>
      </c>
      <c r="T165" s="137">
        <v>4.0</v>
      </c>
      <c r="U165" s="137">
        <v>42.0</v>
      </c>
      <c r="V165" s="137">
        <v>0.0</v>
      </c>
      <c r="W165" s="137">
        <v>20.0</v>
      </c>
      <c r="X165" s="137">
        <v>4.0</v>
      </c>
      <c r="Y165" s="137">
        <v>18.0</v>
      </c>
      <c r="Z165" s="137">
        <v>0.0</v>
      </c>
      <c r="AA165" s="137">
        <v>16.0</v>
      </c>
      <c r="AB165" s="137">
        <v>0.0</v>
      </c>
      <c r="AC165" s="137">
        <v>18.0</v>
      </c>
      <c r="AD165" s="137">
        <v>0.0</v>
      </c>
      <c r="AE165" s="137">
        <v>4.0</v>
      </c>
      <c r="AF165" s="137">
        <v>0.0</v>
      </c>
      <c r="AG165" s="137">
        <v>2.0</v>
      </c>
      <c r="AH165" s="137">
        <v>2.0</v>
      </c>
      <c r="AI165" s="137">
        <v>6.0</v>
      </c>
      <c r="AJ165" s="137">
        <v>0.0</v>
      </c>
      <c r="AK165" s="137">
        <v>4.0</v>
      </c>
      <c r="AL165" s="137">
        <v>0.0</v>
      </c>
      <c r="AM165" s="137">
        <v>4.0</v>
      </c>
      <c r="AN165" s="137">
        <v>450.0</v>
      </c>
    </row>
    <row r="166">
      <c r="A166" s="98"/>
      <c r="B166" s="136" t="s">
        <v>200</v>
      </c>
      <c r="C166" s="134">
        <v>2960.0</v>
      </c>
      <c r="D166" s="134">
        <v>1118.0</v>
      </c>
      <c r="E166" s="134">
        <v>1842.0</v>
      </c>
      <c r="F166" s="137">
        <v>530.0</v>
      </c>
      <c r="G166" s="137">
        <v>578.0</v>
      </c>
      <c r="H166" s="137">
        <v>80.0</v>
      </c>
      <c r="I166" s="137">
        <v>102.0</v>
      </c>
      <c r="J166" s="137">
        <v>54.0</v>
      </c>
      <c r="K166" s="137">
        <v>64.0</v>
      </c>
      <c r="L166" s="137">
        <v>16.0</v>
      </c>
      <c r="M166" s="137">
        <v>48.0</v>
      </c>
      <c r="N166" s="137">
        <v>28.0</v>
      </c>
      <c r="O166" s="137">
        <v>80.0</v>
      </c>
      <c r="P166" s="137">
        <v>32.0</v>
      </c>
      <c r="Q166" s="137">
        <v>124.0</v>
      </c>
      <c r="R166" s="137">
        <v>26.0</v>
      </c>
      <c r="S166" s="137">
        <v>186.0</v>
      </c>
      <c r="T166" s="137">
        <v>44.0</v>
      </c>
      <c r="U166" s="137">
        <v>104.0</v>
      </c>
      <c r="V166" s="137">
        <v>36.0</v>
      </c>
      <c r="W166" s="137">
        <v>60.0</v>
      </c>
      <c r="X166" s="137">
        <v>24.0</v>
      </c>
      <c r="Y166" s="137">
        <v>66.0</v>
      </c>
      <c r="Z166" s="137">
        <v>26.0</v>
      </c>
      <c r="AA166" s="137">
        <v>48.0</v>
      </c>
      <c r="AB166" s="137">
        <v>40.0</v>
      </c>
      <c r="AC166" s="137">
        <v>40.0</v>
      </c>
      <c r="AD166" s="137">
        <v>22.0</v>
      </c>
      <c r="AE166" s="137">
        <v>58.0</v>
      </c>
      <c r="AF166" s="137">
        <v>28.0</v>
      </c>
      <c r="AG166" s="137">
        <v>38.0</v>
      </c>
      <c r="AH166" s="137">
        <v>42.0</v>
      </c>
      <c r="AI166" s="137">
        <v>50.0</v>
      </c>
      <c r="AJ166" s="137">
        <v>30.0</v>
      </c>
      <c r="AK166" s="137">
        <v>46.0</v>
      </c>
      <c r="AL166" s="137">
        <v>60.0</v>
      </c>
      <c r="AM166" s="137">
        <v>150.0</v>
      </c>
      <c r="AN166" s="134">
        <v>2932.0</v>
      </c>
    </row>
    <row r="167">
      <c r="A167" s="104"/>
      <c r="B167" s="136" t="s">
        <v>201</v>
      </c>
      <c r="C167" s="134">
        <v>15838.0</v>
      </c>
      <c r="D167" s="134">
        <v>5274.0</v>
      </c>
      <c r="E167" s="134">
        <v>10564.0</v>
      </c>
      <c r="F167" s="137">
        <v>240.0</v>
      </c>
      <c r="G167" s="137">
        <v>370.0</v>
      </c>
      <c r="H167" s="137">
        <v>324.0</v>
      </c>
      <c r="I167" s="137">
        <v>244.0</v>
      </c>
      <c r="J167" s="137">
        <v>212.0</v>
      </c>
      <c r="K167" s="137">
        <v>342.0</v>
      </c>
      <c r="L167" s="137">
        <v>202.0</v>
      </c>
      <c r="M167" s="137">
        <v>660.0</v>
      </c>
      <c r="N167" s="137">
        <v>154.0</v>
      </c>
      <c r="O167" s="137">
        <v>526.0</v>
      </c>
      <c r="P167" s="137">
        <v>182.0</v>
      </c>
      <c r="Q167" s="137">
        <v>586.0</v>
      </c>
      <c r="R167" s="137">
        <v>184.0</v>
      </c>
      <c r="S167" s="137">
        <v>860.0</v>
      </c>
      <c r="T167" s="137">
        <v>172.0</v>
      </c>
      <c r="U167" s="137">
        <v>678.0</v>
      </c>
      <c r="V167" s="137">
        <v>246.0</v>
      </c>
      <c r="W167" s="137">
        <v>652.0</v>
      </c>
      <c r="X167" s="137">
        <v>222.0</v>
      </c>
      <c r="Y167" s="137">
        <v>814.0</v>
      </c>
      <c r="Z167" s="137">
        <v>364.0</v>
      </c>
      <c r="AA167" s="137">
        <v>842.0</v>
      </c>
      <c r="AB167" s="137">
        <v>528.0</v>
      </c>
      <c r="AC167" s="137">
        <v>776.0</v>
      </c>
      <c r="AD167" s="137">
        <v>518.0</v>
      </c>
      <c r="AE167" s="137">
        <v>902.0</v>
      </c>
      <c r="AF167" s="137">
        <v>380.0</v>
      </c>
      <c r="AG167" s="137">
        <v>938.0</v>
      </c>
      <c r="AH167" s="137">
        <v>594.0</v>
      </c>
      <c r="AI167" s="137">
        <v>502.0</v>
      </c>
      <c r="AJ167" s="137">
        <v>342.0</v>
      </c>
      <c r="AK167" s="137">
        <v>334.0</v>
      </c>
      <c r="AL167" s="137">
        <v>410.0</v>
      </c>
      <c r="AM167" s="137">
        <v>538.0</v>
      </c>
      <c r="AN167" s="134">
        <v>15620.0</v>
      </c>
    </row>
    <row r="168">
      <c r="A168" s="132" t="s">
        <v>208</v>
      </c>
      <c r="B168" s="136" t="s">
        <v>198</v>
      </c>
      <c r="C168" s="137">
        <v>60.0</v>
      </c>
      <c r="D168" s="137">
        <v>48.0</v>
      </c>
      <c r="E168" s="137">
        <v>12.0</v>
      </c>
      <c r="F168" s="137">
        <v>38.0</v>
      </c>
      <c r="G168" s="137">
        <v>8.0</v>
      </c>
      <c r="H168" s="137">
        <v>10.0</v>
      </c>
      <c r="I168" s="137">
        <v>2.0</v>
      </c>
      <c r="J168" s="137">
        <v>0.0</v>
      </c>
      <c r="K168" s="137">
        <v>2.0</v>
      </c>
      <c r="L168" s="137">
        <v>0.0</v>
      </c>
      <c r="M168" s="137">
        <v>0.0</v>
      </c>
      <c r="N168" s="137">
        <v>0.0</v>
      </c>
      <c r="O168" s="137">
        <v>0.0</v>
      </c>
      <c r="P168" s="135">
        <v>0.0</v>
      </c>
      <c r="Q168" s="135">
        <v>0.0</v>
      </c>
      <c r="R168" s="135">
        <v>0.0</v>
      </c>
      <c r="S168" s="135">
        <v>0.0</v>
      </c>
      <c r="T168" s="135">
        <v>0.0</v>
      </c>
      <c r="U168" s="135">
        <v>0.0</v>
      </c>
      <c r="V168" s="135">
        <v>0.0</v>
      </c>
      <c r="W168" s="135">
        <v>0.0</v>
      </c>
      <c r="X168" s="135">
        <v>0.0</v>
      </c>
      <c r="Y168" s="135">
        <v>0.0</v>
      </c>
      <c r="Z168" s="135">
        <v>0.0</v>
      </c>
      <c r="AA168" s="135">
        <v>0.0</v>
      </c>
      <c r="AB168" s="135">
        <v>0.0</v>
      </c>
      <c r="AC168" s="135">
        <v>0.0</v>
      </c>
      <c r="AD168" s="135">
        <v>0.0</v>
      </c>
      <c r="AE168" s="135">
        <v>0.0</v>
      </c>
      <c r="AF168" s="135">
        <v>0.0</v>
      </c>
      <c r="AG168" s="135">
        <v>0.0</v>
      </c>
      <c r="AH168" s="135">
        <v>0.0</v>
      </c>
      <c r="AI168" s="135">
        <v>0.0</v>
      </c>
      <c r="AJ168" s="135">
        <v>0.0</v>
      </c>
      <c r="AK168" s="135">
        <v>0.0</v>
      </c>
      <c r="AL168" s="135">
        <v>0.0</v>
      </c>
      <c r="AM168" s="135">
        <v>0.0</v>
      </c>
      <c r="AN168" s="137">
        <v>58.0</v>
      </c>
    </row>
    <row r="169">
      <c r="A169" s="98"/>
      <c r="B169" s="136" t="s">
        <v>199</v>
      </c>
      <c r="C169" s="137">
        <v>108.0</v>
      </c>
      <c r="D169" s="137">
        <v>52.0</v>
      </c>
      <c r="E169" s="137">
        <v>56.0</v>
      </c>
      <c r="F169" s="137">
        <v>42.0</v>
      </c>
      <c r="G169" s="137">
        <v>48.0</v>
      </c>
      <c r="H169" s="137">
        <v>10.0</v>
      </c>
      <c r="I169" s="137">
        <v>8.0</v>
      </c>
      <c r="J169" s="137">
        <v>0.0</v>
      </c>
      <c r="K169" s="137">
        <v>0.0</v>
      </c>
      <c r="L169" s="137">
        <v>0.0</v>
      </c>
      <c r="M169" s="137">
        <v>0.0</v>
      </c>
      <c r="N169" s="137">
        <v>0.0</v>
      </c>
      <c r="O169" s="137">
        <v>0.0</v>
      </c>
      <c r="P169" s="135">
        <v>0.0</v>
      </c>
      <c r="Q169" s="135">
        <v>0.0</v>
      </c>
      <c r="R169" s="135">
        <v>0.0</v>
      </c>
      <c r="S169" s="135">
        <v>0.0</v>
      </c>
      <c r="T169" s="135">
        <v>0.0</v>
      </c>
      <c r="U169" s="135">
        <v>0.0</v>
      </c>
      <c r="V169" s="135">
        <v>0.0</v>
      </c>
      <c r="W169" s="135">
        <v>0.0</v>
      </c>
      <c r="X169" s="135">
        <v>0.0</v>
      </c>
      <c r="Y169" s="135">
        <v>0.0</v>
      </c>
      <c r="Z169" s="135">
        <v>0.0</v>
      </c>
      <c r="AA169" s="135">
        <v>0.0</v>
      </c>
      <c r="AB169" s="135">
        <v>0.0</v>
      </c>
      <c r="AC169" s="135">
        <v>0.0</v>
      </c>
      <c r="AD169" s="135">
        <v>0.0</v>
      </c>
      <c r="AE169" s="135">
        <v>0.0</v>
      </c>
      <c r="AF169" s="135">
        <v>0.0</v>
      </c>
      <c r="AG169" s="135">
        <v>0.0</v>
      </c>
      <c r="AH169" s="135">
        <v>0.0</v>
      </c>
      <c r="AI169" s="135">
        <v>0.0</v>
      </c>
      <c r="AJ169" s="135">
        <v>0.0</v>
      </c>
      <c r="AK169" s="135">
        <v>0.0</v>
      </c>
      <c r="AL169" s="135">
        <v>0.0</v>
      </c>
      <c r="AM169" s="135">
        <v>0.0</v>
      </c>
      <c r="AN169" s="137">
        <v>108.0</v>
      </c>
    </row>
    <row r="170">
      <c r="A170" s="98"/>
      <c r="B170" s="136" t="s">
        <v>206</v>
      </c>
      <c r="C170" s="137">
        <v>10.0</v>
      </c>
      <c r="D170" s="137">
        <v>6.0</v>
      </c>
      <c r="E170" s="137">
        <v>4.0</v>
      </c>
      <c r="F170" s="137">
        <v>0.0</v>
      </c>
      <c r="G170" s="137">
        <v>0.0</v>
      </c>
      <c r="H170" s="137">
        <v>6.0</v>
      </c>
      <c r="I170" s="137">
        <v>2.0</v>
      </c>
      <c r="J170" s="137">
        <v>0.0</v>
      </c>
      <c r="K170" s="137">
        <v>0.0</v>
      </c>
      <c r="L170" s="137">
        <v>0.0</v>
      </c>
      <c r="M170" s="137">
        <v>0.0</v>
      </c>
      <c r="N170" s="137">
        <v>0.0</v>
      </c>
      <c r="O170" s="137">
        <v>2.0</v>
      </c>
      <c r="P170" s="135">
        <v>0.0</v>
      </c>
      <c r="Q170" s="135">
        <v>0.0</v>
      </c>
      <c r="R170" s="135">
        <v>0.0</v>
      </c>
      <c r="S170" s="135">
        <v>0.0</v>
      </c>
      <c r="T170" s="135">
        <v>0.0</v>
      </c>
      <c r="U170" s="135">
        <v>0.0</v>
      </c>
      <c r="V170" s="135">
        <v>0.0</v>
      </c>
      <c r="W170" s="135">
        <v>0.0</v>
      </c>
      <c r="X170" s="135">
        <v>0.0</v>
      </c>
      <c r="Y170" s="135">
        <v>0.0</v>
      </c>
      <c r="Z170" s="135">
        <v>0.0</v>
      </c>
      <c r="AA170" s="135">
        <v>0.0</v>
      </c>
      <c r="AB170" s="135">
        <v>0.0</v>
      </c>
      <c r="AC170" s="135">
        <v>0.0</v>
      </c>
      <c r="AD170" s="135">
        <v>0.0</v>
      </c>
      <c r="AE170" s="135">
        <v>0.0</v>
      </c>
      <c r="AF170" s="135">
        <v>0.0</v>
      </c>
      <c r="AG170" s="135">
        <v>0.0</v>
      </c>
      <c r="AH170" s="135">
        <v>0.0</v>
      </c>
      <c r="AI170" s="135">
        <v>0.0</v>
      </c>
      <c r="AJ170" s="135">
        <v>0.0</v>
      </c>
      <c r="AK170" s="135">
        <v>0.0</v>
      </c>
      <c r="AL170" s="135">
        <v>0.0</v>
      </c>
      <c r="AM170" s="135">
        <v>0.0</v>
      </c>
      <c r="AN170" s="137">
        <v>10.0</v>
      </c>
    </row>
    <row r="171">
      <c r="A171" s="98"/>
      <c r="B171" s="136" t="s">
        <v>200</v>
      </c>
      <c r="C171" s="137">
        <v>130.0</v>
      </c>
      <c r="D171" s="137">
        <v>60.0</v>
      </c>
      <c r="E171" s="137">
        <v>70.0</v>
      </c>
      <c r="F171" s="137">
        <v>54.0</v>
      </c>
      <c r="G171" s="137">
        <v>56.0</v>
      </c>
      <c r="H171" s="137">
        <v>6.0</v>
      </c>
      <c r="I171" s="137">
        <v>10.0</v>
      </c>
      <c r="J171" s="137">
        <v>0.0</v>
      </c>
      <c r="K171" s="137">
        <v>0.0</v>
      </c>
      <c r="L171" s="137">
        <v>0.0</v>
      </c>
      <c r="M171" s="137">
        <v>4.0</v>
      </c>
      <c r="N171" s="137">
        <v>0.0</v>
      </c>
      <c r="O171" s="137">
        <v>0.0</v>
      </c>
      <c r="P171" s="135">
        <v>0.0</v>
      </c>
      <c r="Q171" s="135">
        <v>0.0</v>
      </c>
      <c r="R171" s="135">
        <v>0.0</v>
      </c>
      <c r="S171" s="135">
        <v>0.0</v>
      </c>
      <c r="T171" s="135">
        <v>0.0</v>
      </c>
      <c r="U171" s="135">
        <v>0.0</v>
      </c>
      <c r="V171" s="135">
        <v>0.0</v>
      </c>
      <c r="W171" s="135">
        <v>0.0</v>
      </c>
      <c r="X171" s="135">
        <v>0.0</v>
      </c>
      <c r="Y171" s="135">
        <v>0.0</v>
      </c>
      <c r="Z171" s="135">
        <v>0.0</v>
      </c>
      <c r="AA171" s="135">
        <v>0.0</v>
      </c>
      <c r="AB171" s="135">
        <v>0.0</v>
      </c>
      <c r="AC171" s="135">
        <v>0.0</v>
      </c>
      <c r="AD171" s="135">
        <v>0.0</v>
      </c>
      <c r="AE171" s="135">
        <v>0.0</v>
      </c>
      <c r="AF171" s="135">
        <v>0.0</v>
      </c>
      <c r="AG171" s="135">
        <v>0.0</v>
      </c>
      <c r="AH171" s="135">
        <v>0.0</v>
      </c>
      <c r="AI171" s="135">
        <v>0.0</v>
      </c>
      <c r="AJ171" s="135">
        <v>0.0</v>
      </c>
      <c r="AK171" s="135">
        <v>0.0</v>
      </c>
      <c r="AL171" s="135">
        <v>0.0</v>
      </c>
      <c r="AM171" s="135">
        <v>0.0</v>
      </c>
      <c r="AN171" s="137">
        <v>120.0</v>
      </c>
    </row>
    <row r="172">
      <c r="A172" s="104"/>
      <c r="B172" s="136" t="s">
        <v>201</v>
      </c>
      <c r="C172" s="137">
        <v>0.0</v>
      </c>
      <c r="D172" s="137">
        <v>0.0</v>
      </c>
      <c r="E172" s="137">
        <v>0.0</v>
      </c>
      <c r="F172" s="137">
        <v>0.0</v>
      </c>
      <c r="G172" s="137">
        <v>0.0</v>
      </c>
      <c r="H172" s="137">
        <v>0.0</v>
      </c>
      <c r="I172" s="137">
        <v>0.0</v>
      </c>
      <c r="J172" s="137">
        <v>0.0</v>
      </c>
      <c r="K172" s="137">
        <v>0.0</v>
      </c>
      <c r="L172" s="137">
        <v>0.0</v>
      </c>
      <c r="M172" s="137">
        <v>0.0</v>
      </c>
      <c r="N172" s="137">
        <v>0.0</v>
      </c>
      <c r="O172" s="137">
        <v>0.0</v>
      </c>
      <c r="P172" s="135">
        <v>0.0</v>
      </c>
      <c r="Q172" s="135">
        <v>0.0</v>
      </c>
      <c r="R172" s="135">
        <v>0.0</v>
      </c>
      <c r="S172" s="135">
        <v>0.0</v>
      </c>
      <c r="T172" s="135">
        <v>0.0</v>
      </c>
      <c r="U172" s="135">
        <v>0.0</v>
      </c>
      <c r="V172" s="135">
        <v>0.0</v>
      </c>
      <c r="W172" s="135">
        <v>0.0</v>
      </c>
      <c r="X172" s="135">
        <v>0.0</v>
      </c>
      <c r="Y172" s="135">
        <v>0.0</v>
      </c>
      <c r="Z172" s="135">
        <v>0.0</v>
      </c>
      <c r="AA172" s="135">
        <v>0.0</v>
      </c>
      <c r="AB172" s="135">
        <v>0.0</v>
      </c>
      <c r="AC172" s="135">
        <v>0.0</v>
      </c>
      <c r="AD172" s="135">
        <v>0.0</v>
      </c>
      <c r="AE172" s="135">
        <v>0.0</v>
      </c>
      <c r="AF172" s="135">
        <v>0.0</v>
      </c>
      <c r="AG172" s="135">
        <v>0.0</v>
      </c>
      <c r="AH172" s="135">
        <v>0.0</v>
      </c>
      <c r="AI172" s="135">
        <v>0.0</v>
      </c>
      <c r="AJ172" s="135">
        <v>0.0</v>
      </c>
      <c r="AK172" s="135">
        <v>0.0</v>
      </c>
      <c r="AL172" s="135">
        <v>0.0</v>
      </c>
      <c r="AM172" s="135">
        <v>0.0</v>
      </c>
      <c r="AN172" s="137">
        <v>0.0</v>
      </c>
    </row>
    <row r="173">
      <c r="A173" s="138" t="s">
        <v>246</v>
      </c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</row>
    <row r="174">
      <c r="A174" s="132" t="s">
        <v>197</v>
      </c>
      <c r="B174" s="133" t="s">
        <v>198</v>
      </c>
      <c r="C174" s="134">
        <v>113734.0</v>
      </c>
      <c r="D174" s="134">
        <v>41918.0</v>
      </c>
      <c r="E174" s="134">
        <v>71816.0</v>
      </c>
      <c r="F174" s="135">
        <v>0.0</v>
      </c>
      <c r="G174" s="135">
        <v>0.0</v>
      </c>
      <c r="H174" s="135">
        <v>0.0</v>
      </c>
      <c r="I174" s="135">
        <v>0.0</v>
      </c>
      <c r="J174" s="135">
        <v>0.0</v>
      </c>
      <c r="K174" s="135">
        <v>0.0</v>
      </c>
      <c r="L174" s="137">
        <v>98.0</v>
      </c>
      <c r="M174" s="137">
        <v>170.0</v>
      </c>
      <c r="N174" s="137">
        <v>166.0</v>
      </c>
      <c r="O174" s="137">
        <v>280.0</v>
      </c>
      <c r="P174" s="137">
        <v>222.0</v>
      </c>
      <c r="Q174" s="137">
        <v>552.0</v>
      </c>
      <c r="R174" s="137">
        <v>384.0</v>
      </c>
      <c r="S174" s="137">
        <v>946.0</v>
      </c>
      <c r="T174" s="137">
        <v>660.0</v>
      </c>
      <c r="U174" s="134">
        <v>1522.0</v>
      </c>
      <c r="V174" s="134">
        <v>1010.0</v>
      </c>
      <c r="W174" s="134">
        <v>2350.0</v>
      </c>
      <c r="X174" s="134">
        <v>1706.0</v>
      </c>
      <c r="Y174" s="134">
        <v>4002.0</v>
      </c>
      <c r="Z174" s="134">
        <v>3004.0</v>
      </c>
      <c r="AA174" s="134">
        <v>6220.0</v>
      </c>
      <c r="AB174" s="134">
        <v>4770.0</v>
      </c>
      <c r="AC174" s="134">
        <v>9062.0</v>
      </c>
      <c r="AD174" s="134">
        <v>5930.0</v>
      </c>
      <c r="AE174" s="134">
        <v>9976.0</v>
      </c>
      <c r="AF174" s="134">
        <v>6274.0</v>
      </c>
      <c r="AG174" s="134">
        <v>10034.0</v>
      </c>
      <c r="AH174" s="134">
        <v>6608.0</v>
      </c>
      <c r="AI174" s="134">
        <v>9428.0</v>
      </c>
      <c r="AJ174" s="134">
        <v>5604.0</v>
      </c>
      <c r="AK174" s="134">
        <v>8022.0</v>
      </c>
      <c r="AL174" s="134">
        <v>5482.0</v>
      </c>
      <c r="AM174" s="134">
        <v>9252.0</v>
      </c>
      <c r="AN174" s="134">
        <v>112210.0</v>
      </c>
    </row>
    <row r="175">
      <c r="A175" s="98"/>
      <c r="B175" s="136" t="s">
        <v>199</v>
      </c>
      <c r="C175" s="134">
        <v>29834.0</v>
      </c>
      <c r="D175" s="134">
        <v>10690.0</v>
      </c>
      <c r="E175" s="134">
        <v>19144.0</v>
      </c>
      <c r="F175" s="135">
        <v>0.0</v>
      </c>
      <c r="G175" s="135">
        <v>0.0</v>
      </c>
      <c r="H175" s="135">
        <v>0.0</v>
      </c>
      <c r="I175" s="135">
        <v>0.0</v>
      </c>
      <c r="J175" s="135">
        <v>0.0</v>
      </c>
      <c r="K175" s="135">
        <v>0.0</v>
      </c>
      <c r="L175" s="137">
        <v>8.0</v>
      </c>
      <c r="M175" s="137">
        <v>6.0</v>
      </c>
      <c r="N175" s="137">
        <v>20.0</v>
      </c>
      <c r="O175" s="137">
        <v>36.0</v>
      </c>
      <c r="P175" s="137">
        <v>30.0</v>
      </c>
      <c r="Q175" s="137">
        <v>106.0</v>
      </c>
      <c r="R175" s="137">
        <v>68.0</v>
      </c>
      <c r="S175" s="137">
        <v>144.0</v>
      </c>
      <c r="T175" s="137">
        <v>76.0</v>
      </c>
      <c r="U175" s="137">
        <v>264.0</v>
      </c>
      <c r="V175" s="137">
        <v>198.0</v>
      </c>
      <c r="W175" s="137">
        <v>502.0</v>
      </c>
      <c r="X175" s="137">
        <v>360.0</v>
      </c>
      <c r="Y175" s="137">
        <v>806.0</v>
      </c>
      <c r="Z175" s="137">
        <v>640.0</v>
      </c>
      <c r="AA175" s="134">
        <v>1416.0</v>
      </c>
      <c r="AB175" s="137">
        <v>946.0</v>
      </c>
      <c r="AC175" s="134">
        <v>2262.0</v>
      </c>
      <c r="AD175" s="134">
        <v>1428.0</v>
      </c>
      <c r="AE175" s="134">
        <v>2574.0</v>
      </c>
      <c r="AF175" s="134">
        <v>1704.0</v>
      </c>
      <c r="AG175" s="134">
        <v>2762.0</v>
      </c>
      <c r="AH175" s="134">
        <v>1798.0</v>
      </c>
      <c r="AI175" s="134">
        <v>2852.0</v>
      </c>
      <c r="AJ175" s="134">
        <v>1726.0</v>
      </c>
      <c r="AK175" s="134">
        <v>2466.0</v>
      </c>
      <c r="AL175" s="134">
        <v>1694.0</v>
      </c>
      <c r="AM175" s="134">
        <v>2956.0</v>
      </c>
      <c r="AN175" s="134">
        <v>29352.0</v>
      </c>
    </row>
    <row r="176">
      <c r="A176" s="98"/>
      <c r="B176" s="136" t="s">
        <v>200</v>
      </c>
      <c r="C176" s="134">
        <v>31458.0</v>
      </c>
      <c r="D176" s="134">
        <v>11104.0</v>
      </c>
      <c r="E176" s="134">
        <v>20354.0</v>
      </c>
      <c r="F176" s="135">
        <v>0.0</v>
      </c>
      <c r="G176" s="135">
        <v>0.0</v>
      </c>
      <c r="H176" s="135">
        <v>0.0</v>
      </c>
      <c r="I176" s="135">
        <v>0.0</v>
      </c>
      <c r="J176" s="135">
        <v>0.0</v>
      </c>
      <c r="K176" s="135">
        <v>0.0</v>
      </c>
      <c r="L176" s="137">
        <v>40.0</v>
      </c>
      <c r="M176" s="137">
        <v>54.0</v>
      </c>
      <c r="N176" s="137">
        <v>50.0</v>
      </c>
      <c r="O176" s="137">
        <v>92.0</v>
      </c>
      <c r="P176" s="137">
        <v>60.0</v>
      </c>
      <c r="Q176" s="137">
        <v>212.0</v>
      </c>
      <c r="R176" s="137">
        <v>108.0</v>
      </c>
      <c r="S176" s="137">
        <v>292.0</v>
      </c>
      <c r="T176" s="137">
        <v>236.0</v>
      </c>
      <c r="U176" s="137">
        <v>444.0</v>
      </c>
      <c r="V176" s="137">
        <v>278.0</v>
      </c>
      <c r="W176" s="137">
        <v>704.0</v>
      </c>
      <c r="X176" s="137">
        <v>476.0</v>
      </c>
      <c r="Y176" s="134">
        <v>1230.0</v>
      </c>
      <c r="Z176" s="137">
        <v>846.0</v>
      </c>
      <c r="AA176" s="134">
        <v>1804.0</v>
      </c>
      <c r="AB176" s="134">
        <v>1228.0</v>
      </c>
      <c r="AC176" s="134">
        <v>2406.0</v>
      </c>
      <c r="AD176" s="134">
        <v>1456.0</v>
      </c>
      <c r="AE176" s="134">
        <v>2894.0</v>
      </c>
      <c r="AF176" s="134">
        <v>1690.0</v>
      </c>
      <c r="AG176" s="134">
        <v>2826.0</v>
      </c>
      <c r="AH176" s="134">
        <v>1692.0</v>
      </c>
      <c r="AI176" s="134">
        <v>2830.0</v>
      </c>
      <c r="AJ176" s="134">
        <v>1384.0</v>
      </c>
      <c r="AK176" s="134">
        <v>2220.0</v>
      </c>
      <c r="AL176" s="134">
        <v>1554.0</v>
      </c>
      <c r="AM176" s="134">
        <v>2338.0</v>
      </c>
      <c r="AN176" s="134">
        <v>30316.0</v>
      </c>
    </row>
    <row r="177">
      <c r="A177" s="104"/>
      <c r="B177" s="136" t="s">
        <v>201</v>
      </c>
      <c r="C177" s="137">
        <v>882.0</v>
      </c>
      <c r="D177" s="137">
        <v>326.0</v>
      </c>
      <c r="E177" s="137">
        <v>556.0</v>
      </c>
      <c r="F177" s="135">
        <v>0.0</v>
      </c>
      <c r="G177" s="135">
        <v>0.0</v>
      </c>
      <c r="H177" s="135">
        <v>0.0</v>
      </c>
      <c r="I177" s="135">
        <v>0.0</v>
      </c>
      <c r="J177" s="135">
        <v>0.0</v>
      </c>
      <c r="K177" s="135">
        <v>0.0</v>
      </c>
      <c r="L177" s="137">
        <v>2.0</v>
      </c>
      <c r="M177" s="137">
        <v>2.0</v>
      </c>
      <c r="N177" s="137">
        <v>2.0</v>
      </c>
      <c r="O177" s="137">
        <v>4.0</v>
      </c>
      <c r="P177" s="137">
        <v>2.0</v>
      </c>
      <c r="Q177" s="137">
        <v>18.0</v>
      </c>
      <c r="R177" s="137">
        <v>4.0</v>
      </c>
      <c r="S177" s="137">
        <v>8.0</v>
      </c>
      <c r="T177" s="137">
        <v>8.0</v>
      </c>
      <c r="U177" s="137">
        <v>16.0</v>
      </c>
      <c r="V177" s="137">
        <v>10.0</v>
      </c>
      <c r="W177" s="137">
        <v>24.0</v>
      </c>
      <c r="X177" s="137">
        <v>8.0</v>
      </c>
      <c r="Y177" s="137">
        <v>36.0</v>
      </c>
      <c r="Z177" s="137">
        <v>38.0</v>
      </c>
      <c r="AA177" s="137">
        <v>24.0</v>
      </c>
      <c r="AB177" s="137">
        <v>40.0</v>
      </c>
      <c r="AC177" s="137">
        <v>70.0</v>
      </c>
      <c r="AD177" s="137">
        <v>54.0</v>
      </c>
      <c r="AE177" s="137">
        <v>66.0</v>
      </c>
      <c r="AF177" s="137">
        <v>38.0</v>
      </c>
      <c r="AG177" s="137">
        <v>72.0</v>
      </c>
      <c r="AH177" s="137">
        <v>34.0</v>
      </c>
      <c r="AI177" s="137">
        <v>68.0</v>
      </c>
      <c r="AJ177" s="137">
        <v>52.0</v>
      </c>
      <c r="AK177" s="137">
        <v>92.0</v>
      </c>
      <c r="AL177" s="137">
        <v>34.0</v>
      </c>
      <c r="AM177" s="137">
        <v>56.0</v>
      </c>
      <c r="AN177" s="137">
        <v>878.0</v>
      </c>
    </row>
    <row r="178">
      <c r="A178" s="132" t="s">
        <v>202</v>
      </c>
      <c r="B178" s="136" t="s">
        <v>198</v>
      </c>
      <c r="C178" s="134">
        <v>1018.0</v>
      </c>
      <c r="D178" s="137">
        <v>514.0</v>
      </c>
      <c r="E178" s="137">
        <v>504.0</v>
      </c>
      <c r="F178" s="137">
        <v>48.0</v>
      </c>
      <c r="G178" s="137">
        <v>46.0</v>
      </c>
      <c r="H178" s="137">
        <v>10.0</v>
      </c>
      <c r="I178" s="137">
        <v>20.0</v>
      </c>
      <c r="J178" s="137">
        <v>8.0</v>
      </c>
      <c r="K178" s="137">
        <v>60.0</v>
      </c>
      <c r="L178" s="137">
        <v>18.0</v>
      </c>
      <c r="M178" s="137">
        <v>14.0</v>
      </c>
      <c r="N178" s="137">
        <v>48.0</v>
      </c>
      <c r="O178" s="137">
        <v>36.0</v>
      </c>
      <c r="P178" s="137">
        <v>50.0</v>
      </c>
      <c r="Q178" s="137">
        <v>56.0</v>
      </c>
      <c r="R178" s="137">
        <v>10.0</v>
      </c>
      <c r="S178" s="137">
        <v>44.0</v>
      </c>
      <c r="T178" s="137">
        <v>24.0</v>
      </c>
      <c r="U178" s="137">
        <v>16.0</v>
      </c>
      <c r="V178" s="137">
        <v>30.0</v>
      </c>
      <c r="W178" s="137">
        <v>14.0</v>
      </c>
      <c r="X178" s="137">
        <v>28.0</v>
      </c>
      <c r="Y178" s="137">
        <v>34.0</v>
      </c>
      <c r="Z178" s="137">
        <v>66.0</v>
      </c>
      <c r="AA178" s="137">
        <v>60.0</v>
      </c>
      <c r="AB178" s="137">
        <v>52.0</v>
      </c>
      <c r="AC178" s="137">
        <v>34.0</v>
      </c>
      <c r="AD178" s="137">
        <v>72.0</v>
      </c>
      <c r="AE178" s="137">
        <v>8.0</v>
      </c>
      <c r="AF178" s="137">
        <v>8.0</v>
      </c>
      <c r="AG178" s="137">
        <v>18.0</v>
      </c>
      <c r="AH178" s="137">
        <v>26.0</v>
      </c>
      <c r="AI178" s="137">
        <v>10.0</v>
      </c>
      <c r="AJ178" s="137">
        <v>6.0</v>
      </c>
      <c r="AK178" s="137">
        <v>14.0</v>
      </c>
      <c r="AL178" s="137">
        <v>10.0</v>
      </c>
      <c r="AM178" s="137">
        <v>20.0</v>
      </c>
      <c r="AN178" s="137">
        <v>972.0</v>
      </c>
    </row>
    <row r="179">
      <c r="A179" s="104"/>
      <c r="B179" s="136" t="s">
        <v>199</v>
      </c>
      <c r="C179" s="134">
        <v>1214.0</v>
      </c>
      <c r="D179" s="137">
        <v>882.0</v>
      </c>
      <c r="E179" s="137">
        <v>332.0</v>
      </c>
      <c r="F179" s="137">
        <v>40.0</v>
      </c>
      <c r="G179" s="137">
        <v>30.0</v>
      </c>
      <c r="H179" s="137">
        <v>22.0</v>
      </c>
      <c r="I179" s="137">
        <v>14.0</v>
      </c>
      <c r="J179" s="137">
        <v>46.0</v>
      </c>
      <c r="K179" s="137">
        <v>14.0</v>
      </c>
      <c r="L179" s="137">
        <v>114.0</v>
      </c>
      <c r="M179" s="137">
        <v>14.0</v>
      </c>
      <c r="N179" s="137">
        <v>12.0</v>
      </c>
      <c r="O179" s="137">
        <v>6.0</v>
      </c>
      <c r="P179" s="137">
        <v>26.0</v>
      </c>
      <c r="Q179" s="137">
        <v>28.0</v>
      </c>
      <c r="R179" s="137">
        <v>38.0</v>
      </c>
      <c r="S179" s="137">
        <v>28.0</v>
      </c>
      <c r="T179" s="137">
        <v>10.0</v>
      </c>
      <c r="U179" s="137">
        <v>18.0</v>
      </c>
      <c r="V179" s="137">
        <v>82.0</v>
      </c>
      <c r="W179" s="137">
        <v>24.0</v>
      </c>
      <c r="X179" s="137">
        <v>58.0</v>
      </c>
      <c r="Y179" s="137">
        <v>24.0</v>
      </c>
      <c r="Z179" s="137">
        <v>50.0</v>
      </c>
      <c r="AA179" s="137">
        <v>32.0</v>
      </c>
      <c r="AB179" s="137">
        <v>18.0</v>
      </c>
      <c r="AC179" s="137">
        <v>32.0</v>
      </c>
      <c r="AD179" s="137">
        <v>270.0</v>
      </c>
      <c r="AE179" s="137">
        <v>8.0</v>
      </c>
      <c r="AF179" s="137">
        <v>52.0</v>
      </c>
      <c r="AG179" s="137">
        <v>24.0</v>
      </c>
      <c r="AH179" s="137">
        <v>6.0</v>
      </c>
      <c r="AI179" s="137">
        <v>10.0</v>
      </c>
      <c r="AJ179" s="137">
        <v>10.0</v>
      </c>
      <c r="AK179" s="137">
        <v>8.0</v>
      </c>
      <c r="AL179" s="137">
        <v>28.0</v>
      </c>
      <c r="AM179" s="137">
        <v>18.0</v>
      </c>
      <c r="AN179" s="134">
        <v>1154.0</v>
      </c>
    </row>
    <row r="180">
      <c r="A180" s="132" t="s">
        <v>203</v>
      </c>
      <c r="B180" s="136" t="s">
        <v>198</v>
      </c>
      <c r="C180" s="137">
        <v>18.0</v>
      </c>
      <c r="D180" s="137">
        <v>6.0</v>
      </c>
      <c r="E180" s="137">
        <v>12.0</v>
      </c>
      <c r="F180" s="135">
        <v>0.0</v>
      </c>
      <c r="G180" s="135">
        <v>0.0</v>
      </c>
      <c r="H180" s="135">
        <v>0.0</v>
      </c>
      <c r="I180" s="135">
        <v>0.0</v>
      </c>
      <c r="J180" s="135">
        <v>0.0</v>
      </c>
      <c r="K180" s="135">
        <v>0.0</v>
      </c>
      <c r="L180" s="135">
        <v>0.0</v>
      </c>
      <c r="M180" s="135">
        <v>0.0</v>
      </c>
      <c r="N180" s="135">
        <v>0.0</v>
      </c>
      <c r="O180" s="135">
        <v>0.0</v>
      </c>
      <c r="P180" s="135">
        <v>0.0</v>
      </c>
      <c r="Q180" s="135">
        <v>0.0</v>
      </c>
      <c r="R180" s="135">
        <v>0.0</v>
      </c>
      <c r="S180" s="135">
        <v>0.0</v>
      </c>
      <c r="T180" s="135">
        <v>0.0</v>
      </c>
      <c r="U180" s="135">
        <v>0.0</v>
      </c>
      <c r="V180" s="135">
        <v>0.0</v>
      </c>
      <c r="W180" s="135">
        <v>0.0</v>
      </c>
      <c r="X180" s="135">
        <v>0.0</v>
      </c>
      <c r="Y180" s="135">
        <v>0.0</v>
      </c>
      <c r="Z180" s="135">
        <v>0.0</v>
      </c>
      <c r="AA180" s="135">
        <v>0.0</v>
      </c>
      <c r="AB180" s="135">
        <v>0.0</v>
      </c>
      <c r="AC180" s="135">
        <v>0.0</v>
      </c>
      <c r="AD180" s="135">
        <v>0.0</v>
      </c>
      <c r="AE180" s="135">
        <v>0.0</v>
      </c>
      <c r="AF180" s="137">
        <v>0.0</v>
      </c>
      <c r="AG180" s="137">
        <v>2.0</v>
      </c>
      <c r="AH180" s="137">
        <v>0.0</v>
      </c>
      <c r="AI180" s="137">
        <v>8.0</v>
      </c>
      <c r="AJ180" s="137">
        <v>4.0</v>
      </c>
      <c r="AK180" s="137">
        <v>0.0</v>
      </c>
      <c r="AL180" s="137">
        <v>2.0</v>
      </c>
      <c r="AM180" s="137">
        <v>2.0</v>
      </c>
      <c r="AN180" s="137">
        <v>18.0</v>
      </c>
    </row>
    <row r="181">
      <c r="A181" s="104"/>
      <c r="B181" s="136" t="s">
        <v>199</v>
      </c>
      <c r="C181" s="137">
        <v>168.0</v>
      </c>
      <c r="D181" s="137">
        <v>64.0</v>
      </c>
      <c r="E181" s="137">
        <v>104.0</v>
      </c>
      <c r="F181" s="135">
        <v>0.0</v>
      </c>
      <c r="G181" s="135">
        <v>0.0</v>
      </c>
      <c r="H181" s="135">
        <v>0.0</v>
      </c>
      <c r="I181" s="135">
        <v>0.0</v>
      </c>
      <c r="J181" s="135">
        <v>0.0</v>
      </c>
      <c r="K181" s="135">
        <v>0.0</v>
      </c>
      <c r="L181" s="135">
        <v>0.0</v>
      </c>
      <c r="M181" s="135">
        <v>0.0</v>
      </c>
      <c r="N181" s="135">
        <v>0.0</v>
      </c>
      <c r="O181" s="135">
        <v>0.0</v>
      </c>
      <c r="P181" s="135">
        <v>0.0</v>
      </c>
      <c r="Q181" s="135">
        <v>0.0</v>
      </c>
      <c r="R181" s="135">
        <v>0.0</v>
      </c>
      <c r="S181" s="135">
        <v>0.0</v>
      </c>
      <c r="T181" s="135">
        <v>0.0</v>
      </c>
      <c r="U181" s="135">
        <v>0.0</v>
      </c>
      <c r="V181" s="135">
        <v>0.0</v>
      </c>
      <c r="W181" s="135">
        <v>0.0</v>
      </c>
      <c r="X181" s="135">
        <v>0.0</v>
      </c>
      <c r="Y181" s="135">
        <v>0.0</v>
      </c>
      <c r="Z181" s="135">
        <v>0.0</v>
      </c>
      <c r="AA181" s="135">
        <v>0.0</v>
      </c>
      <c r="AB181" s="135">
        <v>0.0</v>
      </c>
      <c r="AC181" s="135">
        <v>0.0</v>
      </c>
      <c r="AD181" s="135">
        <v>0.0</v>
      </c>
      <c r="AE181" s="135">
        <v>0.0</v>
      </c>
      <c r="AF181" s="137">
        <v>4.0</v>
      </c>
      <c r="AG181" s="137">
        <v>36.0</v>
      </c>
      <c r="AH181" s="137">
        <v>22.0</v>
      </c>
      <c r="AI181" s="137">
        <v>18.0</v>
      </c>
      <c r="AJ181" s="137">
        <v>22.0</v>
      </c>
      <c r="AK181" s="137">
        <v>14.0</v>
      </c>
      <c r="AL181" s="137">
        <v>16.0</v>
      </c>
      <c r="AM181" s="137">
        <v>36.0</v>
      </c>
      <c r="AN181" s="137">
        <v>166.0</v>
      </c>
    </row>
    <row r="182">
      <c r="A182" s="132" t="s">
        <v>204</v>
      </c>
      <c r="B182" s="136" t="s">
        <v>198</v>
      </c>
      <c r="C182" s="137">
        <v>0.0</v>
      </c>
      <c r="D182" s="137">
        <v>0.0</v>
      </c>
      <c r="E182" s="137">
        <v>0.0</v>
      </c>
      <c r="F182" s="135">
        <v>0.0</v>
      </c>
      <c r="G182" s="135">
        <v>0.0</v>
      </c>
      <c r="H182" s="135">
        <v>0.0</v>
      </c>
      <c r="I182" s="135">
        <v>0.0</v>
      </c>
      <c r="J182" s="135">
        <v>0.0</v>
      </c>
      <c r="K182" s="135">
        <v>0.0</v>
      </c>
      <c r="L182" s="135">
        <v>0.0</v>
      </c>
      <c r="M182" s="135">
        <v>0.0</v>
      </c>
      <c r="N182" s="135">
        <v>0.0</v>
      </c>
      <c r="O182" s="135">
        <v>0.0</v>
      </c>
      <c r="P182" s="135">
        <v>0.0</v>
      </c>
      <c r="Q182" s="135">
        <v>0.0</v>
      </c>
      <c r="R182" s="135">
        <v>0.0</v>
      </c>
      <c r="S182" s="135">
        <v>0.0</v>
      </c>
      <c r="T182" s="135">
        <v>0.0</v>
      </c>
      <c r="U182" s="135">
        <v>0.0</v>
      </c>
      <c r="V182" s="135">
        <v>0.0</v>
      </c>
      <c r="W182" s="135">
        <v>0.0</v>
      </c>
      <c r="X182" s="135">
        <v>0.0</v>
      </c>
      <c r="Y182" s="135">
        <v>0.0</v>
      </c>
      <c r="Z182" s="135">
        <v>0.0</v>
      </c>
      <c r="AA182" s="135">
        <v>0.0</v>
      </c>
      <c r="AB182" s="135">
        <v>0.0</v>
      </c>
      <c r="AC182" s="135">
        <v>0.0</v>
      </c>
      <c r="AD182" s="135">
        <v>0.0</v>
      </c>
      <c r="AE182" s="135">
        <v>0.0</v>
      </c>
      <c r="AF182" s="137">
        <v>0.0</v>
      </c>
      <c r="AG182" s="137">
        <v>0.0</v>
      </c>
      <c r="AH182" s="137">
        <v>0.0</v>
      </c>
      <c r="AI182" s="137">
        <v>0.0</v>
      </c>
      <c r="AJ182" s="137">
        <v>0.0</v>
      </c>
      <c r="AK182" s="137">
        <v>0.0</v>
      </c>
      <c r="AL182" s="137">
        <v>0.0</v>
      </c>
      <c r="AM182" s="137">
        <v>0.0</v>
      </c>
      <c r="AN182" s="137">
        <v>0.0</v>
      </c>
    </row>
    <row r="183">
      <c r="A183" s="104"/>
      <c r="B183" s="136" t="s">
        <v>199</v>
      </c>
      <c r="C183" s="137">
        <v>140.0</v>
      </c>
      <c r="D183" s="137">
        <v>40.0</v>
      </c>
      <c r="E183" s="137">
        <v>100.0</v>
      </c>
      <c r="F183" s="135">
        <v>0.0</v>
      </c>
      <c r="G183" s="135">
        <v>0.0</v>
      </c>
      <c r="H183" s="135">
        <v>0.0</v>
      </c>
      <c r="I183" s="135">
        <v>0.0</v>
      </c>
      <c r="J183" s="135">
        <v>0.0</v>
      </c>
      <c r="K183" s="135">
        <v>0.0</v>
      </c>
      <c r="L183" s="135">
        <v>0.0</v>
      </c>
      <c r="M183" s="135">
        <v>0.0</v>
      </c>
      <c r="N183" s="135">
        <v>0.0</v>
      </c>
      <c r="O183" s="135">
        <v>0.0</v>
      </c>
      <c r="P183" s="135">
        <v>0.0</v>
      </c>
      <c r="Q183" s="135">
        <v>0.0</v>
      </c>
      <c r="R183" s="135">
        <v>0.0</v>
      </c>
      <c r="S183" s="135">
        <v>0.0</v>
      </c>
      <c r="T183" s="135">
        <v>0.0</v>
      </c>
      <c r="U183" s="135">
        <v>0.0</v>
      </c>
      <c r="V183" s="135">
        <v>0.0</v>
      </c>
      <c r="W183" s="135">
        <v>0.0</v>
      </c>
      <c r="X183" s="135">
        <v>0.0</v>
      </c>
      <c r="Y183" s="135">
        <v>0.0</v>
      </c>
      <c r="Z183" s="135">
        <v>0.0</v>
      </c>
      <c r="AA183" s="135">
        <v>0.0</v>
      </c>
      <c r="AB183" s="135">
        <v>0.0</v>
      </c>
      <c r="AC183" s="135">
        <v>0.0</v>
      </c>
      <c r="AD183" s="135">
        <v>0.0</v>
      </c>
      <c r="AE183" s="135">
        <v>0.0</v>
      </c>
      <c r="AF183" s="137">
        <v>2.0</v>
      </c>
      <c r="AG183" s="137">
        <v>6.0</v>
      </c>
      <c r="AH183" s="137">
        <v>4.0</v>
      </c>
      <c r="AI183" s="137">
        <v>18.0</v>
      </c>
      <c r="AJ183" s="137">
        <v>8.0</v>
      </c>
      <c r="AK183" s="137">
        <v>14.0</v>
      </c>
      <c r="AL183" s="137">
        <v>26.0</v>
      </c>
      <c r="AM183" s="137">
        <v>62.0</v>
      </c>
      <c r="AN183" s="137">
        <v>96.0</v>
      </c>
    </row>
    <row r="184">
      <c r="A184" s="132" t="s">
        <v>205</v>
      </c>
      <c r="B184" s="136" t="s">
        <v>198</v>
      </c>
      <c r="C184" s="137">
        <v>322.0</v>
      </c>
      <c r="D184" s="137">
        <v>206.0</v>
      </c>
      <c r="E184" s="137">
        <v>116.0</v>
      </c>
      <c r="F184" s="137">
        <v>0.0</v>
      </c>
      <c r="G184" s="137">
        <v>0.0</v>
      </c>
      <c r="H184" s="137">
        <v>0.0</v>
      </c>
      <c r="I184" s="137">
        <v>0.0</v>
      </c>
      <c r="J184" s="137">
        <v>0.0</v>
      </c>
      <c r="K184" s="137">
        <v>0.0</v>
      </c>
      <c r="L184" s="137">
        <v>8.0</v>
      </c>
      <c r="M184" s="137">
        <v>10.0</v>
      </c>
      <c r="N184" s="137">
        <v>26.0</v>
      </c>
      <c r="O184" s="137">
        <v>20.0</v>
      </c>
      <c r="P184" s="137">
        <v>60.0</v>
      </c>
      <c r="Q184" s="137">
        <v>22.0</v>
      </c>
      <c r="R184" s="137">
        <v>16.0</v>
      </c>
      <c r="S184" s="137">
        <v>8.0</v>
      </c>
      <c r="T184" s="137">
        <v>12.0</v>
      </c>
      <c r="U184" s="137">
        <v>2.0</v>
      </c>
      <c r="V184" s="137">
        <v>20.0</v>
      </c>
      <c r="W184" s="137">
        <v>8.0</v>
      </c>
      <c r="X184" s="137">
        <v>8.0</v>
      </c>
      <c r="Y184" s="137">
        <v>12.0</v>
      </c>
      <c r="Z184" s="137">
        <v>6.0</v>
      </c>
      <c r="AA184" s="137">
        <v>2.0</v>
      </c>
      <c r="AB184" s="137">
        <v>4.0</v>
      </c>
      <c r="AC184" s="137">
        <v>10.0</v>
      </c>
      <c r="AD184" s="137">
        <v>20.0</v>
      </c>
      <c r="AE184" s="137">
        <v>0.0</v>
      </c>
      <c r="AF184" s="137">
        <v>6.0</v>
      </c>
      <c r="AG184" s="137">
        <v>8.0</v>
      </c>
      <c r="AH184" s="137">
        <v>10.0</v>
      </c>
      <c r="AI184" s="137">
        <v>6.0</v>
      </c>
      <c r="AJ184" s="137">
        <v>6.0</v>
      </c>
      <c r="AK184" s="137">
        <v>6.0</v>
      </c>
      <c r="AL184" s="137">
        <v>4.0</v>
      </c>
      <c r="AM184" s="137">
        <v>2.0</v>
      </c>
      <c r="AN184" s="137">
        <v>322.0</v>
      </c>
    </row>
    <row r="185">
      <c r="A185" s="98"/>
      <c r="B185" s="136" t="s">
        <v>199</v>
      </c>
      <c r="C185" s="137">
        <v>142.0</v>
      </c>
      <c r="D185" s="137">
        <v>78.0</v>
      </c>
      <c r="E185" s="137">
        <v>64.0</v>
      </c>
      <c r="F185" s="137">
        <v>0.0</v>
      </c>
      <c r="G185" s="137">
        <v>4.0</v>
      </c>
      <c r="H185" s="137">
        <v>0.0</v>
      </c>
      <c r="I185" s="137">
        <v>0.0</v>
      </c>
      <c r="J185" s="137">
        <v>0.0</v>
      </c>
      <c r="K185" s="137">
        <v>0.0</v>
      </c>
      <c r="L185" s="137">
        <v>2.0</v>
      </c>
      <c r="M185" s="137">
        <v>0.0</v>
      </c>
      <c r="N185" s="137">
        <v>10.0</v>
      </c>
      <c r="O185" s="137">
        <v>10.0</v>
      </c>
      <c r="P185" s="137">
        <v>22.0</v>
      </c>
      <c r="Q185" s="137">
        <v>8.0</v>
      </c>
      <c r="R185" s="137">
        <v>8.0</v>
      </c>
      <c r="S185" s="137">
        <v>14.0</v>
      </c>
      <c r="T185" s="137">
        <v>0.0</v>
      </c>
      <c r="U185" s="137">
        <v>4.0</v>
      </c>
      <c r="V185" s="137">
        <v>4.0</v>
      </c>
      <c r="W185" s="137">
        <v>0.0</v>
      </c>
      <c r="X185" s="137">
        <v>0.0</v>
      </c>
      <c r="Y185" s="137">
        <v>0.0</v>
      </c>
      <c r="Z185" s="137">
        <v>4.0</v>
      </c>
      <c r="AA185" s="137">
        <v>6.0</v>
      </c>
      <c r="AB185" s="137">
        <v>4.0</v>
      </c>
      <c r="AC185" s="137">
        <v>0.0</v>
      </c>
      <c r="AD185" s="137">
        <v>2.0</v>
      </c>
      <c r="AE185" s="137">
        <v>0.0</v>
      </c>
      <c r="AF185" s="137">
        <v>2.0</v>
      </c>
      <c r="AG185" s="137">
        <v>2.0</v>
      </c>
      <c r="AH185" s="137">
        <v>8.0</v>
      </c>
      <c r="AI185" s="137">
        <v>4.0</v>
      </c>
      <c r="AJ185" s="137">
        <v>4.0</v>
      </c>
      <c r="AK185" s="137">
        <v>2.0</v>
      </c>
      <c r="AL185" s="137">
        <v>8.0</v>
      </c>
      <c r="AM185" s="137">
        <v>10.0</v>
      </c>
      <c r="AN185" s="137">
        <v>138.0</v>
      </c>
    </row>
    <row r="186">
      <c r="A186" s="104"/>
      <c r="B186" s="136" t="s">
        <v>206</v>
      </c>
      <c r="C186" s="134">
        <v>1992.0</v>
      </c>
      <c r="D186" s="137">
        <v>476.0</v>
      </c>
      <c r="E186" s="134">
        <v>1530.0</v>
      </c>
      <c r="F186" s="137">
        <v>0.0</v>
      </c>
      <c r="G186" s="137">
        <v>0.0</v>
      </c>
      <c r="H186" s="137">
        <v>0.0</v>
      </c>
      <c r="I186" s="137">
        <v>0.0</v>
      </c>
      <c r="J186" s="137">
        <v>2.0</v>
      </c>
      <c r="K186" s="137">
        <v>34.0</v>
      </c>
      <c r="L186" s="137">
        <v>94.0</v>
      </c>
      <c r="M186" s="137">
        <v>282.0</v>
      </c>
      <c r="N186" s="137">
        <v>118.0</v>
      </c>
      <c r="O186" s="137">
        <v>334.0</v>
      </c>
      <c r="P186" s="137">
        <v>90.0</v>
      </c>
      <c r="Q186" s="137">
        <v>164.0</v>
      </c>
      <c r="R186" s="137">
        <v>84.0</v>
      </c>
      <c r="S186" s="137">
        <v>222.0</v>
      </c>
      <c r="T186" s="137">
        <v>18.0</v>
      </c>
      <c r="U186" s="137">
        <v>148.0</v>
      </c>
      <c r="V186" s="137">
        <v>2.0</v>
      </c>
      <c r="W186" s="137">
        <v>148.0</v>
      </c>
      <c r="X186" s="137">
        <v>16.0</v>
      </c>
      <c r="Y186" s="137">
        <v>84.0</v>
      </c>
      <c r="Z186" s="137">
        <v>18.0</v>
      </c>
      <c r="AA186" s="137">
        <v>34.0</v>
      </c>
      <c r="AB186" s="137">
        <v>8.0</v>
      </c>
      <c r="AC186" s="137">
        <v>32.0</v>
      </c>
      <c r="AD186" s="137">
        <v>12.0</v>
      </c>
      <c r="AE186" s="137">
        <v>36.0</v>
      </c>
      <c r="AF186" s="137">
        <v>8.0</v>
      </c>
      <c r="AG186" s="137">
        <v>8.0</v>
      </c>
      <c r="AH186" s="137">
        <v>4.0</v>
      </c>
      <c r="AI186" s="137">
        <v>4.0</v>
      </c>
      <c r="AJ186" s="137">
        <v>0.0</v>
      </c>
      <c r="AK186" s="137">
        <v>0.0</v>
      </c>
      <c r="AL186" s="137">
        <v>2.0</v>
      </c>
      <c r="AM186" s="137">
        <v>0.0</v>
      </c>
      <c r="AN186" s="134">
        <v>1968.0</v>
      </c>
    </row>
    <row r="187">
      <c r="A187" s="132" t="s">
        <v>207</v>
      </c>
      <c r="B187" s="136" t="s">
        <v>198</v>
      </c>
      <c r="C187" s="134">
        <v>22938.0</v>
      </c>
      <c r="D187" s="134">
        <v>7484.0</v>
      </c>
      <c r="E187" s="134">
        <v>15454.0</v>
      </c>
      <c r="F187" s="137">
        <v>212.0</v>
      </c>
      <c r="G187" s="137">
        <v>122.0</v>
      </c>
      <c r="H187" s="137">
        <v>140.0</v>
      </c>
      <c r="I187" s="137">
        <v>130.0</v>
      </c>
      <c r="J187" s="137">
        <v>126.0</v>
      </c>
      <c r="K187" s="137">
        <v>100.0</v>
      </c>
      <c r="L187" s="137">
        <v>92.0</v>
      </c>
      <c r="M187" s="137">
        <v>248.0</v>
      </c>
      <c r="N187" s="137">
        <v>120.0</v>
      </c>
      <c r="O187" s="137">
        <v>310.0</v>
      </c>
      <c r="P187" s="137">
        <v>106.0</v>
      </c>
      <c r="Q187" s="137">
        <v>396.0</v>
      </c>
      <c r="R187" s="137">
        <v>124.0</v>
      </c>
      <c r="S187" s="137">
        <v>396.0</v>
      </c>
      <c r="T187" s="137">
        <v>134.0</v>
      </c>
      <c r="U187" s="137">
        <v>538.0</v>
      </c>
      <c r="V187" s="137">
        <v>156.0</v>
      </c>
      <c r="W187" s="137">
        <v>596.0</v>
      </c>
      <c r="X187" s="137">
        <v>260.0</v>
      </c>
      <c r="Y187" s="137">
        <v>810.0</v>
      </c>
      <c r="Z187" s="137">
        <v>290.0</v>
      </c>
      <c r="AA187" s="134">
        <v>1034.0</v>
      </c>
      <c r="AB187" s="137">
        <v>454.0</v>
      </c>
      <c r="AC187" s="134">
        <v>1502.0</v>
      </c>
      <c r="AD187" s="137">
        <v>780.0</v>
      </c>
      <c r="AE187" s="134">
        <v>1860.0</v>
      </c>
      <c r="AF187" s="137">
        <v>948.0</v>
      </c>
      <c r="AG187" s="134">
        <v>1732.0</v>
      </c>
      <c r="AH187" s="137">
        <v>946.0</v>
      </c>
      <c r="AI187" s="134">
        <v>1998.0</v>
      </c>
      <c r="AJ187" s="134">
        <v>1044.0</v>
      </c>
      <c r="AK187" s="134">
        <v>1470.0</v>
      </c>
      <c r="AL187" s="134">
        <v>1552.0</v>
      </c>
      <c r="AM187" s="134">
        <v>2212.0</v>
      </c>
      <c r="AN187" s="134">
        <v>22380.0</v>
      </c>
    </row>
    <row r="188">
      <c r="A188" s="98"/>
      <c r="B188" s="136" t="s">
        <v>199</v>
      </c>
      <c r="C188" s="134">
        <v>4356.0</v>
      </c>
      <c r="D188" s="134">
        <v>1606.0</v>
      </c>
      <c r="E188" s="134">
        <v>2750.0</v>
      </c>
      <c r="F188" s="137">
        <v>162.0</v>
      </c>
      <c r="G188" s="137">
        <v>110.0</v>
      </c>
      <c r="H188" s="137">
        <v>28.0</v>
      </c>
      <c r="I188" s="137">
        <v>20.0</v>
      </c>
      <c r="J188" s="137">
        <v>4.0</v>
      </c>
      <c r="K188" s="137">
        <v>20.0</v>
      </c>
      <c r="L188" s="137">
        <v>10.0</v>
      </c>
      <c r="M188" s="137">
        <v>8.0</v>
      </c>
      <c r="N188" s="137">
        <v>14.0</v>
      </c>
      <c r="O188" s="137">
        <v>28.0</v>
      </c>
      <c r="P188" s="137">
        <v>28.0</v>
      </c>
      <c r="Q188" s="137">
        <v>34.0</v>
      </c>
      <c r="R188" s="137">
        <v>26.0</v>
      </c>
      <c r="S188" s="137">
        <v>56.0</v>
      </c>
      <c r="T188" s="137">
        <v>34.0</v>
      </c>
      <c r="U188" s="137">
        <v>54.0</v>
      </c>
      <c r="V188" s="137">
        <v>62.0</v>
      </c>
      <c r="W188" s="137">
        <v>50.0</v>
      </c>
      <c r="X188" s="137">
        <v>30.0</v>
      </c>
      <c r="Y188" s="137">
        <v>106.0</v>
      </c>
      <c r="Z188" s="137">
        <v>86.0</v>
      </c>
      <c r="AA188" s="137">
        <v>214.0</v>
      </c>
      <c r="AB188" s="137">
        <v>92.0</v>
      </c>
      <c r="AC188" s="137">
        <v>258.0</v>
      </c>
      <c r="AD188" s="137">
        <v>244.0</v>
      </c>
      <c r="AE188" s="137">
        <v>334.0</v>
      </c>
      <c r="AF188" s="137">
        <v>200.0</v>
      </c>
      <c r="AG188" s="137">
        <v>384.0</v>
      </c>
      <c r="AH188" s="137">
        <v>212.0</v>
      </c>
      <c r="AI188" s="137">
        <v>382.0</v>
      </c>
      <c r="AJ188" s="137">
        <v>130.0</v>
      </c>
      <c r="AK188" s="137">
        <v>318.0</v>
      </c>
      <c r="AL188" s="137">
        <v>244.0</v>
      </c>
      <c r="AM188" s="137">
        <v>374.0</v>
      </c>
      <c r="AN188" s="134">
        <v>4280.0</v>
      </c>
    </row>
    <row r="189">
      <c r="A189" s="98"/>
      <c r="B189" s="136" t="s">
        <v>206</v>
      </c>
      <c r="C189" s="137">
        <v>462.0</v>
      </c>
      <c r="D189" s="137">
        <v>128.0</v>
      </c>
      <c r="E189" s="137">
        <v>334.0</v>
      </c>
      <c r="F189" s="137">
        <v>46.0</v>
      </c>
      <c r="G189" s="137">
        <v>54.0</v>
      </c>
      <c r="H189" s="137">
        <v>40.0</v>
      </c>
      <c r="I189" s="137">
        <v>34.0</v>
      </c>
      <c r="J189" s="137">
        <v>8.0</v>
      </c>
      <c r="K189" s="137">
        <v>10.0</v>
      </c>
      <c r="L189" s="137">
        <v>2.0</v>
      </c>
      <c r="M189" s="137">
        <v>4.0</v>
      </c>
      <c r="N189" s="137">
        <v>0.0</v>
      </c>
      <c r="O189" s="137">
        <v>12.0</v>
      </c>
      <c r="P189" s="137">
        <v>2.0</v>
      </c>
      <c r="Q189" s="137">
        <v>44.0</v>
      </c>
      <c r="R189" s="137">
        <v>0.0</v>
      </c>
      <c r="S189" s="137">
        <v>6.0</v>
      </c>
      <c r="T189" s="137">
        <v>0.0</v>
      </c>
      <c r="U189" s="137">
        <v>34.0</v>
      </c>
      <c r="V189" s="137">
        <v>0.0</v>
      </c>
      <c r="W189" s="137">
        <v>2.0</v>
      </c>
      <c r="X189" s="137">
        <v>2.0</v>
      </c>
      <c r="Y189" s="137">
        <v>6.0</v>
      </c>
      <c r="Z189" s="137">
        <v>6.0</v>
      </c>
      <c r="AA189" s="137">
        <v>6.0</v>
      </c>
      <c r="AB189" s="137">
        <v>0.0</v>
      </c>
      <c r="AC189" s="137">
        <v>26.0</v>
      </c>
      <c r="AD189" s="137">
        <v>4.0</v>
      </c>
      <c r="AE189" s="137">
        <v>28.0</v>
      </c>
      <c r="AF189" s="137">
        <v>2.0</v>
      </c>
      <c r="AG189" s="137">
        <v>22.0</v>
      </c>
      <c r="AH189" s="137">
        <v>8.0</v>
      </c>
      <c r="AI189" s="137">
        <v>22.0</v>
      </c>
      <c r="AJ189" s="137">
        <v>6.0</v>
      </c>
      <c r="AK189" s="137">
        <v>10.0</v>
      </c>
      <c r="AL189" s="137">
        <v>2.0</v>
      </c>
      <c r="AM189" s="137">
        <v>14.0</v>
      </c>
      <c r="AN189" s="137">
        <v>458.0</v>
      </c>
    </row>
    <row r="190">
      <c r="A190" s="98"/>
      <c r="B190" s="136" t="s">
        <v>200</v>
      </c>
      <c r="C190" s="134">
        <v>6984.0</v>
      </c>
      <c r="D190" s="134">
        <v>2340.0</v>
      </c>
      <c r="E190" s="134">
        <v>4644.0</v>
      </c>
      <c r="F190" s="134">
        <v>1020.0</v>
      </c>
      <c r="G190" s="134">
        <v>1074.0</v>
      </c>
      <c r="H190" s="137">
        <v>238.0</v>
      </c>
      <c r="I190" s="137">
        <v>238.0</v>
      </c>
      <c r="J190" s="137">
        <v>114.0</v>
      </c>
      <c r="K190" s="137">
        <v>132.0</v>
      </c>
      <c r="L190" s="137">
        <v>60.0</v>
      </c>
      <c r="M190" s="137">
        <v>174.0</v>
      </c>
      <c r="N190" s="137">
        <v>34.0</v>
      </c>
      <c r="O190" s="137">
        <v>236.0</v>
      </c>
      <c r="P190" s="137">
        <v>40.0</v>
      </c>
      <c r="Q190" s="137">
        <v>256.0</v>
      </c>
      <c r="R190" s="137">
        <v>46.0</v>
      </c>
      <c r="S190" s="137">
        <v>310.0</v>
      </c>
      <c r="T190" s="137">
        <v>38.0</v>
      </c>
      <c r="U190" s="137">
        <v>224.0</v>
      </c>
      <c r="V190" s="137">
        <v>30.0</v>
      </c>
      <c r="W190" s="137">
        <v>122.0</v>
      </c>
      <c r="X190" s="137">
        <v>36.0</v>
      </c>
      <c r="Y190" s="137">
        <v>212.0</v>
      </c>
      <c r="Z190" s="137">
        <v>64.0</v>
      </c>
      <c r="AA190" s="137">
        <v>242.0</v>
      </c>
      <c r="AB190" s="137">
        <v>106.0</v>
      </c>
      <c r="AC190" s="137">
        <v>318.0</v>
      </c>
      <c r="AD190" s="137">
        <v>118.0</v>
      </c>
      <c r="AE190" s="137">
        <v>268.0</v>
      </c>
      <c r="AF190" s="137">
        <v>122.0</v>
      </c>
      <c r="AG190" s="137">
        <v>256.0</v>
      </c>
      <c r="AH190" s="137">
        <v>116.0</v>
      </c>
      <c r="AI190" s="137">
        <v>236.0</v>
      </c>
      <c r="AJ190" s="137">
        <v>74.0</v>
      </c>
      <c r="AK190" s="137">
        <v>156.0</v>
      </c>
      <c r="AL190" s="137">
        <v>84.0</v>
      </c>
      <c r="AM190" s="137">
        <v>190.0</v>
      </c>
      <c r="AN190" s="134">
        <v>6448.0</v>
      </c>
    </row>
    <row r="191">
      <c r="A191" s="104"/>
      <c r="B191" s="136" t="s">
        <v>201</v>
      </c>
      <c r="C191" s="134">
        <v>1634.0</v>
      </c>
      <c r="D191" s="137">
        <v>694.0</v>
      </c>
      <c r="E191" s="137">
        <v>940.0</v>
      </c>
      <c r="F191" s="137">
        <v>182.0</v>
      </c>
      <c r="G191" s="137">
        <v>208.0</v>
      </c>
      <c r="H191" s="137">
        <v>46.0</v>
      </c>
      <c r="I191" s="137">
        <v>18.0</v>
      </c>
      <c r="J191" s="137">
        <v>8.0</v>
      </c>
      <c r="K191" s="137">
        <v>6.0</v>
      </c>
      <c r="L191" s="137">
        <v>12.0</v>
      </c>
      <c r="M191" s="137">
        <v>14.0</v>
      </c>
      <c r="N191" s="137">
        <v>18.0</v>
      </c>
      <c r="O191" s="137">
        <v>16.0</v>
      </c>
      <c r="P191" s="137">
        <v>10.0</v>
      </c>
      <c r="Q191" s="137">
        <v>38.0</v>
      </c>
      <c r="R191" s="137">
        <v>22.0</v>
      </c>
      <c r="S191" s="137">
        <v>36.0</v>
      </c>
      <c r="T191" s="137">
        <v>38.0</v>
      </c>
      <c r="U191" s="137">
        <v>28.0</v>
      </c>
      <c r="V191" s="137">
        <v>24.0</v>
      </c>
      <c r="W191" s="137">
        <v>38.0</v>
      </c>
      <c r="X191" s="137">
        <v>42.0</v>
      </c>
      <c r="Y191" s="137">
        <v>52.0</v>
      </c>
      <c r="Z191" s="137">
        <v>32.0</v>
      </c>
      <c r="AA191" s="137">
        <v>62.0</v>
      </c>
      <c r="AB191" s="137">
        <v>34.0</v>
      </c>
      <c r="AC191" s="137">
        <v>38.0</v>
      </c>
      <c r="AD191" s="137">
        <v>52.0</v>
      </c>
      <c r="AE191" s="137">
        <v>30.0</v>
      </c>
      <c r="AF191" s="137">
        <v>48.0</v>
      </c>
      <c r="AG191" s="137">
        <v>44.0</v>
      </c>
      <c r="AH191" s="137">
        <v>48.0</v>
      </c>
      <c r="AI191" s="137">
        <v>26.0</v>
      </c>
      <c r="AJ191" s="137">
        <v>30.0</v>
      </c>
      <c r="AK191" s="137">
        <v>106.0</v>
      </c>
      <c r="AL191" s="137">
        <v>48.0</v>
      </c>
      <c r="AM191" s="137">
        <v>180.0</v>
      </c>
      <c r="AN191" s="134">
        <v>1626.0</v>
      </c>
    </row>
    <row r="192">
      <c r="A192" s="132" t="s">
        <v>208</v>
      </c>
      <c r="B192" s="136" t="s">
        <v>198</v>
      </c>
      <c r="C192" s="137">
        <v>112.0</v>
      </c>
      <c r="D192" s="137">
        <v>64.0</v>
      </c>
      <c r="E192" s="137">
        <v>48.0</v>
      </c>
      <c r="F192" s="137">
        <v>58.0</v>
      </c>
      <c r="G192" s="137">
        <v>44.0</v>
      </c>
      <c r="H192" s="137">
        <v>6.0</v>
      </c>
      <c r="I192" s="137">
        <v>2.0</v>
      </c>
      <c r="J192" s="137">
        <v>0.0</v>
      </c>
      <c r="K192" s="137">
        <v>0.0</v>
      </c>
      <c r="L192" s="137">
        <v>0.0</v>
      </c>
      <c r="M192" s="137">
        <v>2.0</v>
      </c>
      <c r="N192" s="137">
        <v>0.0</v>
      </c>
      <c r="O192" s="137">
        <v>0.0</v>
      </c>
      <c r="P192" s="135">
        <v>0.0</v>
      </c>
      <c r="Q192" s="135">
        <v>0.0</v>
      </c>
      <c r="R192" s="135">
        <v>0.0</v>
      </c>
      <c r="S192" s="135">
        <v>0.0</v>
      </c>
      <c r="T192" s="135">
        <v>0.0</v>
      </c>
      <c r="U192" s="135">
        <v>0.0</v>
      </c>
      <c r="V192" s="135">
        <v>0.0</v>
      </c>
      <c r="W192" s="135">
        <v>0.0</v>
      </c>
      <c r="X192" s="135">
        <v>0.0</v>
      </c>
      <c r="Y192" s="135">
        <v>0.0</v>
      </c>
      <c r="Z192" s="135">
        <v>0.0</v>
      </c>
      <c r="AA192" s="135">
        <v>0.0</v>
      </c>
      <c r="AB192" s="135">
        <v>0.0</v>
      </c>
      <c r="AC192" s="135">
        <v>0.0</v>
      </c>
      <c r="AD192" s="135">
        <v>0.0</v>
      </c>
      <c r="AE192" s="135">
        <v>0.0</v>
      </c>
      <c r="AF192" s="135">
        <v>0.0</v>
      </c>
      <c r="AG192" s="135">
        <v>0.0</v>
      </c>
      <c r="AH192" s="135">
        <v>0.0</v>
      </c>
      <c r="AI192" s="135">
        <v>0.0</v>
      </c>
      <c r="AJ192" s="135">
        <v>0.0</v>
      </c>
      <c r="AK192" s="135">
        <v>0.0</v>
      </c>
      <c r="AL192" s="135">
        <v>0.0</v>
      </c>
      <c r="AM192" s="135">
        <v>0.0</v>
      </c>
      <c r="AN192" s="137">
        <v>102.0</v>
      </c>
    </row>
    <row r="193">
      <c r="A193" s="98"/>
      <c r="B193" s="136" t="s">
        <v>199</v>
      </c>
      <c r="C193" s="137">
        <v>142.0</v>
      </c>
      <c r="D193" s="137">
        <v>84.0</v>
      </c>
      <c r="E193" s="137">
        <v>58.0</v>
      </c>
      <c r="F193" s="137">
        <v>70.0</v>
      </c>
      <c r="G193" s="137">
        <v>56.0</v>
      </c>
      <c r="H193" s="137">
        <v>12.0</v>
      </c>
      <c r="I193" s="137">
        <v>2.0</v>
      </c>
      <c r="J193" s="137">
        <v>0.0</v>
      </c>
      <c r="K193" s="137">
        <v>0.0</v>
      </c>
      <c r="L193" s="137">
        <v>0.0</v>
      </c>
      <c r="M193" s="137">
        <v>0.0</v>
      </c>
      <c r="N193" s="137">
        <v>2.0</v>
      </c>
      <c r="O193" s="137">
        <v>0.0</v>
      </c>
      <c r="P193" s="135">
        <v>0.0</v>
      </c>
      <c r="Q193" s="135">
        <v>0.0</v>
      </c>
      <c r="R193" s="135">
        <v>0.0</v>
      </c>
      <c r="S193" s="135">
        <v>0.0</v>
      </c>
      <c r="T193" s="135">
        <v>0.0</v>
      </c>
      <c r="U193" s="135">
        <v>0.0</v>
      </c>
      <c r="V193" s="135">
        <v>0.0</v>
      </c>
      <c r="W193" s="135">
        <v>0.0</v>
      </c>
      <c r="X193" s="135">
        <v>0.0</v>
      </c>
      <c r="Y193" s="135">
        <v>0.0</v>
      </c>
      <c r="Z193" s="135">
        <v>0.0</v>
      </c>
      <c r="AA193" s="135">
        <v>0.0</v>
      </c>
      <c r="AB193" s="135">
        <v>0.0</v>
      </c>
      <c r="AC193" s="135">
        <v>0.0</v>
      </c>
      <c r="AD193" s="135">
        <v>0.0</v>
      </c>
      <c r="AE193" s="135">
        <v>0.0</v>
      </c>
      <c r="AF193" s="135">
        <v>0.0</v>
      </c>
      <c r="AG193" s="135">
        <v>0.0</v>
      </c>
      <c r="AH193" s="135">
        <v>0.0</v>
      </c>
      <c r="AI193" s="135">
        <v>0.0</v>
      </c>
      <c r="AJ193" s="135">
        <v>0.0</v>
      </c>
      <c r="AK193" s="135">
        <v>0.0</v>
      </c>
      <c r="AL193" s="135">
        <v>0.0</v>
      </c>
      <c r="AM193" s="135">
        <v>0.0</v>
      </c>
      <c r="AN193" s="137">
        <v>136.0</v>
      </c>
    </row>
    <row r="194">
      <c r="A194" s="98"/>
      <c r="B194" s="136" t="s">
        <v>206</v>
      </c>
      <c r="C194" s="137">
        <v>10.0</v>
      </c>
      <c r="D194" s="137">
        <v>8.0</v>
      </c>
      <c r="E194" s="137">
        <v>2.0</v>
      </c>
      <c r="F194" s="137">
        <v>8.0</v>
      </c>
      <c r="G194" s="137">
        <v>2.0</v>
      </c>
      <c r="H194" s="137">
        <v>0.0</v>
      </c>
      <c r="I194" s="137">
        <v>0.0</v>
      </c>
      <c r="J194" s="137">
        <v>0.0</v>
      </c>
      <c r="K194" s="137">
        <v>0.0</v>
      </c>
      <c r="L194" s="137">
        <v>0.0</v>
      </c>
      <c r="M194" s="137">
        <v>0.0</v>
      </c>
      <c r="N194" s="137">
        <v>0.0</v>
      </c>
      <c r="O194" s="137">
        <v>0.0</v>
      </c>
      <c r="P194" s="135">
        <v>0.0</v>
      </c>
      <c r="Q194" s="135">
        <v>0.0</v>
      </c>
      <c r="R194" s="135">
        <v>0.0</v>
      </c>
      <c r="S194" s="135">
        <v>0.0</v>
      </c>
      <c r="T194" s="135">
        <v>0.0</v>
      </c>
      <c r="U194" s="135">
        <v>0.0</v>
      </c>
      <c r="V194" s="135">
        <v>0.0</v>
      </c>
      <c r="W194" s="135">
        <v>0.0</v>
      </c>
      <c r="X194" s="135">
        <v>0.0</v>
      </c>
      <c r="Y194" s="135">
        <v>0.0</v>
      </c>
      <c r="Z194" s="135">
        <v>0.0</v>
      </c>
      <c r="AA194" s="135">
        <v>0.0</v>
      </c>
      <c r="AB194" s="135">
        <v>0.0</v>
      </c>
      <c r="AC194" s="135">
        <v>0.0</v>
      </c>
      <c r="AD194" s="135">
        <v>0.0</v>
      </c>
      <c r="AE194" s="135">
        <v>0.0</v>
      </c>
      <c r="AF194" s="135">
        <v>0.0</v>
      </c>
      <c r="AG194" s="135">
        <v>0.0</v>
      </c>
      <c r="AH194" s="135">
        <v>0.0</v>
      </c>
      <c r="AI194" s="135">
        <v>0.0</v>
      </c>
      <c r="AJ194" s="135">
        <v>0.0</v>
      </c>
      <c r="AK194" s="135">
        <v>0.0</v>
      </c>
      <c r="AL194" s="135">
        <v>0.0</v>
      </c>
      <c r="AM194" s="135">
        <v>0.0</v>
      </c>
      <c r="AN194" s="137">
        <v>4.0</v>
      </c>
    </row>
    <row r="195">
      <c r="A195" s="98"/>
      <c r="B195" s="136" t="s">
        <v>200</v>
      </c>
      <c r="C195" s="137">
        <v>618.0</v>
      </c>
      <c r="D195" s="137">
        <v>290.0</v>
      </c>
      <c r="E195" s="137">
        <v>328.0</v>
      </c>
      <c r="F195" s="137">
        <v>264.0</v>
      </c>
      <c r="G195" s="137">
        <v>286.0</v>
      </c>
      <c r="H195" s="137">
        <v>16.0</v>
      </c>
      <c r="I195" s="137">
        <v>26.0</v>
      </c>
      <c r="J195" s="137">
        <v>2.0</v>
      </c>
      <c r="K195" s="137">
        <v>8.0</v>
      </c>
      <c r="L195" s="137">
        <v>6.0</v>
      </c>
      <c r="M195" s="137">
        <v>6.0</v>
      </c>
      <c r="N195" s="137">
        <v>2.0</v>
      </c>
      <c r="O195" s="137">
        <v>2.0</v>
      </c>
      <c r="P195" s="135">
        <v>0.0</v>
      </c>
      <c r="Q195" s="135">
        <v>0.0</v>
      </c>
      <c r="R195" s="135">
        <v>0.0</v>
      </c>
      <c r="S195" s="135">
        <v>0.0</v>
      </c>
      <c r="T195" s="135">
        <v>0.0</v>
      </c>
      <c r="U195" s="135">
        <v>0.0</v>
      </c>
      <c r="V195" s="135">
        <v>0.0</v>
      </c>
      <c r="W195" s="135">
        <v>0.0</v>
      </c>
      <c r="X195" s="135">
        <v>0.0</v>
      </c>
      <c r="Y195" s="135">
        <v>0.0</v>
      </c>
      <c r="Z195" s="135">
        <v>0.0</v>
      </c>
      <c r="AA195" s="135">
        <v>0.0</v>
      </c>
      <c r="AB195" s="135">
        <v>0.0</v>
      </c>
      <c r="AC195" s="135">
        <v>0.0</v>
      </c>
      <c r="AD195" s="135">
        <v>0.0</v>
      </c>
      <c r="AE195" s="135">
        <v>0.0</v>
      </c>
      <c r="AF195" s="135">
        <v>0.0</v>
      </c>
      <c r="AG195" s="135">
        <v>0.0</v>
      </c>
      <c r="AH195" s="135">
        <v>0.0</v>
      </c>
      <c r="AI195" s="135">
        <v>0.0</v>
      </c>
      <c r="AJ195" s="135">
        <v>0.0</v>
      </c>
      <c r="AK195" s="135">
        <v>0.0</v>
      </c>
      <c r="AL195" s="135">
        <v>0.0</v>
      </c>
      <c r="AM195" s="135">
        <v>0.0</v>
      </c>
      <c r="AN195" s="137">
        <v>570.0</v>
      </c>
    </row>
    <row r="196">
      <c r="A196" s="104"/>
      <c r="B196" s="136" t="s">
        <v>201</v>
      </c>
      <c r="C196" s="137">
        <v>8.0</v>
      </c>
      <c r="D196" s="137">
        <v>6.0</v>
      </c>
      <c r="E196" s="137">
        <v>2.0</v>
      </c>
      <c r="F196" s="137">
        <v>6.0</v>
      </c>
      <c r="G196" s="137">
        <v>0.0</v>
      </c>
      <c r="H196" s="137">
        <v>0.0</v>
      </c>
      <c r="I196" s="137">
        <v>0.0</v>
      </c>
      <c r="J196" s="137">
        <v>0.0</v>
      </c>
      <c r="K196" s="137">
        <v>2.0</v>
      </c>
      <c r="L196" s="137">
        <v>0.0</v>
      </c>
      <c r="M196" s="137">
        <v>0.0</v>
      </c>
      <c r="N196" s="137">
        <v>0.0</v>
      </c>
      <c r="O196" s="137">
        <v>0.0</v>
      </c>
      <c r="P196" s="135">
        <v>0.0</v>
      </c>
      <c r="Q196" s="135">
        <v>0.0</v>
      </c>
      <c r="R196" s="135">
        <v>0.0</v>
      </c>
      <c r="S196" s="135">
        <v>0.0</v>
      </c>
      <c r="T196" s="135">
        <v>0.0</v>
      </c>
      <c r="U196" s="135">
        <v>0.0</v>
      </c>
      <c r="V196" s="135">
        <v>0.0</v>
      </c>
      <c r="W196" s="135">
        <v>0.0</v>
      </c>
      <c r="X196" s="135">
        <v>0.0</v>
      </c>
      <c r="Y196" s="135">
        <v>0.0</v>
      </c>
      <c r="Z196" s="135">
        <v>0.0</v>
      </c>
      <c r="AA196" s="135">
        <v>0.0</v>
      </c>
      <c r="AB196" s="135">
        <v>0.0</v>
      </c>
      <c r="AC196" s="135">
        <v>0.0</v>
      </c>
      <c r="AD196" s="135">
        <v>0.0</v>
      </c>
      <c r="AE196" s="135">
        <v>0.0</v>
      </c>
      <c r="AF196" s="135">
        <v>0.0</v>
      </c>
      <c r="AG196" s="135">
        <v>0.0</v>
      </c>
      <c r="AH196" s="135">
        <v>0.0</v>
      </c>
      <c r="AI196" s="135">
        <v>0.0</v>
      </c>
      <c r="AJ196" s="135">
        <v>0.0</v>
      </c>
      <c r="AK196" s="135">
        <v>0.0</v>
      </c>
      <c r="AL196" s="135">
        <v>0.0</v>
      </c>
      <c r="AM196" s="135">
        <v>0.0</v>
      </c>
      <c r="AN196" s="137">
        <v>6.0</v>
      </c>
    </row>
    <row r="197">
      <c r="A197" s="138" t="s">
        <v>247</v>
      </c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</row>
    <row r="198">
      <c r="A198" s="132" t="s">
        <v>197</v>
      </c>
      <c r="B198" s="133" t="s">
        <v>198</v>
      </c>
      <c r="C198" s="134">
        <v>24088.0</v>
      </c>
      <c r="D198" s="134">
        <v>9050.0</v>
      </c>
      <c r="E198" s="134">
        <v>15038.0</v>
      </c>
      <c r="F198" s="135">
        <v>0.0</v>
      </c>
      <c r="G198" s="135">
        <v>0.0</v>
      </c>
      <c r="H198" s="135">
        <v>0.0</v>
      </c>
      <c r="I198" s="135">
        <v>0.0</v>
      </c>
      <c r="J198" s="135">
        <v>0.0</v>
      </c>
      <c r="K198" s="135">
        <v>0.0</v>
      </c>
      <c r="L198" s="137">
        <v>8.0</v>
      </c>
      <c r="M198" s="137">
        <v>14.0</v>
      </c>
      <c r="N198" s="137">
        <v>22.0</v>
      </c>
      <c r="O198" s="137">
        <v>50.0</v>
      </c>
      <c r="P198" s="137">
        <v>36.0</v>
      </c>
      <c r="Q198" s="137">
        <v>92.0</v>
      </c>
      <c r="R198" s="137">
        <v>76.0</v>
      </c>
      <c r="S198" s="137">
        <v>184.0</v>
      </c>
      <c r="T198" s="137">
        <v>158.0</v>
      </c>
      <c r="U198" s="137">
        <v>352.0</v>
      </c>
      <c r="V198" s="137">
        <v>264.0</v>
      </c>
      <c r="W198" s="137">
        <v>546.0</v>
      </c>
      <c r="X198" s="137">
        <v>426.0</v>
      </c>
      <c r="Y198" s="137">
        <v>776.0</v>
      </c>
      <c r="Z198" s="137">
        <v>766.0</v>
      </c>
      <c r="AA198" s="134">
        <v>1436.0</v>
      </c>
      <c r="AB198" s="134">
        <v>1008.0</v>
      </c>
      <c r="AC198" s="134">
        <v>2026.0</v>
      </c>
      <c r="AD198" s="134">
        <v>1212.0</v>
      </c>
      <c r="AE198" s="134">
        <v>2028.0</v>
      </c>
      <c r="AF198" s="134">
        <v>1434.0</v>
      </c>
      <c r="AG198" s="134">
        <v>2228.0</v>
      </c>
      <c r="AH198" s="134">
        <v>1440.0</v>
      </c>
      <c r="AI198" s="134">
        <v>2028.0</v>
      </c>
      <c r="AJ198" s="134">
        <v>1154.0</v>
      </c>
      <c r="AK198" s="134">
        <v>1524.0</v>
      </c>
      <c r="AL198" s="134">
        <v>1046.0</v>
      </c>
      <c r="AM198" s="134">
        <v>1754.0</v>
      </c>
      <c r="AN198" s="134">
        <v>23874.0</v>
      </c>
    </row>
    <row r="199">
      <c r="A199" s="98"/>
      <c r="B199" s="136" t="s">
        <v>199</v>
      </c>
      <c r="C199" s="134">
        <v>9458.0</v>
      </c>
      <c r="D199" s="134">
        <v>3318.0</v>
      </c>
      <c r="E199" s="134">
        <v>6140.0</v>
      </c>
      <c r="F199" s="135">
        <v>0.0</v>
      </c>
      <c r="G199" s="135">
        <v>0.0</v>
      </c>
      <c r="H199" s="135">
        <v>0.0</v>
      </c>
      <c r="I199" s="135">
        <v>0.0</v>
      </c>
      <c r="J199" s="135">
        <v>0.0</v>
      </c>
      <c r="K199" s="135">
        <v>0.0</v>
      </c>
      <c r="L199" s="137">
        <v>4.0</v>
      </c>
      <c r="M199" s="137">
        <v>0.0</v>
      </c>
      <c r="N199" s="137">
        <v>2.0</v>
      </c>
      <c r="O199" s="137">
        <v>4.0</v>
      </c>
      <c r="P199" s="137">
        <v>16.0</v>
      </c>
      <c r="Q199" s="137">
        <v>32.0</v>
      </c>
      <c r="R199" s="137">
        <v>24.0</v>
      </c>
      <c r="S199" s="137">
        <v>48.0</v>
      </c>
      <c r="T199" s="137">
        <v>48.0</v>
      </c>
      <c r="U199" s="137">
        <v>84.0</v>
      </c>
      <c r="V199" s="137">
        <v>74.0</v>
      </c>
      <c r="W199" s="137">
        <v>208.0</v>
      </c>
      <c r="X199" s="137">
        <v>154.0</v>
      </c>
      <c r="Y199" s="137">
        <v>372.0</v>
      </c>
      <c r="Z199" s="137">
        <v>258.0</v>
      </c>
      <c r="AA199" s="137">
        <v>594.0</v>
      </c>
      <c r="AB199" s="137">
        <v>354.0</v>
      </c>
      <c r="AC199" s="137">
        <v>864.0</v>
      </c>
      <c r="AD199" s="137">
        <v>498.0</v>
      </c>
      <c r="AE199" s="137">
        <v>852.0</v>
      </c>
      <c r="AF199" s="137">
        <v>504.0</v>
      </c>
      <c r="AG199" s="137">
        <v>882.0</v>
      </c>
      <c r="AH199" s="137">
        <v>514.0</v>
      </c>
      <c r="AI199" s="137">
        <v>808.0</v>
      </c>
      <c r="AJ199" s="137">
        <v>428.0</v>
      </c>
      <c r="AK199" s="137">
        <v>676.0</v>
      </c>
      <c r="AL199" s="137">
        <v>440.0</v>
      </c>
      <c r="AM199" s="137">
        <v>716.0</v>
      </c>
      <c r="AN199" s="134">
        <v>9300.0</v>
      </c>
    </row>
    <row r="200">
      <c r="A200" s="98"/>
      <c r="B200" s="136" t="s">
        <v>200</v>
      </c>
      <c r="C200" s="134">
        <v>10892.0</v>
      </c>
      <c r="D200" s="134">
        <v>3876.0</v>
      </c>
      <c r="E200" s="134">
        <v>7016.0</v>
      </c>
      <c r="F200" s="135">
        <v>0.0</v>
      </c>
      <c r="G200" s="135">
        <v>0.0</v>
      </c>
      <c r="H200" s="135">
        <v>0.0</v>
      </c>
      <c r="I200" s="135">
        <v>0.0</v>
      </c>
      <c r="J200" s="135">
        <v>0.0</v>
      </c>
      <c r="K200" s="135">
        <v>0.0</v>
      </c>
      <c r="L200" s="137">
        <v>8.0</v>
      </c>
      <c r="M200" s="137">
        <v>6.0</v>
      </c>
      <c r="N200" s="137">
        <v>12.0</v>
      </c>
      <c r="O200" s="137">
        <v>20.0</v>
      </c>
      <c r="P200" s="137">
        <v>16.0</v>
      </c>
      <c r="Q200" s="137">
        <v>34.0</v>
      </c>
      <c r="R200" s="137">
        <v>34.0</v>
      </c>
      <c r="S200" s="137">
        <v>54.0</v>
      </c>
      <c r="T200" s="137">
        <v>64.0</v>
      </c>
      <c r="U200" s="137">
        <v>134.0</v>
      </c>
      <c r="V200" s="137">
        <v>122.0</v>
      </c>
      <c r="W200" s="137">
        <v>282.0</v>
      </c>
      <c r="X200" s="137">
        <v>192.0</v>
      </c>
      <c r="Y200" s="137">
        <v>358.0</v>
      </c>
      <c r="Z200" s="137">
        <v>346.0</v>
      </c>
      <c r="AA200" s="137">
        <v>752.0</v>
      </c>
      <c r="AB200" s="137">
        <v>432.0</v>
      </c>
      <c r="AC200" s="137">
        <v>970.0</v>
      </c>
      <c r="AD200" s="137">
        <v>540.0</v>
      </c>
      <c r="AE200" s="137">
        <v>968.0</v>
      </c>
      <c r="AF200" s="137">
        <v>574.0</v>
      </c>
      <c r="AG200" s="134">
        <v>1002.0</v>
      </c>
      <c r="AH200" s="137">
        <v>568.0</v>
      </c>
      <c r="AI200" s="137">
        <v>934.0</v>
      </c>
      <c r="AJ200" s="137">
        <v>494.0</v>
      </c>
      <c r="AK200" s="137">
        <v>730.0</v>
      </c>
      <c r="AL200" s="137">
        <v>474.0</v>
      </c>
      <c r="AM200" s="137">
        <v>772.0</v>
      </c>
      <c r="AN200" s="134">
        <v>10866.0</v>
      </c>
    </row>
    <row r="201">
      <c r="A201" s="104"/>
      <c r="B201" s="136" t="s">
        <v>201</v>
      </c>
      <c r="C201" s="137">
        <v>758.0</v>
      </c>
      <c r="D201" s="137">
        <v>274.0</v>
      </c>
      <c r="E201" s="137">
        <v>484.0</v>
      </c>
      <c r="F201" s="135">
        <v>0.0</v>
      </c>
      <c r="G201" s="135">
        <v>0.0</v>
      </c>
      <c r="H201" s="135">
        <v>0.0</v>
      </c>
      <c r="I201" s="135">
        <v>0.0</v>
      </c>
      <c r="J201" s="135">
        <v>0.0</v>
      </c>
      <c r="K201" s="135">
        <v>0.0</v>
      </c>
      <c r="L201" s="137">
        <v>0.0</v>
      </c>
      <c r="M201" s="137">
        <v>0.0</v>
      </c>
      <c r="N201" s="137">
        <v>0.0</v>
      </c>
      <c r="O201" s="137">
        <v>2.0</v>
      </c>
      <c r="P201" s="137">
        <v>2.0</v>
      </c>
      <c r="Q201" s="137">
        <v>4.0</v>
      </c>
      <c r="R201" s="137">
        <v>6.0</v>
      </c>
      <c r="S201" s="137">
        <v>16.0</v>
      </c>
      <c r="T201" s="137">
        <v>6.0</v>
      </c>
      <c r="U201" s="137">
        <v>12.0</v>
      </c>
      <c r="V201" s="137">
        <v>4.0</v>
      </c>
      <c r="W201" s="137">
        <v>18.0</v>
      </c>
      <c r="X201" s="137">
        <v>8.0</v>
      </c>
      <c r="Y201" s="137">
        <v>48.0</v>
      </c>
      <c r="Z201" s="137">
        <v>28.0</v>
      </c>
      <c r="AA201" s="137">
        <v>52.0</v>
      </c>
      <c r="AB201" s="137">
        <v>30.0</v>
      </c>
      <c r="AC201" s="137">
        <v>66.0</v>
      </c>
      <c r="AD201" s="137">
        <v>50.0</v>
      </c>
      <c r="AE201" s="137">
        <v>72.0</v>
      </c>
      <c r="AF201" s="137">
        <v>50.0</v>
      </c>
      <c r="AG201" s="137">
        <v>36.0</v>
      </c>
      <c r="AH201" s="137">
        <v>26.0</v>
      </c>
      <c r="AI201" s="137">
        <v>68.0</v>
      </c>
      <c r="AJ201" s="137">
        <v>26.0</v>
      </c>
      <c r="AK201" s="137">
        <v>42.0</v>
      </c>
      <c r="AL201" s="137">
        <v>38.0</v>
      </c>
      <c r="AM201" s="137">
        <v>48.0</v>
      </c>
      <c r="AN201" s="137">
        <v>758.0</v>
      </c>
    </row>
    <row r="202">
      <c r="A202" s="132" t="s">
        <v>202</v>
      </c>
      <c r="B202" s="136" t="s">
        <v>198</v>
      </c>
      <c r="C202" s="137">
        <v>174.0</v>
      </c>
      <c r="D202" s="137">
        <v>92.0</v>
      </c>
      <c r="E202" s="137">
        <v>82.0</v>
      </c>
      <c r="F202" s="137">
        <v>2.0</v>
      </c>
      <c r="G202" s="137">
        <v>0.0</v>
      </c>
      <c r="H202" s="137">
        <v>0.0</v>
      </c>
      <c r="I202" s="137">
        <v>0.0</v>
      </c>
      <c r="J202" s="137">
        <v>0.0</v>
      </c>
      <c r="K202" s="137">
        <v>0.0</v>
      </c>
      <c r="L202" s="137">
        <v>4.0</v>
      </c>
      <c r="M202" s="137">
        <v>2.0</v>
      </c>
      <c r="N202" s="137">
        <v>0.0</v>
      </c>
      <c r="O202" s="137">
        <v>20.0</v>
      </c>
      <c r="P202" s="137">
        <v>4.0</v>
      </c>
      <c r="Q202" s="137">
        <v>4.0</v>
      </c>
      <c r="R202" s="137">
        <v>4.0</v>
      </c>
      <c r="S202" s="137">
        <v>6.0</v>
      </c>
      <c r="T202" s="137">
        <v>4.0</v>
      </c>
      <c r="U202" s="137">
        <v>0.0</v>
      </c>
      <c r="V202" s="137">
        <v>0.0</v>
      </c>
      <c r="W202" s="137">
        <v>4.0</v>
      </c>
      <c r="X202" s="137">
        <v>0.0</v>
      </c>
      <c r="Y202" s="137">
        <v>2.0</v>
      </c>
      <c r="Z202" s="137">
        <v>12.0</v>
      </c>
      <c r="AA202" s="137">
        <v>12.0</v>
      </c>
      <c r="AB202" s="137">
        <v>16.0</v>
      </c>
      <c r="AC202" s="137">
        <v>18.0</v>
      </c>
      <c r="AD202" s="137">
        <v>12.0</v>
      </c>
      <c r="AE202" s="137">
        <v>4.0</v>
      </c>
      <c r="AF202" s="137">
        <v>24.0</v>
      </c>
      <c r="AG202" s="137">
        <v>0.0</v>
      </c>
      <c r="AH202" s="137">
        <v>4.0</v>
      </c>
      <c r="AI202" s="137">
        <v>8.0</v>
      </c>
      <c r="AJ202" s="137">
        <v>2.0</v>
      </c>
      <c r="AK202" s="137">
        <v>2.0</v>
      </c>
      <c r="AL202" s="137">
        <v>4.0</v>
      </c>
      <c r="AM202" s="137">
        <v>0.0</v>
      </c>
      <c r="AN202" s="137">
        <v>162.0</v>
      </c>
    </row>
    <row r="203">
      <c r="A203" s="104"/>
      <c r="B203" s="136" t="s">
        <v>199</v>
      </c>
      <c r="C203" s="137">
        <v>30.0</v>
      </c>
      <c r="D203" s="137">
        <v>18.0</v>
      </c>
      <c r="E203" s="137">
        <v>12.0</v>
      </c>
      <c r="F203" s="137">
        <v>0.0</v>
      </c>
      <c r="G203" s="137">
        <v>0.0</v>
      </c>
      <c r="H203" s="137">
        <v>0.0</v>
      </c>
      <c r="I203" s="137">
        <v>0.0</v>
      </c>
      <c r="J203" s="137">
        <v>0.0</v>
      </c>
      <c r="K203" s="137">
        <v>2.0</v>
      </c>
      <c r="L203" s="137">
        <v>0.0</v>
      </c>
      <c r="M203" s="137">
        <v>0.0</v>
      </c>
      <c r="N203" s="137">
        <v>0.0</v>
      </c>
      <c r="O203" s="137">
        <v>0.0</v>
      </c>
      <c r="P203" s="137">
        <v>0.0</v>
      </c>
      <c r="Q203" s="137">
        <v>0.0</v>
      </c>
      <c r="R203" s="137">
        <v>2.0</v>
      </c>
      <c r="S203" s="137">
        <v>0.0</v>
      </c>
      <c r="T203" s="137">
        <v>0.0</v>
      </c>
      <c r="U203" s="137">
        <v>0.0</v>
      </c>
      <c r="V203" s="137">
        <v>0.0</v>
      </c>
      <c r="W203" s="137">
        <v>0.0</v>
      </c>
      <c r="X203" s="137">
        <v>0.0</v>
      </c>
      <c r="Y203" s="137">
        <v>0.0</v>
      </c>
      <c r="Z203" s="137">
        <v>6.0</v>
      </c>
      <c r="AA203" s="137">
        <v>2.0</v>
      </c>
      <c r="AB203" s="137">
        <v>4.0</v>
      </c>
      <c r="AC203" s="137">
        <v>4.0</v>
      </c>
      <c r="AD203" s="137">
        <v>0.0</v>
      </c>
      <c r="AE203" s="137">
        <v>4.0</v>
      </c>
      <c r="AF203" s="137">
        <v>6.0</v>
      </c>
      <c r="AG203" s="137">
        <v>0.0</v>
      </c>
      <c r="AH203" s="137">
        <v>0.0</v>
      </c>
      <c r="AI203" s="137">
        <v>0.0</v>
      </c>
      <c r="AJ203" s="137">
        <v>0.0</v>
      </c>
      <c r="AK203" s="137">
        <v>0.0</v>
      </c>
      <c r="AL203" s="137">
        <v>0.0</v>
      </c>
      <c r="AM203" s="137">
        <v>0.0</v>
      </c>
      <c r="AN203" s="137">
        <v>26.0</v>
      </c>
    </row>
    <row r="204">
      <c r="A204" s="132" t="s">
        <v>203</v>
      </c>
      <c r="B204" s="136" t="s">
        <v>198</v>
      </c>
      <c r="C204" s="137">
        <v>86.0</v>
      </c>
      <c r="D204" s="137">
        <v>34.0</v>
      </c>
      <c r="E204" s="137">
        <v>52.0</v>
      </c>
      <c r="F204" s="135">
        <v>0.0</v>
      </c>
      <c r="G204" s="135">
        <v>0.0</v>
      </c>
      <c r="H204" s="135">
        <v>0.0</v>
      </c>
      <c r="I204" s="135">
        <v>0.0</v>
      </c>
      <c r="J204" s="135">
        <v>0.0</v>
      </c>
      <c r="K204" s="135">
        <v>0.0</v>
      </c>
      <c r="L204" s="135">
        <v>0.0</v>
      </c>
      <c r="M204" s="135">
        <v>0.0</v>
      </c>
      <c r="N204" s="135">
        <v>0.0</v>
      </c>
      <c r="O204" s="135">
        <v>0.0</v>
      </c>
      <c r="P204" s="135">
        <v>0.0</v>
      </c>
      <c r="Q204" s="135">
        <v>0.0</v>
      </c>
      <c r="R204" s="135">
        <v>0.0</v>
      </c>
      <c r="S204" s="135">
        <v>0.0</v>
      </c>
      <c r="T204" s="135">
        <v>0.0</v>
      </c>
      <c r="U204" s="135">
        <v>0.0</v>
      </c>
      <c r="V204" s="135">
        <v>0.0</v>
      </c>
      <c r="W204" s="135">
        <v>0.0</v>
      </c>
      <c r="X204" s="135">
        <v>0.0</v>
      </c>
      <c r="Y204" s="135">
        <v>0.0</v>
      </c>
      <c r="Z204" s="135">
        <v>0.0</v>
      </c>
      <c r="AA204" s="135">
        <v>0.0</v>
      </c>
      <c r="AB204" s="135">
        <v>0.0</v>
      </c>
      <c r="AC204" s="135">
        <v>0.0</v>
      </c>
      <c r="AD204" s="135">
        <v>0.0</v>
      </c>
      <c r="AE204" s="135">
        <v>0.0</v>
      </c>
      <c r="AF204" s="137">
        <v>8.0</v>
      </c>
      <c r="AG204" s="137">
        <v>18.0</v>
      </c>
      <c r="AH204" s="137">
        <v>10.0</v>
      </c>
      <c r="AI204" s="137">
        <v>12.0</v>
      </c>
      <c r="AJ204" s="137">
        <v>2.0</v>
      </c>
      <c r="AK204" s="137">
        <v>12.0</v>
      </c>
      <c r="AL204" s="137">
        <v>14.0</v>
      </c>
      <c r="AM204" s="137">
        <v>10.0</v>
      </c>
      <c r="AN204" s="137">
        <v>86.0</v>
      </c>
    </row>
    <row r="205">
      <c r="A205" s="104"/>
      <c r="B205" s="136" t="s">
        <v>199</v>
      </c>
      <c r="C205" s="137">
        <v>138.0</v>
      </c>
      <c r="D205" s="137">
        <v>66.0</v>
      </c>
      <c r="E205" s="137">
        <v>72.0</v>
      </c>
      <c r="F205" s="135">
        <v>0.0</v>
      </c>
      <c r="G205" s="135">
        <v>0.0</v>
      </c>
      <c r="H205" s="135">
        <v>0.0</v>
      </c>
      <c r="I205" s="135">
        <v>0.0</v>
      </c>
      <c r="J205" s="135">
        <v>0.0</v>
      </c>
      <c r="K205" s="135">
        <v>0.0</v>
      </c>
      <c r="L205" s="135">
        <v>0.0</v>
      </c>
      <c r="M205" s="135">
        <v>0.0</v>
      </c>
      <c r="N205" s="135">
        <v>0.0</v>
      </c>
      <c r="O205" s="135">
        <v>0.0</v>
      </c>
      <c r="P205" s="135">
        <v>0.0</v>
      </c>
      <c r="Q205" s="135">
        <v>0.0</v>
      </c>
      <c r="R205" s="135">
        <v>0.0</v>
      </c>
      <c r="S205" s="135">
        <v>0.0</v>
      </c>
      <c r="T205" s="135">
        <v>0.0</v>
      </c>
      <c r="U205" s="135">
        <v>0.0</v>
      </c>
      <c r="V205" s="135">
        <v>0.0</v>
      </c>
      <c r="W205" s="135">
        <v>0.0</v>
      </c>
      <c r="X205" s="135">
        <v>0.0</v>
      </c>
      <c r="Y205" s="135">
        <v>0.0</v>
      </c>
      <c r="Z205" s="135">
        <v>0.0</v>
      </c>
      <c r="AA205" s="135">
        <v>0.0</v>
      </c>
      <c r="AB205" s="135">
        <v>0.0</v>
      </c>
      <c r="AC205" s="135">
        <v>0.0</v>
      </c>
      <c r="AD205" s="135">
        <v>0.0</v>
      </c>
      <c r="AE205" s="135">
        <v>0.0</v>
      </c>
      <c r="AF205" s="137">
        <v>20.0</v>
      </c>
      <c r="AG205" s="137">
        <v>16.0</v>
      </c>
      <c r="AH205" s="137">
        <v>10.0</v>
      </c>
      <c r="AI205" s="137">
        <v>18.0</v>
      </c>
      <c r="AJ205" s="137">
        <v>20.0</v>
      </c>
      <c r="AK205" s="137">
        <v>14.0</v>
      </c>
      <c r="AL205" s="137">
        <v>16.0</v>
      </c>
      <c r="AM205" s="137">
        <v>24.0</v>
      </c>
      <c r="AN205" s="137">
        <v>138.0</v>
      </c>
    </row>
    <row r="206">
      <c r="A206" s="132" t="s">
        <v>204</v>
      </c>
      <c r="B206" s="136" t="s">
        <v>198</v>
      </c>
      <c r="C206" s="137">
        <v>60.0</v>
      </c>
      <c r="D206" s="137">
        <v>26.0</v>
      </c>
      <c r="E206" s="137">
        <v>34.0</v>
      </c>
      <c r="F206" s="135">
        <v>0.0</v>
      </c>
      <c r="G206" s="135">
        <v>0.0</v>
      </c>
      <c r="H206" s="135">
        <v>0.0</v>
      </c>
      <c r="I206" s="135">
        <v>0.0</v>
      </c>
      <c r="J206" s="135">
        <v>0.0</v>
      </c>
      <c r="K206" s="135">
        <v>0.0</v>
      </c>
      <c r="L206" s="135">
        <v>0.0</v>
      </c>
      <c r="M206" s="135">
        <v>0.0</v>
      </c>
      <c r="N206" s="135">
        <v>0.0</v>
      </c>
      <c r="O206" s="135">
        <v>0.0</v>
      </c>
      <c r="P206" s="135">
        <v>0.0</v>
      </c>
      <c r="Q206" s="135">
        <v>0.0</v>
      </c>
      <c r="R206" s="135">
        <v>0.0</v>
      </c>
      <c r="S206" s="135">
        <v>0.0</v>
      </c>
      <c r="T206" s="135">
        <v>0.0</v>
      </c>
      <c r="U206" s="135">
        <v>0.0</v>
      </c>
      <c r="V206" s="135">
        <v>0.0</v>
      </c>
      <c r="W206" s="135">
        <v>0.0</v>
      </c>
      <c r="X206" s="135">
        <v>0.0</v>
      </c>
      <c r="Y206" s="135">
        <v>0.0</v>
      </c>
      <c r="Z206" s="135">
        <v>0.0</v>
      </c>
      <c r="AA206" s="135">
        <v>0.0</v>
      </c>
      <c r="AB206" s="135">
        <v>0.0</v>
      </c>
      <c r="AC206" s="135">
        <v>0.0</v>
      </c>
      <c r="AD206" s="135">
        <v>0.0</v>
      </c>
      <c r="AE206" s="135">
        <v>0.0</v>
      </c>
      <c r="AF206" s="137">
        <v>0.0</v>
      </c>
      <c r="AG206" s="137">
        <v>2.0</v>
      </c>
      <c r="AH206" s="137">
        <v>0.0</v>
      </c>
      <c r="AI206" s="137">
        <v>6.0</v>
      </c>
      <c r="AJ206" s="137">
        <v>8.0</v>
      </c>
      <c r="AK206" s="137">
        <v>2.0</v>
      </c>
      <c r="AL206" s="137">
        <v>18.0</v>
      </c>
      <c r="AM206" s="137">
        <v>24.0</v>
      </c>
      <c r="AN206" s="137">
        <v>60.0</v>
      </c>
    </row>
    <row r="207">
      <c r="A207" s="104"/>
      <c r="B207" s="136" t="s">
        <v>199</v>
      </c>
      <c r="C207" s="137">
        <v>86.0</v>
      </c>
      <c r="D207" s="137">
        <v>36.0</v>
      </c>
      <c r="E207" s="137">
        <v>50.0</v>
      </c>
      <c r="F207" s="135">
        <v>0.0</v>
      </c>
      <c r="G207" s="135">
        <v>0.0</v>
      </c>
      <c r="H207" s="135">
        <v>0.0</v>
      </c>
      <c r="I207" s="135">
        <v>0.0</v>
      </c>
      <c r="J207" s="135">
        <v>0.0</v>
      </c>
      <c r="K207" s="135">
        <v>0.0</v>
      </c>
      <c r="L207" s="135">
        <v>0.0</v>
      </c>
      <c r="M207" s="135">
        <v>0.0</v>
      </c>
      <c r="N207" s="135">
        <v>0.0</v>
      </c>
      <c r="O207" s="135">
        <v>0.0</v>
      </c>
      <c r="P207" s="135">
        <v>0.0</v>
      </c>
      <c r="Q207" s="135">
        <v>0.0</v>
      </c>
      <c r="R207" s="135">
        <v>0.0</v>
      </c>
      <c r="S207" s="135">
        <v>0.0</v>
      </c>
      <c r="T207" s="135">
        <v>0.0</v>
      </c>
      <c r="U207" s="135">
        <v>0.0</v>
      </c>
      <c r="V207" s="135">
        <v>0.0</v>
      </c>
      <c r="W207" s="135">
        <v>0.0</v>
      </c>
      <c r="X207" s="135">
        <v>0.0</v>
      </c>
      <c r="Y207" s="135">
        <v>0.0</v>
      </c>
      <c r="Z207" s="135">
        <v>0.0</v>
      </c>
      <c r="AA207" s="135">
        <v>0.0</v>
      </c>
      <c r="AB207" s="135">
        <v>0.0</v>
      </c>
      <c r="AC207" s="135">
        <v>0.0</v>
      </c>
      <c r="AD207" s="135">
        <v>0.0</v>
      </c>
      <c r="AE207" s="135">
        <v>0.0</v>
      </c>
      <c r="AF207" s="137">
        <v>6.0</v>
      </c>
      <c r="AG207" s="137">
        <v>8.0</v>
      </c>
      <c r="AH207" s="137">
        <v>8.0</v>
      </c>
      <c r="AI207" s="137">
        <v>14.0</v>
      </c>
      <c r="AJ207" s="137">
        <v>8.0</v>
      </c>
      <c r="AK207" s="137">
        <v>16.0</v>
      </c>
      <c r="AL207" s="137">
        <v>14.0</v>
      </c>
      <c r="AM207" s="137">
        <v>12.0</v>
      </c>
      <c r="AN207" s="137">
        <v>86.0</v>
      </c>
    </row>
    <row r="208">
      <c r="A208" s="132" t="s">
        <v>205</v>
      </c>
      <c r="B208" s="136" t="s">
        <v>198</v>
      </c>
      <c r="C208" s="137">
        <v>894.0</v>
      </c>
      <c r="D208" s="137">
        <v>264.0</v>
      </c>
      <c r="E208" s="137">
        <v>630.0</v>
      </c>
      <c r="F208" s="137">
        <v>0.0</v>
      </c>
      <c r="G208" s="137">
        <v>0.0</v>
      </c>
      <c r="H208" s="137">
        <v>0.0</v>
      </c>
      <c r="I208" s="137">
        <v>0.0</v>
      </c>
      <c r="J208" s="137">
        <v>0.0</v>
      </c>
      <c r="K208" s="137">
        <v>0.0</v>
      </c>
      <c r="L208" s="137">
        <v>6.0</v>
      </c>
      <c r="M208" s="137">
        <v>40.0</v>
      </c>
      <c r="N208" s="137">
        <v>102.0</v>
      </c>
      <c r="O208" s="137">
        <v>208.0</v>
      </c>
      <c r="P208" s="137">
        <v>20.0</v>
      </c>
      <c r="Q208" s="137">
        <v>82.0</v>
      </c>
      <c r="R208" s="137">
        <v>20.0</v>
      </c>
      <c r="S208" s="137">
        <v>84.0</v>
      </c>
      <c r="T208" s="137">
        <v>38.0</v>
      </c>
      <c r="U208" s="137">
        <v>32.0</v>
      </c>
      <c r="V208" s="137">
        <v>12.0</v>
      </c>
      <c r="W208" s="137">
        <v>22.0</v>
      </c>
      <c r="X208" s="137">
        <v>4.0</v>
      </c>
      <c r="Y208" s="137">
        <v>50.0</v>
      </c>
      <c r="Z208" s="137">
        <v>12.0</v>
      </c>
      <c r="AA208" s="137">
        <v>74.0</v>
      </c>
      <c r="AB208" s="137">
        <v>10.0</v>
      </c>
      <c r="AC208" s="137">
        <v>30.0</v>
      </c>
      <c r="AD208" s="137">
        <v>8.0</v>
      </c>
      <c r="AE208" s="137">
        <v>4.0</v>
      </c>
      <c r="AF208" s="137">
        <v>0.0</v>
      </c>
      <c r="AG208" s="137">
        <v>4.0</v>
      </c>
      <c r="AH208" s="137">
        <v>0.0</v>
      </c>
      <c r="AI208" s="137">
        <v>0.0</v>
      </c>
      <c r="AJ208" s="137">
        <v>0.0</v>
      </c>
      <c r="AK208" s="137">
        <v>0.0</v>
      </c>
      <c r="AL208" s="137">
        <v>32.0</v>
      </c>
      <c r="AM208" s="137">
        <v>0.0</v>
      </c>
      <c r="AN208" s="137">
        <v>878.0</v>
      </c>
    </row>
    <row r="209">
      <c r="A209" s="98"/>
      <c r="B209" s="136" t="s">
        <v>199</v>
      </c>
      <c r="C209" s="137">
        <v>0.0</v>
      </c>
      <c r="D209" s="137">
        <v>0.0</v>
      </c>
      <c r="E209" s="137">
        <v>0.0</v>
      </c>
      <c r="F209" s="137">
        <v>0.0</v>
      </c>
      <c r="G209" s="137">
        <v>0.0</v>
      </c>
      <c r="H209" s="137">
        <v>0.0</v>
      </c>
      <c r="I209" s="137">
        <v>0.0</v>
      </c>
      <c r="J209" s="137">
        <v>0.0</v>
      </c>
      <c r="K209" s="137">
        <v>0.0</v>
      </c>
      <c r="L209" s="137">
        <v>0.0</v>
      </c>
      <c r="M209" s="137">
        <v>0.0</v>
      </c>
      <c r="N209" s="137">
        <v>0.0</v>
      </c>
      <c r="O209" s="137">
        <v>0.0</v>
      </c>
      <c r="P209" s="137">
        <v>0.0</v>
      </c>
      <c r="Q209" s="137">
        <v>0.0</v>
      </c>
      <c r="R209" s="137">
        <v>0.0</v>
      </c>
      <c r="S209" s="137">
        <v>0.0</v>
      </c>
      <c r="T209" s="137">
        <v>0.0</v>
      </c>
      <c r="U209" s="137">
        <v>0.0</v>
      </c>
      <c r="V209" s="137">
        <v>0.0</v>
      </c>
      <c r="W209" s="137">
        <v>0.0</v>
      </c>
      <c r="X209" s="137">
        <v>0.0</v>
      </c>
      <c r="Y209" s="137">
        <v>0.0</v>
      </c>
      <c r="Z209" s="137">
        <v>0.0</v>
      </c>
      <c r="AA209" s="137">
        <v>0.0</v>
      </c>
      <c r="AB209" s="137">
        <v>0.0</v>
      </c>
      <c r="AC209" s="137">
        <v>0.0</v>
      </c>
      <c r="AD209" s="137">
        <v>0.0</v>
      </c>
      <c r="AE209" s="137">
        <v>0.0</v>
      </c>
      <c r="AF209" s="137">
        <v>0.0</v>
      </c>
      <c r="AG209" s="137">
        <v>0.0</v>
      </c>
      <c r="AH209" s="137">
        <v>0.0</v>
      </c>
      <c r="AI209" s="137">
        <v>0.0</v>
      </c>
      <c r="AJ209" s="137">
        <v>0.0</v>
      </c>
      <c r="AK209" s="137">
        <v>0.0</v>
      </c>
      <c r="AL209" s="137">
        <v>0.0</v>
      </c>
      <c r="AM209" s="137">
        <v>0.0</v>
      </c>
      <c r="AN209" s="137">
        <v>0.0</v>
      </c>
    </row>
    <row r="210">
      <c r="A210" s="104"/>
      <c r="B210" s="136" t="s">
        <v>206</v>
      </c>
      <c r="C210" s="137">
        <v>190.0</v>
      </c>
      <c r="D210" s="137">
        <v>44.0</v>
      </c>
      <c r="E210" s="137">
        <v>146.0</v>
      </c>
      <c r="F210" s="137">
        <v>0.0</v>
      </c>
      <c r="G210" s="137">
        <v>0.0</v>
      </c>
      <c r="H210" s="137">
        <v>0.0</v>
      </c>
      <c r="I210" s="137">
        <v>0.0</v>
      </c>
      <c r="J210" s="137">
        <v>0.0</v>
      </c>
      <c r="K210" s="137">
        <v>0.0</v>
      </c>
      <c r="L210" s="137">
        <v>0.0</v>
      </c>
      <c r="M210" s="137">
        <v>6.0</v>
      </c>
      <c r="N210" s="137">
        <v>28.0</v>
      </c>
      <c r="O210" s="137">
        <v>30.0</v>
      </c>
      <c r="P210" s="137">
        <v>0.0</v>
      </c>
      <c r="Q210" s="137">
        <v>36.0</v>
      </c>
      <c r="R210" s="137">
        <v>0.0</v>
      </c>
      <c r="S210" s="137">
        <v>8.0</v>
      </c>
      <c r="T210" s="137">
        <v>8.0</v>
      </c>
      <c r="U210" s="137">
        <v>4.0</v>
      </c>
      <c r="V210" s="137">
        <v>8.0</v>
      </c>
      <c r="W210" s="137">
        <v>4.0</v>
      </c>
      <c r="X210" s="137">
        <v>0.0</v>
      </c>
      <c r="Y210" s="137">
        <v>22.0</v>
      </c>
      <c r="Z210" s="137">
        <v>0.0</v>
      </c>
      <c r="AA210" s="137">
        <v>2.0</v>
      </c>
      <c r="AB210" s="137">
        <v>0.0</v>
      </c>
      <c r="AC210" s="137">
        <v>30.0</v>
      </c>
      <c r="AD210" s="137">
        <v>0.0</v>
      </c>
      <c r="AE210" s="137">
        <v>4.0</v>
      </c>
      <c r="AF210" s="137">
        <v>0.0</v>
      </c>
      <c r="AG210" s="137">
        <v>0.0</v>
      </c>
      <c r="AH210" s="137">
        <v>0.0</v>
      </c>
      <c r="AI210" s="137">
        <v>0.0</v>
      </c>
      <c r="AJ210" s="137">
        <v>0.0</v>
      </c>
      <c r="AK210" s="137">
        <v>0.0</v>
      </c>
      <c r="AL210" s="137">
        <v>0.0</v>
      </c>
      <c r="AM210" s="137">
        <v>0.0</v>
      </c>
      <c r="AN210" s="137">
        <v>188.0</v>
      </c>
    </row>
    <row r="211">
      <c r="A211" s="132" t="s">
        <v>207</v>
      </c>
      <c r="B211" s="136" t="s">
        <v>198</v>
      </c>
      <c r="C211" s="134">
        <v>10280.0</v>
      </c>
      <c r="D211" s="134">
        <v>2394.0</v>
      </c>
      <c r="E211" s="134">
        <v>7886.0</v>
      </c>
      <c r="F211" s="137">
        <v>254.0</v>
      </c>
      <c r="G211" s="137">
        <v>264.0</v>
      </c>
      <c r="H211" s="137">
        <v>40.0</v>
      </c>
      <c r="I211" s="137">
        <v>36.0</v>
      </c>
      <c r="J211" s="137">
        <v>28.0</v>
      </c>
      <c r="K211" s="137">
        <v>38.0</v>
      </c>
      <c r="L211" s="137">
        <v>44.0</v>
      </c>
      <c r="M211" s="137">
        <v>110.0</v>
      </c>
      <c r="N211" s="137">
        <v>44.0</v>
      </c>
      <c r="O211" s="137">
        <v>130.0</v>
      </c>
      <c r="P211" s="137">
        <v>48.0</v>
      </c>
      <c r="Q211" s="137">
        <v>202.0</v>
      </c>
      <c r="R211" s="137">
        <v>42.0</v>
      </c>
      <c r="S211" s="137">
        <v>264.0</v>
      </c>
      <c r="T211" s="137">
        <v>54.0</v>
      </c>
      <c r="U211" s="137">
        <v>300.0</v>
      </c>
      <c r="V211" s="137">
        <v>54.0</v>
      </c>
      <c r="W211" s="137">
        <v>344.0</v>
      </c>
      <c r="X211" s="137">
        <v>80.0</v>
      </c>
      <c r="Y211" s="137">
        <v>498.0</v>
      </c>
      <c r="Z211" s="137">
        <v>120.0</v>
      </c>
      <c r="AA211" s="137">
        <v>734.0</v>
      </c>
      <c r="AB211" s="137">
        <v>186.0</v>
      </c>
      <c r="AC211" s="137">
        <v>998.0</v>
      </c>
      <c r="AD211" s="137">
        <v>240.0</v>
      </c>
      <c r="AE211" s="137">
        <v>958.0</v>
      </c>
      <c r="AF211" s="137">
        <v>266.0</v>
      </c>
      <c r="AG211" s="137">
        <v>926.0</v>
      </c>
      <c r="AH211" s="137">
        <v>258.0</v>
      </c>
      <c r="AI211" s="137">
        <v>838.0</v>
      </c>
      <c r="AJ211" s="137">
        <v>304.0</v>
      </c>
      <c r="AK211" s="137">
        <v>602.0</v>
      </c>
      <c r="AL211" s="137">
        <v>332.0</v>
      </c>
      <c r="AM211" s="137">
        <v>644.0</v>
      </c>
      <c r="AN211" s="134">
        <v>9980.0</v>
      </c>
    </row>
    <row r="212">
      <c r="A212" s="98"/>
      <c r="B212" s="136" t="s">
        <v>199</v>
      </c>
      <c r="C212" s="137">
        <v>628.0</v>
      </c>
      <c r="D212" s="137">
        <v>118.0</v>
      </c>
      <c r="E212" s="137">
        <v>510.0</v>
      </c>
      <c r="F212" s="137">
        <v>10.0</v>
      </c>
      <c r="G212" s="137">
        <v>4.0</v>
      </c>
      <c r="H212" s="137">
        <v>2.0</v>
      </c>
      <c r="I212" s="137">
        <v>0.0</v>
      </c>
      <c r="J212" s="137">
        <v>0.0</v>
      </c>
      <c r="K212" s="137">
        <v>0.0</v>
      </c>
      <c r="L212" s="137">
        <v>2.0</v>
      </c>
      <c r="M212" s="137">
        <v>2.0</v>
      </c>
      <c r="N212" s="137">
        <v>2.0</v>
      </c>
      <c r="O212" s="137">
        <v>0.0</v>
      </c>
      <c r="P212" s="137">
        <v>0.0</v>
      </c>
      <c r="Q212" s="137">
        <v>4.0</v>
      </c>
      <c r="R212" s="137">
        <v>2.0</v>
      </c>
      <c r="S212" s="137">
        <v>6.0</v>
      </c>
      <c r="T212" s="137">
        <v>0.0</v>
      </c>
      <c r="U212" s="137">
        <v>14.0</v>
      </c>
      <c r="V212" s="137">
        <v>0.0</v>
      </c>
      <c r="W212" s="137">
        <v>12.0</v>
      </c>
      <c r="X212" s="137">
        <v>0.0</v>
      </c>
      <c r="Y212" s="137">
        <v>22.0</v>
      </c>
      <c r="Z212" s="137">
        <v>8.0</v>
      </c>
      <c r="AA212" s="137">
        <v>26.0</v>
      </c>
      <c r="AB212" s="137">
        <v>12.0</v>
      </c>
      <c r="AC212" s="137">
        <v>38.0</v>
      </c>
      <c r="AD212" s="137">
        <v>14.0</v>
      </c>
      <c r="AE212" s="137">
        <v>38.0</v>
      </c>
      <c r="AF212" s="137">
        <v>10.0</v>
      </c>
      <c r="AG212" s="137">
        <v>84.0</v>
      </c>
      <c r="AH212" s="137">
        <v>14.0</v>
      </c>
      <c r="AI212" s="137">
        <v>102.0</v>
      </c>
      <c r="AJ212" s="137">
        <v>12.0</v>
      </c>
      <c r="AK212" s="137">
        <v>68.0</v>
      </c>
      <c r="AL212" s="137">
        <v>30.0</v>
      </c>
      <c r="AM212" s="137">
        <v>90.0</v>
      </c>
      <c r="AN212" s="137">
        <v>622.0</v>
      </c>
    </row>
    <row r="213">
      <c r="A213" s="98"/>
      <c r="B213" s="136" t="s">
        <v>206</v>
      </c>
      <c r="C213" s="137">
        <v>102.0</v>
      </c>
      <c r="D213" s="137">
        <v>24.0</v>
      </c>
      <c r="E213" s="137">
        <v>78.0</v>
      </c>
      <c r="F213" s="137">
        <v>0.0</v>
      </c>
      <c r="G213" s="137">
        <v>0.0</v>
      </c>
      <c r="H213" s="137">
        <v>0.0</v>
      </c>
      <c r="I213" s="137">
        <v>0.0</v>
      </c>
      <c r="J213" s="137">
        <v>0.0</v>
      </c>
      <c r="K213" s="137">
        <v>0.0</v>
      </c>
      <c r="L213" s="137">
        <v>0.0</v>
      </c>
      <c r="M213" s="137">
        <v>0.0</v>
      </c>
      <c r="N213" s="137">
        <v>2.0</v>
      </c>
      <c r="O213" s="137">
        <v>0.0</v>
      </c>
      <c r="P213" s="137">
        <v>4.0</v>
      </c>
      <c r="Q213" s="137">
        <v>24.0</v>
      </c>
      <c r="R213" s="137">
        <v>8.0</v>
      </c>
      <c r="S213" s="137">
        <v>10.0</v>
      </c>
      <c r="T213" s="137">
        <v>2.0</v>
      </c>
      <c r="U213" s="137">
        <v>8.0</v>
      </c>
      <c r="V213" s="137">
        <v>8.0</v>
      </c>
      <c r="W213" s="137">
        <v>8.0</v>
      </c>
      <c r="X213" s="137">
        <v>0.0</v>
      </c>
      <c r="Y213" s="137">
        <v>10.0</v>
      </c>
      <c r="Z213" s="137">
        <v>0.0</v>
      </c>
      <c r="AA213" s="137">
        <v>10.0</v>
      </c>
      <c r="AB213" s="137">
        <v>0.0</v>
      </c>
      <c r="AC213" s="137">
        <v>8.0</v>
      </c>
      <c r="AD213" s="137">
        <v>0.0</v>
      </c>
      <c r="AE213" s="137">
        <v>0.0</v>
      </c>
      <c r="AF213" s="137">
        <v>0.0</v>
      </c>
      <c r="AG213" s="137">
        <v>0.0</v>
      </c>
      <c r="AH213" s="137">
        <v>0.0</v>
      </c>
      <c r="AI213" s="137">
        <v>0.0</v>
      </c>
      <c r="AJ213" s="137">
        <v>0.0</v>
      </c>
      <c r="AK213" s="137">
        <v>0.0</v>
      </c>
      <c r="AL213" s="137">
        <v>0.0</v>
      </c>
      <c r="AM213" s="137">
        <v>0.0</v>
      </c>
      <c r="AN213" s="137">
        <v>102.0</v>
      </c>
    </row>
    <row r="214">
      <c r="A214" s="98"/>
      <c r="B214" s="136" t="s">
        <v>200</v>
      </c>
      <c r="C214" s="137">
        <v>620.0</v>
      </c>
      <c r="D214" s="137">
        <v>200.0</v>
      </c>
      <c r="E214" s="137">
        <v>420.0</v>
      </c>
      <c r="F214" s="137">
        <v>88.0</v>
      </c>
      <c r="G214" s="137">
        <v>106.0</v>
      </c>
      <c r="H214" s="137">
        <v>20.0</v>
      </c>
      <c r="I214" s="137">
        <v>6.0</v>
      </c>
      <c r="J214" s="137">
        <v>0.0</v>
      </c>
      <c r="K214" s="137">
        <v>0.0</v>
      </c>
      <c r="L214" s="137">
        <v>4.0</v>
      </c>
      <c r="M214" s="137">
        <v>10.0</v>
      </c>
      <c r="N214" s="137">
        <v>10.0</v>
      </c>
      <c r="O214" s="137">
        <v>34.0</v>
      </c>
      <c r="P214" s="137">
        <v>4.0</v>
      </c>
      <c r="Q214" s="137">
        <v>18.0</v>
      </c>
      <c r="R214" s="137">
        <v>0.0</v>
      </c>
      <c r="S214" s="137">
        <v>42.0</v>
      </c>
      <c r="T214" s="137">
        <v>8.0</v>
      </c>
      <c r="U214" s="137">
        <v>26.0</v>
      </c>
      <c r="V214" s="137">
        <v>2.0</v>
      </c>
      <c r="W214" s="137">
        <v>28.0</v>
      </c>
      <c r="X214" s="137">
        <v>4.0</v>
      </c>
      <c r="Y214" s="137">
        <v>16.0</v>
      </c>
      <c r="Z214" s="137">
        <v>6.0</v>
      </c>
      <c r="AA214" s="137">
        <v>24.0</v>
      </c>
      <c r="AB214" s="137">
        <v>12.0</v>
      </c>
      <c r="AC214" s="137">
        <v>18.0</v>
      </c>
      <c r="AD214" s="137">
        <v>10.0</v>
      </c>
      <c r="AE214" s="137">
        <v>22.0</v>
      </c>
      <c r="AF214" s="137">
        <v>6.0</v>
      </c>
      <c r="AG214" s="137">
        <v>18.0</v>
      </c>
      <c r="AH214" s="137">
        <v>8.0</v>
      </c>
      <c r="AI214" s="137">
        <v>26.0</v>
      </c>
      <c r="AJ214" s="137">
        <v>8.0</v>
      </c>
      <c r="AK214" s="137">
        <v>8.0</v>
      </c>
      <c r="AL214" s="137">
        <v>10.0</v>
      </c>
      <c r="AM214" s="137">
        <v>18.0</v>
      </c>
      <c r="AN214" s="137">
        <v>534.0</v>
      </c>
    </row>
    <row r="215">
      <c r="A215" s="104"/>
      <c r="B215" s="136" t="s">
        <v>201</v>
      </c>
      <c r="C215" s="137">
        <v>6.0</v>
      </c>
      <c r="D215" s="137">
        <v>4.0</v>
      </c>
      <c r="E215" s="137">
        <v>2.0</v>
      </c>
      <c r="F215" s="137">
        <v>0.0</v>
      </c>
      <c r="G215" s="137">
        <v>0.0</v>
      </c>
      <c r="H215" s="137">
        <v>0.0</v>
      </c>
      <c r="I215" s="137">
        <v>0.0</v>
      </c>
      <c r="J215" s="137">
        <v>0.0</v>
      </c>
      <c r="K215" s="137">
        <v>0.0</v>
      </c>
      <c r="L215" s="137">
        <v>0.0</v>
      </c>
      <c r="M215" s="137">
        <v>0.0</v>
      </c>
      <c r="N215" s="137">
        <v>0.0</v>
      </c>
      <c r="O215" s="137">
        <v>0.0</v>
      </c>
      <c r="P215" s="137">
        <v>0.0</v>
      </c>
      <c r="Q215" s="137">
        <v>0.0</v>
      </c>
      <c r="R215" s="137">
        <v>2.0</v>
      </c>
      <c r="S215" s="137">
        <v>0.0</v>
      </c>
      <c r="T215" s="137">
        <v>0.0</v>
      </c>
      <c r="U215" s="137">
        <v>0.0</v>
      </c>
      <c r="V215" s="137">
        <v>0.0</v>
      </c>
      <c r="W215" s="137">
        <v>0.0</v>
      </c>
      <c r="X215" s="137">
        <v>0.0</v>
      </c>
      <c r="Y215" s="137">
        <v>2.0</v>
      </c>
      <c r="Z215" s="137">
        <v>0.0</v>
      </c>
      <c r="AA215" s="137">
        <v>0.0</v>
      </c>
      <c r="AB215" s="137">
        <v>2.0</v>
      </c>
      <c r="AC215" s="137">
        <v>0.0</v>
      </c>
      <c r="AD215" s="137">
        <v>0.0</v>
      </c>
      <c r="AE215" s="137">
        <v>0.0</v>
      </c>
      <c r="AF215" s="137">
        <v>0.0</v>
      </c>
      <c r="AG215" s="137">
        <v>0.0</v>
      </c>
      <c r="AH215" s="137">
        <v>0.0</v>
      </c>
      <c r="AI215" s="137">
        <v>0.0</v>
      </c>
      <c r="AJ215" s="137">
        <v>0.0</v>
      </c>
      <c r="AK215" s="137">
        <v>0.0</v>
      </c>
      <c r="AL215" s="137">
        <v>0.0</v>
      </c>
      <c r="AM215" s="137">
        <v>0.0</v>
      </c>
      <c r="AN215" s="137">
        <v>6.0</v>
      </c>
    </row>
    <row r="216">
      <c r="A216" s="132" t="s">
        <v>208</v>
      </c>
      <c r="B216" s="136" t="s">
        <v>198</v>
      </c>
      <c r="C216" s="137">
        <v>8.0</v>
      </c>
      <c r="D216" s="137">
        <v>8.0</v>
      </c>
      <c r="E216" s="137">
        <v>0.0</v>
      </c>
      <c r="F216" s="137">
        <v>8.0</v>
      </c>
      <c r="G216" s="137">
        <v>0.0</v>
      </c>
      <c r="H216" s="137">
        <v>0.0</v>
      </c>
      <c r="I216" s="137">
        <v>0.0</v>
      </c>
      <c r="J216" s="137">
        <v>0.0</v>
      </c>
      <c r="K216" s="137">
        <v>0.0</v>
      </c>
      <c r="L216" s="137">
        <v>0.0</v>
      </c>
      <c r="M216" s="137">
        <v>0.0</v>
      </c>
      <c r="N216" s="137">
        <v>0.0</v>
      </c>
      <c r="O216" s="137">
        <v>0.0</v>
      </c>
      <c r="P216" s="135">
        <v>0.0</v>
      </c>
      <c r="Q216" s="135">
        <v>0.0</v>
      </c>
      <c r="R216" s="135">
        <v>0.0</v>
      </c>
      <c r="S216" s="135">
        <v>0.0</v>
      </c>
      <c r="T216" s="135">
        <v>0.0</v>
      </c>
      <c r="U216" s="135">
        <v>0.0</v>
      </c>
      <c r="V216" s="135">
        <v>0.0</v>
      </c>
      <c r="W216" s="135">
        <v>0.0</v>
      </c>
      <c r="X216" s="135">
        <v>0.0</v>
      </c>
      <c r="Y216" s="135">
        <v>0.0</v>
      </c>
      <c r="Z216" s="135">
        <v>0.0</v>
      </c>
      <c r="AA216" s="135">
        <v>0.0</v>
      </c>
      <c r="AB216" s="135">
        <v>0.0</v>
      </c>
      <c r="AC216" s="135">
        <v>0.0</v>
      </c>
      <c r="AD216" s="135">
        <v>0.0</v>
      </c>
      <c r="AE216" s="135">
        <v>0.0</v>
      </c>
      <c r="AF216" s="135">
        <v>0.0</v>
      </c>
      <c r="AG216" s="135">
        <v>0.0</v>
      </c>
      <c r="AH216" s="135">
        <v>0.0</v>
      </c>
      <c r="AI216" s="135">
        <v>0.0</v>
      </c>
      <c r="AJ216" s="135">
        <v>0.0</v>
      </c>
      <c r="AK216" s="135">
        <v>0.0</v>
      </c>
      <c r="AL216" s="135">
        <v>0.0</v>
      </c>
      <c r="AM216" s="135">
        <v>0.0</v>
      </c>
      <c r="AN216" s="137">
        <v>8.0</v>
      </c>
    </row>
    <row r="217">
      <c r="A217" s="98"/>
      <c r="B217" s="136" t="s">
        <v>199</v>
      </c>
      <c r="C217" s="137">
        <v>350.0</v>
      </c>
      <c r="D217" s="137">
        <v>168.0</v>
      </c>
      <c r="E217" s="137">
        <v>182.0</v>
      </c>
      <c r="F217" s="137">
        <v>166.0</v>
      </c>
      <c r="G217" s="137">
        <v>176.0</v>
      </c>
      <c r="H217" s="137">
        <v>2.0</v>
      </c>
      <c r="I217" s="137">
        <v>6.0</v>
      </c>
      <c r="J217" s="137">
        <v>0.0</v>
      </c>
      <c r="K217" s="137">
        <v>0.0</v>
      </c>
      <c r="L217" s="137">
        <v>0.0</v>
      </c>
      <c r="M217" s="137">
        <v>0.0</v>
      </c>
      <c r="N217" s="137">
        <v>0.0</v>
      </c>
      <c r="O217" s="137">
        <v>0.0</v>
      </c>
      <c r="P217" s="135">
        <v>0.0</v>
      </c>
      <c r="Q217" s="135">
        <v>0.0</v>
      </c>
      <c r="R217" s="135">
        <v>0.0</v>
      </c>
      <c r="S217" s="135">
        <v>0.0</v>
      </c>
      <c r="T217" s="135">
        <v>0.0</v>
      </c>
      <c r="U217" s="135">
        <v>0.0</v>
      </c>
      <c r="V217" s="135">
        <v>0.0</v>
      </c>
      <c r="W217" s="135">
        <v>0.0</v>
      </c>
      <c r="X217" s="135">
        <v>0.0</v>
      </c>
      <c r="Y217" s="135">
        <v>0.0</v>
      </c>
      <c r="Z217" s="135">
        <v>0.0</v>
      </c>
      <c r="AA217" s="135">
        <v>0.0</v>
      </c>
      <c r="AB217" s="135">
        <v>0.0</v>
      </c>
      <c r="AC217" s="135">
        <v>0.0</v>
      </c>
      <c r="AD217" s="135">
        <v>0.0</v>
      </c>
      <c r="AE217" s="135">
        <v>0.0</v>
      </c>
      <c r="AF217" s="135">
        <v>0.0</v>
      </c>
      <c r="AG217" s="135">
        <v>0.0</v>
      </c>
      <c r="AH217" s="135">
        <v>0.0</v>
      </c>
      <c r="AI217" s="135">
        <v>0.0</v>
      </c>
      <c r="AJ217" s="135">
        <v>0.0</v>
      </c>
      <c r="AK217" s="135">
        <v>0.0</v>
      </c>
      <c r="AL217" s="135">
        <v>0.0</v>
      </c>
      <c r="AM217" s="135">
        <v>0.0</v>
      </c>
      <c r="AN217" s="137">
        <v>306.0</v>
      </c>
    </row>
    <row r="218">
      <c r="A218" s="98"/>
      <c r="B218" s="136" t="s">
        <v>206</v>
      </c>
      <c r="C218" s="137">
        <v>10.0</v>
      </c>
      <c r="D218" s="137">
        <v>10.0</v>
      </c>
      <c r="E218" s="137">
        <v>0.0</v>
      </c>
      <c r="F218" s="137">
        <v>10.0</v>
      </c>
      <c r="G218" s="137">
        <v>0.0</v>
      </c>
      <c r="H218" s="137">
        <v>0.0</v>
      </c>
      <c r="I218" s="137">
        <v>0.0</v>
      </c>
      <c r="J218" s="137">
        <v>0.0</v>
      </c>
      <c r="K218" s="137">
        <v>0.0</v>
      </c>
      <c r="L218" s="137">
        <v>0.0</v>
      </c>
      <c r="M218" s="137">
        <v>0.0</v>
      </c>
      <c r="N218" s="137">
        <v>0.0</v>
      </c>
      <c r="O218" s="137">
        <v>0.0</v>
      </c>
      <c r="P218" s="135">
        <v>0.0</v>
      </c>
      <c r="Q218" s="135">
        <v>0.0</v>
      </c>
      <c r="R218" s="135">
        <v>0.0</v>
      </c>
      <c r="S218" s="135">
        <v>0.0</v>
      </c>
      <c r="T218" s="135">
        <v>0.0</v>
      </c>
      <c r="U218" s="135">
        <v>0.0</v>
      </c>
      <c r="V218" s="135">
        <v>0.0</v>
      </c>
      <c r="W218" s="135">
        <v>0.0</v>
      </c>
      <c r="X218" s="135">
        <v>0.0</v>
      </c>
      <c r="Y218" s="135">
        <v>0.0</v>
      </c>
      <c r="Z218" s="135">
        <v>0.0</v>
      </c>
      <c r="AA218" s="135">
        <v>0.0</v>
      </c>
      <c r="AB218" s="135">
        <v>0.0</v>
      </c>
      <c r="AC218" s="135">
        <v>0.0</v>
      </c>
      <c r="AD218" s="135">
        <v>0.0</v>
      </c>
      <c r="AE218" s="135">
        <v>0.0</v>
      </c>
      <c r="AF218" s="135">
        <v>0.0</v>
      </c>
      <c r="AG218" s="135">
        <v>0.0</v>
      </c>
      <c r="AH218" s="135">
        <v>0.0</v>
      </c>
      <c r="AI218" s="135">
        <v>0.0</v>
      </c>
      <c r="AJ218" s="135">
        <v>0.0</v>
      </c>
      <c r="AK218" s="135">
        <v>0.0</v>
      </c>
      <c r="AL218" s="135">
        <v>0.0</v>
      </c>
      <c r="AM218" s="135">
        <v>0.0</v>
      </c>
      <c r="AN218" s="137">
        <v>10.0</v>
      </c>
    </row>
    <row r="219">
      <c r="A219" s="98"/>
      <c r="B219" s="136" t="s">
        <v>200</v>
      </c>
      <c r="C219" s="137">
        <v>4.0</v>
      </c>
      <c r="D219" s="137">
        <v>0.0</v>
      </c>
      <c r="E219" s="137">
        <v>4.0</v>
      </c>
      <c r="F219" s="137">
        <v>0.0</v>
      </c>
      <c r="G219" s="137">
        <v>4.0</v>
      </c>
      <c r="H219" s="137">
        <v>0.0</v>
      </c>
      <c r="I219" s="137">
        <v>0.0</v>
      </c>
      <c r="J219" s="137">
        <v>0.0</v>
      </c>
      <c r="K219" s="137">
        <v>0.0</v>
      </c>
      <c r="L219" s="137">
        <v>0.0</v>
      </c>
      <c r="M219" s="137">
        <v>0.0</v>
      </c>
      <c r="N219" s="137">
        <v>0.0</v>
      </c>
      <c r="O219" s="137">
        <v>0.0</v>
      </c>
      <c r="P219" s="135">
        <v>0.0</v>
      </c>
      <c r="Q219" s="135">
        <v>0.0</v>
      </c>
      <c r="R219" s="135">
        <v>0.0</v>
      </c>
      <c r="S219" s="135">
        <v>0.0</v>
      </c>
      <c r="T219" s="135">
        <v>0.0</v>
      </c>
      <c r="U219" s="135">
        <v>0.0</v>
      </c>
      <c r="V219" s="135">
        <v>0.0</v>
      </c>
      <c r="W219" s="135">
        <v>0.0</v>
      </c>
      <c r="X219" s="135">
        <v>0.0</v>
      </c>
      <c r="Y219" s="135">
        <v>0.0</v>
      </c>
      <c r="Z219" s="135">
        <v>0.0</v>
      </c>
      <c r="AA219" s="135">
        <v>0.0</v>
      </c>
      <c r="AB219" s="135">
        <v>0.0</v>
      </c>
      <c r="AC219" s="135">
        <v>0.0</v>
      </c>
      <c r="AD219" s="135">
        <v>0.0</v>
      </c>
      <c r="AE219" s="135">
        <v>0.0</v>
      </c>
      <c r="AF219" s="135">
        <v>0.0</v>
      </c>
      <c r="AG219" s="135">
        <v>0.0</v>
      </c>
      <c r="AH219" s="135">
        <v>0.0</v>
      </c>
      <c r="AI219" s="135">
        <v>0.0</v>
      </c>
      <c r="AJ219" s="135">
        <v>0.0</v>
      </c>
      <c r="AK219" s="135">
        <v>0.0</v>
      </c>
      <c r="AL219" s="135">
        <v>0.0</v>
      </c>
      <c r="AM219" s="135">
        <v>0.0</v>
      </c>
      <c r="AN219" s="137">
        <v>4.0</v>
      </c>
    </row>
    <row r="220">
      <c r="A220" s="104"/>
      <c r="B220" s="136" t="s">
        <v>201</v>
      </c>
      <c r="C220" s="137">
        <v>0.0</v>
      </c>
      <c r="D220" s="137">
        <v>0.0</v>
      </c>
      <c r="E220" s="137">
        <v>0.0</v>
      </c>
      <c r="F220" s="137">
        <v>0.0</v>
      </c>
      <c r="G220" s="137">
        <v>0.0</v>
      </c>
      <c r="H220" s="137">
        <v>0.0</v>
      </c>
      <c r="I220" s="137">
        <v>0.0</v>
      </c>
      <c r="J220" s="137">
        <v>0.0</v>
      </c>
      <c r="K220" s="137">
        <v>0.0</v>
      </c>
      <c r="L220" s="137">
        <v>0.0</v>
      </c>
      <c r="M220" s="137">
        <v>0.0</v>
      </c>
      <c r="N220" s="137">
        <v>0.0</v>
      </c>
      <c r="O220" s="137">
        <v>0.0</v>
      </c>
      <c r="P220" s="135">
        <v>0.0</v>
      </c>
      <c r="Q220" s="135">
        <v>0.0</v>
      </c>
      <c r="R220" s="135">
        <v>0.0</v>
      </c>
      <c r="S220" s="135">
        <v>0.0</v>
      </c>
      <c r="T220" s="135">
        <v>0.0</v>
      </c>
      <c r="U220" s="135">
        <v>0.0</v>
      </c>
      <c r="V220" s="135">
        <v>0.0</v>
      </c>
      <c r="W220" s="135">
        <v>0.0</v>
      </c>
      <c r="X220" s="135">
        <v>0.0</v>
      </c>
      <c r="Y220" s="135">
        <v>0.0</v>
      </c>
      <c r="Z220" s="135">
        <v>0.0</v>
      </c>
      <c r="AA220" s="135">
        <v>0.0</v>
      </c>
      <c r="AB220" s="135">
        <v>0.0</v>
      </c>
      <c r="AC220" s="135">
        <v>0.0</v>
      </c>
      <c r="AD220" s="135">
        <v>0.0</v>
      </c>
      <c r="AE220" s="135">
        <v>0.0</v>
      </c>
      <c r="AF220" s="135">
        <v>0.0</v>
      </c>
      <c r="AG220" s="135">
        <v>0.0</v>
      </c>
      <c r="AH220" s="135">
        <v>0.0</v>
      </c>
      <c r="AI220" s="135">
        <v>0.0</v>
      </c>
      <c r="AJ220" s="135">
        <v>0.0</v>
      </c>
      <c r="AK220" s="135">
        <v>0.0</v>
      </c>
      <c r="AL220" s="135">
        <v>0.0</v>
      </c>
      <c r="AM220" s="135">
        <v>0.0</v>
      </c>
      <c r="AN220" s="137">
        <v>0.0</v>
      </c>
    </row>
    <row r="221">
      <c r="A221" s="138" t="s">
        <v>248</v>
      </c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</row>
    <row r="222">
      <c r="A222" s="132" t="s">
        <v>197</v>
      </c>
      <c r="B222" s="133" t="s">
        <v>198</v>
      </c>
      <c r="C222" s="134">
        <v>110296.0</v>
      </c>
      <c r="D222" s="134">
        <v>41860.0</v>
      </c>
      <c r="E222" s="134">
        <v>68436.0</v>
      </c>
      <c r="F222" s="135">
        <v>0.0</v>
      </c>
      <c r="G222" s="135">
        <v>0.0</v>
      </c>
      <c r="H222" s="135">
        <v>0.0</v>
      </c>
      <c r="I222" s="135">
        <v>0.0</v>
      </c>
      <c r="J222" s="135">
        <v>0.0</v>
      </c>
      <c r="K222" s="135">
        <v>0.0</v>
      </c>
      <c r="L222" s="137">
        <v>88.0</v>
      </c>
      <c r="M222" s="137">
        <v>116.0</v>
      </c>
      <c r="N222" s="137">
        <v>114.0</v>
      </c>
      <c r="O222" s="137">
        <v>280.0</v>
      </c>
      <c r="P222" s="137">
        <v>332.0</v>
      </c>
      <c r="Q222" s="137">
        <v>622.0</v>
      </c>
      <c r="R222" s="137">
        <v>518.0</v>
      </c>
      <c r="S222" s="134">
        <v>1158.0</v>
      </c>
      <c r="T222" s="137">
        <v>834.0</v>
      </c>
      <c r="U222" s="134">
        <v>1610.0</v>
      </c>
      <c r="V222" s="134">
        <v>1486.0</v>
      </c>
      <c r="W222" s="134">
        <v>2542.0</v>
      </c>
      <c r="X222" s="134">
        <v>2566.0</v>
      </c>
      <c r="Y222" s="134">
        <v>4624.0</v>
      </c>
      <c r="Z222" s="134">
        <v>3928.0</v>
      </c>
      <c r="AA222" s="134">
        <v>6876.0</v>
      </c>
      <c r="AB222" s="134">
        <v>5440.0</v>
      </c>
      <c r="AC222" s="134">
        <v>9056.0</v>
      </c>
      <c r="AD222" s="134">
        <v>5882.0</v>
      </c>
      <c r="AE222" s="134">
        <v>9374.0</v>
      </c>
      <c r="AF222" s="134">
        <v>5872.0</v>
      </c>
      <c r="AG222" s="134">
        <v>8782.0</v>
      </c>
      <c r="AH222" s="134">
        <v>5592.0</v>
      </c>
      <c r="AI222" s="134">
        <v>8220.0</v>
      </c>
      <c r="AJ222" s="134">
        <v>4348.0</v>
      </c>
      <c r="AK222" s="134">
        <v>6792.0</v>
      </c>
      <c r="AL222" s="134">
        <v>4860.0</v>
      </c>
      <c r="AM222" s="134">
        <v>8384.0</v>
      </c>
      <c r="AN222" s="134">
        <v>109240.0</v>
      </c>
    </row>
    <row r="223">
      <c r="A223" s="98"/>
      <c r="B223" s="136" t="s">
        <v>199</v>
      </c>
      <c r="C223" s="134">
        <v>43976.0</v>
      </c>
      <c r="D223" s="134">
        <v>15746.0</v>
      </c>
      <c r="E223" s="134">
        <v>28230.0</v>
      </c>
      <c r="F223" s="135">
        <v>0.0</v>
      </c>
      <c r="G223" s="135">
        <v>0.0</v>
      </c>
      <c r="H223" s="135">
        <v>0.0</v>
      </c>
      <c r="I223" s="135">
        <v>0.0</v>
      </c>
      <c r="J223" s="135">
        <v>0.0</v>
      </c>
      <c r="K223" s="135">
        <v>0.0</v>
      </c>
      <c r="L223" s="137">
        <v>22.0</v>
      </c>
      <c r="M223" s="137">
        <v>48.0</v>
      </c>
      <c r="N223" s="137">
        <v>38.0</v>
      </c>
      <c r="O223" s="137">
        <v>84.0</v>
      </c>
      <c r="P223" s="137">
        <v>72.0</v>
      </c>
      <c r="Q223" s="137">
        <v>188.0</v>
      </c>
      <c r="R223" s="137">
        <v>144.0</v>
      </c>
      <c r="S223" s="137">
        <v>318.0</v>
      </c>
      <c r="T223" s="137">
        <v>258.0</v>
      </c>
      <c r="U223" s="137">
        <v>546.0</v>
      </c>
      <c r="V223" s="137">
        <v>484.0</v>
      </c>
      <c r="W223" s="137">
        <v>966.0</v>
      </c>
      <c r="X223" s="137">
        <v>920.0</v>
      </c>
      <c r="Y223" s="134">
        <v>1518.0</v>
      </c>
      <c r="Z223" s="134">
        <v>1422.0</v>
      </c>
      <c r="AA223" s="134">
        <v>2916.0</v>
      </c>
      <c r="AB223" s="134">
        <v>2280.0</v>
      </c>
      <c r="AC223" s="134">
        <v>3760.0</v>
      </c>
      <c r="AD223" s="134">
        <v>2442.0</v>
      </c>
      <c r="AE223" s="134">
        <v>4124.0</v>
      </c>
      <c r="AF223" s="134">
        <v>2168.0</v>
      </c>
      <c r="AG223" s="134">
        <v>3674.0</v>
      </c>
      <c r="AH223" s="134">
        <v>2092.0</v>
      </c>
      <c r="AI223" s="134">
        <v>3556.0</v>
      </c>
      <c r="AJ223" s="134">
        <v>1716.0</v>
      </c>
      <c r="AK223" s="134">
        <v>2762.0</v>
      </c>
      <c r="AL223" s="134">
        <v>1688.0</v>
      </c>
      <c r="AM223" s="134">
        <v>3770.0</v>
      </c>
      <c r="AN223" s="134">
        <v>43904.0</v>
      </c>
    </row>
    <row r="224">
      <c r="A224" s="98"/>
      <c r="B224" s="136" t="s">
        <v>200</v>
      </c>
      <c r="C224" s="134">
        <v>36282.0</v>
      </c>
      <c r="D224" s="134">
        <v>13014.0</v>
      </c>
      <c r="E224" s="134">
        <v>23268.0</v>
      </c>
      <c r="F224" s="135">
        <v>0.0</v>
      </c>
      <c r="G224" s="135">
        <v>0.0</v>
      </c>
      <c r="H224" s="135">
        <v>0.0</v>
      </c>
      <c r="I224" s="135">
        <v>0.0</v>
      </c>
      <c r="J224" s="135">
        <v>0.0</v>
      </c>
      <c r="K224" s="135">
        <v>0.0</v>
      </c>
      <c r="L224" s="137">
        <v>30.0</v>
      </c>
      <c r="M224" s="137">
        <v>40.0</v>
      </c>
      <c r="N224" s="137">
        <v>46.0</v>
      </c>
      <c r="O224" s="137">
        <v>150.0</v>
      </c>
      <c r="P224" s="137">
        <v>84.0</v>
      </c>
      <c r="Q224" s="137">
        <v>374.0</v>
      </c>
      <c r="R224" s="137">
        <v>204.0</v>
      </c>
      <c r="S224" s="137">
        <v>612.0</v>
      </c>
      <c r="T224" s="137">
        <v>254.0</v>
      </c>
      <c r="U224" s="137">
        <v>664.0</v>
      </c>
      <c r="V224" s="137">
        <v>530.0</v>
      </c>
      <c r="W224" s="137">
        <v>942.0</v>
      </c>
      <c r="X224" s="137">
        <v>824.0</v>
      </c>
      <c r="Y224" s="134">
        <v>1664.0</v>
      </c>
      <c r="Z224" s="134">
        <v>1342.0</v>
      </c>
      <c r="AA224" s="134">
        <v>2652.0</v>
      </c>
      <c r="AB224" s="134">
        <v>1802.0</v>
      </c>
      <c r="AC224" s="134">
        <v>3262.0</v>
      </c>
      <c r="AD224" s="134">
        <v>2024.0</v>
      </c>
      <c r="AE224" s="134">
        <v>3450.0</v>
      </c>
      <c r="AF224" s="134">
        <v>1760.0</v>
      </c>
      <c r="AG224" s="134">
        <v>2818.0</v>
      </c>
      <c r="AH224" s="134">
        <v>1724.0</v>
      </c>
      <c r="AI224" s="134">
        <v>2580.0</v>
      </c>
      <c r="AJ224" s="134">
        <v>1248.0</v>
      </c>
      <c r="AK224" s="134">
        <v>1988.0</v>
      </c>
      <c r="AL224" s="134">
        <v>1142.0</v>
      </c>
      <c r="AM224" s="134">
        <v>2072.0</v>
      </c>
      <c r="AN224" s="134">
        <v>36006.0</v>
      </c>
    </row>
    <row r="225">
      <c r="A225" s="104"/>
      <c r="B225" s="136" t="s">
        <v>201</v>
      </c>
      <c r="C225" s="134">
        <v>1522.0</v>
      </c>
      <c r="D225" s="137">
        <v>610.0</v>
      </c>
      <c r="E225" s="137">
        <v>912.0</v>
      </c>
      <c r="F225" s="135">
        <v>0.0</v>
      </c>
      <c r="G225" s="135">
        <v>0.0</v>
      </c>
      <c r="H225" s="135">
        <v>0.0</v>
      </c>
      <c r="I225" s="135">
        <v>0.0</v>
      </c>
      <c r="J225" s="135">
        <v>0.0</v>
      </c>
      <c r="K225" s="135">
        <v>0.0</v>
      </c>
      <c r="L225" s="137">
        <v>8.0</v>
      </c>
      <c r="M225" s="137">
        <v>4.0</v>
      </c>
      <c r="N225" s="137">
        <v>26.0</v>
      </c>
      <c r="O225" s="137">
        <v>16.0</v>
      </c>
      <c r="P225" s="137">
        <v>16.0</v>
      </c>
      <c r="Q225" s="137">
        <v>40.0</v>
      </c>
      <c r="R225" s="137">
        <v>34.0</v>
      </c>
      <c r="S225" s="137">
        <v>16.0</v>
      </c>
      <c r="T225" s="137">
        <v>16.0</v>
      </c>
      <c r="U225" s="137">
        <v>38.0</v>
      </c>
      <c r="V225" s="137">
        <v>12.0</v>
      </c>
      <c r="W225" s="137">
        <v>40.0</v>
      </c>
      <c r="X225" s="137">
        <v>88.0</v>
      </c>
      <c r="Y225" s="137">
        <v>72.0</v>
      </c>
      <c r="Z225" s="137">
        <v>106.0</v>
      </c>
      <c r="AA225" s="137">
        <v>120.0</v>
      </c>
      <c r="AB225" s="137">
        <v>68.0</v>
      </c>
      <c r="AC225" s="137">
        <v>110.0</v>
      </c>
      <c r="AD225" s="137">
        <v>62.0</v>
      </c>
      <c r="AE225" s="137">
        <v>130.0</v>
      </c>
      <c r="AF225" s="137">
        <v>58.0</v>
      </c>
      <c r="AG225" s="137">
        <v>98.0</v>
      </c>
      <c r="AH225" s="137">
        <v>66.0</v>
      </c>
      <c r="AI225" s="137">
        <v>116.0</v>
      </c>
      <c r="AJ225" s="137">
        <v>22.0</v>
      </c>
      <c r="AK225" s="137">
        <v>56.0</v>
      </c>
      <c r="AL225" s="137">
        <v>28.0</v>
      </c>
      <c r="AM225" s="137">
        <v>56.0</v>
      </c>
      <c r="AN225" s="134">
        <v>1522.0</v>
      </c>
    </row>
    <row r="226">
      <c r="A226" s="132" t="s">
        <v>202</v>
      </c>
      <c r="B226" s="136" t="s">
        <v>198</v>
      </c>
      <c r="C226" s="134">
        <v>1020.0</v>
      </c>
      <c r="D226" s="137">
        <v>634.0</v>
      </c>
      <c r="E226" s="137">
        <v>386.0</v>
      </c>
      <c r="F226" s="137">
        <v>8.0</v>
      </c>
      <c r="G226" s="137">
        <v>0.0</v>
      </c>
      <c r="H226" s="137">
        <v>6.0</v>
      </c>
      <c r="I226" s="137">
        <v>0.0</v>
      </c>
      <c r="J226" s="137">
        <v>8.0</v>
      </c>
      <c r="K226" s="137">
        <v>10.0</v>
      </c>
      <c r="L226" s="137">
        <v>26.0</v>
      </c>
      <c r="M226" s="137">
        <v>22.0</v>
      </c>
      <c r="N226" s="137">
        <v>48.0</v>
      </c>
      <c r="O226" s="137">
        <v>44.0</v>
      </c>
      <c r="P226" s="137">
        <v>92.0</v>
      </c>
      <c r="Q226" s="137">
        <v>48.0</v>
      </c>
      <c r="R226" s="137">
        <v>60.0</v>
      </c>
      <c r="S226" s="137">
        <v>52.0</v>
      </c>
      <c r="T226" s="137">
        <v>102.0</v>
      </c>
      <c r="U226" s="137">
        <v>16.0</v>
      </c>
      <c r="V226" s="137">
        <v>54.0</v>
      </c>
      <c r="W226" s="137">
        <v>22.0</v>
      </c>
      <c r="X226" s="137">
        <v>68.0</v>
      </c>
      <c r="Y226" s="137">
        <v>8.0</v>
      </c>
      <c r="Z226" s="137">
        <v>40.0</v>
      </c>
      <c r="AA226" s="137">
        <v>60.0</v>
      </c>
      <c r="AB226" s="137">
        <v>34.0</v>
      </c>
      <c r="AC226" s="137">
        <v>34.0</v>
      </c>
      <c r="AD226" s="137">
        <v>28.0</v>
      </c>
      <c r="AE226" s="137">
        <v>22.0</v>
      </c>
      <c r="AF226" s="137">
        <v>32.0</v>
      </c>
      <c r="AG226" s="137">
        <v>12.0</v>
      </c>
      <c r="AH226" s="137">
        <v>14.0</v>
      </c>
      <c r="AI226" s="137">
        <v>22.0</v>
      </c>
      <c r="AJ226" s="137">
        <v>2.0</v>
      </c>
      <c r="AK226" s="137">
        <v>8.0</v>
      </c>
      <c r="AL226" s="137">
        <v>12.0</v>
      </c>
      <c r="AM226" s="137">
        <v>6.0</v>
      </c>
      <c r="AN226" s="134">
        <v>1016.0</v>
      </c>
    </row>
    <row r="227">
      <c r="A227" s="104"/>
      <c r="B227" s="136" t="s">
        <v>199</v>
      </c>
      <c r="C227" s="134">
        <v>1128.0</v>
      </c>
      <c r="D227" s="137">
        <v>720.0</v>
      </c>
      <c r="E227" s="137">
        <v>408.0</v>
      </c>
      <c r="F227" s="137">
        <v>66.0</v>
      </c>
      <c r="G227" s="137">
        <v>54.0</v>
      </c>
      <c r="H227" s="137">
        <v>66.0</v>
      </c>
      <c r="I227" s="137">
        <v>36.0</v>
      </c>
      <c r="J227" s="137">
        <v>22.0</v>
      </c>
      <c r="K227" s="137">
        <v>58.0</v>
      </c>
      <c r="L227" s="137">
        <v>18.0</v>
      </c>
      <c r="M227" s="137">
        <v>2.0</v>
      </c>
      <c r="N227" s="137">
        <v>66.0</v>
      </c>
      <c r="O227" s="137">
        <v>14.0</v>
      </c>
      <c r="P227" s="137">
        <v>48.0</v>
      </c>
      <c r="Q227" s="137">
        <v>30.0</v>
      </c>
      <c r="R227" s="137">
        <v>48.0</v>
      </c>
      <c r="S227" s="137">
        <v>36.0</v>
      </c>
      <c r="T227" s="137">
        <v>88.0</v>
      </c>
      <c r="U227" s="137">
        <v>32.0</v>
      </c>
      <c r="V227" s="137">
        <v>36.0</v>
      </c>
      <c r="W227" s="137">
        <v>16.0</v>
      </c>
      <c r="X227" s="137">
        <v>60.0</v>
      </c>
      <c r="Y227" s="137">
        <v>14.0</v>
      </c>
      <c r="Z227" s="137">
        <v>34.0</v>
      </c>
      <c r="AA227" s="137">
        <v>48.0</v>
      </c>
      <c r="AB227" s="137">
        <v>46.0</v>
      </c>
      <c r="AC227" s="137">
        <v>26.0</v>
      </c>
      <c r="AD227" s="137">
        <v>60.0</v>
      </c>
      <c r="AE227" s="137">
        <v>18.0</v>
      </c>
      <c r="AF227" s="137">
        <v>34.0</v>
      </c>
      <c r="AG227" s="137">
        <v>10.0</v>
      </c>
      <c r="AH227" s="137">
        <v>22.0</v>
      </c>
      <c r="AI227" s="137">
        <v>8.0</v>
      </c>
      <c r="AJ227" s="137">
        <v>2.0</v>
      </c>
      <c r="AK227" s="137">
        <v>4.0</v>
      </c>
      <c r="AL227" s="137">
        <v>4.0</v>
      </c>
      <c r="AM227" s="137">
        <v>2.0</v>
      </c>
      <c r="AN227" s="134">
        <v>1122.0</v>
      </c>
    </row>
    <row r="228">
      <c r="A228" s="132" t="s">
        <v>203</v>
      </c>
      <c r="B228" s="136" t="s">
        <v>198</v>
      </c>
      <c r="C228" s="137">
        <v>96.0</v>
      </c>
      <c r="D228" s="137">
        <v>22.0</v>
      </c>
      <c r="E228" s="137">
        <v>74.0</v>
      </c>
      <c r="F228" s="135">
        <v>0.0</v>
      </c>
      <c r="G228" s="135">
        <v>0.0</v>
      </c>
      <c r="H228" s="135">
        <v>0.0</v>
      </c>
      <c r="I228" s="135">
        <v>0.0</v>
      </c>
      <c r="J228" s="135">
        <v>0.0</v>
      </c>
      <c r="K228" s="135">
        <v>0.0</v>
      </c>
      <c r="L228" s="135">
        <v>0.0</v>
      </c>
      <c r="M228" s="135">
        <v>0.0</v>
      </c>
      <c r="N228" s="135">
        <v>0.0</v>
      </c>
      <c r="O228" s="135">
        <v>0.0</v>
      </c>
      <c r="P228" s="135">
        <v>0.0</v>
      </c>
      <c r="Q228" s="135">
        <v>0.0</v>
      </c>
      <c r="R228" s="135">
        <v>0.0</v>
      </c>
      <c r="S228" s="135">
        <v>0.0</v>
      </c>
      <c r="T228" s="135">
        <v>0.0</v>
      </c>
      <c r="U228" s="135">
        <v>0.0</v>
      </c>
      <c r="V228" s="135">
        <v>0.0</v>
      </c>
      <c r="W228" s="135">
        <v>0.0</v>
      </c>
      <c r="X228" s="135">
        <v>0.0</v>
      </c>
      <c r="Y228" s="135">
        <v>0.0</v>
      </c>
      <c r="Z228" s="135">
        <v>0.0</v>
      </c>
      <c r="AA228" s="135">
        <v>0.0</v>
      </c>
      <c r="AB228" s="135">
        <v>0.0</v>
      </c>
      <c r="AC228" s="135">
        <v>0.0</v>
      </c>
      <c r="AD228" s="135">
        <v>0.0</v>
      </c>
      <c r="AE228" s="135">
        <v>0.0</v>
      </c>
      <c r="AF228" s="137">
        <v>2.0</v>
      </c>
      <c r="AG228" s="137">
        <v>14.0</v>
      </c>
      <c r="AH228" s="137">
        <v>2.0</v>
      </c>
      <c r="AI228" s="137">
        <v>14.0</v>
      </c>
      <c r="AJ228" s="137">
        <v>4.0</v>
      </c>
      <c r="AK228" s="137">
        <v>24.0</v>
      </c>
      <c r="AL228" s="137">
        <v>14.0</v>
      </c>
      <c r="AM228" s="137">
        <v>22.0</v>
      </c>
      <c r="AN228" s="137">
        <v>96.0</v>
      </c>
    </row>
    <row r="229">
      <c r="A229" s="104"/>
      <c r="B229" s="136" t="s">
        <v>199</v>
      </c>
      <c r="C229" s="137">
        <v>520.0</v>
      </c>
      <c r="D229" s="137">
        <v>178.0</v>
      </c>
      <c r="E229" s="137">
        <v>342.0</v>
      </c>
      <c r="F229" s="135">
        <v>0.0</v>
      </c>
      <c r="G229" s="135">
        <v>0.0</v>
      </c>
      <c r="H229" s="135">
        <v>0.0</v>
      </c>
      <c r="I229" s="135">
        <v>0.0</v>
      </c>
      <c r="J229" s="135">
        <v>0.0</v>
      </c>
      <c r="K229" s="135">
        <v>0.0</v>
      </c>
      <c r="L229" s="135">
        <v>0.0</v>
      </c>
      <c r="M229" s="135">
        <v>0.0</v>
      </c>
      <c r="N229" s="135">
        <v>0.0</v>
      </c>
      <c r="O229" s="135">
        <v>0.0</v>
      </c>
      <c r="P229" s="135">
        <v>0.0</v>
      </c>
      <c r="Q229" s="135">
        <v>0.0</v>
      </c>
      <c r="R229" s="135">
        <v>0.0</v>
      </c>
      <c r="S229" s="135">
        <v>0.0</v>
      </c>
      <c r="T229" s="135">
        <v>0.0</v>
      </c>
      <c r="U229" s="135">
        <v>0.0</v>
      </c>
      <c r="V229" s="135">
        <v>0.0</v>
      </c>
      <c r="W229" s="135">
        <v>0.0</v>
      </c>
      <c r="X229" s="135">
        <v>0.0</v>
      </c>
      <c r="Y229" s="135">
        <v>0.0</v>
      </c>
      <c r="Z229" s="135">
        <v>0.0</v>
      </c>
      <c r="AA229" s="135">
        <v>0.0</v>
      </c>
      <c r="AB229" s="135">
        <v>0.0</v>
      </c>
      <c r="AC229" s="135">
        <v>0.0</v>
      </c>
      <c r="AD229" s="135">
        <v>0.0</v>
      </c>
      <c r="AE229" s="135">
        <v>0.0</v>
      </c>
      <c r="AF229" s="137">
        <v>44.0</v>
      </c>
      <c r="AG229" s="137">
        <v>88.0</v>
      </c>
      <c r="AH229" s="137">
        <v>62.0</v>
      </c>
      <c r="AI229" s="137">
        <v>96.0</v>
      </c>
      <c r="AJ229" s="137">
        <v>38.0</v>
      </c>
      <c r="AK229" s="137">
        <v>76.0</v>
      </c>
      <c r="AL229" s="137">
        <v>34.0</v>
      </c>
      <c r="AM229" s="137">
        <v>82.0</v>
      </c>
      <c r="AN229" s="137">
        <v>520.0</v>
      </c>
    </row>
    <row r="230">
      <c r="A230" s="132" t="s">
        <v>204</v>
      </c>
      <c r="B230" s="136" t="s">
        <v>198</v>
      </c>
      <c r="C230" s="137">
        <v>62.0</v>
      </c>
      <c r="D230" s="137">
        <v>26.0</v>
      </c>
      <c r="E230" s="137">
        <v>36.0</v>
      </c>
      <c r="F230" s="135">
        <v>0.0</v>
      </c>
      <c r="G230" s="135">
        <v>0.0</v>
      </c>
      <c r="H230" s="135">
        <v>0.0</v>
      </c>
      <c r="I230" s="135">
        <v>0.0</v>
      </c>
      <c r="J230" s="135">
        <v>0.0</v>
      </c>
      <c r="K230" s="135">
        <v>0.0</v>
      </c>
      <c r="L230" s="135">
        <v>0.0</v>
      </c>
      <c r="M230" s="135">
        <v>0.0</v>
      </c>
      <c r="N230" s="135">
        <v>0.0</v>
      </c>
      <c r="O230" s="135">
        <v>0.0</v>
      </c>
      <c r="P230" s="135">
        <v>0.0</v>
      </c>
      <c r="Q230" s="135">
        <v>0.0</v>
      </c>
      <c r="R230" s="135">
        <v>0.0</v>
      </c>
      <c r="S230" s="135">
        <v>0.0</v>
      </c>
      <c r="T230" s="135">
        <v>0.0</v>
      </c>
      <c r="U230" s="135">
        <v>0.0</v>
      </c>
      <c r="V230" s="135">
        <v>0.0</v>
      </c>
      <c r="W230" s="135">
        <v>0.0</v>
      </c>
      <c r="X230" s="135">
        <v>0.0</v>
      </c>
      <c r="Y230" s="135">
        <v>0.0</v>
      </c>
      <c r="Z230" s="135">
        <v>0.0</v>
      </c>
      <c r="AA230" s="135">
        <v>0.0</v>
      </c>
      <c r="AB230" s="135">
        <v>0.0</v>
      </c>
      <c r="AC230" s="135">
        <v>0.0</v>
      </c>
      <c r="AD230" s="135">
        <v>0.0</v>
      </c>
      <c r="AE230" s="135">
        <v>0.0</v>
      </c>
      <c r="AF230" s="137">
        <v>2.0</v>
      </c>
      <c r="AG230" s="137">
        <v>4.0</v>
      </c>
      <c r="AH230" s="137">
        <v>4.0</v>
      </c>
      <c r="AI230" s="137">
        <v>10.0</v>
      </c>
      <c r="AJ230" s="137">
        <v>6.0</v>
      </c>
      <c r="AK230" s="137">
        <v>4.0</v>
      </c>
      <c r="AL230" s="137">
        <v>14.0</v>
      </c>
      <c r="AM230" s="137">
        <v>18.0</v>
      </c>
      <c r="AN230" s="137">
        <v>62.0</v>
      </c>
    </row>
    <row r="231">
      <c r="A231" s="104"/>
      <c r="B231" s="136" t="s">
        <v>199</v>
      </c>
      <c r="C231" s="137">
        <v>318.0</v>
      </c>
      <c r="D231" s="137">
        <v>92.0</v>
      </c>
      <c r="E231" s="137">
        <v>226.0</v>
      </c>
      <c r="F231" s="135">
        <v>0.0</v>
      </c>
      <c r="G231" s="135">
        <v>0.0</v>
      </c>
      <c r="H231" s="135">
        <v>0.0</v>
      </c>
      <c r="I231" s="135">
        <v>0.0</v>
      </c>
      <c r="J231" s="135">
        <v>0.0</v>
      </c>
      <c r="K231" s="135">
        <v>0.0</v>
      </c>
      <c r="L231" s="135">
        <v>0.0</v>
      </c>
      <c r="M231" s="135">
        <v>0.0</v>
      </c>
      <c r="N231" s="135">
        <v>0.0</v>
      </c>
      <c r="O231" s="135">
        <v>0.0</v>
      </c>
      <c r="P231" s="135">
        <v>0.0</v>
      </c>
      <c r="Q231" s="135">
        <v>0.0</v>
      </c>
      <c r="R231" s="135">
        <v>0.0</v>
      </c>
      <c r="S231" s="135">
        <v>0.0</v>
      </c>
      <c r="T231" s="135">
        <v>0.0</v>
      </c>
      <c r="U231" s="135">
        <v>0.0</v>
      </c>
      <c r="V231" s="135">
        <v>0.0</v>
      </c>
      <c r="W231" s="135">
        <v>0.0</v>
      </c>
      <c r="X231" s="135">
        <v>0.0</v>
      </c>
      <c r="Y231" s="135">
        <v>0.0</v>
      </c>
      <c r="Z231" s="135">
        <v>0.0</v>
      </c>
      <c r="AA231" s="135">
        <v>0.0</v>
      </c>
      <c r="AB231" s="135">
        <v>0.0</v>
      </c>
      <c r="AC231" s="135">
        <v>0.0</v>
      </c>
      <c r="AD231" s="135">
        <v>0.0</v>
      </c>
      <c r="AE231" s="135">
        <v>0.0</v>
      </c>
      <c r="AF231" s="137">
        <v>10.0</v>
      </c>
      <c r="AG231" s="137">
        <v>26.0</v>
      </c>
      <c r="AH231" s="137">
        <v>18.0</v>
      </c>
      <c r="AI231" s="137">
        <v>48.0</v>
      </c>
      <c r="AJ231" s="137">
        <v>24.0</v>
      </c>
      <c r="AK231" s="137">
        <v>42.0</v>
      </c>
      <c r="AL231" s="137">
        <v>40.0</v>
      </c>
      <c r="AM231" s="137">
        <v>110.0</v>
      </c>
      <c r="AN231" s="137">
        <v>318.0</v>
      </c>
    </row>
    <row r="232">
      <c r="A232" s="132" t="s">
        <v>205</v>
      </c>
      <c r="B232" s="136" t="s">
        <v>198</v>
      </c>
      <c r="C232" s="137">
        <v>22.0</v>
      </c>
      <c r="D232" s="137">
        <v>0.0</v>
      </c>
      <c r="E232" s="137">
        <v>22.0</v>
      </c>
      <c r="F232" s="137">
        <v>0.0</v>
      </c>
      <c r="G232" s="137">
        <v>0.0</v>
      </c>
      <c r="H232" s="137">
        <v>0.0</v>
      </c>
      <c r="I232" s="137">
        <v>0.0</v>
      </c>
      <c r="J232" s="137">
        <v>0.0</v>
      </c>
      <c r="K232" s="137">
        <v>0.0</v>
      </c>
      <c r="L232" s="137">
        <v>0.0</v>
      </c>
      <c r="M232" s="137">
        <v>0.0</v>
      </c>
      <c r="N232" s="137">
        <v>0.0</v>
      </c>
      <c r="O232" s="137">
        <v>0.0</v>
      </c>
      <c r="P232" s="137">
        <v>0.0</v>
      </c>
      <c r="Q232" s="137">
        <v>0.0</v>
      </c>
      <c r="R232" s="137">
        <v>0.0</v>
      </c>
      <c r="S232" s="137">
        <v>0.0</v>
      </c>
      <c r="T232" s="137">
        <v>0.0</v>
      </c>
      <c r="U232" s="137">
        <v>0.0</v>
      </c>
      <c r="V232" s="137">
        <v>0.0</v>
      </c>
      <c r="W232" s="137">
        <v>2.0</v>
      </c>
      <c r="X232" s="137">
        <v>0.0</v>
      </c>
      <c r="Y232" s="137">
        <v>6.0</v>
      </c>
      <c r="Z232" s="137">
        <v>0.0</v>
      </c>
      <c r="AA232" s="137">
        <v>6.0</v>
      </c>
      <c r="AB232" s="137">
        <v>0.0</v>
      </c>
      <c r="AC232" s="137">
        <v>4.0</v>
      </c>
      <c r="AD232" s="137">
        <v>0.0</v>
      </c>
      <c r="AE232" s="137">
        <v>0.0</v>
      </c>
      <c r="AF232" s="137">
        <v>0.0</v>
      </c>
      <c r="AG232" s="137">
        <v>2.0</v>
      </c>
      <c r="AH232" s="137">
        <v>0.0</v>
      </c>
      <c r="AI232" s="137">
        <v>0.0</v>
      </c>
      <c r="AJ232" s="137">
        <v>0.0</v>
      </c>
      <c r="AK232" s="137">
        <v>0.0</v>
      </c>
      <c r="AL232" s="137">
        <v>0.0</v>
      </c>
      <c r="AM232" s="137">
        <v>2.0</v>
      </c>
      <c r="AN232" s="137">
        <v>22.0</v>
      </c>
    </row>
    <row r="233">
      <c r="A233" s="98"/>
      <c r="B233" s="136" t="s">
        <v>199</v>
      </c>
      <c r="C233" s="137">
        <v>10.0</v>
      </c>
      <c r="D233" s="137">
        <v>0.0</v>
      </c>
      <c r="E233" s="137">
        <v>10.0</v>
      </c>
      <c r="F233" s="137">
        <v>0.0</v>
      </c>
      <c r="G233" s="137">
        <v>10.0</v>
      </c>
      <c r="H233" s="137">
        <v>0.0</v>
      </c>
      <c r="I233" s="137">
        <v>0.0</v>
      </c>
      <c r="J233" s="137">
        <v>0.0</v>
      </c>
      <c r="K233" s="137">
        <v>0.0</v>
      </c>
      <c r="L233" s="137">
        <v>0.0</v>
      </c>
      <c r="M233" s="137">
        <v>0.0</v>
      </c>
      <c r="N233" s="137">
        <v>0.0</v>
      </c>
      <c r="O233" s="137">
        <v>0.0</v>
      </c>
      <c r="P233" s="137">
        <v>0.0</v>
      </c>
      <c r="Q233" s="137">
        <v>0.0</v>
      </c>
      <c r="R233" s="137">
        <v>0.0</v>
      </c>
      <c r="S233" s="137">
        <v>0.0</v>
      </c>
      <c r="T233" s="137">
        <v>0.0</v>
      </c>
      <c r="U233" s="137">
        <v>0.0</v>
      </c>
      <c r="V233" s="137">
        <v>0.0</v>
      </c>
      <c r="W233" s="137">
        <v>0.0</v>
      </c>
      <c r="X233" s="137">
        <v>0.0</v>
      </c>
      <c r="Y233" s="137">
        <v>0.0</v>
      </c>
      <c r="Z233" s="137">
        <v>0.0</v>
      </c>
      <c r="AA233" s="137">
        <v>0.0</v>
      </c>
      <c r="AB233" s="137">
        <v>0.0</v>
      </c>
      <c r="AC233" s="137">
        <v>0.0</v>
      </c>
      <c r="AD233" s="137">
        <v>0.0</v>
      </c>
      <c r="AE233" s="137">
        <v>0.0</v>
      </c>
      <c r="AF233" s="137">
        <v>0.0</v>
      </c>
      <c r="AG233" s="137">
        <v>0.0</v>
      </c>
      <c r="AH233" s="137">
        <v>0.0</v>
      </c>
      <c r="AI233" s="137">
        <v>0.0</v>
      </c>
      <c r="AJ233" s="137">
        <v>0.0</v>
      </c>
      <c r="AK233" s="137">
        <v>0.0</v>
      </c>
      <c r="AL233" s="137">
        <v>0.0</v>
      </c>
      <c r="AM233" s="137">
        <v>0.0</v>
      </c>
      <c r="AN233" s="137">
        <v>10.0</v>
      </c>
    </row>
    <row r="234">
      <c r="A234" s="104"/>
      <c r="B234" s="136" t="s">
        <v>206</v>
      </c>
      <c r="C234" s="137">
        <v>18.0</v>
      </c>
      <c r="D234" s="137">
        <v>6.0</v>
      </c>
      <c r="E234" s="137">
        <v>12.0</v>
      </c>
      <c r="F234" s="137">
        <v>0.0</v>
      </c>
      <c r="G234" s="137">
        <v>0.0</v>
      </c>
      <c r="H234" s="137">
        <v>0.0</v>
      </c>
      <c r="I234" s="137">
        <v>0.0</v>
      </c>
      <c r="J234" s="137">
        <v>0.0</v>
      </c>
      <c r="K234" s="137">
        <v>0.0</v>
      </c>
      <c r="L234" s="137">
        <v>0.0</v>
      </c>
      <c r="M234" s="137">
        <v>0.0</v>
      </c>
      <c r="N234" s="137">
        <v>2.0</v>
      </c>
      <c r="O234" s="137">
        <v>4.0</v>
      </c>
      <c r="P234" s="137">
        <v>0.0</v>
      </c>
      <c r="Q234" s="137">
        <v>2.0</v>
      </c>
      <c r="R234" s="137">
        <v>0.0</v>
      </c>
      <c r="S234" s="137">
        <v>4.0</v>
      </c>
      <c r="T234" s="137">
        <v>4.0</v>
      </c>
      <c r="U234" s="137">
        <v>0.0</v>
      </c>
      <c r="V234" s="137">
        <v>0.0</v>
      </c>
      <c r="W234" s="137">
        <v>0.0</v>
      </c>
      <c r="X234" s="137">
        <v>0.0</v>
      </c>
      <c r="Y234" s="137">
        <v>2.0</v>
      </c>
      <c r="Z234" s="137">
        <v>0.0</v>
      </c>
      <c r="AA234" s="137">
        <v>0.0</v>
      </c>
      <c r="AB234" s="137">
        <v>0.0</v>
      </c>
      <c r="AC234" s="137">
        <v>0.0</v>
      </c>
      <c r="AD234" s="137">
        <v>0.0</v>
      </c>
      <c r="AE234" s="137">
        <v>0.0</v>
      </c>
      <c r="AF234" s="137">
        <v>0.0</v>
      </c>
      <c r="AG234" s="137">
        <v>0.0</v>
      </c>
      <c r="AH234" s="137">
        <v>0.0</v>
      </c>
      <c r="AI234" s="137">
        <v>0.0</v>
      </c>
      <c r="AJ234" s="137">
        <v>0.0</v>
      </c>
      <c r="AK234" s="137">
        <v>0.0</v>
      </c>
      <c r="AL234" s="137">
        <v>0.0</v>
      </c>
      <c r="AM234" s="137">
        <v>0.0</v>
      </c>
      <c r="AN234" s="137">
        <v>18.0</v>
      </c>
    </row>
    <row r="235">
      <c r="A235" s="132" t="s">
        <v>207</v>
      </c>
      <c r="B235" s="136" t="s">
        <v>198</v>
      </c>
      <c r="C235" s="134">
        <v>21948.0</v>
      </c>
      <c r="D235" s="134">
        <v>4900.0</v>
      </c>
      <c r="E235" s="134">
        <v>17048.0</v>
      </c>
      <c r="F235" s="137">
        <v>748.0</v>
      </c>
      <c r="G235" s="137">
        <v>670.0</v>
      </c>
      <c r="H235" s="137">
        <v>106.0</v>
      </c>
      <c r="I235" s="137">
        <v>94.0</v>
      </c>
      <c r="J235" s="137">
        <v>108.0</v>
      </c>
      <c r="K235" s="137">
        <v>110.0</v>
      </c>
      <c r="L235" s="137">
        <v>116.0</v>
      </c>
      <c r="M235" s="137">
        <v>158.0</v>
      </c>
      <c r="N235" s="137">
        <v>112.0</v>
      </c>
      <c r="O235" s="137">
        <v>290.0</v>
      </c>
      <c r="P235" s="137">
        <v>110.0</v>
      </c>
      <c r="Q235" s="137">
        <v>478.0</v>
      </c>
      <c r="R235" s="137">
        <v>152.0</v>
      </c>
      <c r="S235" s="137">
        <v>558.0</v>
      </c>
      <c r="T235" s="137">
        <v>158.0</v>
      </c>
      <c r="U235" s="137">
        <v>710.0</v>
      </c>
      <c r="V235" s="137">
        <v>138.0</v>
      </c>
      <c r="W235" s="137">
        <v>818.0</v>
      </c>
      <c r="X235" s="137">
        <v>228.0</v>
      </c>
      <c r="Y235" s="134">
        <v>1106.0</v>
      </c>
      <c r="Z235" s="137">
        <v>296.0</v>
      </c>
      <c r="AA235" s="134">
        <v>1510.0</v>
      </c>
      <c r="AB235" s="137">
        <v>372.0</v>
      </c>
      <c r="AC235" s="134">
        <v>2180.0</v>
      </c>
      <c r="AD235" s="137">
        <v>440.0</v>
      </c>
      <c r="AE235" s="134">
        <v>2076.0</v>
      </c>
      <c r="AF235" s="137">
        <v>434.0</v>
      </c>
      <c r="AG235" s="134">
        <v>1836.0</v>
      </c>
      <c r="AH235" s="137">
        <v>434.0</v>
      </c>
      <c r="AI235" s="134">
        <v>1622.0</v>
      </c>
      <c r="AJ235" s="137">
        <v>418.0</v>
      </c>
      <c r="AK235" s="134">
        <v>1292.0</v>
      </c>
      <c r="AL235" s="137">
        <v>530.0</v>
      </c>
      <c r="AM235" s="134">
        <v>1538.0</v>
      </c>
      <c r="AN235" s="134">
        <v>21872.0</v>
      </c>
    </row>
    <row r="236">
      <c r="A236" s="98"/>
      <c r="B236" s="136" t="s">
        <v>199</v>
      </c>
      <c r="C236" s="134">
        <v>5182.0</v>
      </c>
      <c r="D236" s="134">
        <v>1518.0</v>
      </c>
      <c r="E236" s="134">
        <v>3664.0</v>
      </c>
      <c r="F236" s="137">
        <v>4.0</v>
      </c>
      <c r="G236" s="137">
        <v>0.0</v>
      </c>
      <c r="H236" s="137">
        <v>0.0</v>
      </c>
      <c r="I236" s="137">
        <v>4.0</v>
      </c>
      <c r="J236" s="137">
        <v>6.0</v>
      </c>
      <c r="K236" s="137">
        <v>2.0</v>
      </c>
      <c r="L236" s="137">
        <v>14.0</v>
      </c>
      <c r="M236" s="137">
        <v>22.0</v>
      </c>
      <c r="N236" s="137">
        <v>12.0</v>
      </c>
      <c r="O236" s="137">
        <v>30.0</v>
      </c>
      <c r="P236" s="137">
        <v>26.0</v>
      </c>
      <c r="Q236" s="137">
        <v>74.0</v>
      </c>
      <c r="R236" s="137">
        <v>48.0</v>
      </c>
      <c r="S236" s="137">
        <v>136.0</v>
      </c>
      <c r="T236" s="137">
        <v>64.0</v>
      </c>
      <c r="U236" s="137">
        <v>130.0</v>
      </c>
      <c r="V236" s="137">
        <v>58.0</v>
      </c>
      <c r="W236" s="137">
        <v>214.0</v>
      </c>
      <c r="X236" s="137">
        <v>98.0</v>
      </c>
      <c r="Y236" s="137">
        <v>190.0</v>
      </c>
      <c r="Z236" s="137">
        <v>134.0</v>
      </c>
      <c r="AA236" s="137">
        <v>310.0</v>
      </c>
      <c r="AB236" s="137">
        <v>180.0</v>
      </c>
      <c r="AC236" s="137">
        <v>396.0</v>
      </c>
      <c r="AD236" s="137">
        <v>174.0</v>
      </c>
      <c r="AE236" s="137">
        <v>446.0</v>
      </c>
      <c r="AF236" s="137">
        <v>192.0</v>
      </c>
      <c r="AG236" s="137">
        <v>348.0</v>
      </c>
      <c r="AH236" s="137">
        <v>168.0</v>
      </c>
      <c r="AI236" s="137">
        <v>480.0</v>
      </c>
      <c r="AJ236" s="137">
        <v>184.0</v>
      </c>
      <c r="AK236" s="137">
        <v>364.0</v>
      </c>
      <c r="AL236" s="137">
        <v>156.0</v>
      </c>
      <c r="AM236" s="137">
        <v>518.0</v>
      </c>
      <c r="AN236" s="134">
        <v>5182.0</v>
      </c>
    </row>
    <row r="237">
      <c r="A237" s="98"/>
      <c r="B237" s="136" t="s">
        <v>206</v>
      </c>
      <c r="C237" s="137">
        <v>80.0</v>
      </c>
      <c r="D237" s="137">
        <v>6.0</v>
      </c>
      <c r="E237" s="137">
        <v>74.0</v>
      </c>
      <c r="F237" s="137">
        <v>0.0</v>
      </c>
      <c r="G237" s="137">
        <v>0.0</v>
      </c>
      <c r="H237" s="137">
        <v>0.0</v>
      </c>
      <c r="I237" s="137">
        <v>0.0</v>
      </c>
      <c r="J237" s="137">
        <v>0.0</v>
      </c>
      <c r="K237" s="137">
        <v>0.0</v>
      </c>
      <c r="L237" s="137">
        <v>0.0</v>
      </c>
      <c r="M237" s="137">
        <v>4.0</v>
      </c>
      <c r="N237" s="137">
        <v>0.0</v>
      </c>
      <c r="O237" s="137">
        <v>10.0</v>
      </c>
      <c r="P237" s="137">
        <v>2.0</v>
      </c>
      <c r="Q237" s="137">
        <v>14.0</v>
      </c>
      <c r="R237" s="137">
        <v>0.0</v>
      </c>
      <c r="S237" s="137">
        <v>16.0</v>
      </c>
      <c r="T237" s="137">
        <v>0.0</v>
      </c>
      <c r="U237" s="137">
        <v>12.0</v>
      </c>
      <c r="V237" s="137">
        <v>0.0</v>
      </c>
      <c r="W237" s="137">
        <v>14.0</v>
      </c>
      <c r="X237" s="137">
        <v>2.0</v>
      </c>
      <c r="Y237" s="137">
        <v>2.0</v>
      </c>
      <c r="Z237" s="137">
        <v>0.0</v>
      </c>
      <c r="AA237" s="137">
        <v>2.0</v>
      </c>
      <c r="AB237" s="137">
        <v>0.0</v>
      </c>
      <c r="AC237" s="137">
        <v>0.0</v>
      </c>
      <c r="AD237" s="137">
        <v>0.0</v>
      </c>
      <c r="AE237" s="137">
        <v>0.0</v>
      </c>
      <c r="AF237" s="137">
        <v>0.0</v>
      </c>
      <c r="AG237" s="137">
        <v>0.0</v>
      </c>
      <c r="AH237" s="137">
        <v>0.0</v>
      </c>
      <c r="AI237" s="137">
        <v>0.0</v>
      </c>
      <c r="AJ237" s="137">
        <v>2.0</v>
      </c>
      <c r="AK237" s="137">
        <v>0.0</v>
      </c>
      <c r="AL237" s="137">
        <v>0.0</v>
      </c>
      <c r="AM237" s="137">
        <v>0.0</v>
      </c>
      <c r="AN237" s="137">
        <v>80.0</v>
      </c>
    </row>
    <row r="238">
      <c r="A238" s="98"/>
      <c r="B238" s="136" t="s">
        <v>200</v>
      </c>
      <c r="C238" s="134">
        <v>3356.0</v>
      </c>
      <c r="D238" s="137">
        <v>944.0</v>
      </c>
      <c r="E238" s="134">
        <v>2412.0</v>
      </c>
      <c r="F238" s="137">
        <v>244.0</v>
      </c>
      <c r="G238" s="137">
        <v>228.0</v>
      </c>
      <c r="H238" s="137">
        <v>98.0</v>
      </c>
      <c r="I238" s="137">
        <v>82.0</v>
      </c>
      <c r="J238" s="137">
        <v>26.0</v>
      </c>
      <c r="K238" s="137">
        <v>40.0</v>
      </c>
      <c r="L238" s="137">
        <v>28.0</v>
      </c>
      <c r="M238" s="137">
        <v>98.0</v>
      </c>
      <c r="N238" s="137">
        <v>12.0</v>
      </c>
      <c r="O238" s="137">
        <v>114.0</v>
      </c>
      <c r="P238" s="137">
        <v>28.0</v>
      </c>
      <c r="Q238" s="137">
        <v>134.0</v>
      </c>
      <c r="R238" s="137">
        <v>18.0</v>
      </c>
      <c r="S238" s="137">
        <v>144.0</v>
      </c>
      <c r="T238" s="137">
        <v>30.0</v>
      </c>
      <c r="U238" s="137">
        <v>142.0</v>
      </c>
      <c r="V238" s="137">
        <v>34.0</v>
      </c>
      <c r="W238" s="137">
        <v>98.0</v>
      </c>
      <c r="X238" s="137">
        <v>30.0</v>
      </c>
      <c r="Y238" s="137">
        <v>122.0</v>
      </c>
      <c r="Z238" s="137">
        <v>44.0</v>
      </c>
      <c r="AA238" s="137">
        <v>140.0</v>
      </c>
      <c r="AB238" s="137">
        <v>44.0</v>
      </c>
      <c r="AC238" s="137">
        <v>154.0</v>
      </c>
      <c r="AD238" s="137">
        <v>66.0</v>
      </c>
      <c r="AE238" s="137">
        <v>252.0</v>
      </c>
      <c r="AF238" s="137">
        <v>72.0</v>
      </c>
      <c r="AG238" s="137">
        <v>280.0</v>
      </c>
      <c r="AH238" s="137">
        <v>64.0</v>
      </c>
      <c r="AI238" s="137">
        <v>158.0</v>
      </c>
      <c r="AJ238" s="137">
        <v>48.0</v>
      </c>
      <c r="AK238" s="137">
        <v>80.0</v>
      </c>
      <c r="AL238" s="137">
        <v>58.0</v>
      </c>
      <c r="AM238" s="137">
        <v>146.0</v>
      </c>
      <c r="AN238" s="134">
        <v>3352.0</v>
      </c>
    </row>
    <row r="239">
      <c r="A239" s="104"/>
      <c r="B239" s="136" t="s">
        <v>201</v>
      </c>
      <c r="C239" s="137">
        <v>756.0</v>
      </c>
      <c r="D239" s="137">
        <v>268.0</v>
      </c>
      <c r="E239" s="137">
        <v>488.0</v>
      </c>
      <c r="F239" s="137">
        <v>0.0</v>
      </c>
      <c r="G239" s="137">
        <v>0.0</v>
      </c>
      <c r="H239" s="137">
        <v>0.0</v>
      </c>
      <c r="I239" s="137">
        <v>0.0</v>
      </c>
      <c r="J239" s="137">
        <v>0.0</v>
      </c>
      <c r="K239" s="137">
        <v>0.0</v>
      </c>
      <c r="L239" s="137">
        <v>0.0</v>
      </c>
      <c r="M239" s="137">
        <v>4.0</v>
      </c>
      <c r="N239" s="137">
        <v>2.0</v>
      </c>
      <c r="O239" s="137">
        <v>0.0</v>
      </c>
      <c r="P239" s="137">
        <v>2.0</v>
      </c>
      <c r="Q239" s="137">
        <v>2.0</v>
      </c>
      <c r="R239" s="137">
        <v>0.0</v>
      </c>
      <c r="S239" s="137">
        <v>4.0</v>
      </c>
      <c r="T239" s="137">
        <v>2.0</v>
      </c>
      <c r="U239" s="137">
        <v>6.0</v>
      </c>
      <c r="V239" s="137">
        <v>4.0</v>
      </c>
      <c r="W239" s="137">
        <v>10.0</v>
      </c>
      <c r="X239" s="137">
        <v>6.0</v>
      </c>
      <c r="Y239" s="137">
        <v>10.0</v>
      </c>
      <c r="Z239" s="137">
        <v>10.0</v>
      </c>
      <c r="AA239" s="137">
        <v>28.0</v>
      </c>
      <c r="AB239" s="137">
        <v>28.0</v>
      </c>
      <c r="AC239" s="137">
        <v>46.0</v>
      </c>
      <c r="AD239" s="137">
        <v>42.0</v>
      </c>
      <c r="AE239" s="137">
        <v>62.0</v>
      </c>
      <c r="AF239" s="137">
        <v>48.0</v>
      </c>
      <c r="AG239" s="137">
        <v>58.0</v>
      </c>
      <c r="AH239" s="137">
        <v>36.0</v>
      </c>
      <c r="AI239" s="137">
        <v>68.0</v>
      </c>
      <c r="AJ239" s="137">
        <v>40.0</v>
      </c>
      <c r="AK239" s="137">
        <v>78.0</v>
      </c>
      <c r="AL239" s="137">
        <v>48.0</v>
      </c>
      <c r="AM239" s="137">
        <v>112.0</v>
      </c>
      <c r="AN239" s="137">
        <v>756.0</v>
      </c>
    </row>
    <row r="240">
      <c r="A240" s="132" t="s">
        <v>208</v>
      </c>
      <c r="B240" s="136" t="s">
        <v>198</v>
      </c>
      <c r="C240" s="137">
        <v>0.0</v>
      </c>
      <c r="D240" s="137">
        <v>0.0</v>
      </c>
      <c r="E240" s="137">
        <v>0.0</v>
      </c>
      <c r="F240" s="137">
        <v>0.0</v>
      </c>
      <c r="G240" s="137">
        <v>0.0</v>
      </c>
      <c r="H240" s="137">
        <v>0.0</v>
      </c>
      <c r="I240" s="137">
        <v>0.0</v>
      </c>
      <c r="J240" s="137">
        <v>0.0</v>
      </c>
      <c r="K240" s="137">
        <v>0.0</v>
      </c>
      <c r="L240" s="137">
        <v>0.0</v>
      </c>
      <c r="M240" s="137">
        <v>0.0</v>
      </c>
      <c r="N240" s="137">
        <v>0.0</v>
      </c>
      <c r="O240" s="137">
        <v>0.0</v>
      </c>
      <c r="P240" s="135">
        <v>0.0</v>
      </c>
      <c r="Q240" s="135">
        <v>0.0</v>
      </c>
      <c r="R240" s="135">
        <v>0.0</v>
      </c>
      <c r="S240" s="135">
        <v>0.0</v>
      </c>
      <c r="T240" s="135">
        <v>0.0</v>
      </c>
      <c r="U240" s="135">
        <v>0.0</v>
      </c>
      <c r="V240" s="135">
        <v>0.0</v>
      </c>
      <c r="W240" s="135">
        <v>0.0</v>
      </c>
      <c r="X240" s="135">
        <v>0.0</v>
      </c>
      <c r="Y240" s="135">
        <v>0.0</v>
      </c>
      <c r="Z240" s="135">
        <v>0.0</v>
      </c>
      <c r="AA240" s="135">
        <v>0.0</v>
      </c>
      <c r="AB240" s="135">
        <v>0.0</v>
      </c>
      <c r="AC240" s="135">
        <v>0.0</v>
      </c>
      <c r="AD240" s="135">
        <v>0.0</v>
      </c>
      <c r="AE240" s="135">
        <v>0.0</v>
      </c>
      <c r="AF240" s="135">
        <v>0.0</v>
      </c>
      <c r="AG240" s="135">
        <v>0.0</v>
      </c>
      <c r="AH240" s="135">
        <v>0.0</v>
      </c>
      <c r="AI240" s="135">
        <v>0.0</v>
      </c>
      <c r="AJ240" s="135">
        <v>0.0</v>
      </c>
      <c r="AK240" s="135">
        <v>0.0</v>
      </c>
      <c r="AL240" s="135">
        <v>0.0</v>
      </c>
      <c r="AM240" s="135">
        <v>0.0</v>
      </c>
      <c r="AN240" s="137">
        <v>0.0</v>
      </c>
    </row>
    <row r="241">
      <c r="A241" s="98"/>
      <c r="B241" s="136" t="s">
        <v>199</v>
      </c>
      <c r="C241" s="137">
        <v>82.0</v>
      </c>
      <c r="D241" s="137">
        <v>48.0</v>
      </c>
      <c r="E241" s="137">
        <v>34.0</v>
      </c>
      <c r="F241" s="137">
        <v>44.0</v>
      </c>
      <c r="G241" s="137">
        <v>34.0</v>
      </c>
      <c r="H241" s="137">
        <v>4.0</v>
      </c>
      <c r="I241" s="137">
        <v>0.0</v>
      </c>
      <c r="J241" s="137">
        <v>0.0</v>
      </c>
      <c r="K241" s="137">
        <v>0.0</v>
      </c>
      <c r="L241" s="137">
        <v>0.0</v>
      </c>
      <c r="M241" s="137">
        <v>0.0</v>
      </c>
      <c r="N241" s="137">
        <v>0.0</v>
      </c>
      <c r="O241" s="137">
        <v>0.0</v>
      </c>
      <c r="P241" s="135">
        <v>0.0</v>
      </c>
      <c r="Q241" s="135">
        <v>0.0</v>
      </c>
      <c r="R241" s="135">
        <v>0.0</v>
      </c>
      <c r="S241" s="135">
        <v>0.0</v>
      </c>
      <c r="T241" s="135">
        <v>0.0</v>
      </c>
      <c r="U241" s="135">
        <v>0.0</v>
      </c>
      <c r="V241" s="135">
        <v>0.0</v>
      </c>
      <c r="W241" s="135">
        <v>0.0</v>
      </c>
      <c r="X241" s="135">
        <v>0.0</v>
      </c>
      <c r="Y241" s="135">
        <v>0.0</v>
      </c>
      <c r="Z241" s="135">
        <v>0.0</v>
      </c>
      <c r="AA241" s="135">
        <v>0.0</v>
      </c>
      <c r="AB241" s="135">
        <v>0.0</v>
      </c>
      <c r="AC241" s="135">
        <v>0.0</v>
      </c>
      <c r="AD241" s="135">
        <v>0.0</v>
      </c>
      <c r="AE241" s="135">
        <v>0.0</v>
      </c>
      <c r="AF241" s="135">
        <v>0.0</v>
      </c>
      <c r="AG241" s="135">
        <v>0.0</v>
      </c>
      <c r="AH241" s="135">
        <v>0.0</v>
      </c>
      <c r="AI241" s="135">
        <v>0.0</v>
      </c>
      <c r="AJ241" s="135">
        <v>0.0</v>
      </c>
      <c r="AK241" s="135">
        <v>0.0</v>
      </c>
      <c r="AL241" s="135">
        <v>0.0</v>
      </c>
      <c r="AM241" s="135">
        <v>0.0</v>
      </c>
      <c r="AN241" s="137">
        <v>82.0</v>
      </c>
    </row>
    <row r="242">
      <c r="A242" s="98"/>
      <c r="B242" s="136" t="s">
        <v>206</v>
      </c>
      <c r="C242" s="137">
        <v>0.0</v>
      </c>
      <c r="D242" s="137">
        <v>0.0</v>
      </c>
      <c r="E242" s="137">
        <v>0.0</v>
      </c>
      <c r="F242" s="137">
        <v>0.0</v>
      </c>
      <c r="G242" s="137">
        <v>0.0</v>
      </c>
      <c r="H242" s="137">
        <v>0.0</v>
      </c>
      <c r="I242" s="137">
        <v>0.0</v>
      </c>
      <c r="J242" s="137">
        <v>0.0</v>
      </c>
      <c r="K242" s="137">
        <v>0.0</v>
      </c>
      <c r="L242" s="137">
        <v>0.0</v>
      </c>
      <c r="M242" s="137">
        <v>0.0</v>
      </c>
      <c r="N242" s="137">
        <v>0.0</v>
      </c>
      <c r="O242" s="137">
        <v>0.0</v>
      </c>
      <c r="P242" s="135">
        <v>0.0</v>
      </c>
      <c r="Q242" s="135">
        <v>0.0</v>
      </c>
      <c r="R242" s="135">
        <v>0.0</v>
      </c>
      <c r="S242" s="135">
        <v>0.0</v>
      </c>
      <c r="T242" s="135">
        <v>0.0</v>
      </c>
      <c r="U242" s="135">
        <v>0.0</v>
      </c>
      <c r="V242" s="135">
        <v>0.0</v>
      </c>
      <c r="W242" s="135">
        <v>0.0</v>
      </c>
      <c r="X242" s="135">
        <v>0.0</v>
      </c>
      <c r="Y242" s="135">
        <v>0.0</v>
      </c>
      <c r="Z242" s="135">
        <v>0.0</v>
      </c>
      <c r="AA242" s="135">
        <v>0.0</v>
      </c>
      <c r="AB242" s="135">
        <v>0.0</v>
      </c>
      <c r="AC242" s="135">
        <v>0.0</v>
      </c>
      <c r="AD242" s="135">
        <v>0.0</v>
      </c>
      <c r="AE242" s="135">
        <v>0.0</v>
      </c>
      <c r="AF242" s="135">
        <v>0.0</v>
      </c>
      <c r="AG242" s="135">
        <v>0.0</v>
      </c>
      <c r="AH242" s="135">
        <v>0.0</v>
      </c>
      <c r="AI242" s="135">
        <v>0.0</v>
      </c>
      <c r="AJ242" s="135">
        <v>0.0</v>
      </c>
      <c r="AK242" s="135">
        <v>0.0</v>
      </c>
      <c r="AL242" s="135">
        <v>0.0</v>
      </c>
      <c r="AM242" s="135">
        <v>0.0</v>
      </c>
      <c r="AN242" s="137">
        <v>0.0</v>
      </c>
    </row>
    <row r="243">
      <c r="A243" s="98"/>
      <c r="B243" s="136" t="s">
        <v>200</v>
      </c>
      <c r="C243" s="137">
        <v>12.0</v>
      </c>
      <c r="D243" s="137">
        <v>6.0</v>
      </c>
      <c r="E243" s="137">
        <v>6.0</v>
      </c>
      <c r="F243" s="137">
        <v>4.0</v>
      </c>
      <c r="G243" s="137">
        <v>6.0</v>
      </c>
      <c r="H243" s="137">
        <v>2.0</v>
      </c>
      <c r="I243" s="137">
        <v>0.0</v>
      </c>
      <c r="J243" s="137">
        <v>0.0</v>
      </c>
      <c r="K243" s="137">
        <v>0.0</v>
      </c>
      <c r="L243" s="137">
        <v>0.0</v>
      </c>
      <c r="M243" s="137">
        <v>0.0</v>
      </c>
      <c r="N243" s="137">
        <v>0.0</v>
      </c>
      <c r="O243" s="137">
        <v>0.0</v>
      </c>
      <c r="P243" s="135">
        <v>0.0</v>
      </c>
      <c r="Q243" s="135">
        <v>0.0</v>
      </c>
      <c r="R243" s="135">
        <v>0.0</v>
      </c>
      <c r="S243" s="135">
        <v>0.0</v>
      </c>
      <c r="T243" s="135">
        <v>0.0</v>
      </c>
      <c r="U243" s="135">
        <v>0.0</v>
      </c>
      <c r="V243" s="135">
        <v>0.0</v>
      </c>
      <c r="W243" s="135">
        <v>0.0</v>
      </c>
      <c r="X243" s="135">
        <v>0.0</v>
      </c>
      <c r="Y243" s="135">
        <v>0.0</v>
      </c>
      <c r="Z243" s="135">
        <v>0.0</v>
      </c>
      <c r="AA243" s="135">
        <v>0.0</v>
      </c>
      <c r="AB243" s="135">
        <v>0.0</v>
      </c>
      <c r="AC243" s="135">
        <v>0.0</v>
      </c>
      <c r="AD243" s="135">
        <v>0.0</v>
      </c>
      <c r="AE243" s="135">
        <v>0.0</v>
      </c>
      <c r="AF243" s="135">
        <v>0.0</v>
      </c>
      <c r="AG243" s="135">
        <v>0.0</v>
      </c>
      <c r="AH243" s="135">
        <v>0.0</v>
      </c>
      <c r="AI243" s="135">
        <v>0.0</v>
      </c>
      <c r="AJ243" s="135">
        <v>0.0</v>
      </c>
      <c r="AK243" s="135">
        <v>0.0</v>
      </c>
      <c r="AL243" s="135">
        <v>0.0</v>
      </c>
      <c r="AM243" s="135">
        <v>0.0</v>
      </c>
      <c r="AN243" s="137">
        <v>12.0</v>
      </c>
    </row>
    <row r="244">
      <c r="A244" s="104"/>
      <c r="B244" s="136" t="s">
        <v>201</v>
      </c>
      <c r="C244" s="137">
        <v>0.0</v>
      </c>
      <c r="D244" s="137">
        <v>0.0</v>
      </c>
      <c r="E244" s="137">
        <v>0.0</v>
      </c>
      <c r="F244" s="137">
        <v>0.0</v>
      </c>
      <c r="G244" s="137">
        <v>0.0</v>
      </c>
      <c r="H244" s="137">
        <v>0.0</v>
      </c>
      <c r="I244" s="137">
        <v>0.0</v>
      </c>
      <c r="J244" s="137">
        <v>0.0</v>
      </c>
      <c r="K244" s="137">
        <v>0.0</v>
      </c>
      <c r="L244" s="137">
        <v>0.0</v>
      </c>
      <c r="M244" s="137">
        <v>0.0</v>
      </c>
      <c r="N244" s="137">
        <v>0.0</v>
      </c>
      <c r="O244" s="137">
        <v>0.0</v>
      </c>
      <c r="P244" s="135">
        <v>0.0</v>
      </c>
      <c r="Q244" s="135">
        <v>0.0</v>
      </c>
      <c r="R244" s="135">
        <v>0.0</v>
      </c>
      <c r="S244" s="135">
        <v>0.0</v>
      </c>
      <c r="T244" s="135">
        <v>0.0</v>
      </c>
      <c r="U244" s="135">
        <v>0.0</v>
      </c>
      <c r="V244" s="135">
        <v>0.0</v>
      </c>
      <c r="W244" s="135">
        <v>0.0</v>
      </c>
      <c r="X244" s="135">
        <v>0.0</v>
      </c>
      <c r="Y244" s="135">
        <v>0.0</v>
      </c>
      <c r="Z244" s="135">
        <v>0.0</v>
      </c>
      <c r="AA244" s="135">
        <v>0.0</v>
      </c>
      <c r="AB244" s="135">
        <v>0.0</v>
      </c>
      <c r="AC244" s="135">
        <v>0.0</v>
      </c>
      <c r="AD244" s="135">
        <v>0.0</v>
      </c>
      <c r="AE244" s="135">
        <v>0.0</v>
      </c>
      <c r="AF244" s="135">
        <v>0.0</v>
      </c>
      <c r="AG244" s="135">
        <v>0.0</v>
      </c>
      <c r="AH244" s="135">
        <v>0.0</v>
      </c>
      <c r="AI244" s="135">
        <v>0.0</v>
      </c>
      <c r="AJ244" s="135">
        <v>0.0</v>
      </c>
      <c r="AK244" s="135">
        <v>0.0</v>
      </c>
      <c r="AL244" s="135">
        <v>0.0</v>
      </c>
      <c r="AM244" s="135">
        <v>0.0</v>
      </c>
      <c r="AN244" s="137">
        <v>0.0</v>
      </c>
    </row>
    <row r="245">
      <c r="A245" s="138" t="s">
        <v>249</v>
      </c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</row>
    <row r="246">
      <c r="A246" s="132" t="s">
        <v>197</v>
      </c>
      <c r="B246" s="133" t="s">
        <v>198</v>
      </c>
      <c r="C246" s="134">
        <v>149904.0</v>
      </c>
      <c r="D246" s="134">
        <v>57924.0</v>
      </c>
      <c r="E246" s="134">
        <v>91980.0</v>
      </c>
      <c r="F246" s="135">
        <v>0.0</v>
      </c>
      <c r="G246" s="135">
        <v>0.0</v>
      </c>
      <c r="H246" s="135">
        <v>0.0</v>
      </c>
      <c r="I246" s="135">
        <v>0.0</v>
      </c>
      <c r="J246" s="135">
        <v>0.0</v>
      </c>
      <c r="K246" s="135">
        <v>0.0</v>
      </c>
      <c r="L246" s="137">
        <v>66.0</v>
      </c>
      <c r="M246" s="137">
        <v>108.0</v>
      </c>
      <c r="N246" s="137">
        <v>166.0</v>
      </c>
      <c r="O246" s="137">
        <v>248.0</v>
      </c>
      <c r="P246" s="137">
        <v>308.0</v>
      </c>
      <c r="Q246" s="137">
        <v>624.0</v>
      </c>
      <c r="R246" s="137">
        <v>574.0</v>
      </c>
      <c r="S246" s="134">
        <v>1112.0</v>
      </c>
      <c r="T246" s="134">
        <v>1038.0</v>
      </c>
      <c r="U246" s="134">
        <v>1936.0</v>
      </c>
      <c r="V246" s="134">
        <v>1932.0</v>
      </c>
      <c r="W246" s="134">
        <v>3118.0</v>
      </c>
      <c r="X246" s="134">
        <v>3214.0</v>
      </c>
      <c r="Y246" s="134">
        <v>5340.0</v>
      </c>
      <c r="Z246" s="134">
        <v>4784.0</v>
      </c>
      <c r="AA246" s="134">
        <v>8348.0</v>
      </c>
      <c r="AB246" s="134">
        <v>7096.0</v>
      </c>
      <c r="AC246" s="134">
        <v>11370.0</v>
      </c>
      <c r="AD246" s="134">
        <v>8036.0</v>
      </c>
      <c r="AE246" s="134">
        <v>12816.0</v>
      </c>
      <c r="AF246" s="134">
        <v>8526.0</v>
      </c>
      <c r="AG246" s="134">
        <v>12024.0</v>
      </c>
      <c r="AH246" s="134">
        <v>8354.0</v>
      </c>
      <c r="AI246" s="134">
        <v>11976.0</v>
      </c>
      <c r="AJ246" s="134">
        <v>6922.0</v>
      </c>
      <c r="AK246" s="134">
        <v>10660.0</v>
      </c>
      <c r="AL246" s="134">
        <v>6908.0</v>
      </c>
      <c r="AM246" s="134">
        <v>12298.0</v>
      </c>
      <c r="AN246" s="134">
        <v>145878.0</v>
      </c>
    </row>
    <row r="247">
      <c r="A247" s="98"/>
      <c r="B247" s="136" t="s">
        <v>199</v>
      </c>
      <c r="C247" s="134">
        <v>55104.0</v>
      </c>
      <c r="D247" s="134">
        <v>20166.0</v>
      </c>
      <c r="E247" s="134">
        <v>34938.0</v>
      </c>
      <c r="F247" s="135">
        <v>0.0</v>
      </c>
      <c r="G247" s="135">
        <v>0.0</v>
      </c>
      <c r="H247" s="135">
        <v>0.0</v>
      </c>
      <c r="I247" s="135">
        <v>0.0</v>
      </c>
      <c r="J247" s="135">
        <v>0.0</v>
      </c>
      <c r="K247" s="135">
        <v>0.0</v>
      </c>
      <c r="L247" s="137">
        <v>18.0</v>
      </c>
      <c r="M247" s="137">
        <v>24.0</v>
      </c>
      <c r="N247" s="137">
        <v>28.0</v>
      </c>
      <c r="O247" s="137">
        <v>66.0</v>
      </c>
      <c r="P247" s="137">
        <v>66.0</v>
      </c>
      <c r="Q247" s="137">
        <v>146.0</v>
      </c>
      <c r="R247" s="137">
        <v>164.0</v>
      </c>
      <c r="S247" s="137">
        <v>258.0</v>
      </c>
      <c r="T247" s="137">
        <v>230.0</v>
      </c>
      <c r="U247" s="137">
        <v>488.0</v>
      </c>
      <c r="V247" s="137">
        <v>476.0</v>
      </c>
      <c r="W247" s="137">
        <v>868.0</v>
      </c>
      <c r="X247" s="137">
        <v>762.0</v>
      </c>
      <c r="Y247" s="134">
        <v>1614.0</v>
      </c>
      <c r="Z247" s="134">
        <v>1376.0</v>
      </c>
      <c r="AA247" s="134">
        <v>2990.0</v>
      </c>
      <c r="AB247" s="134">
        <v>2318.0</v>
      </c>
      <c r="AC247" s="134">
        <v>4216.0</v>
      </c>
      <c r="AD247" s="134">
        <v>2662.0</v>
      </c>
      <c r="AE247" s="134">
        <v>4808.0</v>
      </c>
      <c r="AF247" s="134">
        <v>3208.0</v>
      </c>
      <c r="AG247" s="134">
        <v>5222.0</v>
      </c>
      <c r="AH247" s="134">
        <v>3172.0</v>
      </c>
      <c r="AI247" s="134">
        <v>5036.0</v>
      </c>
      <c r="AJ247" s="134">
        <v>2740.0</v>
      </c>
      <c r="AK247" s="134">
        <v>4120.0</v>
      </c>
      <c r="AL247" s="134">
        <v>2946.0</v>
      </c>
      <c r="AM247" s="134">
        <v>5082.0</v>
      </c>
      <c r="AN247" s="134">
        <v>54250.0</v>
      </c>
    </row>
    <row r="248">
      <c r="A248" s="98"/>
      <c r="B248" s="136" t="s">
        <v>200</v>
      </c>
      <c r="C248" s="134">
        <v>50042.0</v>
      </c>
      <c r="D248" s="134">
        <v>17992.0</v>
      </c>
      <c r="E248" s="134">
        <v>32050.0</v>
      </c>
      <c r="F248" s="135">
        <v>0.0</v>
      </c>
      <c r="G248" s="135">
        <v>0.0</v>
      </c>
      <c r="H248" s="135">
        <v>0.0</v>
      </c>
      <c r="I248" s="135">
        <v>0.0</v>
      </c>
      <c r="J248" s="135">
        <v>0.0</v>
      </c>
      <c r="K248" s="135">
        <v>0.0</v>
      </c>
      <c r="L248" s="137">
        <v>14.0</v>
      </c>
      <c r="M248" s="137">
        <v>48.0</v>
      </c>
      <c r="N248" s="137">
        <v>58.0</v>
      </c>
      <c r="O248" s="137">
        <v>82.0</v>
      </c>
      <c r="P248" s="137">
        <v>78.0</v>
      </c>
      <c r="Q248" s="137">
        <v>230.0</v>
      </c>
      <c r="R248" s="137">
        <v>154.0</v>
      </c>
      <c r="S248" s="137">
        <v>388.0</v>
      </c>
      <c r="T248" s="137">
        <v>310.0</v>
      </c>
      <c r="U248" s="137">
        <v>638.0</v>
      </c>
      <c r="V248" s="137">
        <v>594.0</v>
      </c>
      <c r="W248" s="134">
        <v>1116.0</v>
      </c>
      <c r="X248" s="137">
        <v>934.0</v>
      </c>
      <c r="Y248" s="134">
        <v>1968.0</v>
      </c>
      <c r="Z248" s="134">
        <v>1540.0</v>
      </c>
      <c r="AA248" s="134">
        <v>3110.0</v>
      </c>
      <c r="AB248" s="134">
        <v>2260.0</v>
      </c>
      <c r="AC248" s="134">
        <v>4154.0</v>
      </c>
      <c r="AD248" s="134">
        <v>2476.0</v>
      </c>
      <c r="AE248" s="134">
        <v>4788.0</v>
      </c>
      <c r="AF248" s="134">
        <v>2636.0</v>
      </c>
      <c r="AG248" s="134">
        <v>4584.0</v>
      </c>
      <c r="AH248" s="134">
        <v>2806.0</v>
      </c>
      <c r="AI248" s="134">
        <v>4278.0</v>
      </c>
      <c r="AJ248" s="134">
        <v>2060.0</v>
      </c>
      <c r="AK248" s="134">
        <v>3244.0</v>
      </c>
      <c r="AL248" s="134">
        <v>2072.0</v>
      </c>
      <c r="AM248" s="134">
        <v>3416.0</v>
      </c>
      <c r="AN248" s="134">
        <v>49622.0</v>
      </c>
    </row>
    <row r="249">
      <c r="A249" s="104"/>
      <c r="B249" s="136" t="s">
        <v>201</v>
      </c>
      <c r="C249" s="137">
        <v>92.0</v>
      </c>
      <c r="D249" s="137">
        <v>40.0</v>
      </c>
      <c r="E249" s="137">
        <v>52.0</v>
      </c>
      <c r="F249" s="135">
        <v>0.0</v>
      </c>
      <c r="G249" s="135">
        <v>0.0</v>
      </c>
      <c r="H249" s="135">
        <v>0.0</v>
      </c>
      <c r="I249" s="135">
        <v>0.0</v>
      </c>
      <c r="J249" s="135">
        <v>0.0</v>
      </c>
      <c r="K249" s="135">
        <v>0.0</v>
      </c>
      <c r="L249" s="137">
        <v>0.0</v>
      </c>
      <c r="M249" s="137">
        <v>0.0</v>
      </c>
      <c r="N249" s="137">
        <v>0.0</v>
      </c>
      <c r="O249" s="137">
        <v>0.0</v>
      </c>
      <c r="P249" s="137">
        <v>2.0</v>
      </c>
      <c r="Q249" s="137">
        <v>4.0</v>
      </c>
      <c r="R249" s="137">
        <v>0.0</v>
      </c>
      <c r="S249" s="137">
        <v>0.0</v>
      </c>
      <c r="T249" s="137">
        <v>4.0</v>
      </c>
      <c r="U249" s="137">
        <v>2.0</v>
      </c>
      <c r="V249" s="137">
        <v>2.0</v>
      </c>
      <c r="W249" s="137">
        <v>2.0</v>
      </c>
      <c r="X249" s="137">
        <v>0.0</v>
      </c>
      <c r="Y249" s="137">
        <v>8.0</v>
      </c>
      <c r="Z249" s="137">
        <v>4.0</v>
      </c>
      <c r="AA249" s="137">
        <v>4.0</v>
      </c>
      <c r="AB249" s="137">
        <v>6.0</v>
      </c>
      <c r="AC249" s="137">
        <v>6.0</v>
      </c>
      <c r="AD249" s="137">
        <v>10.0</v>
      </c>
      <c r="AE249" s="137">
        <v>4.0</v>
      </c>
      <c r="AF249" s="137">
        <v>2.0</v>
      </c>
      <c r="AG249" s="137">
        <v>10.0</v>
      </c>
      <c r="AH249" s="137">
        <v>8.0</v>
      </c>
      <c r="AI249" s="137">
        <v>8.0</v>
      </c>
      <c r="AJ249" s="137">
        <v>0.0</v>
      </c>
      <c r="AK249" s="137">
        <v>0.0</v>
      </c>
      <c r="AL249" s="137">
        <v>2.0</v>
      </c>
      <c r="AM249" s="137">
        <v>4.0</v>
      </c>
      <c r="AN249" s="137">
        <v>90.0</v>
      </c>
    </row>
    <row r="250">
      <c r="A250" s="132" t="s">
        <v>202</v>
      </c>
      <c r="B250" s="136" t="s">
        <v>198</v>
      </c>
      <c r="C250" s="134">
        <v>1426.0</v>
      </c>
      <c r="D250" s="137">
        <v>800.0</v>
      </c>
      <c r="E250" s="137">
        <v>626.0</v>
      </c>
      <c r="F250" s="137">
        <v>22.0</v>
      </c>
      <c r="G250" s="137">
        <v>28.0</v>
      </c>
      <c r="H250" s="137">
        <v>54.0</v>
      </c>
      <c r="I250" s="137">
        <v>20.0</v>
      </c>
      <c r="J250" s="137">
        <v>32.0</v>
      </c>
      <c r="K250" s="137">
        <v>16.0</v>
      </c>
      <c r="L250" s="137">
        <v>16.0</v>
      </c>
      <c r="M250" s="137">
        <v>34.0</v>
      </c>
      <c r="N250" s="137">
        <v>72.0</v>
      </c>
      <c r="O250" s="137">
        <v>62.0</v>
      </c>
      <c r="P250" s="137">
        <v>46.0</v>
      </c>
      <c r="Q250" s="137">
        <v>84.0</v>
      </c>
      <c r="R250" s="137">
        <v>120.0</v>
      </c>
      <c r="S250" s="137">
        <v>70.0</v>
      </c>
      <c r="T250" s="137">
        <v>86.0</v>
      </c>
      <c r="U250" s="137">
        <v>46.0</v>
      </c>
      <c r="V250" s="137">
        <v>28.0</v>
      </c>
      <c r="W250" s="137">
        <v>32.0</v>
      </c>
      <c r="X250" s="137">
        <v>80.0</v>
      </c>
      <c r="Y250" s="137">
        <v>56.0</v>
      </c>
      <c r="Z250" s="137">
        <v>52.0</v>
      </c>
      <c r="AA250" s="137">
        <v>18.0</v>
      </c>
      <c r="AB250" s="137">
        <v>76.0</v>
      </c>
      <c r="AC250" s="137">
        <v>50.0</v>
      </c>
      <c r="AD250" s="137">
        <v>34.0</v>
      </c>
      <c r="AE250" s="137">
        <v>32.0</v>
      </c>
      <c r="AF250" s="137">
        <v>50.0</v>
      </c>
      <c r="AG250" s="137">
        <v>44.0</v>
      </c>
      <c r="AH250" s="137">
        <v>24.0</v>
      </c>
      <c r="AI250" s="137">
        <v>4.0</v>
      </c>
      <c r="AJ250" s="137">
        <v>2.0</v>
      </c>
      <c r="AK250" s="137">
        <v>14.0</v>
      </c>
      <c r="AL250" s="137">
        <v>6.0</v>
      </c>
      <c r="AM250" s="137">
        <v>16.0</v>
      </c>
      <c r="AN250" s="134">
        <v>1378.0</v>
      </c>
    </row>
    <row r="251">
      <c r="A251" s="104"/>
      <c r="B251" s="136" t="s">
        <v>199</v>
      </c>
      <c r="C251" s="134">
        <v>1368.0</v>
      </c>
      <c r="D251" s="137">
        <v>786.0</v>
      </c>
      <c r="E251" s="137">
        <v>582.0</v>
      </c>
      <c r="F251" s="137">
        <v>34.0</v>
      </c>
      <c r="G251" s="137">
        <v>48.0</v>
      </c>
      <c r="H251" s="137">
        <v>58.0</v>
      </c>
      <c r="I251" s="137">
        <v>30.0</v>
      </c>
      <c r="J251" s="137">
        <v>28.0</v>
      </c>
      <c r="K251" s="137">
        <v>42.0</v>
      </c>
      <c r="L251" s="137">
        <v>8.0</v>
      </c>
      <c r="M251" s="137">
        <v>16.0</v>
      </c>
      <c r="N251" s="137">
        <v>54.0</v>
      </c>
      <c r="O251" s="137">
        <v>36.0</v>
      </c>
      <c r="P251" s="137">
        <v>52.0</v>
      </c>
      <c r="Q251" s="137">
        <v>70.0</v>
      </c>
      <c r="R251" s="137">
        <v>108.0</v>
      </c>
      <c r="S251" s="137">
        <v>18.0</v>
      </c>
      <c r="T251" s="137">
        <v>60.0</v>
      </c>
      <c r="U251" s="137">
        <v>44.0</v>
      </c>
      <c r="V251" s="137">
        <v>58.0</v>
      </c>
      <c r="W251" s="137">
        <v>32.0</v>
      </c>
      <c r="X251" s="137">
        <v>62.0</v>
      </c>
      <c r="Y251" s="137">
        <v>68.0</v>
      </c>
      <c r="Z251" s="137">
        <v>38.0</v>
      </c>
      <c r="AA251" s="137">
        <v>10.0</v>
      </c>
      <c r="AB251" s="137">
        <v>80.0</v>
      </c>
      <c r="AC251" s="137">
        <v>52.0</v>
      </c>
      <c r="AD251" s="137">
        <v>84.0</v>
      </c>
      <c r="AE251" s="137">
        <v>18.0</v>
      </c>
      <c r="AF251" s="137">
        <v>24.0</v>
      </c>
      <c r="AG251" s="137">
        <v>60.0</v>
      </c>
      <c r="AH251" s="137">
        <v>32.0</v>
      </c>
      <c r="AI251" s="137">
        <v>2.0</v>
      </c>
      <c r="AJ251" s="137">
        <v>2.0</v>
      </c>
      <c r="AK251" s="137">
        <v>26.0</v>
      </c>
      <c r="AL251" s="137">
        <v>4.0</v>
      </c>
      <c r="AM251" s="137">
        <v>10.0</v>
      </c>
      <c r="AN251" s="134">
        <v>1322.0</v>
      </c>
    </row>
    <row r="252">
      <c r="A252" s="132" t="s">
        <v>203</v>
      </c>
      <c r="B252" s="136" t="s">
        <v>198</v>
      </c>
      <c r="C252" s="137">
        <v>490.0</v>
      </c>
      <c r="D252" s="137">
        <v>196.0</v>
      </c>
      <c r="E252" s="137">
        <v>294.0</v>
      </c>
      <c r="F252" s="135">
        <v>0.0</v>
      </c>
      <c r="G252" s="135">
        <v>0.0</v>
      </c>
      <c r="H252" s="135">
        <v>0.0</v>
      </c>
      <c r="I252" s="135">
        <v>0.0</v>
      </c>
      <c r="J252" s="135">
        <v>0.0</v>
      </c>
      <c r="K252" s="135">
        <v>0.0</v>
      </c>
      <c r="L252" s="135">
        <v>0.0</v>
      </c>
      <c r="M252" s="135">
        <v>0.0</v>
      </c>
      <c r="N252" s="135">
        <v>0.0</v>
      </c>
      <c r="O252" s="135">
        <v>0.0</v>
      </c>
      <c r="P252" s="135">
        <v>0.0</v>
      </c>
      <c r="Q252" s="135">
        <v>0.0</v>
      </c>
      <c r="R252" s="135">
        <v>0.0</v>
      </c>
      <c r="S252" s="135">
        <v>0.0</v>
      </c>
      <c r="T252" s="135">
        <v>0.0</v>
      </c>
      <c r="U252" s="135">
        <v>0.0</v>
      </c>
      <c r="V252" s="135">
        <v>0.0</v>
      </c>
      <c r="W252" s="135">
        <v>0.0</v>
      </c>
      <c r="X252" s="135">
        <v>0.0</v>
      </c>
      <c r="Y252" s="135">
        <v>0.0</v>
      </c>
      <c r="Z252" s="135">
        <v>0.0</v>
      </c>
      <c r="AA252" s="135">
        <v>0.0</v>
      </c>
      <c r="AB252" s="135">
        <v>0.0</v>
      </c>
      <c r="AC252" s="135">
        <v>0.0</v>
      </c>
      <c r="AD252" s="135">
        <v>0.0</v>
      </c>
      <c r="AE252" s="135">
        <v>0.0</v>
      </c>
      <c r="AF252" s="137">
        <v>18.0</v>
      </c>
      <c r="AG252" s="137">
        <v>36.0</v>
      </c>
      <c r="AH252" s="137">
        <v>36.0</v>
      </c>
      <c r="AI252" s="137">
        <v>94.0</v>
      </c>
      <c r="AJ252" s="137">
        <v>58.0</v>
      </c>
      <c r="AK252" s="137">
        <v>70.0</v>
      </c>
      <c r="AL252" s="137">
        <v>84.0</v>
      </c>
      <c r="AM252" s="137">
        <v>94.0</v>
      </c>
      <c r="AN252" s="137">
        <v>490.0</v>
      </c>
    </row>
    <row r="253">
      <c r="A253" s="104"/>
      <c r="B253" s="136" t="s">
        <v>199</v>
      </c>
      <c r="C253" s="134">
        <v>1402.0</v>
      </c>
      <c r="D253" s="137">
        <v>488.0</v>
      </c>
      <c r="E253" s="137">
        <v>914.0</v>
      </c>
      <c r="F253" s="135">
        <v>0.0</v>
      </c>
      <c r="G253" s="135">
        <v>0.0</v>
      </c>
      <c r="H253" s="135">
        <v>0.0</v>
      </c>
      <c r="I253" s="135">
        <v>0.0</v>
      </c>
      <c r="J253" s="135">
        <v>0.0</v>
      </c>
      <c r="K253" s="135">
        <v>0.0</v>
      </c>
      <c r="L253" s="135">
        <v>0.0</v>
      </c>
      <c r="M253" s="135">
        <v>0.0</v>
      </c>
      <c r="N253" s="135">
        <v>0.0</v>
      </c>
      <c r="O253" s="135">
        <v>0.0</v>
      </c>
      <c r="P253" s="135">
        <v>0.0</v>
      </c>
      <c r="Q253" s="135">
        <v>0.0</v>
      </c>
      <c r="R253" s="135">
        <v>0.0</v>
      </c>
      <c r="S253" s="135">
        <v>0.0</v>
      </c>
      <c r="T253" s="135">
        <v>0.0</v>
      </c>
      <c r="U253" s="135">
        <v>0.0</v>
      </c>
      <c r="V253" s="135">
        <v>0.0</v>
      </c>
      <c r="W253" s="135">
        <v>0.0</v>
      </c>
      <c r="X253" s="135">
        <v>0.0</v>
      </c>
      <c r="Y253" s="135">
        <v>0.0</v>
      </c>
      <c r="Z253" s="135">
        <v>0.0</v>
      </c>
      <c r="AA253" s="135">
        <v>0.0</v>
      </c>
      <c r="AB253" s="135">
        <v>0.0</v>
      </c>
      <c r="AC253" s="135">
        <v>0.0</v>
      </c>
      <c r="AD253" s="135">
        <v>0.0</v>
      </c>
      <c r="AE253" s="135">
        <v>0.0</v>
      </c>
      <c r="AF253" s="137">
        <v>112.0</v>
      </c>
      <c r="AG253" s="137">
        <v>274.0</v>
      </c>
      <c r="AH253" s="137">
        <v>150.0</v>
      </c>
      <c r="AI253" s="137">
        <v>256.0</v>
      </c>
      <c r="AJ253" s="137">
        <v>100.0</v>
      </c>
      <c r="AK253" s="137">
        <v>238.0</v>
      </c>
      <c r="AL253" s="137">
        <v>126.0</v>
      </c>
      <c r="AM253" s="137">
        <v>146.0</v>
      </c>
      <c r="AN253" s="134">
        <v>1400.0</v>
      </c>
    </row>
    <row r="254">
      <c r="A254" s="132" t="s">
        <v>204</v>
      </c>
      <c r="B254" s="136" t="s">
        <v>198</v>
      </c>
      <c r="C254" s="137">
        <v>36.0</v>
      </c>
      <c r="D254" s="137">
        <v>12.0</v>
      </c>
      <c r="E254" s="137">
        <v>24.0</v>
      </c>
      <c r="F254" s="135">
        <v>0.0</v>
      </c>
      <c r="G254" s="135">
        <v>0.0</v>
      </c>
      <c r="H254" s="135">
        <v>0.0</v>
      </c>
      <c r="I254" s="135">
        <v>0.0</v>
      </c>
      <c r="J254" s="135">
        <v>0.0</v>
      </c>
      <c r="K254" s="135">
        <v>0.0</v>
      </c>
      <c r="L254" s="135">
        <v>0.0</v>
      </c>
      <c r="M254" s="135">
        <v>0.0</v>
      </c>
      <c r="N254" s="135">
        <v>0.0</v>
      </c>
      <c r="O254" s="135">
        <v>0.0</v>
      </c>
      <c r="P254" s="135">
        <v>0.0</v>
      </c>
      <c r="Q254" s="135">
        <v>0.0</v>
      </c>
      <c r="R254" s="135">
        <v>0.0</v>
      </c>
      <c r="S254" s="135">
        <v>0.0</v>
      </c>
      <c r="T254" s="135">
        <v>0.0</v>
      </c>
      <c r="U254" s="135">
        <v>0.0</v>
      </c>
      <c r="V254" s="135">
        <v>0.0</v>
      </c>
      <c r="W254" s="135">
        <v>0.0</v>
      </c>
      <c r="X254" s="135">
        <v>0.0</v>
      </c>
      <c r="Y254" s="135">
        <v>0.0</v>
      </c>
      <c r="Z254" s="135">
        <v>0.0</v>
      </c>
      <c r="AA254" s="135">
        <v>0.0</v>
      </c>
      <c r="AB254" s="135">
        <v>0.0</v>
      </c>
      <c r="AC254" s="135">
        <v>0.0</v>
      </c>
      <c r="AD254" s="135">
        <v>0.0</v>
      </c>
      <c r="AE254" s="135">
        <v>0.0</v>
      </c>
      <c r="AF254" s="137">
        <v>0.0</v>
      </c>
      <c r="AG254" s="137">
        <v>0.0</v>
      </c>
      <c r="AH254" s="137">
        <v>2.0</v>
      </c>
      <c r="AI254" s="137">
        <v>2.0</v>
      </c>
      <c r="AJ254" s="137">
        <v>2.0</v>
      </c>
      <c r="AK254" s="137">
        <v>8.0</v>
      </c>
      <c r="AL254" s="137">
        <v>8.0</v>
      </c>
      <c r="AM254" s="137">
        <v>14.0</v>
      </c>
      <c r="AN254" s="137">
        <v>36.0</v>
      </c>
    </row>
    <row r="255">
      <c r="A255" s="104"/>
      <c r="B255" s="136" t="s">
        <v>199</v>
      </c>
      <c r="C255" s="137">
        <v>926.0</v>
      </c>
      <c r="D255" s="137">
        <v>384.0</v>
      </c>
      <c r="E255" s="137">
        <v>542.0</v>
      </c>
      <c r="F255" s="135">
        <v>0.0</v>
      </c>
      <c r="G255" s="135">
        <v>0.0</v>
      </c>
      <c r="H255" s="135">
        <v>0.0</v>
      </c>
      <c r="I255" s="135">
        <v>0.0</v>
      </c>
      <c r="J255" s="135">
        <v>0.0</v>
      </c>
      <c r="K255" s="135">
        <v>0.0</v>
      </c>
      <c r="L255" s="135">
        <v>0.0</v>
      </c>
      <c r="M255" s="135">
        <v>0.0</v>
      </c>
      <c r="N255" s="135">
        <v>0.0</v>
      </c>
      <c r="O255" s="135">
        <v>0.0</v>
      </c>
      <c r="P255" s="135">
        <v>0.0</v>
      </c>
      <c r="Q255" s="135">
        <v>0.0</v>
      </c>
      <c r="R255" s="135">
        <v>0.0</v>
      </c>
      <c r="S255" s="135">
        <v>0.0</v>
      </c>
      <c r="T255" s="135">
        <v>0.0</v>
      </c>
      <c r="U255" s="135">
        <v>0.0</v>
      </c>
      <c r="V255" s="135">
        <v>0.0</v>
      </c>
      <c r="W255" s="135">
        <v>0.0</v>
      </c>
      <c r="X255" s="135">
        <v>0.0</v>
      </c>
      <c r="Y255" s="135">
        <v>0.0</v>
      </c>
      <c r="Z255" s="135">
        <v>0.0</v>
      </c>
      <c r="AA255" s="135">
        <v>0.0</v>
      </c>
      <c r="AB255" s="135">
        <v>0.0</v>
      </c>
      <c r="AC255" s="135">
        <v>0.0</v>
      </c>
      <c r="AD255" s="135">
        <v>0.0</v>
      </c>
      <c r="AE255" s="135">
        <v>0.0</v>
      </c>
      <c r="AF255" s="137">
        <v>56.0</v>
      </c>
      <c r="AG255" s="137">
        <v>66.0</v>
      </c>
      <c r="AH255" s="137">
        <v>54.0</v>
      </c>
      <c r="AI255" s="137">
        <v>122.0</v>
      </c>
      <c r="AJ255" s="137">
        <v>94.0</v>
      </c>
      <c r="AK255" s="137">
        <v>130.0</v>
      </c>
      <c r="AL255" s="137">
        <v>180.0</v>
      </c>
      <c r="AM255" s="137">
        <v>224.0</v>
      </c>
      <c r="AN255" s="137">
        <v>924.0</v>
      </c>
    </row>
    <row r="256">
      <c r="A256" s="132" t="s">
        <v>205</v>
      </c>
      <c r="B256" s="136" t="s">
        <v>198</v>
      </c>
      <c r="C256" s="137">
        <v>88.0</v>
      </c>
      <c r="D256" s="137">
        <v>40.0</v>
      </c>
      <c r="E256" s="137">
        <v>48.0</v>
      </c>
      <c r="F256" s="137">
        <v>0.0</v>
      </c>
      <c r="G256" s="137">
        <v>2.0</v>
      </c>
      <c r="H256" s="137">
        <v>0.0</v>
      </c>
      <c r="I256" s="137">
        <v>0.0</v>
      </c>
      <c r="J256" s="137">
        <v>0.0</v>
      </c>
      <c r="K256" s="137">
        <v>0.0</v>
      </c>
      <c r="L256" s="137">
        <v>6.0</v>
      </c>
      <c r="M256" s="137">
        <v>4.0</v>
      </c>
      <c r="N256" s="137">
        <v>4.0</v>
      </c>
      <c r="O256" s="137">
        <v>26.0</v>
      </c>
      <c r="P256" s="137">
        <v>10.0</v>
      </c>
      <c r="Q256" s="137">
        <v>6.0</v>
      </c>
      <c r="R256" s="137">
        <v>6.0</v>
      </c>
      <c r="S256" s="137">
        <v>4.0</v>
      </c>
      <c r="T256" s="137">
        <v>12.0</v>
      </c>
      <c r="U256" s="137">
        <v>0.0</v>
      </c>
      <c r="V256" s="137">
        <v>2.0</v>
      </c>
      <c r="W256" s="137">
        <v>2.0</v>
      </c>
      <c r="X256" s="137">
        <v>0.0</v>
      </c>
      <c r="Y256" s="137">
        <v>0.0</v>
      </c>
      <c r="Z256" s="137">
        <v>0.0</v>
      </c>
      <c r="AA256" s="137">
        <v>0.0</v>
      </c>
      <c r="AB256" s="137">
        <v>0.0</v>
      </c>
      <c r="AC256" s="137">
        <v>0.0</v>
      </c>
      <c r="AD256" s="137">
        <v>0.0</v>
      </c>
      <c r="AE256" s="137">
        <v>0.0</v>
      </c>
      <c r="AF256" s="137">
        <v>0.0</v>
      </c>
      <c r="AG256" s="137">
        <v>0.0</v>
      </c>
      <c r="AH256" s="137">
        <v>0.0</v>
      </c>
      <c r="AI256" s="137">
        <v>2.0</v>
      </c>
      <c r="AJ256" s="137">
        <v>0.0</v>
      </c>
      <c r="AK256" s="137">
        <v>2.0</v>
      </c>
      <c r="AL256" s="137">
        <v>0.0</v>
      </c>
      <c r="AM256" s="137">
        <v>0.0</v>
      </c>
      <c r="AN256" s="137">
        <v>88.0</v>
      </c>
    </row>
    <row r="257">
      <c r="A257" s="98"/>
      <c r="B257" s="136" t="s">
        <v>199</v>
      </c>
      <c r="C257" s="137">
        <v>6.0</v>
      </c>
      <c r="D257" s="137">
        <v>0.0</v>
      </c>
      <c r="E257" s="137">
        <v>6.0</v>
      </c>
      <c r="F257" s="137">
        <v>0.0</v>
      </c>
      <c r="G257" s="137">
        <v>2.0</v>
      </c>
      <c r="H257" s="137">
        <v>0.0</v>
      </c>
      <c r="I257" s="137">
        <v>0.0</v>
      </c>
      <c r="J257" s="137">
        <v>0.0</v>
      </c>
      <c r="K257" s="137">
        <v>0.0</v>
      </c>
      <c r="L257" s="137">
        <v>0.0</v>
      </c>
      <c r="M257" s="137">
        <v>0.0</v>
      </c>
      <c r="N257" s="137">
        <v>0.0</v>
      </c>
      <c r="O257" s="137">
        <v>0.0</v>
      </c>
      <c r="P257" s="137">
        <v>0.0</v>
      </c>
      <c r="Q257" s="137">
        <v>0.0</v>
      </c>
      <c r="R257" s="137">
        <v>0.0</v>
      </c>
      <c r="S257" s="137">
        <v>0.0</v>
      </c>
      <c r="T257" s="137">
        <v>0.0</v>
      </c>
      <c r="U257" s="137">
        <v>2.0</v>
      </c>
      <c r="V257" s="137">
        <v>0.0</v>
      </c>
      <c r="W257" s="137">
        <v>0.0</v>
      </c>
      <c r="X257" s="137">
        <v>0.0</v>
      </c>
      <c r="Y257" s="137">
        <v>0.0</v>
      </c>
      <c r="Z257" s="137">
        <v>0.0</v>
      </c>
      <c r="AA257" s="137">
        <v>0.0</v>
      </c>
      <c r="AB257" s="137">
        <v>0.0</v>
      </c>
      <c r="AC257" s="137">
        <v>0.0</v>
      </c>
      <c r="AD257" s="137">
        <v>0.0</v>
      </c>
      <c r="AE257" s="137">
        <v>0.0</v>
      </c>
      <c r="AF257" s="137">
        <v>0.0</v>
      </c>
      <c r="AG257" s="137">
        <v>0.0</v>
      </c>
      <c r="AH257" s="137">
        <v>0.0</v>
      </c>
      <c r="AI257" s="137">
        <v>2.0</v>
      </c>
      <c r="AJ257" s="137">
        <v>0.0</v>
      </c>
      <c r="AK257" s="137">
        <v>0.0</v>
      </c>
      <c r="AL257" s="137">
        <v>0.0</v>
      </c>
      <c r="AM257" s="137">
        <v>0.0</v>
      </c>
      <c r="AN257" s="137">
        <v>6.0</v>
      </c>
    </row>
    <row r="258">
      <c r="A258" s="104"/>
      <c r="B258" s="136" t="s">
        <v>206</v>
      </c>
      <c r="C258" s="137">
        <v>752.0</v>
      </c>
      <c r="D258" s="137">
        <v>214.0</v>
      </c>
      <c r="E258" s="137">
        <v>538.0</v>
      </c>
      <c r="F258" s="137">
        <v>6.0</v>
      </c>
      <c r="G258" s="137">
        <v>0.0</v>
      </c>
      <c r="H258" s="137">
        <v>0.0</v>
      </c>
      <c r="I258" s="137">
        <v>2.0</v>
      </c>
      <c r="J258" s="137">
        <v>0.0</v>
      </c>
      <c r="K258" s="137">
        <v>0.0</v>
      </c>
      <c r="L258" s="137">
        <v>32.0</v>
      </c>
      <c r="M258" s="137">
        <v>36.0</v>
      </c>
      <c r="N258" s="137">
        <v>30.0</v>
      </c>
      <c r="O258" s="137">
        <v>122.0</v>
      </c>
      <c r="P258" s="137">
        <v>36.0</v>
      </c>
      <c r="Q258" s="137">
        <v>110.0</v>
      </c>
      <c r="R258" s="137">
        <v>18.0</v>
      </c>
      <c r="S258" s="137">
        <v>62.0</v>
      </c>
      <c r="T258" s="137">
        <v>22.0</v>
      </c>
      <c r="U258" s="137">
        <v>44.0</v>
      </c>
      <c r="V258" s="137">
        <v>10.0</v>
      </c>
      <c r="W258" s="137">
        <v>28.0</v>
      </c>
      <c r="X258" s="137">
        <v>6.0</v>
      </c>
      <c r="Y258" s="137">
        <v>68.0</v>
      </c>
      <c r="Z258" s="137">
        <v>20.0</v>
      </c>
      <c r="AA258" s="137">
        <v>34.0</v>
      </c>
      <c r="AB258" s="137">
        <v>10.0</v>
      </c>
      <c r="AC258" s="137">
        <v>16.0</v>
      </c>
      <c r="AD258" s="137">
        <v>6.0</v>
      </c>
      <c r="AE258" s="137">
        <v>4.0</v>
      </c>
      <c r="AF258" s="137">
        <v>4.0</v>
      </c>
      <c r="AG258" s="137">
        <v>2.0</v>
      </c>
      <c r="AH258" s="137">
        <v>14.0</v>
      </c>
      <c r="AI258" s="137">
        <v>8.0</v>
      </c>
      <c r="AJ258" s="137">
        <v>0.0</v>
      </c>
      <c r="AK258" s="137">
        <v>0.0</v>
      </c>
      <c r="AL258" s="137">
        <v>0.0</v>
      </c>
      <c r="AM258" s="137">
        <v>2.0</v>
      </c>
      <c r="AN258" s="137">
        <v>742.0</v>
      </c>
    </row>
    <row r="259">
      <c r="A259" s="132" t="s">
        <v>207</v>
      </c>
      <c r="B259" s="136" t="s">
        <v>198</v>
      </c>
      <c r="C259" s="134">
        <v>26812.0</v>
      </c>
      <c r="D259" s="134">
        <v>7240.0</v>
      </c>
      <c r="E259" s="134">
        <v>19572.0</v>
      </c>
      <c r="F259" s="137">
        <v>210.0</v>
      </c>
      <c r="G259" s="137">
        <v>192.0</v>
      </c>
      <c r="H259" s="137">
        <v>176.0</v>
      </c>
      <c r="I259" s="137">
        <v>154.0</v>
      </c>
      <c r="J259" s="137">
        <v>160.0</v>
      </c>
      <c r="K259" s="137">
        <v>180.0</v>
      </c>
      <c r="L259" s="137">
        <v>166.0</v>
      </c>
      <c r="M259" s="137">
        <v>252.0</v>
      </c>
      <c r="N259" s="137">
        <v>176.0</v>
      </c>
      <c r="O259" s="137">
        <v>310.0</v>
      </c>
      <c r="P259" s="137">
        <v>224.0</v>
      </c>
      <c r="Q259" s="137">
        <v>426.0</v>
      </c>
      <c r="R259" s="137">
        <v>258.0</v>
      </c>
      <c r="S259" s="137">
        <v>498.0</v>
      </c>
      <c r="T259" s="137">
        <v>238.0</v>
      </c>
      <c r="U259" s="137">
        <v>604.0</v>
      </c>
      <c r="V259" s="137">
        <v>300.0</v>
      </c>
      <c r="W259" s="137">
        <v>852.0</v>
      </c>
      <c r="X259" s="137">
        <v>372.0</v>
      </c>
      <c r="Y259" s="134">
        <v>1100.0</v>
      </c>
      <c r="Z259" s="137">
        <v>484.0</v>
      </c>
      <c r="AA259" s="134">
        <v>1684.0</v>
      </c>
      <c r="AB259" s="137">
        <v>700.0</v>
      </c>
      <c r="AC259" s="134">
        <v>2290.0</v>
      </c>
      <c r="AD259" s="137">
        <v>714.0</v>
      </c>
      <c r="AE259" s="134">
        <v>2628.0</v>
      </c>
      <c r="AF259" s="137">
        <v>728.0</v>
      </c>
      <c r="AG259" s="134">
        <v>2438.0</v>
      </c>
      <c r="AH259" s="137">
        <v>810.0</v>
      </c>
      <c r="AI259" s="134">
        <v>2258.0</v>
      </c>
      <c r="AJ259" s="137">
        <v>694.0</v>
      </c>
      <c r="AK259" s="134">
        <v>1734.0</v>
      </c>
      <c r="AL259" s="137">
        <v>830.0</v>
      </c>
      <c r="AM259" s="134">
        <v>1972.0</v>
      </c>
      <c r="AN259" s="134">
        <v>26308.0</v>
      </c>
    </row>
    <row r="260">
      <c r="A260" s="98"/>
      <c r="B260" s="136" t="s">
        <v>199</v>
      </c>
      <c r="C260" s="134">
        <v>1388.0</v>
      </c>
      <c r="D260" s="137">
        <v>662.0</v>
      </c>
      <c r="E260" s="137">
        <v>726.0</v>
      </c>
      <c r="F260" s="137">
        <v>16.0</v>
      </c>
      <c r="G260" s="137">
        <v>26.0</v>
      </c>
      <c r="H260" s="137">
        <v>8.0</v>
      </c>
      <c r="I260" s="137">
        <v>6.0</v>
      </c>
      <c r="J260" s="137">
        <v>4.0</v>
      </c>
      <c r="K260" s="137">
        <v>6.0</v>
      </c>
      <c r="L260" s="137">
        <v>16.0</v>
      </c>
      <c r="M260" s="137">
        <v>6.0</v>
      </c>
      <c r="N260" s="137">
        <v>0.0</v>
      </c>
      <c r="O260" s="137">
        <v>10.0</v>
      </c>
      <c r="P260" s="137">
        <v>20.0</v>
      </c>
      <c r="Q260" s="137">
        <v>10.0</v>
      </c>
      <c r="R260" s="137">
        <v>10.0</v>
      </c>
      <c r="S260" s="137">
        <v>26.0</v>
      </c>
      <c r="T260" s="137">
        <v>6.0</v>
      </c>
      <c r="U260" s="137">
        <v>42.0</v>
      </c>
      <c r="V260" s="137">
        <v>18.0</v>
      </c>
      <c r="W260" s="137">
        <v>32.0</v>
      </c>
      <c r="X260" s="137">
        <v>18.0</v>
      </c>
      <c r="Y260" s="137">
        <v>44.0</v>
      </c>
      <c r="Z260" s="137">
        <v>34.0</v>
      </c>
      <c r="AA260" s="137">
        <v>64.0</v>
      </c>
      <c r="AB260" s="137">
        <v>62.0</v>
      </c>
      <c r="AC260" s="137">
        <v>86.0</v>
      </c>
      <c r="AD260" s="137">
        <v>98.0</v>
      </c>
      <c r="AE260" s="137">
        <v>72.0</v>
      </c>
      <c r="AF260" s="137">
        <v>104.0</v>
      </c>
      <c r="AG260" s="137">
        <v>78.0</v>
      </c>
      <c r="AH260" s="137">
        <v>74.0</v>
      </c>
      <c r="AI260" s="137">
        <v>36.0</v>
      </c>
      <c r="AJ260" s="137">
        <v>82.0</v>
      </c>
      <c r="AK260" s="137">
        <v>72.0</v>
      </c>
      <c r="AL260" s="137">
        <v>92.0</v>
      </c>
      <c r="AM260" s="137">
        <v>110.0</v>
      </c>
      <c r="AN260" s="134">
        <v>1386.0</v>
      </c>
    </row>
    <row r="261">
      <c r="A261" s="98"/>
      <c r="B261" s="136" t="s">
        <v>206</v>
      </c>
      <c r="C261" s="137">
        <v>124.0</v>
      </c>
      <c r="D261" s="137">
        <v>38.0</v>
      </c>
      <c r="E261" s="137">
        <v>86.0</v>
      </c>
      <c r="F261" s="137">
        <v>34.0</v>
      </c>
      <c r="G261" s="137">
        <v>46.0</v>
      </c>
      <c r="H261" s="137">
        <v>0.0</v>
      </c>
      <c r="I261" s="137">
        <v>0.0</v>
      </c>
      <c r="J261" s="137">
        <v>0.0</v>
      </c>
      <c r="K261" s="137">
        <v>2.0</v>
      </c>
      <c r="L261" s="137">
        <v>0.0</v>
      </c>
      <c r="M261" s="137">
        <v>8.0</v>
      </c>
      <c r="N261" s="137">
        <v>2.0</v>
      </c>
      <c r="O261" s="137">
        <v>4.0</v>
      </c>
      <c r="P261" s="137">
        <v>0.0</v>
      </c>
      <c r="Q261" s="137">
        <v>2.0</v>
      </c>
      <c r="R261" s="137">
        <v>0.0</v>
      </c>
      <c r="S261" s="137">
        <v>12.0</v>
      </c>
      <c r="T261" s="137">
        <v>0.0</v>
      </c>
      <c r="U261" s="137">
        <v>6.0</v>
      </c>
      <c r="V261" s="137">
        <v>0.0</v>
      </c>
      <c r="W261" s="137">
        <v>0.0</v>
      </c>
      <c r="X261" s="137">
        <v>0.0</v>
      </c>
      <c r="Y261" s="137">
        <v>0.0</v>
      </c>
      <c r="Z261" s="137">
        <v>0.0</v>
      </c>
      <c r="AA261" s="137">
        <v>2.0</v>
      </c>
      <c r="AB261" s="137">
        <v>0.0</v>
      </c>
      <c r="AC261" s="137">
        <v>4.0</v>
      </c>
      <c r="AD261" s="137">
        <v>0.0</v>
      </c>
      <c r="AE261" s="137">
        <v>0.0</v>
      </c>
      <c r="AF261" s="137">
        <v>2.0</v>
      </c>
      <c r="AG261" s="137">
        <v>0.0</v>
      </c>
      <c r="AH261" s="137">
        <v>0.0</v>
      </c>
      <c r="AI261" s="137">
        <v>0.0</v>
      </c>
      <c r="AJ261" s="137">
        <v>0.0</v>
      </c>
      <c r="AK261" s="137">
        <v>0.0</v>
      </c>
      <c r="AL261" s="137">
        <v>0.0</v>
      </c>
      <c r="AM261" s="137">
        <v>0.0</v>
      </c>
      <c r="AN261" s="137">
        <v>124.0</v>
      </c>
    </row>
    <row r="262">
      <c r="A262" s="98"/>
      <c r="B262" s="136" t="s">
        <v>200</v>
      </c>
      <c r="C262" s="134">
        <v>3228.0</v>
      </c>
      <c r="D262" s="134">
        <v>1034.0</v>
      </c>
      <c r="E262" s="134">
        <v>2194.0</v>
      </c>
      <c r="F262" s="137">
        <v>574.0</v>
      </c>
      <c r="G262" s="137">
        <v>544.0</v>
      </c>
      <c r="H262" s="137">
        <v>74.0</v>
      </c>
      <c r="I262" s="137">
        <v>54.0</v>
      </c>
      <c r="J262" s="137">
        <v>60.0</v>
      </c>
      <c r="K262" s="137">
        <v>52.0</v>
      </c>
      <c r="L262" s="137">
        <v>32.0</v>
      </c>
      <c r="M262" s="137">
        <v>116.0</v>
      </c>
      <c r="N262" s="137">
        <v>22.0</v>
      </c>
      <c r="O262" s="137">
        <v>172.0</v>
      </c>
      <c r="P262" s="137">
        <v>10.0</v>
      </c>
      <c r="Q262" s="137">
        <v>166.0</v>
      </c>
      <c r="R262" s="137">
        <v>22.0</v>
      </c>
      <c r="S262" s="137">
        <v>172.0</v>
      </c>
      <c r="T262" s="137">
        <v>12.0</v>
      </c>
      <c r="U262" s="137">
        <v>126.0</v>
      </c>
      <c r="V262" s="137">
        <v>12.0</v>
      </c>
      <c r="W262" s="137">
        <v>84.0</v>
      </c>
      <c r="X262" s="137">
        <v>18.0</v>
      </c>
      <c r="Y262" s="137">
        <v>94.0</v>
      </c>
      <c r="Z262" s="137">
        <v>18.0</v>
      </c>
      <c r="AA262" s="137">
        <v>132.0</v>
      </c>
      <c r="AB262" s="137">
        <v>16.0</v>
      </c>
      <c r="AC262" s="137">
        <v>108.0</v>
      </c>
      <c r="AD262" s="137">
        <v>40.0</v>
      </c>
      <c r="AE262" s="137">
        <v>98.0</v>
      </c>
      <c r="AF262" s="137">
        <v>18.0</v>
      </c>
      <c r="AG262" s="137">
        <v>88.0</v>
      </c>
      <c r="AH262" s="137">
        <v>28.0</v>
      </c>
      <c r="AI262" s="137">
        <v>90.0</v>
      </c>
      <c r="AJ262" s="137">
        <v>44.0</v>
      </c>
      <c r="AK262" s="137">
        <v>48.0</v>
      </c>
      <c r="AL262" s="137">
        <v>34.0</v>
      </c>
      <c r="AM262" s="137">
        <v>50.0</v>
      </c>
      <c r="AN262" s="134">
        <v>3184.0</v>
      </c>
    </row>
    <row r="263">
      <c r="A263" s="104"/>
      <c r="B263" s="136" t="s">
        <v>201</v>
      </c>
      <c r="C263" s="137">
        <v>610.0</v>
      </c>
      <c r="D263" s="137">
        <v>210.0</v>
      </c>
      <c r="E263" s="137">
        <v>400.0</v>
      </c>
      <c r="F263" s="137">
        <v>4.0</v>
      </c>
      <c r="G263" s="137">
        <v>0.0</v>
      </c>
      <c r="H263" s="137">
        <v>0.0</v>
      </c>
      <c r="I263" s="137">
        <v>0.0</v>
      </c>
      <c r="J263" s="137">
        <v>2.0</v>
      </c>
      <c r="K263" s="137">
        <v>0.0</v>
      </c>
      <c r="L263" s="137">
        <v>4.0</v>
      </c>
      <c r="M263" s="137">
        <v>0.0</v>
      </c>
      <c r="N263" s="137">
        <v>4.0</v>
      </c>
      <c r="O263" s="137">
        <v>6.0</v>
      </c>
      <c r="P263" s="137">
        <v>4.0</v>
      </c>
      <c r="Q263" s="137">
        <v>8.0</v>
      </c>
      <c r="R263" s="137">
        <v>8.0</v>
      </c>
      <c r="S263" s="137">
        <v>12.0</v>
      </c>
      <c r="T263" s="137">
        <v>8.0</v>
      </c>
      <c r="U263" s="137">
        <v>16.0</v>
      </c>
      <c r="V263" s="137">
        <v>12.0</v>
      </c>
      <c r="W263" s="137">
        <v>34.0</v>
      </c>
      <c r="X263" s="137">
        <v>8.0</v>
      </c>
      <c r="Y263" s="137">
        <v>52.0</v>
      </c>
      <c r="Z263" s="137">
        <v>12.0</v>
      </c>
      <c r="AA263" s="137">
        <v>22.0</v>
      </c>
      <c r="AB263" s="137">
        <v>34.0</v>
      </c>
      <c r="AC263" s="137">
        <v>54.0</v>
      </c>
      <c r="AD263" s="137">
        <v>30.0</v>
      </c>
      <c r="AE263" s="137">
        <v>50.0</v>
      </c>
      <c r="AF263" s="137">
        <v>34.0</v>
      </c>
      <c r="AG263" s="137">
        <v>38.0</v>
      </c>
      <c r="AH263" s="137">
        <v>14.0</v>
      </c>
      <c r="AI263" s="137">
        <v>44.0</v>
      </c>
      <c r="AJ263" s="137">
        <v>26.0</v>
      </c>
      <c r="AK263" s="137">
        <v>50.0</v>
      </c>
      <c r="AL263" s="137">
        <v>6.0</v>
      </c>
      <c r="AM263" s="137">
        <v>14.0</v>
      </c>
      <c r="AN263" s="137">
        <v>560.0</v>
      </c>
    </row>
    <row r="264">
      <c r="A264" s="132" t="s">
        <v>208</v>
      </c>
      <c r="B264" s="136" t="s">
        <v>198</v>
      </c>
      <c r="C264" s="137">
        <v>44.0</v>
      </c>
      <c r="D264" s="137">
        <v>24.0</v>
      </c>
      <c r="E264" s="137">
        <v>20.0</v>
      </c>
      <c r="F264" s="137">
        <v>24.0</v>
      </c>
      <c r="G264" s="137">
        <v>20.0</v>
      </c>
      <c r="H264" s="137">
        <v>0.0</v>
      </c>
      <c r="I264" s="137">
        <v>0.0</v>
      </c>
      <c r="J264" s="137">
        <v>0.0</v>
      </c>
      <c r="K264" s="137">
        <v>0.0</v>
      </c>
      <c r="L264" s="137">
        <v>0.0</v>
      </c>
      <c r="M264" s="137">
        <v>0.0</v>
      </c>
      <c r="N264" s="137">
        <v>0.0</v>
      </c>
      <c r="O264" s="137">
        <v>0.0</v>
      </c>
      <c r="P264" s="135">
        <v>0.0</v>
      </c>
      <c r="Q264" s="135">
        <v>0.0</v>
      </c>
      <c r="R264" s="135">
        <v>0.0</v>
      </c>
      <c r="S264" s="135">
        <v>0.0</v>
      </c>
      <c r="T264" s="135">
        <v>0.0</v>
      </c>
      <c r="U264" s="135">
        <v>0.0</v>
      </c>
      <c r="V264" s="135">
        <v>0.0</v>
      </c>
      <c r="W264" s="135">
        <v>0.0</v>
      </c>
      <c r="X264" s="135">
        <v>0.0</v>
      </c>
      <c r="Y264" s="135">
        <v>0.0</v>
      </c>
      <c r="Z264" s="135">
        <v>0.0</v>
      </c>
      <c r="AA264" s="135">
        <v>0.0</v>
      </c>
      <c r="AB264" s="135">
        <v>0.0</v>
      </c>
      <c r="AC264" s="135">
        <v>0.0</v>
      </c>
      <c r="AD264" s="135">
        <v>0.0</v>
      </c>
      <c r="AE264" s="135">
        <v>0.0</v>
      </c>
      <c r="AF264" s="135">
        <v>0.0</v>
      </c>
      <c r="AG264" s="135">
        <v>0.0</v>
      </c>
      <c r="AH264" s="135">
        <v>0.0</v>
      </c>
      <c r="AI264" s="135">
        <v>0.0</v>
      </c>
      <c r="AJ264" s="135">
        <v>0.0</v>
      </c>
      <c r="AK264" s="135">
        <v>0.0</v>
      </c>
      <c r="AL264" s="135">
        <v>0.0</v>
      </c>
      <c r="AM264" s="135">
        <v>0.0</v>
      </c>
      <c r="AN264" s="137">
        <v>38.0</v>
      </c>
    </row>
    <row r="265">
      <c r="A265" s="98"/>
      <c r="B265" s="136" t="s">
        <v>199</v>
      </c>
      <c r="C265" s="137">
        <v>206.0</v>
      </c>
      <c r="D265" s="137">
        <v>138.0</v>
      </c>
      <c r="E265" s="137">
        <v>68.0</v>
      </c>
      <c r="F265" s="137">
        <v>122.0</v>
      </c>
      <c r="G265" s="137">
        <v>58.0</v>
      </c>
      <c r="H265" s="137">
        <v>16.0</v>
      </c>
      <c r="I265" s="137">
        <v>10.0</v>
      </c>
      <c r="J265" s="137">
        <v>0.0</v>
      </c>
      <c r="K265" s="137">
        <v>0.0</v>
      </c>
      <c r="L265" s="137">
        <v>0.0</v>
      </c>
      <c r="M265" s="137">
        <v>0.0</v>
      </c>
      <c r="N265" s="137">
        <v>0.0</v>
      </c>
      <c r="O265" s="137">
        <v>0.0</v>
      </c>
      <c r="P265" s="135">
        <v>0.0</v>
      </c>
      <c r="Q265" s="135">
        <v>0.0</v>
      </c>
      <c r="R265" s="135">
        <v>0.0</v>
      </c>
      <c r="S265" s="135">
        <v>0.0</v>
      </c>
      <c r="T265" s="135">
        <v>0.0</v>
      </c>
      <c r="U265" s="135">
        <v>0.0</v>
      </c>
      <c r="V265" s="135">
        <v>0.0</v>
      </c>
      <c r="W265" s="135">
        <v>0.0</v>
      </c>
      <c r="X265" s="135">
        <v>0.0</v>
      </c>
      <c r="Y265" s="135">
        <v>0.0</v>
      </c>
      <c r="Z265" s="135">
        <v>0.0</v>
      </c>
      <c r="AA265" s="135">
        <v>0.0</v>
      </c>
      <c r="AB265" s="135">
        <v>0.0</v>
      </c>
      <c r="AC265" s="135">
        <v>0.0</v>
      </c>
      <c r="AD265" s="135">
        <v>0.0</v>
      </c>
      <c r="AE265" s="135">
        <v>0.0</v>
      </c>
      <c r="AF265" s="135">
        <v>0.0</v>
      </c>
      <c r="AG265" s="135">
        <v>0.0</v>
      </c>
      <c r="AH265" s="135">
        <v>0.0</v>
      </c>
      <c r="AI265" s="135">
        <v>0.0</v>
      </c>
      <c r="AJ265" s="135">
        <v>0.0</v>
      </c>
      <c r="AK265" s="135">
        <v>0.0</v>
      </c>
      <c r="AL265" s="135">
        <v>0.0</v>
      </c>
      <c r="AM265" s="135">
        <v>0.0</v>
      </c>
      <c r="AN265" s="137">
        <v>180.0</v>
      </c>
    </row>
    <row r="266">
      <c r="A266" s="98"/>
      <c r="B266" s="136" t="s">
        <v>206</v>
      </c>
      <c r="C266" s="137">
        <v>38.0</v>
      </c>
      <c r="D266" s="137">
        <v>26.0</v>
      </c>
      <c r="E266" s="137">
        <v>12.0</v>
      </c>
      <c r="F266" s="137">
        <v>26.0</v>
      </c>
      <c r="G266" s="137">
        <v>12.0</v>
      </c>
      <c r="H266" s="137">
        <v>0.0</v>
      </c>
      <c r="I266" s="137">
        <v>0.0</v>
      </c>
      <c r="J266" s="137">
        <v>0.0</v>
      </c>
      <c r="K266" s="137">
        <v>0.0</v>
      </c>
      <c r="L266" s="137">
        <v>0.0</v>
      </c>
      <c r="M266" s="137">
        <v>0.0</v>
      </c>
      <c r="N266" s="137">
        <v>0.0</v>
      </c>
      <c r="O266" s="137">
        <v>0.0</v>
      </c>
      <c r="P266" s="135">
        <v>0.0</v>
      </c>
      <c r="Q266" s="135">
        <v>0.0</v>
      </c>
      <c r="R266" s="135">
        <v>0.0</v>
      </c>
      <c r="S266" s="135">
        <v>0.0</v>
      </c>
      <c r="T266" s="135">
        <v>0.0</v>
      </c>
      <c r="U266" s="135">
        <v>0.0</v>
      </c>
      <c r="V266" s="135">
        <v>0.0</v>
      </c>
      <c r="W266" s="135">
        <v>0.0</v>
      </c>
      <c r="X266" s="135">
        <v>0.0</v>
      </c>
      <c r="Y266" s="135">
        <v>0.0</v>
      </c>
      <c r="Z266" s="135">
        <v>0.0</v>
      </c>
      <c r="AA266" s="135">
        <v>0.0</v>
      </c>
      <c r="AB266" s="135">
        <v>0.0</v>
      </c>
      <c r="AC266" s="135">
        <v>0.0</v>
      </c>
      <c r="AD266" s="135">
        <v>0.0</v>
      </c>
      <c r="AE266" s="135">
        <v>0.0</v>
      </c>
      <c r="AF266" s="135">
        <v>0.0</v>
      </c>
      <c r="AG266" s="135">
        <v>0.0</v>
      </c>
      <c r="AH266" s="135">
        <v>0.0</v>
      </c>
      <c r="AI266" s="135">
        <v>0.0</v>
      </c>
      <c r="AJ266" s="135">
        <v>0.0</v>
      </c>
      <c r="AK266" s="135">
        <v>0.0</v>
      </c>
      <c r="AL266" s="135">
        <v>0.0</v>
      </c>
      <c r="AM266" s="135">
        <v>0.0</v>
      </c>
      <c r="AN266" s="137">
        <v>36.0</v>
      </c>
    </row>
    <row r="267">
      <c r="A267" s="98"/>
      <c r="B267" s="136" t="s">
        <v>200</v>
      </c>
      <c r="C267" s="137">
        <v>40.0</v>
      </c>
      <c r="D267" s="137">
        <v>12.0</v>
      </c>
      <c r="E267" s="137">
        <v>28.0</v>
      </c>
      <c r="F267" s="137">
        <v>12.0</v>
      </c>
      <c r="G267" s="137">
        <v>22.0</v>
      </c>
      <c r="H267" s="137">
        <v>0.0</v>
      </c>
      <c r="I267" s="137">
        <v>2.0</v>
      </c>
      <c r="J267" s="137">
        <v>0.0</v>
      </c>
      <c r="K267" s="137">
        <v>0.0</v>
      </c>
      <c r="L267" s="137">
        <v>0.0</v>
      </c>
      <c r="M267" s="137">
        <v>0.0</v>
      </c>
      <c r="N267" s="137">
        <v>0.0</v>
      </c>
      <c r="O267" s="137">
        <v>4.0</v>
      </c>
      <c r="P267" s="135">
        <v>0.0</v>
      </c>
      <c r="Q267" s="135">
        <v>0.0</v>
      </c>
      <c r="R267" s="135">
        <v>0.0</v>
      </c>
      <c r="S267" s="135">
        <v>0.0</v>
      </c>
      <c r="T267" s="135">
        <v>0.0</v>
      </c>
      <c r="U267" s="135">
        <v>0.0</v>
      </c>
      <c r="V267" s="135">
        <v>0.0</v>
      </c>
      <c r="W267" s="135">
        <v>0.0</v>
      </c>
      <c r="X267" s="135">
        <v>0.0</v>
      </c>
      <c r="Y267" s="135">
        <v>0.0</v>
      </c>
      <c r="Z267" s="135">
        <v>0.0</v>
      </c>
      <c r="AA267" s="135">
        <v>0.0</v>
      </c>
      <c r="AB267" s="135">
        <v>0.0</v>
      </c>
      <c r="AC267" s="135">
        <v>0.0</v>
      </c>
      <c r="AD267" s="135">
        <v>0.0</v>
      </c>
      <c r="AE267" s="135">
        <v>0.0</v>
      </c>
      <c r="AF267" s="135">
        <v>0.0</v>
      </c>
      <c r="AG267" s="135">
        <v>0.0</v>
      </c>
      <c r="AH267" s="135">
        <v>0.0</v>
      </c>
      <c r="AI267" s="135">
        <v>0.0</v>
      </c>
      <c r="AJ267" s="135">
        <v>0.0</v>
      </c>
      <c r="AK267" s="135">
        <v>0.0</v>
      </c>
      <c r="AL267" s="135">
        <v>0.0</v>
      </c>
      <c r="AM267" s="135">
        <v>0.0</v>
      </c>
      <c r="AN267" s="137">
        <v>38.0</v>
      </c>
    </row>
    <row r="268">
      <c r="A268" s="104"/>
      <c r="B268" s="136" t="s">
        <v>201</v>
      </c>
      <c r="C268" s="137">
        <v>0.0</v>
      </c>
      <c r="D268" s="137">
        <v>0.0</v>
      </c>
      <c r="E268" s="137">
        <v>0.0</v>
      </c>
      <c r="F268" s="137">
        <v>0.0</v>
      </c>
      <c r="G268" s="137">
        <v>0.0</v>
      </c>
      <c r="H268" s="137">
        <v>0.0</v>
      </c>
      <c r="I268" s="137">
        <v>0.0</v>
      </c>
      <c r="J268" s="137">
        <v>0.0</v>
      </c>
      <c r="K268" s="137">
        <v>0.0</v>
      </c>
      <c r="L268" s="137">
        <v>0.0</v>
      </c>
      <c r="M268" s="137">
        <v>0.0</v>
      </c>
      <c r="N268" s="137">
        <v>0.0</v>
      </c>
      <c r="O268" s="137">
        <v>0.0</v>
      </c>
      <c r="P268" s="135">
        <v>0.0</v>
      </c>
      <c r="Q268" s="135">
        <v>0.0</v>
      </c>
      <c r="R268" s="135">
        <v>0.0</v>
      </c>
      <c r="S268" s="135">
        <v>0.0</v>
      </c>
      <c r="T268" s="135">
        <v>0.0</v>
      </c>
      <c r="U268" s="135">
        <v>0.0</v>
      </c>
      <c r="V268" s="135">
        <v>0.0</v>
      </c>
      <c r="W268" s="135">
        <v>0.0</v>
      </c>
      <c r="X268" s="135">
        <v>0.0</v>
      </c>
      <c r="Y268" s="135">
        <v>0.0</v>
      </c>
      <c r="Z268" s="135">
        <v>0.0</v>
      </c>
      <c r="AA268" s="135">
        <v>0.0</v>
      </c>
      <c r="AB268" s="135">
        <v>0.0</v>
      </c>
      <c r="AC268" s="135">
        <v>0.0</v>
      </c>
      <c r="AD268" s="135">
        <v>0.0</v>
      </c>
      <c r="AE268" s="135">
        <v>0.0</v>
      </c>
      <c r="AF268" s="135">
        <v>0.0</v>
      </c>
      <c r="AG268" s="135">
        <v>0.0</v>
      </c>
      <c r="AH268" s="135">
        <v>0.0</v>
      </c>
      <c r="AI268" s="135">
        <v>0.0</v>
      </c>
      <c r="AJ268" s="135">
        <v>0.0</v>
      </c>
      <c r="AK268" s="135">
        <v>0.0</v>
      </c>
      <c r="AL268" s="135">
        <v>0.0</v>
      </c>
      <c r="AM268" s="135">
        <v>0.0</v>
      </c>
      <c r="AN268" s="137">
        <v>0.0</v>
      </c>
    </row>
    <row r="269">
      <c r="A269" s="138" t="s">
        <v>250</v>
      </c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</row>
    <row r="270">
      <c r="A270" s="132" t="s">
        <v>197</v>
      </c>
      <c r="B270" s="133" t="s">
        <v>198</v>
      </c>
      <c r="C270" s="134">
        <v>74670.0</v>
      </c>
      <c r="D270" s="134">
        <v>27972.0</v>
      </c>
      <c r="E270" s="134">
        <v>46698.0</v>
      </c>
      <c r="F270" s="135">
        <v>0.0</v>
      </c>
      <c r="G270" s="135">
        <v>0.0</v>
      </c>
      <c r="H270" s="135">
        <v>0.0</v>
      </c>
      <c r="I270" s="135">
        <v>0.0</v>
      </c>
      <c r="J270" s="135">
        <v>0.0</v>
      </c>
      <c r="K270" s="135">
        <v>0.0</v>
      </c>
      <c r="L270" s="137">
        <v>22.0</v>
      </c>
      <c r="M270" s="137">
        <v>24.0</v>
      </c>
      <c r="N270" s="137">
        <v>62.0</v>
      </c>
      <c r="O270" s="137">
        <v>94.0</v>
      </c>
      <c r="P270" s="137">
        <v>132.0</v>
      </c>
      <c r="Q270" s="137">
        <v>190.0</v>
      </c>
      <c r="R270" s="137">
        <v>326.0</v>
      </c>
      <c r="S270" s="137">
        <v>486.0</v>
      </c>
      <c r="T270" s="137">
        <v>538.0</v>
      </c>
      <c r="U270" s="137">
        <v>772.0</v>
      </c>
      <c r="V270" s="137">
        <v>846.0</v>
      </c>
      <c r="W270" s="134">
        <v>1240.0</v>
      </c>
      <c r="X270" s="134">
        <v>1270.0</v>
      </c>
      <c r="Y270" s="134">
        <v>2278.0</v>
      </c>
      <c r="Z270" s="134">
        <v>2124.0</v>
      </c>
      <c r="AA270" s="134">
        <v>3648.0</v>
      </c>
      <c r="AB270" s="134">
        <v>3398.0</v>
      </c>
      <c r="AC270" s="134">
        <v>5678.0</v>
      </c>
      <c r="AD270" s="134">
        <v>4176.0</v>
      </c>
      <c r="AE270" s="134">
        <v>6614.0</v>
      </c>
      <c r="AF270" s="134">
        <v>4234.0</v>
      </c>
      <c r="AG270" s="134">
        <v>6606.0</v>
      </c>
      <c r="AH270" s="134">
        <v>4258.0</v>
      </c>
      <c r="AI270" s="134">
        <v>6642.0</v>
      </c>
      <c r="AJ270" s="134">
        <v>3382.0</v>
      </c>
      <c r="AK270" s="134">
        <v>5576.0</v>
      </c>
      <c r="AL270" s="134">
        <v>3204.0</v>
      </c>
      <c r="AM270" s="134">
        <v>6850.0</v>
      </c>
      <c r="AN270" s="134">
        <v>74342.0</v>
      </c>
    </row>
    <row r="271">
      <c r="A271" s="98"/>
      <c r="B271" s="136" t="s">
        <v>199</v>
      </c>
      <c r="C271" s="134">
        <v>27524.0</v>
      </c>
      <c r="D271" s="134">
        <v>9606.0</v>
      </c>
      <c r="E271" s="134">
        <v>17918.0</v>
      </c>
      <c r="F271" s="135">
        <v>0.0</v>
      </c>
      <c r="G271" s="135">
        <v>0.0</v>
      </c>
      <c r="H271" s="135">
        <v>0.0</v>
      </c>
      <c r="I271" s="135">
        <v>0.0</v>
      </c>
      <c r="J271" s="135">
        <v>0.0</v>
      </c>
      <c r="K271" s="135">
        <v>0.0</v>
      </c>
      <c r="L271" s="137">
        <v>2.0</v>
      </c>
      <c r="M271" s="137">
        <v>6.0</v>
      </c>
      <c r="N271" s="137">
        <v>2.0</v>
      </c>
      <c r="O271" s="137">
        <v>16.0</v>
      </c>
      <c r="P271" s="137">
        <v>16.0</v>
      </c>
      <c r="Q271" s="137">
        <v>32.0</v>
      </c>
      <c r="R271" s="137">
        <v>42.0</v>
      </c>
      <c r="S271" s="137">
        <v>98.0</v>
      </c>
      <c r="T271" s="137">
        <v>102.0</v>
      </c>
      <c r="U271" s="137">
        <v>158.0</v>
      </c>
      <c r="V271" s="137">
        <v>170.0</v>
      </c>
      <c r="W271" s="137">
        <v>330.0</v>
      </c>
      <c r="X271" s="137">
        <v>314.0</v>
      </c>
      <c r="Y271" s="137">
        <v>660.0</v>
      </c>
      <c r="Z271" s="137">
        <v>630.0</v>
      </c>
      <c r="AA271" s="134">
        <v>1300.0</v>
      </c>
      <c r="AB271" s="134">
        <v>1068.0</v>
      </c>
      <c r="AC271" s="134">
        <v>2146.0</v>
      </c>
      <c r="AD271" s="134">
        <v>1328.0</v>
      </c>
      <c r="AE271" s="134">
        <v>2468.0</v>
      </c>
      <c r="AF271" s="134">
        <v>1484.0</v>
      </c>
      <c r="AG271" s="134">
        <v>2570.0</v>
      </c>
      <c r="AH271" s="134">
        <v>1496.0</v>
      </c>
      <c r="AI271" s="134">
        <v>2796.0</v>
      </c>
      <c r="AJ271" s="134">
        <v>1434.0</v>
      </c>
      <c r="AK271" s="134">
        <v>2370.0</v>
      </c>
      <c r="AL271" s="134">
        <v>1518.0</v>
      </c>
      <c r="AM271" s="134">
        <v>2968.0</v>
      </c>
      <c r="AN271" s="134">
        <v>27354.0</v>
      </c>
    </row>
    <row r="272">
      <c r="A272" s="98"/>
      <c r="B272" s="136" t="s">
        <v>200</v>
      </c>
      <c r="C272" s="134">
        <v>27504.0</v>
      </c>
      <c r="D272" s="134">
        <v>9624.0</v>
      </c>
      <c r="E272" s="134">
        <v>17880.0</v>
      </c>
      <c r="F272" s="135">
        <v>0.0</v>
      </c>
      <c r="G272" s="135">
        <v>0.0</v>
      </c>
      <c r="H272" s="135">
        <v>0.0</v>
      </c>
      <c r="I272" s="135">
        <v>0.0</v>
      </c>
      <c r="J272" s="135">
        <v>0.0</v>
      </c>
      <c r="K272" s="135">
        <v>0.0</v>
      </c>
      <c r="L272" s="137">
        <v>10.0</v>
      </c>
      <c r="M272" s="137">
        <v>16.0</v>
      </c>
      <c r="N272" s="137">
        <v>16.0</v>
      </c>
      <c r="O272" s="137">
        <v>28.0</v>
      </c>
      <c r="P272" s="137">
        <v>30.0</v>
      </c>
      <c r="Q272" s="137">
        <v>68.0</v>
      </c>
      <c r="R272" s="137">
        <v>102.0</v>
      </c>
      <c r="S272" s="137">
        <v>154.0</v>
      </c>
      <c r="T272" s="137">
        <v>170.0</v>
      </c>
      <c r="U272" s="137">
        <v>248.0</v>
      </c>
      <c r="V272" s="137">
        <v>228.0</v>
      </c>
      <c r="W272" s="137">
        <v>422.0</v>
      </c>
      <c r="X272" s="137">
        <v>452.0</v>
      </c>
      <c r="Y272" s="137">
        <v>864.0</v>
      </c>
      <c r="Z272" s="137">
        <v>720.0</v>
      </c>
      <c r="AA272" s="134">
        <v>1462.0</v>
      </c>
      <c r="AB272" s="134">
        <v>1210.0</v>
      </c>
      <c r="AC272" s="134">
        <v>2354.0</v>
      </c>
      <c r="AD272" s="134">
        <v>1506.0</v>
      </c>
      <c r="AE272" s="134">
        <v>2740.0</v>
      </c>
      <c r="AF272" s="134">
        <v>1510.0</v>
      </c>
      <c r="AG272" s="134">
        <v>2770.0</v>
      </c>
      <c r="AH272" s="134">
        <v>1420.0</v>
      </c>
      <c r="AI272" s="134">
        <v>2656.0</v>
      </c>
      <c r="AJ272" s="134">
        <v>1210.0</v>
      </c>
      <c r="AK272" s="134">
        <v>1966.0</v>
      </c>
      <c r="AL272" s="134">
        <v>1040.0</v>
      </c>
      <c r="AM272" s="134">
        <v>2132.0</v>
      </c>
      <c r="AN272" s="134">
        <v>27094.0</v>
      </c>
    </row>
    <row r="273">
      <c r="A273" s="104"/>
      <c r="B273" s="136" t="s">
        <v>201</v>
      </c>
      <c r="C273" s="137">
        <v>0.0</v>
      </c>
      <c r="D273" s="137">
        <v>0.0</v>
      </c>
      <c r="E273" s="137">
        <v>0.0</v>
      </c>
      <c r="F273" s="135">
        <v>0.0</v>
      </c>
      <c r="G273" s="135">
        <v>0.0</v>
      </c>
      <c r="H273" s="135">
        <v>0.0</v>
      </c>
      <c r="I273" s="135">
        <v>0.0</v>
      </c>
      <c r="J273" s="135">
        <v>0.0</v>
      </c>
      <c r="K273" s="135">
        <v>0.0</v>
      </c>
      <c r="L273" s="137">
        <v>0.0</v>
      </c>
      <c r="M273" s="137">
        <v>0.0</v>
      </c>
      <c r="N273" s="137">
        <v>0.0</v>
      </c>
      <c r="O273" s="137">
        <v>0.0</v>
      </c>
      <c r="P273" s="137">
        <v>0.0</v>
      </c>
      <c r="Q273" s="137">
        <v>0.0</v>
      </c>
      <c r="R273" s="137">
        <v>0.0</v>
      </c>
      <c r="S273" s="137">
        <v>0.0</v>
      </c>
      <c r="T273" s="137">
        <v>0.0</v>
      </c>
      <c r="U273" s="137">
        <v>0.0</v>
      </c>
      <c r="V273" s="137">
        <v>0.0</v>
      </c>
      <c r="W273" s="137">
        <v>0.0</v>
      </c>
      <c r="X273" s="137">
        <v>0.0</v>
      </c>
      <c r="Y273" s="137">
        <v>0.0</v>
      </c>
      <c r="Z273" s="137">
        <v>0.0</v>
      </c>
      <c r="AA273" s="137">
        <v>0.0</v>
      </c>
      <c r="AB273" s="137">
        <v>0.0</v>
      </c>
      <c r="AC273" s="137">
        <v>0.0</v>
      </c>
      <c r="AD273" s="137">
        <v>0.0</v>
      </c>
      <c r="AE273" s="137">
        <v>0.0</v>
      </c>
      <c r="AF273" s="137">
        <v>0.0</v>
      </c>
      <c r="AG273" s="137">
        <v>0.0</v>
      </c>
      <c r="AH273" s="137">
        <v>0.0</v>
      </c>
      <c r="AI273" s="137">
        <v>0.0</v>
      </c>
      <c r="AJ273" s="137">
        <v>0.0</v>
      </c>
      <c r="AK273" s="137">
        <v>0.0</v>
      </c>
      <c r="AL273" s="137">
        <v>0.0</v>
      </c>
      <c r="AM273" s="137">
        <v>0.0</v>
      </c>
      <c r="AN273" s="137">
        <v>0.0</v>
      </c>
    </row>
    <row r="274">
      <c r="A274" s="132" t="s">
        <v>202</v>
      </c>
      <c r="B274" s="136" t="s">
        <v>198</v>
      </c>
      <c r="C274" s="134">
        <v>1640.0</v>
      </c>
      <c r="D274" s="137">
        <v>914.0</v>
      </c>
      <c r="E274" s="137">
        <v>726.0</v>
      </c>
      <c r="F274" s="137">
        <v>24.0</v>
      </c>
      <c r="G274" s="137">
        <v>34.0</v>
      </c>
      <c r="H274" s="137">
        <v>22.0</v>
      </c>
      <c r="I274" s="137">
        <v>34.0</v>
      </c>
      <c r="J274" s="137">
        <v>4.0</v>
      </c>
      <c r="K274" s="137">
        <v>8.0</v>
      </c>
      <c r="L274" s="137">
        <v>48.0</v>
      </c>
      <c r="M274" s="137">
        <v>42.0</v>
      </c>
      <c r="N274" s="137">
        <v>76.0</v>
      </c>
      <c r="O274" s="137">
        <v>52.0</v>
      </c>
      <c r="P274" s="137">
        <v>118.0</v>
      </c>
      <c r="Q274" s="137">
        <v>102.0</v>
      </c>
      <c r="R274" s="137">
        <v>136.0</v>
      </c>
      <c r="S274" s="137">
        <v>148.0</v>
      </c>
      <c r="T274" s="137">
        <v>130.0</v>
      </c>
      <c r="U274" s="137">
        <v>32.0</v>
      </c>
      <c r="V274" s="137">
        <v>80.0</v>
      </c>
      <c r="W274" s="137">
        <v>38.0</v>
      </c>
      <c r="X274" s="137">
        <v>86.0</v>
      </c>
      <c r="Y274" s="137">
        <v>42.0</v>
      </c>
      <c r="Z274" s="137">
        <v>32.0</v>
      </c>
      <c r="AA274" s="137">
        <v>26.0</v>
      </c>
      <c r="AB274" s="137">
        <v>64.0</v>
      </c>
      <c r="AC274" s="137">
        <v>24.0</v>
      </c>
      <c r="AD274" s="137">
        <v>64.0</v>
      </c>
      <c r="AE274" s="137">
        <v>52.0</v>
      </c>
      <c r="AF274" s="137">
        <v>10.0</v>
      </c>
      <c r="AG274" s="137">
        <v>18.0</v>
      </c>
      <c r="AH274" s="137">
        <v>14.0</v>
      </c>
      <c r="AI274" s="137">
        <v>22.0</v>
      </c>
      <c r="AJ274" s="137">
        <v>6.0</v>
      </c>
      <c r="AK274" s="137">
        <v>24.0</v>
      </c>
      <c r="AL274" s="137">
        <v>0.0</v>
      </c>
      <c r="AM274" s="137">
        <v>28.0</v>
      </c>
      <c r="AN274" s="134">
        <v>1582.0</v>
      </c>
    </row>
    <row r="275">
      <c r="A275" s="104"/>
      <c r="B275" s="136" t="s">
        <v>199</v>
      </c>
      <c r="C275" s="137">
        <v>570.0</v>
      </c>
      <c r="D275" s="137">
        <v>294.0</v>
      </c>
      <c r="E275" s="137">
        <v>276.0</v>
      </c>
      <c r="F275" s="137">
        <v>16.0</v>
      </c>
      <c r="G275" s="137">
        <v>10.0</v>
      </c>
      <c r="H275" s="137">
        <v>8.0</v>
      </c>
      <c r="I275" s="137">
        <v>16.0</v>
      </c>
      <c r="J275" s="137">
        <v>2.0</v>
      </c>
      <c r="K275" s="137">
        <v>2.0</v>
      </c>
      <c r="L275" s="137">
        <v>8.0</v>
      </c>
      <c r="M275" s="137">
        <v>20.0</v>
      </c>
      <c r="N275" s="137">
        <v>18.0</v>
      </c>
      <c r="O275" s="137">
        <v>12.0</v>
      </c>
      <c r="P275" s="137">
        <v>40.0</v>
      </c>
      <c r="Q275" s="137">
        <v>28.0</v>
      </c>
      <c r="R275" s="137">
        <v>38.0</v>
      </c>
      <c r="S275" s="137">
        <v>36.0</v>
      </c>
      <c r="T275" s="137">
        <v>52.0</v>
      </c>
      <c r="U275" s="137">
        <v>16.0</v>
      </c>
      <c r="V275" s="137">
        <v>24.0</v>
      </c>
      <c r="W275" s="137">
        <v>18.0</v>
      </c>
      <c r="X275" s="137">
        <v>24.0</v>
      </c>
      <c r="Y275" s="137">
        <v>16.0</v>
      </c>
      <c r="Z275" s="137">
        <v>20.0</v>
      </c>
      <c r="AA275" s="137">
        <v>10.0</v>
      </c>
      <c r="AB275" s="137">
        <v>18.0</v>
      </c>
      <c r="AC275" s="137">
        <v>4.0</v>
      </c>
      <c r="AD275" s="137">
        <v>18.0</v>
      </c>
      <c r="AE275" s="137">
        <v>50.0</v>
      </c>
      <c r="AF275" s="137">
        <v>2.0</v>
      </c>
      <c r="AG275" s="137">
        <v>2.0</v>
      </c>
      <c r="AH275" s="137">
        <v>4.0</v>
      </c>
      <c r="AI275" s="137">
        <v>14.0</v>
      </c>
      <c r="AJ275" s="137">
        <v>0.0</v>
      </c>
      <c r="AK275" s="137">
        <v>6.0</v>
      </c>
      <c r="AL275" s="137">
        <v>2.0</v>
      </c>
      <c r="AM275" s="137">
        <v>16.0</v>
      </c>
      <c r="AN275" s="137">
        <v>548.0</v>
      </c>
    </row>
    <row r="276">
      <c r="A276" s="132" t="s">
        <v>203</v>
      </c>
      <c r="B276" s="136" t="s">
        <v>198</v>
      </c>
      <c r="C276" s="137">
        <v>22.0</v>
      </c>
      <c r="D276" s="137">
        <v>4.0</v>
      </c>
      <c r="E276" s="137">
        <v>18.0</v>
      </c>
      <c r="F276" s="135">
        <v>0.0</v>
      </c>
      <c r="G276" s="135">
        <v>0.0</v>
      </c>
      <c r="H276" s="135">
        <v>0.0</v>
      </c>
      <c r="I276" s="135">
        <v>0.0</v>
      </c>
      <c r="J276" s="135">
        <v>0.0</v>
      </c>
      <c r="K276" s="135">
        <v>0.0</v>
      </c>
      <c r="L276" s="135">
        <v>0.0</v>
      </c>
      <c r="M276" s="135">
        <v>0.0</v>
      </c>
      <c r="N276" s="135">
        <v>0.0</v>
      </c>
      <c r="O276" s="135">
        <v>0.0</v>
      </c>
      <c r="P276" s="135">
        <v>0.0</v>
      </c>
      <c r="Q276" s="135">
        <v>0.0</v>
      </c>
      <c r="R276" s="135">
        <v>0.0</v>
      </c>
      <c r="S276" s="135">
        <v>0.0</v>
      </c>
      <c r="T276" s="135">
        <v>0.0</v>
      </c>
      <c r="U276" s="135">
        <v>0.0</v>
      </c>
      <c r="V276" s="135">
        <v>0.0</v>
      </c>
      <c r="W276" s="135">
        <v>0.0</v>
      </c>
      <c r="X276" s="135">
        <v>0.0</v>
      </c>
      <c r="Y276" s="135">
        <v>0.0</v>
      </c>
      <c r="Z276" s="135">
        <v>0.0</v>
      </c>
      <c r="AA276" s="135">
        <v>0.0</v>
      </c>
      <c r="AB276" s="135">
        <v>0.0</v>
      </c>
      <c r="AC276" s="135">
        <v>0.0</v>
      </c>
      <c r="AD276" s="135">
        <v>0.0</v>
      </c>
      <c r="AE276" s="135">
        <v>0.0</v>
      </c>
      <c r="AF276" s="137">
        <v>0.0</v>
      </c>
      <c r="AG276" s="137">
        <v>12.0</v>
      </c>
      <c r="AH276" s="137">
        <v>0.0</v>
      </c>
      <c r="AI276" s="137">
        <v>2.0</v>
      </c>
      <c r="AJ276" s="137">
        <v>2.0</v>
      </c>
      <c r="AK276" s="137">
        <v>2.0</v>
      </c>
      <c r="AL276" s="137">
        <v>2.0</v>
      </c>
      <c r="AM276" s="137">
        <v>2.0</v>
      </c>
      <c r="AN276" s="137">
        <v>22.0</v>
      </c>
    </row>
    <row r="277">
      <c r="A277" s="104"/>
      <c r="B277" s="136" t="s">
        <v>199</v>
      </c>
      <c r="C277" s="137">
        <v>130.0</v>
      </c>
      <c r="D277" s="137">
        <v>30.0</v>
      </c>
      <c r="E277" s="137">
        <v>100.0</v>
      </c>
      <c r="F277" s="135">
        <v>0.0</v>
      </c>
      <c r="G277" s="135">
        <v>0.0</v>
      </c>
      <c r="H277" s="135">
        <v>0.0</v>
      </c>
      <c r="I277" s="135">
        <v>0.0</v>
      </c>
      <c r="J277" s="135">
        <v>0.0</v>
      </c>
      <c r="K277" s="135">
        <v>0.0</v>
      </c>
      <c r="L277" s="135">
        <v>0.0</v>
      </c>
      <c r="M277" s="135">
        <v>0.0</v>
      </c>
      <c r="N277" s="135">
        <v>0.0</v>
      </c>
      <c r="O277" s="135">
        <v>0.0</v>
      </c>
      <c r="P277" s="135">
        <v>0.0</v>
      </c>
      <c r="Q277" s="135">
        <v>0.0</v>
      </c>
      <c r="R277" s="135">
        <v>0.0</v>
      </c>
      <c r="S277" s="135">
        <v>0.0</v>
      </c>
      <c r="T277" s="135">
        <v>0.0</v>
      </c>
      <c r="U277" s="135">
        <v>0.0</v>
      </c>
      <c r="V277" s="135">
        <v>0.0</v>
      </c>
      <c r="W277" s="135">
        <v>0.0</v>
      </c>
      <c r="X277" s="135">
        <v>0.0</v>
      </c>
      <c r="Y277" s="135">
        <v>0.0</v>
      </c>
      <c r="Z277" s="135">
        <v>0.0</v>
      </c>
      <c r="AA277" s="135">
        <v>0.0</v>
      </c>
      <c r="AB277" s="135">
        <v>0.0</v>
      </c>
      <c r="AC277" s="135">
        <v>0.0</v>
      </c>
      <c r="AD277" s="135">
        <v>0.0</v>
      </c>
      <c r="AE277" s="135">
        <v>0.0</v>
      </c>
      <c r="AF277" s="137">
        <v>10.0</v>
      </c>
      <c r="AG277" s="137">
        <v>34.0</v>
      </c>
      <c r="AH277" s="137">
        <v>12.0</v>
      </c>
      <c r="AI277" s="137">
        <v>26.0</v>
      </c>
      <c r="AJ277" s="137">
        <v>6.0</v>
      </c>
      <c r="AK277" s="137">
        <v>24.0</v>
      </c>
      <c r="AL277" s="137">
        <v>2.0</v>
      </c>
      <c r="AM277" s="137">
        <v>16.0</v>
      </c>
      <c r="AN277" s="137">
        <v>120.0</v>
      </c>
    </row>
    <row r="278">
      <c r="A278" s="132" t="s">
        <v>204</v>
      </c>
      <c r="B278" s="136" t="s">
        <v>198</v>
      </c>
      <c r="C278" s="137">
        <v>0.0</v>
      </c>
      <c r="D278" s="137">
        <v>0.0</v>
      </c>
      <c r="E278" s="137">
        <v>0.0</v>
      </c>
      <c r="F278" s="135">
        <v>0.0</v>
      </c>
      <c r="G278" s="135">
        <v>0.0</v>
      </c>
      <c r="H278" s="135">
        <v>0.0</v>
      </c>
      <c r="I278" s="135">
        <v>0.0</v>
      </c>
      <c r="J278" s="135">
        <v>0.0</v>
      </c>
      <c r="K278" s="135">
        <v>0.0</v>
      </c>
      <c r="L278" s="135">
        <v>0.0</v>
      </c>
      <c r="M278" s="135">
        <v>0.0</v>
      </c>
      <c r="N278" s="135">
        <v>0.0</v>
      </c>
      <c r="O278" s="135">
        <v>0.0</v>
      </c>
      <c r="P278" s="135">
        <v>0.0</v>
      </c>
      <c r="Q278" s="135">
        <v>0.0</v>
      </c>
      <c r="R278" s="135">
        <v>0.0</v>
      </c>
      <c r="S278" s="135">
        <v>0.0</v>
      </c>
      <c r="T278" s="135">
        <v>0.0</v>
      </c>
      <c r="U278" s="135">
        <v>0.0</v>
      </c>
      <c r="V278" s="135">
        <v>0.0</v>
      </c>
      <c r="W278" s="135">
        <v>0.0</v>
      </c>
      <c r="X278" s="135">
        <v>0.0</v>
      </c>
      <c r="Y278" s="135">
        <v>0.0</v>
      </c>
      <c r="Z278" s="135">
        <v>0.0</v>
      </c>
      <c r="AA278" s="135">
        <v>0.0</v>
      </c>
      <c r="AB278" s="135">
        <v>0.0</v>
      </c>
      <c r="AC278" s="135">
        <v>0.0</v>
      </c>
      <c r="AD278" s="135">
        <v>0.0</v>
      </c>
      <c r="AE278" s="135">
        <v>0.0</v>
      </c>
      <c r="AF278" s="137">
        <v>0.0</v>
      </c>
      <c r="AG278" s="137">
        <v>0.0</v>
      </c>
      <c r="AH278" s="137">
        <v>0.0</v>
      </c>
      <c r="AI278" s="137">
        <v>0.0</v>
      </c>
      <c r="AJ278" s="137">
        <v>0.0</v>
      </c>
      <c r="AK278" s="137">
        <v>0.0</v>
      </c>
      <c r="AL278" s="137">
        <v>0.0</v>
      </c>
      <c r="AM278" s="137">
        <v>0.0</v>
      </c>
      <c r="AN278" s="137">
        <v>0.0</v>
      </c>
    </row>
    <row r="279">
      <c r="A279" s="104"/>
      <c r="B279" s="136" t="s">
        <v>199</v>
      </c>
      <c r="C279" s="137">
        <v>66.0</v>
      </c>
      <c r="D279" s="137">
        <v>12.0</v>
      </c>
      <c r="E279" s="137">
        <v>54.0</v>
      </c>
      <c r="F279" s="135">
        <v>0.0</v>
      </c>
      <c r="G279" s="135">
        <v>0.0</v>
      </c>
      <c r="H279" s="135">
        <v>0.0</v>
      </c>
      <c r="I279" s="135">
        <v>0.0</v>
      </c>
      <c r="J279" s="135">
        <v>0.0</v>
      </c>
      <c r="K279" s="135">
        <v>0.0</v>
      </c>
      <c r="L279" s="135">
        <v>0.0</v>
      </c>
      <c r="M279" s="135">
        <v>0.0</v>
      </c>
      <c r="N279" s="135">
        <v>0.0</v>
      </c>
      <c r="O279" s="135">
        <v>0.0</v>
      </c>
      <c r="P279" s="135">
        <v>0.0</v>
      </c>
      <c r="Q279" s="135">
        <v>0.0</v>
      </c>
      <c r="R279" s="135">
        <v>0.0</v>
      </c>
      <c r="S279" s="135">
        <v>0.0</v>
      </c>
      <c r="T279" s="135">
        <v>0.0</v>
      </c>
      <c r="U279" s="135">
        <v>0.0</v>
      </c>
      <c r="V279" s="135">
        <v>0.0</v>
      </c>
      <c r="W279" s="135">
        <v>0.0</v>
      </c>
      <c r="X279" s="135">
        <v>0.0</v>
      </c>
      <c r="Y279" s="135">
        <v>0.0</v>
      </c>
      <c r="Z279" s="135">
        <v>0.0</v>
      </c>
      <c r="AA279" s="135">
        <v>0.0</v>
      </c>
      <c r="AB279" s="135">
        <v>0.0</v>
      </c>
      <c r="AC279" s="135">
        <v>0.0</v>
      </c>
      <c r="AD279" s="135">
        <v>0.0</v>
      </c>
      <c r="AE279" s="135">
        <v>0.0</v>
      </c>
      <c r="AF279" s="137">
        <v>0.0</v>
      </c>
      <c r="AG279" s="137">
        <v>16.0</v>
      </c>
      <c r="AH279" s="137">
        <v>8.0</v>
      </c>
      <c r="AI279" s="137">
        <v>10.0</v>
      </c>
      <c r="AJ279" s="137">
        <v>4.0</v>
      </c>
      <c r="AK279" s="137">
        <v>12.0</v>
      </c>
      <c r="AL279" s="137">
        <v>0.0</v>
      </c>
      <c r="AM279" s="137">
        <v>16.0</v>
      </c>
      <c r="AN279" s="137">
        <v>56.0</v>
      </c>
    </row>
    <row r="280">
      <c r="A280" s="132" t="s">
        <v>205</v>
      </c>
      <c r="B280" s="136" t="s">
        <v>198</v>
      </c>
      <c r="C280" s="137">
        <v>44.0</v>
      </c>
      <c r="D280" s="137">
        <v>18.0</v>
      </c>
      <c r="E280" s="137">
        <v>26.0</v>
      </c>
      <c r="F280" s="137">
        <v>0.0</v>
      </c>
      <c r="G280" s="137">
        <v>0.0</v>
      </c>
      <c r="H280" s="137">
        <v>0.0</v>
      </c>
      <c r="I280" s="137">
        <v>0.0</v>
      </c>
      <c r="J280" s="137">
        <v>0.0</v>
      </c>
      <c r="K280" s="137">
        <v>0.0</v>
      </c>
      <c r="L280" s="137">
        <v>0.0</v>
      </c>
      <c r="M280" s="137">
        <v>0.0</v>
      </c>
      <c r="N280" s="137">
        <v>4.0</v>
      </c>
      <c r="O280" s="137">
        <v>0.0</v>
      </c>
      <c r="P280" s="137">
        <v>4.0</v>
      </c>
      <c r="Q280" s="137">
        <v>0.0</v>
      </c>
      <c r="R280" s="137">
        <v>0.0</v>
      </c>
      <c r="S280" s="137">
        <v>2.0</v>
      </c>
      <c r="T280" s="137">
        <v>2.0</v>
      </c>
      <c r="U280" s="137">
        <v>2.0</v>
      </c>
      <c r="V280" s="137">
        <v>0.0</v>
      </c>
      <c r="W280" s="137">
        <v>0.0</v>
      </c>
      <c r="X280" s="137">
        <v>0.0</v>
      </c>
      <c r="Y280" s="137">
        <v>0.0</v>
      </c>
      <c r="Z280" s="137">
        <v>4.0</v>
      </c>
      <c r="AA280" s="137">
        <v>0.0</v>
      </c>
      <c r="AB280" s="137">
        <v>0.0</v>
      </c>
      <c r="AC280" s="137">
        <v>0.0</v>
      </c>
      <c r="AD280" s="137">
        <v>0.0</v>
      </c>
      <c r="AE280" s="137">
        <v>2.0</v>
      </c>
      <c r="AF280" s="137">
        <v>2.0</v>
      </c>
      <c r="AG280" s="137">
        <v>12.0</v>
      </c>
      <c r="AH280" s="137">
        <v>0.0</v>
      </c>
      <c r="AI280" s="137">
        <v>0.0</v>
      </c>
      <c r="AJ280" s="137">
        <v>0.0</v>
      </c>
      <c r="AK280" s="137">
        <v>2.0</v>
      </c>
      <c r="AL280" s="137">
        <v>2.0</v>
      </c>
      <c r="AM280" s="137">
        <v>6.0</v>
      </c>
      <c r="AN280" s="137">
        <v>44.0</v>
      </c>
    </row>
    <row r="281">
      <c r="A281" s="98"/>
      <c r="B281" s="136" t="s">
        <v>199</v>
      </c>
      <c r="C281" s="137">
        <v>0.0</v>
      </c>
      <c r="D281" s="137">
        <v>0.0</v>
      </c>
      <c r="E281" s="137">
        <v>0.0</v>
      </c>
      <c r="F281" s="137">
        <v>0.0</v>
      </c>
      <c r="G281" s="137">
        <v>0.0</v>
      </c>
      <c r="H281" s="137">
        <v>0.0</v>
      </c>
      <c r="I281" s="137">
        <v>0.0</v>
      </c>
      <c r="J281" s="137">
        <v>0.0</v>
      </c>
      <c r="K281" s="137">
        <v>0.0</v>
      </c>
      <c r="L281" s="137">
        <v>0.0</v>
      </c>
      <c r="M281" s="137">
        <v>0.0</v>
      </c>
      <c r="N281" s="137">
        <v>0.0</v>
      </c>
      <c r="O281" s="137">
        <v>0.0</v>
      </c>
      <c r="P281" s="137">
        <v>0.0</v>
      </c>
      <c r="Q281" s="137">
        <v>0.0</v>
      </c>
      <c r="R281" s="137">
        <v>0.0</v>
      </c>
      <c r="S281" s="137">
        <v>0.0</v>
      </c>
      <c r="T281" s="137">
        <v>0.0</v>
      </c>
      <c r="U281" s="137">
        <v>0.0</v>
      </c>
      <c r="V281" s="137">
        <v>0.0</v>
      </c>
      <c r="W281" s="137">
        <v>0.0</v>
      </c>
      <c r="X281" s="137">
        <v>0.0</v>
      </c>
      <c r="Y281" s="137">
        <v>0.0</v>
      </c>
      <c r="Z281" s="137">
        <v>0.0</v>
      </c>
      <c r="AA281" s="137">
        <v>0.0</v>
      </c>
      <c r="AB281" s="137">
        <v>0.0</v>
      </c>
      <c r="AC281" s="137">
        <v>0.0</v>
      </c>
      <c r="AD281" s="137">
        <v>0.0</v>
      </c>
      <c r="AE281" s="137">
        <v>0.0</v>
      </c>
      <c r="AF281" s="137">
        <v>0.0</v>
      </c>
      <c r="AG281" s="137">
        <v>0.0</v>
      </c>
      <c r="AH281" s="137">
        <v>0.0</v>
      </c>
      <c r="AI281" s="137">
        <v>0.0</v>
      </c>
      <c r="AJ281" s="137">
        <v>0.0</v>
      </c>
      <c r="AK281" s="137">
        <v>0.0</v>
      </c>
      <c r="AL281" s="137">
        <v>0.0</v>
      </c>
      <c r="AM281" s="137">
        <v>0.0</v>
      </c>
      <c r="AN281" s="137">
        <v>0.0</v>
      </c>
    </row>
    <row r="282">
      <c r="A282" s="104"/>
      <c r="B282" s="136" t="s">
        <v>206</v>
      </c>
      <c r="C282" s="137">
        <v>12.0</v>
      </c>
      <c r="D282" s="137">
        <v>0.0</v>
      </c>
      <c r="E282" s="137">
        <v>12.0</v>
      </c>
      <c r="F282" s="137">
        <v>0.0</v>
      </c>
      <c r="G282" s="137">
        <v>0.0</v>
      </c>
      <c r="H282" s="137">
        <v>0.0</v>
      </c>
      <c r="I282" s="137">
        <v>0.0</v>
      </c>
      <c r="J282" s="137">
        <v>0.0</v>
      </c>
      <c r="K282" s="137">
        <v>0.0</v>
      </c>
      <c r="L282" s="137">
        <v>0.0</v>
      </c>
      <c r="M282" s="137">
        <v>0.0</v>
      </c>
      <c r="N282" s="137">
        <v>0.0</v>
      </c>
      <c r="O282" s="137">
        <v>0.0</v>
      </c>
      <c r="P282" s="137">
        <v>0.0</v>
      </c>
      <c r="Q282" s="137">
        <v>0.0</v>
      </c>
      <c r="R282" s="137">
        <v>0.0</v>
      </c>
      <c r="S282" s="137">
        <v>2.0</v>
      </c>
      <c r="T282" s="137">
        <v>0.0</v>
      </c>
      <c r="U282" s="137">
        <v>2.0</v>
      </c>
      <c r="V282" s="137">
        <v>0.0</v>
      </c>
      <c r="W282" s="137">
        <v>2.0</v>
      </c>
      <c r="X282" s="137">
        <v>0.0</v>
      </c>
      <c r="Y282" s="137">
        <v>2.0</v>
      </c>
      <c r="Z282" s="137">
        <v>0.0</v>
      </c>
      <c r="AA282" s="137">
        <v>0.0</v>
      </c>
      <c r="AB282" s="137">
        <v>0.0</v>
      </c>
      <c r="AC282" s="137">
        <v>2.0</v>
      </c>
      <c r="AD282" s="137">
        <v>0.0</v>
      </c>
      <c r="AE282" s="137">
        <v>2.0</v>
      </c>
      <c r="AF282" s="137">
        <v>0.0</v>
      </c>
      <c r="AG282" s="137">
        <v>0.0</v>
      </c>
      <c r="AH282" s="137">
        <v>0.0</v>
      </c>
      <c r="AI282" s="137">
        <v>0.0</v>
      </c>
      <c r="AJ282" s="137">
        <v>0.0</v>
      </c>
      <c r="AK282" s="137">
        <v>0.0</v>
      </c>
      <c r="AL282" s="137">
        <v>0.0</v>
      </c>
      <c r="AM282" s="137">
        <v>0.0</v>
      </c>
      <c r="AN282" s="137">
        <v>12.0</v>
      </c>
    </row>
    <row r="283">
      <c r="A283" s="132" t="s">
        <v>207</v>
      </c>
      <c r="B283" s="136" t="s">
        <v>198</v>
      </c>
      <c r="C283" s="134">
        <v>16194.0</v>
      </c>
      <c r="D283" s="134">
        <v>3182.0</v>
      </c>
      <c r="E283" s="134">
        <v>13012.0</v>
      </c>
      <c r="F283" s="137">
        <v>238.0</v>
      </c>
      <c r="G283" s="137">
        <v>190.0</v>
      </c>
      <c r="H283" s="137">
        <v>94.0</v>
      </c>
      <c r="I283" s="137">
        <v>50.0</v>
      </c>
      <c r="J283" s="137">
        <v>64.0</v>
      </c>
      <c r="K283" s="137">
        <v>58.0</v>
      </c>
      <c r="L283" s="137">
        <v>56.0</v>
      </c>
      <c r="M283" s="137">
        <v>120.0</v>
      </c>
      <c r="N283" s="137">
        <v>52.0</v>
      </c>
      <c r="O283" s="137">
        <v>200.0</v>
      </c>
      <c r="P283" s="137">
        <v>68.0</v>
      </c>
      <c r="Q283" s="137">
        <v>332.0</v>
      </c>
      <c r="R283" s="137">
        <v>84.0</v>
      </c>
      <c r="S283" s="137">
        <v>350.0</v>
      </c>
      <c r="T283" s="137">
        <v>114.0</v>
      </c>
      <c r="U283" s="137">
        <v>462.0</v>
      </c>
      <c r="V283" s="137">
        <v>94.0</v>
      </c>
      <c r="W283" s="137">
        <v>446.0</v>
      </c>
      <c r="X283" s="137">
        <v>114.0</v>
      </c>
      <c r="Y283" s="137">
        <v>584.0</v>
      </c>
      <c r="Z283" s="137">
        <v>154.0</v>
      </c>
      <c r="AA283" s="137">
        <v>872.0</v>
      </c>
      <c r="AB283" s="137">
        <v>282.0</v>
      </c>
      <c r="AC283" s="134">
        <v>1576.0</v>
      </c>
      <c r="AD283" s="137">
        <v>294.0</v>
      </c>
      <c r="AE283" s="134">
        <v>1718.0</v>
      </c>
      <c r="AF283" s="137">
        <v>370.0</v>
      </c>
      <c r="AG283" s="134">
        <v>1674.0</v>
      </c>
      <c r="AH283" s="137">
        <v>408.0</v>
      </c>
      <c r="AI283" s="134">
        <v>1554.0</v>
      </c>
      <c r="AJ283" s="137">
        <v>300.0</v>
      </c>
      <c r="AK283" s="134">
        <v>1276.0</v>
      </c>
      <c r="AL283" s="137">
        <v>396.0</v>
      </c>
      <c r="AM283" s="134">
        <v>1550.0</v>
      </c>
      <c r="AN283" s="134">
        <v>15952.0</v>
      </c>
    </row>
    <row r="284">
      <c r="A284" s="98"/>
      <c r="B284" s="136" t="s">
        <v>199</v>
      </c>
      <c r="C284" s="137">
        <v>268.0</v>
      </c>
      <c r="D284" s="137">
        <v>80.0</v>
      </c>
      <c r="E284" s="137">
        <v>188.0</v>
      </c>
      <c r="F284" s="137">
        <v>0.0</v>
      </c>
      <c r="G284" s="137">
        <v>0.0</v>
      </c>
      <c r="H284" s="137">
        <v>0.0</v>
      </c>
      <c r="I284" s="137">
        <v>0.0</v>
      </c>
      <c r="J284" s="137">
        <v>4.0</v>
      </c>
      <c r="K284" s="137">
        <v>0.0</v>
      </c>
      <c r="L284" s="137">
        <v>2.0</v>
      </c>
      <c r="M284" s="137">
        <v>2.0</v>
      </c>
      <c r="N284" s="137">
        <v>0.0</v>
      </c>
      <c r="O284" s="137">
        <v>0.0</v>
      </c>
      <c r="P284" s="137">
        <v>2.0</v>
      </c>
      <c r="Q284" s="137">
        <v>2.0</v>
      </c>
      <c r="R284" s="137">
        <v>0.0</v>
      </c>
      <c r="S284" s="137">
        <v>6.0</v>
      </c>
      <c r="T284" s="137">
        <v>2.0</v>
      </c>
      <c r="U284" s="137">
        <v>2.0</v>
      </c>
      <c r="V284" s="137">
        <v>4.0</v>
      </c>
      <c r="W284" s="137">
        <v>4.0</v>
      </c>
      <c r="X284" s="137">
        <v>6.0</v>
      </c>
      <c r="Y284" s="137">
        <v>2.0</v>
      </c>
      <c r="Z284" s="137">
        <v>6.0</v>
      </c>
      <c r="AA284" s="137">
        <v>4.0</v>
      </c>
      <c r="AB284" s="137">
        <v>0.0</v>
      </c>
      <c r="AC284" s="137">
        <v>18.0</v>
      </c>
      <c r="AD284" s="137">
        <v>4.0</v>
      </c>
      <c r="AE284" s="137">
        <v>12.0</v>
      </c>
      <c r="AF284" s="137">
        <v>8.0</v>
      </c>
      <c r="AG284" s="137">
        <v>14.0</v>
      </c>
      <c r="AH284" s="137">
        <v>10.0</v>
      </c>
      <c r="AI284" s="137">
        <v>34.0</v>
      </c>
      <c r="AJ284" s="137">
        <v>12.0</v>
      </c>
      <c r="AK284" s="137">
        <v>40.0</v>
      </c>
      <c r="AL284" s="137">
        <v>20.0</v>
      </c>
      <c r="AM284" s="137">
        <v>48.0</v>
      </c>
      <c r="AN284" s="137">
        <v>268.0</v>
      </c>
    </row>
    <row r="285">
      <c r="A285" s="98"/>
      <c r="B285" s="136" t="s">
        <v>206</v>
      </c>
      <c r="C285" s="137">
        <v>70.0</v>
      </c>
      <c r="D285" s="137">
        <v>18.0</v>
      </c>
      <c r="E285" s="137">
        <v>52.0</v>
      </c>
      <c r="F285" s="137">
        <v>0.0</v>
      </c>
      <c r="G285" s="137">
        <v>0.0</v>
      </c>
      <c r="H285" s="137">
        <v>0.0</v>
      </c>
      <c r="I285" s="137">
        <v>0.0</v>
      </c>
      <c r="J285" s="137">
        <v>0.0</v>
      </c>
      <c r="K285" s="137">
        <v>0.0</v>
      </c>
      <c r="L285" s="137">
        <v>0.0</v>
      </c>
      <c r="M285" s="137">
        <v>0.0</v>
      </c>
      <c r="N285" s="137">
        <v>0.0</v>
      </c>
      <c r="O285" s="137">
        <v>2.0</v>
      </c>
      <c r="P285" s="137">
        <v>0.0</v>
      </c>
      <c r="Q285" s="137">
        <v>0.0</v>
      </c>
      <c r="R285" s="137">
        <v>0.0</v>
      </c>
      <c r="S285" s="137">
        <v>2.0</v>
      </c>
      <c r="T285" s="137">
        <v>0.0</v>
      </c>
      <c r="U285" s="137">
        <v>0.0</v>
      </c>
      <c r="V285" s="137">
        <v>0.0</v>
      </c>
      <c r="W285" s="137">
        <v>0.0</v>
      </c>
      <c r="X285" s="137">
        <v>0.0</v>
      </c>
      <c r="Y285" s="137">
        <v>2.0</v>
      </c>
      <c r="Z285" s="137">
        <v>2.0</v>
      </c>
      <c r="AA285" s="137">
        <v>2.0</v>
      </c>
      <c r="AB285" s="137">
        <v>2.0</v>
      </c>
      <c r="AC285" s="137">
        <v>8.0</v>
      </c>
      <c r="AD285" s="137">
        <v>4.0</v>
      </c>
      <c r="AE285" s="137">
        <v>10.0</v>
      </c>
      <c r="AF285" s="137">
        <v>4.0</v>
      </c>
      <c r="AG285" s="137">
        <v>2.0</v>
      </c>
      <c r="AH285" s="137">
        <v>2.0</v>
      </c>
      <c r="AI285" s="137">
        <v>8.0</v>
      </c>
      <c r="AJ285" s="137">
        <v>2.0</v>
      </c>
      <c r="AK285" s="137">
        <v>10.0</v>
      </c>
      <c r="AL285" s="137">
        <v>2.0</v>
      </c>
      <c r="AM285" s="137">
        <v>6.0</v>
      </c>
      <c r="AN285" s="137">
        <v>70.0</v>
      </c>
    </row>
    <row r="286">
      <c r="A286" s="98"/>
      <c r="B286" s="136" t="s">
        <v>200</v>
      </c>
      <c r="C286" s="134">
        <v>1162.0</v>
      </c>
      <c r="D286" s="137">
        <v>490.0</v>
      </c>
      <c r="E286" s="137">
        <v>672.0</v>
      </c>
      <c r="F286" s="137">
        <v>306.0</v>
      </c>
      <c r="G286" s="137">
        <v>264.0</v>
      </c>
      <c r="H286" s="137">
        <v>6.0</v>
      </c>
      <c r="I286" s="137">
        <v>16.0</v>
      </c>
      <c r="J286" s="137">
        <v>6.0</v>
      </c>
      <c r="K286" s="137">
        <v>6.0</v>
      </c>
      <c r="L286" s="137">
        <v>0.0</v>
      </c>
      <c r="M286" s="137">
        <v>6.0</v>
      </c>
      <c r="N286" s="137">
        <v>0.0</v>
      </c>
      <c r="O286" s="137">
        <v>6.0</v>
      </c>
      <c r="P286" s="137">
        <v>2.0</v>
      </c>
      <c r="Q286" s="137">
        <v>4.0</v>
      </c>
      <c r="R286" s="137">
        <v>0.0</v>
      </c>
      <c r="S286" s="137">
        <v>10.0</v>
      </c>
      <c r="T286" s="137">
        <v>0.0</v>
      </c>
      <c r="U286" s="137">
        <v>8.0</v>
      </c>
      <c r="V286" s="137">
        <v>6.0</v>
      </c>
      <c r="W286" s="137">
        <v>10.0</v>
      </c>
      <c r="X286" s="137">
        <v>4.0</v>
      </c>
      <c r="Y286" s="137">
        <v>12.0</v>
      </c>
      <c r="Z286" s="137">
        <v>4.0</v>
      </c>
      <c r="AA286" s="137">
        <v>38.0</v>
      </c>
      <c r="AB286" s="137">
        <v>0.0</v>
      </c>
      <c r="AC286" s="137">
        <v>42.0</v>
      </c>
      <c r="AD286" s="137">
        <v>6.0</v>
      </c>
      <c r="AE286" s="137">
        <v>34.0</v>
      </c>
      <c r="AF286" s="137">
        <v>8.0</v>
      </c>
      <c r="AG286" s="137">
        <v>16.0</v>
      </c>
      <c r="AH286" s="137">
        <v>4.0</v>
      </c>
      <c r="AI286" s="137">
        <v>16.0</v>
      </c>
      <c r="AJ286" s="137">
        <v>0.0</v>
      </c>
      <c r="AK286" s="137">
        <v>4.0</v>
      </c>
      <c r="AL286" s="137">
        <v>138.0</v>
      </c>
      <c r="AM286" s="137">
        <v>180.0</v>
      </c>
      <c r="AN286" s="134">
        <v>1094.0</v>
      </c>
    </row>
    <row r="287">
      <c r="A287" s="104"/>
      <c r="B287" s="136" t="s">
        <v>201</v>
      </c>
      <c r="C287" s="137">
        <v>180.0</v>
      </c>
      <c r="D287" s="137">
        <v>42.0</v>
      </c>
      <c r="E287" s="137">
        <v>138.0</v>
      </c>
      <c r="F287" s="137">
        <v>0.0</v>
      </c>
      <c r="G287" s="137">
        <v>0.0</v>
      </c>
      <c r="H287" s="137">
        <v>0.0</v>
      </c>
      <c r="I287" s="137">
        <v>0.0</v>
      </c>
      <c r="J287" s="137">
        <v>0.0</v>
      </c>
      <c r="K287" s="137">
        <v>0.0</v>
      </c>
      <c r="L287" s="137">
        <v>0.0</v>
      </c>
      <c r="M287" s="137">
        <v>0.0</v>
      </c>
      <c r="N287" s="137">
        <v>6.0</v>
      </c>
      <c r="O287" s="137">
        <v>14.0</v>
      </c>
      <c r="P287" s="137">
        <v>8.0</v>
      </c>
      <c r="Q287" s="137">
        <v>26.0</v>
      </c>
      <c r="R287" s="137">
        <v>8.0</v>
      </c>
      <c r="S287" s="137">
        <v>26.0</v>
      </c>
      <c r="T287" s="137">
        <v>6.0</v>
      </c>
      <c r="U287" s="137">
        <v>10.0</v>
      </c>
      <c r="V287" s="137">
        <v>4.0</v>
      </c>
      <c r="W287" s="137">
        <v>16.0</v>
      </c>
      <c r="X287" s="137">
        <v>0.0</v>
      </c>
      <c r="Y287" s="137">
        <v>4.0</v>
      </c>
      <c r="Z287" s="137">
        <v>0.0</v>
      </c>
      <c r="AA287" s="137">
        <v>0.0</v>
      </c>
      <c r="AB287" s="137">
        <v>2.0</v>
      </c>
      <c r="AC287" s="137">
        <v>22.0</v>
      </c>
      <c r="AD287" s="137">
        <v>8.0</v>
      </c>
      <c r="AE287" s="137">
        <v>20.0</v>
      </c>
      <c r="AF287" s="137">
        <v>0.0</v>
      </c>
      <c r="AG287" s="137">
        <v>0.0</v>
      </c>
      <c r="AH287" s="137">
        <v>0.0</v>
      </c>
      <c r="AI287" s="137">
        <v>0.0</v>
      </c>
      <c r="AJ287" s="137">
        <v>0.0</v>
      </c>
      <c r="AK287" s="137">
        <v>0.0</v>
      </c>
      <c r="AL287" s="137">
        <v>0.0</v>
      </c>
      <c r="AM287" s="137">
        <v>0.0</v>
      </c>
      <c r="AN287" s="137">
        <v>180.0</v>
      </c>
    </row>
    <row r="288">
      <c r="A288" s="132" t="s">
        <v>208</v>
      </c>
      <c r="B288" s="136" t="s">
        <v>198</v>
      </c>
      <c r="C288" s="137">
        <v>0.0</v>
      </c>
      <c r="D288" s="137">
        <v>0.0</v>
      </c>
      <c r="E288" s="137">
        <v>0.0</v>
      </c>
      <c r="F288" s="137">
        <v>0.0</v>
      </c>
      <c r="G288" s="137">
        <v>0.0</v>
      </c>
      <c r="H288" s="137">
        <v>0.0</v>
      </c>
      <c r="I288" s="137">
        <v>0.0</v>
      </c>
      <c r="J288" s="137">
        <v>0.0</v>
      </c>
      <c r="K288" s="137">
        <v>0.0</v>
      </c>
      <c r="L288" s="137">
        <v>0.0</v>
      </c>
      <c r="M288" s="137">
        <v>0.0</v>
      </c>
      <c r="N288" s="137">
        <v>0.0</v>
      </c>
      <c r="O288" s="137">
        <v>0.0</v>
      </c>
      <c r="P288" s="135">
        <v>0.0</v>
      </c>
      <c r="Q288" s="135">
        <v>0.0</v>
      </c>
      <c r="R288" s="135">
        <v>0.0</v>
      </c>
      <c r="S288" s="135">
        <v>0.0</v>
      </c>
      <c r="T288" s="135">
        <v>0.0</v>
      </c>
      <c r="U288" s="135">
        <v>0.0</v>
      </c>
      <c r="V288" s="135">
        <v>0.0</v>
      </c>
      <c r="W288" s="135">
        <v>0.0</v>
      </c>
      <c r="X288" s="135">
        <v>0.0</v>
      </c>
      <c r="Y288" s="135">
        <v>0.0</v>
      </c>
      <c r="Z288" s="135">
        <v>0.0</v>
      </c>
      <c r="AA288" s="135">
        <v>0.0</v>
      </c>
      <c r="AB288" s="135">
        <v>0.0</v>
      </c>
      <c r="AC288" s="135">
        <v>0.0</v>
      </c>
      <c r="AD288" s="135">
        <v>0.0</v>
      </c>
      <c r="AE288" s="135">
        <v>0.0</v>
      </c>
      <c r="AF288" s="135">
        <v>0.0</v>
      </c>
      <c r="AG288" s="135">
        <v>0.0</v>
      </c>
      <c r="AH288" s="135">
        <v>0.0</v>
      </c>
      <c r="AI288" s="135">
        <v>0.0</v>
      </c>
      <c r="AJ288" s="135">
        <v>0.0</v>
      </c>
      <c r="AK288" s="135">
        <v>0.0</v>
      </c>
      <c r="AL288" s="135">
        <v>0.0</v>
      </c>
      <c r="AM288" s="135">
        <v>0.0</v>
      </c>
      <c r="AN288" s="137">
        <v>0.0</v>
      </c>
    </row>
    <row r="289">
      <c r="A289" s="98"/>
      <c r="B289" s="136" t="s">
        <v>199</v>
      </c>
      <c r="C289" s="137">
        <v>0.0</v>
      </c>
      <c r="D289" s="137">
        <v>0.0</v>
      </c>
      <c r="E289" s="137">
        <v>0.0</v>
      </c>
      <c r="F289" s="137">
        <v>0.0</v>
      </c>
      <c r="G289" s="137">
        <v>0.0</v>
      </c>
      <c r="H289" s="137">
        <v>0.0</v>
      </c>
      <c r="I289" s="137">
        <v>0.0</v>
      </c>
      <c r="J289" s="137">
        <v>0.0</v>
      </c>
      <c r="K289" s="137">
        <v>0.0</v>
      </c>
      <c r="L289" s="137">
        <v>0.0</v>
      </c>
      <c r="M289" s="137">
        <v>0.0</v>
      </c>
      <c r="N289" s="137">
        <v>0.0</v>
      </c>
      <c r="O289" s="137">
        <v>0.0</v>
      </c>
      <c r="P289" s="135">
        <v>0.0</v>
      </c>
      <c r="Q289" s="135">
        <v>0.0</v>
      </c>
      <c r="R289" s="135">
        <v>0.0</v>
      </c>
      <c r="S289" s="135">
        <v>0.0</v>
      </c>
      <c r="T289" s="135">
        <v>0.0</v>
      </c>
      <c r="U289" s="135">
        <v>0.0</v>
      </c>
      <c r="V289" s="135">
        <v>0.0</v>
      </c>
      <c r="W289" s="135">
        <v>0.0</v>
      </c>
      <c r="X289" s="135">
        <v>0.0</v>
      </c>
      <c r="Y289" s="135">
        <v>0.0</v>
      </c>
      <c r="Z289" s="135">
        <v>0.0</v>
      </c>
      <c r="AA289" s="135">
        <v>0.0</v>
      </c>
      <c r="AB289" s="135">
        <v>0.0</v>
      </c>
      <c r="AC289" s="135">
        <v>0.0</v>
      </c>
      <c r="AD289" s="135">
        <v>0.0</v>
      </c>
      <c r="AE289" s="135">
        <v>0.0</v>
      </c>
      <c r="AF289" s="135">
        <v>0.0</v>
      </c>
      <c r="AG289" s="135">
        <v>0.0</v>
      </c>
      <c r="AH289" s="135">
        <v>0.0</v>
      </c>
      <c r="AI289" s="135">
        <v>0.0</v>
      </c>
      <c r="AJ289" s="135">
        <v>0.0</v>
      </c>
      <c r="AK289" s="135">
        <v>0.0</v>
      </c>
      <c r="AL289" s="135">
        <v>0.0</v>
      </c>
      <c r="AM289" s="135">
        <v>0.0</v>
      </c>
      <c r="AN289" s="137">
        <v>0.0</v>
      </c>
    </row>
    <row r="290">
      <c r="A290" s="98"/>
      <c r="B290" s="136" t="s">
        <v>206</v>
      </c>
      <c r="C290" s="137">
        <v>32.0</v>
      </c>
      <c r="D290" s="137">
        <v>18.0</v>
      </c>
      <c r="E290" s="137">
        <v>14.0</v>
      </c>
      <c r="F290" s="137">
        <v>8.0</v>
      </c>
      <c r="G290" s="137">
        <v>0.0</v>
      </c>
      <c r="H290" s="137">
        <v>8.0</v>
      </c>
      <c r="I290" s="137">
        <v>0.0</v>
      </c>
      <c r="J290" s="137">
        <v>0.0</v>
      </c>
      <c r="K290" s="137">
        <v>12.0</v>
      </c>
      <c r="L290" s="137">
        <v>0.0</v>
      </c>
      <c r="M290" s="137">
        <v>2.0</v>
      </c>
      <c r="N290" s="137">
        <v>2.0</v>
      </c>
      <c r="O290" s="137">
        <v>0.0</v>
      </c>
      <c r="P290" s="135">
        <v>0.0</v>
      </c>
      <c r="Q290" s="135">
        <v>0.0</v>
      </c>
      <c r="R290" s="135">
        <v>0.0</v>
      </c>
      <c r="S290" s="135">
        <v>0.0</v>
      </c>
      <c r="T290" s="135">
        <v>0.0</v>
      </c>
      <c r="U290" s="135">
        <v>0.0</v>
      </c>
      <c r="V290" s="135">
        <v>0.0</v>
      </c>
      <c r="W290" s="135">
        <v>0.0</v>
      </c>
      <c r="X290" s="135">
        <v>0.0</v>
      </c>
      <c r="Y290" s="135">
        <v>0.0</v>
      </c>
      <c r="Z290" s="135">
        <v>0.0</v>
      </c>
      <c r="AA290" s="135">
        <v>0.0</v>
      </c>
      <c r="AB290" s="135">
        <v>0.0</v>
      </c>
      <c r="AC290" s="135">
        <v>0.0</v>
      </c>
      <c r="AD290" s="135">
        <v>0.0</v>
      </c>
      <c r="AE290" s="135">
        <v>0.0</v>
      </c>
      <c r="AF290" s="135">
        <v>0.0</v>
      </c>
      <c r="AG290" s="135">
        <v>0.0</v>
      </c>
      <c r="AH290" s="135">
        <v>0.0</v>
      </c>
      <c r="AI290" s="135">
        <v>0.0</v>
      </c>
      <c r="AJ290" s="135">
        <v>0.0</v>
      </c>
      <c r="AK290" s="135">
        <v>0.0</v>
      </c>
      <c r="AL290" s="135">
        <v>0.0</v>
      </c>
      <c r="AM290" s="135">
        <v>0.0</v>
      </c>
      <c r="AN290" s="137">
        <v>14.0</v>
      </c>
    </row>
    <row r="291">
      <c r="A291" s="98"/>
      <c r="B291" s="136" t="s">
        <v>200</v>
      </c>
      <c r="C291" s="137">
        <v>0.0</v>
      </c>
      <c r="D291" s="137">
        <v>0.0</v>
      </c>
      <c r="E291" s="137">
        <v>0.0</v>
      </c>
      <c r="F291" s="137">
        <v>0.0</v>
      </c>
      <c r="G291" s="137">
        <v>0.0</v>
      </c>
      <c r="H291" s="137">
        <v>0.0</v>
      </c>
      <c r="I291" s="137">
        <v>0.0</v>
      </c>
      <c r="J291" s="137">
        <v>0.0</v>
      </c>
      <c r="K291" s="137">
        <v>0.0</v>
      </c>
      <c r="L291" s="137">
        <v>0.0</v>
      </c>
      <c r="M291" s="137">
        <v>0.0</v>
      </c>
      <c r="N291" s="137">
        <v>0.0</v>
      </c>
      <c r="O291" s="137">
        <v>0.0</v>
      </c>
      <c r="P291" s="135">
        <v>0.0</v>
      </c>
      <c r="Q291" s="135">
        <v>0.0</v>
      </c>
      <c r="R291" s="135">
        <v>0.0</v>
      </c>
      <c r="S291" s="135">
        <v>0.0</v>
      </c>
      <c r="T291" s="135">
        <v>0.0</v>
      </c>
      <c r="U291" s="135">
        <v>0.0</v>
      </c>
      <c r="V291" s="135">
        <v>0.0</v>
      </c>
      <c r="W291" s="135">
        <v>0.0</v>
      </c>
      <c r="X291" s="135">
        <v>0.0</v>
      </c>
      <c r="Y291" s="135">
        <v>0.0</v>
      </c>
      <c r="Z291" s="135">
        <v>0.0</v>
      </c>
      <c r="AA291" s="135">
        <v>0.0</v>
      </c>
      <c r="AB291" s="135">
        <v>0.0</v>
      </c>
      <c r="AC291" s="135">
        <v>0.0</v>
      </c>
      <c r="AD291" s="135">
        <v>0.0</v>
      </c>
      <c r="AE291" s="135">
        <v>0.0</v>
      </c>
      <c r="AF291" s="135">
        <v>0.0</v>
      </c>
      <c r="AG291" s="135">
        <v>0.0</v>
      </c>
      <c r="AH291" s="135">
        <v>0.0</v>
      </c>
      <c r="AI291" s="135">
        <v>0.0</v>
      </c>
      <c r="AJ291" s="135">
        <v>0.0</v>
      </c>
      <c r="AK291" s="135">
        <v>0.0</v>
      </c>
      <c r="AL291" s="135">
        <v>0.0</v>
      </c>
      <c r="AM291" s="135">
        <v>0.0</v>
      </c>
      <c r="AN291" s="137">
        <v>0.0</v>
      </c>
    </row>
    <row r="292">
      <c r="A292" s="104"/>
      <c r="B292" s="136" t="s">
        <v>201</v>
      </c>
      <c r="C292" s="137">
        <v>0.0</v>
      </c>
      <c r="D292" s="137">
        <v>0.0</v>
      </c>
      <c r="E292" s="137">
        <v>0.0</v>
      </c>
      <c r="F292" s="137">
        <v>0.0</v>
      </c>
      <c r="G292" s="137">
        <v>0.0</v>
      </c>
      <c r="H292" s="137">
        <v>0.0</v>
      </c>
      <c r="I292" s="137">
        <v>0.0</v>
      </c>
      <c r="J292" s="137">
        <v>0.0</v>
      </c>
      <c r="K292" s="137">
        <v>0.0</v>
      </c>
      <c r="L292" s="137">
        <v>0.0</v>
      </c>
      <c r="M292" s="137">
        <v>0.0</v>
      </c>
      <c r="N292" s="137">
        <v>0.0</v>
      </c>
      <c r="O292" s="137">
        <v>0.0</v>
      </c>
      <c r="P292" s="135">
        <v>0.0</v>
      </c>
      <c r="Q292" s="135">
        <v>0.0</v>
      </c>
      <c r="R292" s="135">
        <v>0.0</v>
      </c>
      <c r="S292" s="135">
        <v>0.0</v>
      </c>
      <c r="T292" s="135">
        <v>0.0</v>
      </c>
      <c r="U292" s="135">
        <v>0.0</v>
      </c>
      <c r="V292" s="135">
        <v>0.0</v>
      </c>
      <c r="W292" s="135">
        <v>0.0</v>
      </c>
      <c r="X292" s="135">
        <v>0.0</v>
      </c>
      <c r="Y292" s="135">
        <v>0.0</v>
      </c>
      <c r="Z292" s="135">
        <v>0.0</v>
      </c>
      <c r="AA292" s="135">
        <v>0.0</v>
      </c>
      <c r="AB292" s="135">
        <v>0.0</v>
      </c>
      <c r="AC292" s="135">
        <v>0.0</v>
      </c>
      <c r="AD292" s="135">
        <v>0.0</v>
      </c>
      <c r="AE292" s="135">
        <v>0.0</v>
      </c>
      <c r="AF292" s="135">
        <v>0.0</v>
      </c>
      <c r="AG292" s="135">
        <v>0.0</v>
      </c>
      <c r="AH292" s="135">
        <v>0.0</v>
      </c>
      <c r="AI292" s="135">
        <v>0.0</v>
      </c>
      <c r="AJ292" s="135">
        <v>0.0</v>
      </c>
      <c r="AK292" s="135">
        <v>0.0</v>
      </c>
      <c r="AL292" s="135">
        <v>0.0</v>
      </c>
      <c r="AM292" s="135">
        <v>0.0</v>
      </c>
      <c r="AN292" s="137">
        <v>0.0</v>
      </c>
    </row>
    <row r="293">
      <c r="A293" s="138" t="s">
        <v>251</v>
      </c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</row>
    <row r="294">
      <c r="A294" s="132" t="s">
        <v>197</v>
      </c>
      <c r="B294" s="133" t="s">
        <v>198</v>
      </c>
      <c r="C294" s="134">
        <v>111418.0</v>
      </c>
      <c r="D294" s="134">
        <v>40454.0</v>
      </c>
      <c r="E294" s="134">
        <v>70964.0</v>
      </c>
      <c r="F294" s="135">
        <v>0.0</v>
      </c>
      <c r="G294" s="135">
        <v>0.0</v>
      </c>
      <c r="H294" s="135">
        <v>0.0</v>
      </c>
      <c r="I294" s="135">
        <v>0.0</v>
      </c>
      <c r="J294" s="135">
        <v>0.0</v>
      </c>
      <c r="K294" s="135">
        <v>0.0</v>
      </c>
      <c r="L294" s="137">
        <v>48.0</v>
      </c>
      <c r="M294" s="137">
        <v>22.0</v>
      </c>
      <c r="N294" s="137">
        <v>78.0</v>
      </c>
      <c r="O294" s="137">
        <v>96.0</v>
      </c>
      <c r="P294" s="137">
        <v>170.0</v>
      </c>
      <c r="Q294" s="137">
        <v>234.0</v>
      </c>
      <c r="R294" s="137">
        <v>310.0</v>
      </c>
      <c r="S294" s="137">
        <v>536.0</v>
      </c>
      <c r="T294" s="137">
        <v>636.0</v>
      </c>
      <c r="U294" s="137">
        <v>996.0</v>
      </c>
      <c r="V294" s="134">
        <v>1036.0</v>
      </c>
      <c r="W294" s="134">
        <v>1734.0</v>
      </c>
      <c r="X294" s="134">
        <v>1884.0</v>
      </c>
      <c r="Y294" s="134">
        <v>3386.0</v>
      </c>
      <c r="Z294" s="134">
        <v>3216.0</v>
      </c>
      <c r="AA294" s="134">
        <v>5762.0</v>
      </c>
      <c r="AB294" s="134">
        <v>4606.0</v>
      </c>
      <c r="AC294" s="134">
        <v>8406.0</v>
      </c>
      <c r="AD294" s="134">
        <v>5228.0</v>
      </c>
      <c r="AE294" s="134">
        <v>8984.0</v>
      </c>
      <c r="AF294" s="134">
        <v>5946.0</v>
      </c>
      <c r="AG294" s="134">
        <v>9588.0</v>
      </c>
      <c r="AH294" s="134">
        <v>6226.0</v>
      </c>
      <c r="AI294" s="134">
        <v>10764.0</v>
      </c>
      <c r="AJ294" s="134">
        <v>5284.0</v>
      </c>
      <c r="AK294" s="134">
        <v>8790.0</v>
      </c>
      <c r="AL294" s="134">
        <v>5786.0</v>
      </c>
      <c r="AM294" s="134">
        <v>11664.0</v>
      </c>
      <c r="AN294" s="134">
        <v>109202.0</v>
      </c>
    </row>
    <row r="295">
      <c r="A295" s="98"/>
      <c r="B295" s="136" t="s">
        <v>199</v>
      </c>
      <c r="C295" s="134">
        <v>44932.0</v>
      </c>
      <c r="D295" s="134">
        <v>16010.0</v>
      </c>
      <c r="E295" s="134">
        <v>28922.0</v>
      </c>
      <c r="F295" s="135">
        <v>0.0</v>
      </c>
      <c r="G295" s="135">
        <v>0.0</v>
      </c>
      <c r="H295" s="135">
        <v>0.0</v>
      </c>
      <c r="I295" s="135">
        <v>0.0</v>
      </c>
      <c r="J295" s="135">
        <v>0.0</v>
      </c>
      <c r="K295" s="135">
        <v>0.0</v>
      </c>
      <c r="L295" s="137">
        <v>14.0</v>
      </c>
      <c r="M295" s="137">
        <v>8.0</v>
      </c>
      <c r="N295" s="137">
        <v>36.0</v>
      </c>
      <c r="O295" s="137">
        <v>30.0</v>
      </c>
      <c r="P295" s="137">
        <v>60.0</v>
      </c>
      <c r="Q295" s="137">
        <v>88.0</v>
      </c>
      <c r="R295" s="137">
        <v>112.0</v>
      </c>
      <c r="S295" s="137">
        <v>180.0</v>
      </c>
      <c r="T295" s="137">
        <v>228.0</v>
      </c>
      <c r="U295" s="137">
        <v>396.0</v>
      </c>
      <c r="V295" s="137">
        <v>456.0</v>
      </c>
      <c r="W295" s="137">
        <v>688.0</v>
      </c>
      <c r="X295" s="137">
        <v>772.0</v>
      </c>
      <c r="Y295" s="134">
        <v>1436.0</v>
      </c>
      <c r="Z295" s="134">
        <v>1236.0</v>
      </c>
      <c r="AA295" s="134">
        <v>2260.0</v>
      </c>
      <c r="AB295" s="134">
        <v>1678.0</v>
      </c>
      <c r="AC295" s="134">
        <v>3204.0</v>
      </c>
      <c r="AD295" s="134">
        <v>2058.0</v>
      </c>
      <c r="AE295" s="134">
        <v>3480.0</v>
      </c>
      <c r="AF295" s="134">
        <v>2208.0</v>
      </c>
      <c r="AG295" s="134">
        <v>3986.0</v>
      </c>
      <c r="AH295" s="134">
        <v>2488.0</v>
      </c>
      <c r="AI295" s="134">
        <v>4100.0</v>
      </c>
      <c r="AJ295" s="134">
        <v>2298.0</v>
      </c>
      <c r="AK295" s="134">
        <v>3852.0</v>
      </c>
      <c r="AL295" s="134">
        <v>2366.0</v>
      </c>
      <c r="AM295" s="134">
        <v>5214.0</v>
      </c>
      <c r="AN295" s="134">
        <v>44074.0</v>
      </c>
    </row>
    <row r="296">
      <c r="A296" s="98"/>
      <c r="B296" s="136" t="s">
        <v>200</v>
      </c>
      <c r="C296" s="134">
        <v>27416.0</v>
      </c>
      <c r="D296" s="134">
        <v>9690.0</v>
      </c>
      <c r="E296" s="134">
        <v>17726.0</v>
      </c>
      <c r="F296" s="135">
        <v>0.0</v>
      </c>
      <c r="G296" s="135">
        <v>0.0</v>
      </c>
      <c r="H296" s="135">
        <v>0.0</v>
      </c>
      <c r="I296" s="135">
        <v>0.0</v>
      </c>
      <c r="J296" s="135">
        <v>0.0</v>
      </c>
      <c r="K296" s="135">
        <v>0.0</v>
      </c>
      <c r="L296" s="137">
        <v>20.0</v>
      </c>
      <c r="M296" s="137">
        <v>14.0</v>
      </c>
      <c r="N296" s="137">
        <v>22.0</v>
      </c>
      <c r="O296" s="137">
        <v>52.0</v>
      </c>
      <c r="P296" s="137">
        <v>60.0</v>
      </c>
      <c r="Q296" s="137">
        <v>100.0</v>
      </c>
      <c r="R296" s="137">
        <v>102.0</v>
      </c>
      <c r="S296" s="137">
        <v>198.0</v>
      </c>
      <c r="T296" s="137">
        <v>220.0</v>
      </c>
      <c r="U296" s="137">
        <v>320.0</v>
      </c>
      <c r="V296" s="137">
        <v>344.0</v>
      </c>
      <c r="W296" s="137">
        <v>576.0</v>
      </c>
      <c r="X296" s="137">
        <v>540.0</v>
      </c>
      <c r="Y296" s="137">
        <v>948.0</v>
      </c>
      <c r="Z296" s="137">
        <v>784.0</v>
      </c>
      <c r="AA296" s="134">
        <v>1556.0</v>
      </c>
      <c r="AB296" s="134">
        <v>1058.0</v>
      </c>
      <c r="AC296" s="134">
        <v>2262.0</v>
      </c>
      <c r="AD296" s="134">
        <v>1304.0</v>
      </c>
      <c r="AE296" s="134">
        <v>2268.0</v>
      </c>
      <c r="AF296" s="134">
        <v>1360.0</v>
      </c>
      <c r="AG296" s="134">
        <v>2416.0</v>
      </c>
      <c r="AH296" s="134">
        <v>1442.0</v>
      </c>
      <c r="AI296" s="134">
        <v>2468.0</v>
      </c>
      <c r="AJ296" s="134">
        <v>1230.0</v>
      </c>
      <c r="AK296" s="134">
        <v>2128.0</v>
      </c>
      <c r="AL296" s="134">
        <v>1204.0</v>
      </c>
      <c r="AM296" s="134">
        <v>2420.0</v>
      </c>
      <c r="AN296" s="134">
        <v>26976.0</v>
      </c>
    </row>
    <row r="297">
      <c r="A297" s="104"/>
      <c r="B297" s="136" t="s">
        <v>201</v>
      </c>
      <c r="C297" s="137">
        <v>672.0</v>
      </c>
      <c r="D297" s="137">
        <v>260.0</v>
      </c>
      <c r="E297" s="137">
        <v>412.0</v>
      </c>
      <c r="F297" s="135">
        <v>0.0</v>
      </c>
      <c r="G297" s="135">
        <v>0.0</v>
      </c>
      <c r="H297" s="135">
        <v>0.0</v>
      </c>
      <c r="I297" s="135">
        <v>0.0</v>
      </c>
      <c r="J297" s="135">
        <v>0.0</v>
      </c>
      <c r="K297" s="135">
        <v>0.0</v>
      </c>
      <c r="L297" s="137">
        <v>4.0</v>
      </c>
      <c r="M297" s="137">
        <v>2.0</v>
      </c>
      <c r="N297" s="137">
        <v>0.0</v>
      </c>
      <c r="O297" s="137">
        <v>2.0</v>
      </c>
      <c r="P297" s="137">
        <v>2.0</v>
      </c>
      <c r="Q297" s="137">
        <v>6.0</v>
      </c>
      <c r="R297" s="137">
        <v>2.0</v>
      </c>
      <c r="S297" s="137">
        <v>4.0</v>
      </c>
      <c r="T297" s="137">
        <v>12.0</v>
      </c>
      <c r="U297" s="137">
        <v>2.0</v>
      </c>
      <c r="V297" s="137">
        <v>6.0</v>
      </c>
      <c r="W297" s="137">
        <v>32.0</v>
      </c>
      <c r="X297" s="137">
        <v>14.0</v>
      </c>
      <c r="Y297" s="137">
        <v>52.0</v>
      </c>
      <c r="Z297" s="137">
        <v>14.0</v>
      </c>
      <c r="AA297" s="137">
        <v>40.0</v>
      </c>
      <c r="AB297" s="137">
        <v>18.0</v>
      </c>
      <c r="AC297" s="137">
        <v>24.0</v>
      </c>
      <c r="AD297" s="137">
        <v>28.0</v>
      </c>
      <c r="AE297" s="137">
        <v>28.0</v>
      </c>
      <c r="AF297" s="137">
        <v>62.0</v>
      </c>
      <c r="AG297" s="137">
        <v>76.0</v>
      </c>
      <c r="AH297" s="137">
        <v>46.0</v>
      </c>
      <c r="AI297" s="137">
        <v>56.0</v>
      </c>
      <c r="AJ297" s="137">
        <v>36.0</v>
      </c>
      <c r="AK297" s="137">
        <v>38.0</v>
      </c>
      <c r="AL297" s="137">
        <v>16.0</v>
      </c>
      <c r="AM297" s="137">
        <v>50.0</v>
      </c>
      <c r="AN297" s="137">
        <v>672.0</v>
      </c>
    </row>
    <row r="298">
      <c r="A298" s="132" t="s">
        <v>202</v>
      </c>
      <c r="B298" s="136" t="s">
        <v>198</v>
      </c>
      <c r="C298" s="134">
        <v>1226.0</v>
      </c>
      <c r="D298" s="137">
        <v>708.0</v>
      </c>
      <c r="E298" s="137">
        <v>518.0</v>
      </c>
      <c r="F298" s="137">
        <v>4.0</v>
      </c>
      <c r="G298" s="137">
        <v>12.0</v>
      </c>
      <c r="H298" s="137">
        <v>0.0</v>
      </c>
      <c r="I298" s="137">
        <v>4.0</v>
      </c>
      <c r="J298" s="137">
        <v>14.0</v>
      </c>
      <c r="K298" s="137">
        <v>2.0</v>
      </c>
      <c r="L298" s="137">
        <v>32.0</v>
      </c>
      <c r="M298" s="137">
        <v>14.0</v>
      </c>
      <c r="N298" s="137">
        <v>50.0</v>
      </c>
      <c r="O298" s="137">
        <v>14.0</v>
      </c>
      <c r="P298" s="137">
        <v>42.0</v>
      </c>
      <c r="Q298" s="137">
        <v>72.0</v>
      </c>
      <c r="R298" s="137">
        <v>60.0</v>
      </c>
      <c r="S298" s="137">
        <v>48.0</v>
      </c>
      <c r="T298" s="137">
        <v>118.0</v>
      </c>
      <c r="U298" s="137">
        <v>44.0</v>
      </c>
      <c r="V298" s="137">
        <v>30.0</v>
      </c>
      <c r="W298" s="137">
        <v>46.0</v>
      </c>
      <c r="X298" s="137">
        <v>68.0</v>
      </c>
      <c r="Y298" s="137">
        <v>18.0</v>
      </c>
      <c r="Z298" s="137">
        <v>84.0</v>
      </c>
      <c r="AA298" s="137">
        <v>40.0</v>
      </c>
      <c r="AB298" s="137">
        <v>28.0</v>
      </c>
      <c r="AC298" s="137">
        <v>26.0</v>
      </c>
      <c r="AD298" s="137">
        <v>76.0</v>
      </c>
      <c r="AE298" s="137">
        <v>66.0</v>
      </c>
      <c r="AF298" s="137">
        <v>22.0</v>
      </c>
      <c r="AG298" s="137">
        <v>10.0</v>
      </c>
      <c r="AH298" s="137">
        <v>22.0</v>
      </c>
      <c r="AI298" s="137">
        <v>32.0</v>
      </c>
      <c r="AJ298" s="137">
        <v>32.0</v>
      </c>
      <c r="AK298" s="137">
        <v>10.0</v>
      </c>
      <c r="AL298" s="137">
        <v>26.0</v>
      </c>
      <c r="AM298" s="137">
        <v>60.0</v>
      </c>
      <c r="AN298" s="134">
        <v>1078.0</v>
      </c>
    </row>
    <row r="299">
      <c r="A299" s="104"/>
      <c r="B299" s="136" t="s">
        <v>199</v>
      </c>
      <c r="C299" s="137">
        <v>804.0</v>
      </c>
      <c r="D299" s="137">
        <v>454.0</v>
      </c>
      <c r="E299" s="137">
        <v>350.0</v>
      </c>
      <c r="F299" s="137">
        <v>18.0</v>
      </c>
      <c r="G299" s="137">
        <v>10.0</v>
      </c>
      <c r="H299" s="137">
        <v>6.0</v>
      </c>
      <c r="I299" s="137">
        <v>2.0</v>
      </c>
      <c r="J299" s="137">
        <v>10.0</v>
      </c>
      <c r="K299" s="137">
        <v>14.0</v>
      </c>
      <c r="L299" s="137">
        <v>6.0</v>
      </c>
      <c r="M299" s="137">
        <v>14.0</v>
      </c>
      <c r="N299" s="137">
        <v>40.0</v>
      </c>
      <c r="O299" s="137">
        <v>26.0</v>
      </c>
      <c r="P299" s="137">
        <v>70.0</v>
      </c>
      <c r="Q299" s="137">
        <v>30.0</v>
      </c>
      <c r="R299" s="137">
        <v>32.0</v>
      </c>
      <c r="S299" s="137">
        <v>22.0</v>
      </c>
      <c r="T299" s="137">
        <v>72.0</v>
      </c>
      <c r="U299" s="137">
        <v>50.0</v>
      </c>
      <c r="V299" s="137">
        <v>30.0</v>
      </c>
      <c r="W299" s="137">
        <v>36.0</v>
      </c>
      <c r="X299" s="137">
        <v>42.0</v>
      </c>
      <c r="Y299" s="137">
        <v>8.0</v>
      </c>
      <c r="Z299" s="137">
        <v>14.0</v>
      </c>
      <c r="AA299" s="137">
        <v>28.0</v>
      </c>
      <c r="AB299" s="137">
        <v>20.0</v>
      </c>
      <c r="AC299" s="137">
        <v>10.0</v>
      </c>
      <c r="AD299" s="137">
        <v>26.0</v>
      </c>
      <c r="AE299" s="137">
        <v>24.0</v>
      </c>
      <c r="AF299" s="137">
        <v>8.0</v>
      </c>
      <c r="AG299" s="137">
        <v>2.0</v>
      </c>
      <c r="AH299" s="137">
        <v>22.0</v>
      </c>
      <c r="AI299" s="137">
        <v>12.0</v>
      </c>
      <c r="AJ299" s="137">
        <v>10.0</v>
      </c>
      <c r="AK299" s="137">
        <v>2.0</v>
      </c>
      <c r="AL299" s="137">
        <v>28.0</v>
      </c>
      <c r="AM299" s="137">
        <v>60.0</v>
      </c>
      <c r="AN299" s="137">
        <v>700.0</v>
      </c>
    </row>
    <row r="300">
      <c r="A300" s="132" t="s">
        <v>203</v>
      </c>
      <c r="B300" s="136" t="s">
        <v>198</v>
      </c>
      <c r="C300" s="137">
        <v>8.0</v>
      </c>
      <c r="D300" s="137">
        <v>4.0</v>
      </c>
      <c r="E300" s="137">
        <v>4.0</v>
      </c>
      <c r="F300" s="135">
        <v>0.0</v>
      </c>
      <c r="G300" s="135">
        <v>0.0</v>
      </c>
      <c r="H300" s="135">
        <v>0.0</v>
      </c>
      <c r="I300" s="135">
        <v>0.0</v>
      </c>
      <c r="J300" s="135">
        <v>0.0</v>
      </c>
      <c r="K300" s="135">
        <v>0.0</v>
      </c>
      <c r="L300" s="135">
        <v>0.0</v>
      </c>
      <c r="M300" s="135">
        <v>0.0</v>
      </c>
      <c r="N300" s="135">
        <v>0.0</v>
      </c>
      <c r="O300" s="135">
        <v>0.0</v>
      </c>
      <c r="P300" s="135">
        <v>0.0</v>
      </c>
      <c r="Q300" s="135">
        <v>0.0</v>
      </c>
      <c r="R300" s="135">
        <v>0.0</v>
      </c>
      <c r="S300" s="135">
        <v>0.0</v>
      </c>
      <c r="T300" s="135">
        <v>0.0</v>
      </c>
      <c r="U300" s="135">
        <v>0.0</v>
      </c>
      <c r="V300" s="135">
        <v>0.0</v>
      </c>
      <c r="W300" s="135">
        <v>0.0</v>
      </c>
      <c r="X300" s="135">
        <v>0.0</v>
      </c>
      <c r="Y300" s="135">
        <v>0.0</v>
      </c>
      <c r="Z300" s="135">
        <v>0.0</v>
      </c>
      <c r="AA300" s="135">
        <v>0.0</v>
      </c>
      <c r="AB300" s="135">
        <v>0.0</v>
      </c>
      <c r="AC300" s="135">
        <v>0.0</v>
      </c>
      <c r="AD300" s="135">
        <v>0.0</v>
      </c>
      <c r="AE300" s="135">
        <v>0.0</v>
      </c>
      <c r="AF300" s="137">
        <v>0.0</v>
      </c>
      <c r="AG300" s="137">
        <v>2.0</v>
      </c>
      <c r="AH300" s="137">
        <v>2.0</v>
      </c>
      <c r="AI300" s="137">
        <v>0.0</v>
      </c>
      <c r="AJ300" s="137">
        <v>0.0</v>
      </c>
      <c r="AK300" s="137">
        <v>2.0</v>
      </c>
      <c r="AL300" s="137">
        <v>2.0</v>
      </c>
      <c r="AM300" s="137">
        <v>0.0</v>
      </c>
      <c r="AN300" s="137">
        <v>8.0</v>
      </c>
    </row>
    <row r="301">
      <c r="A301" s="104"/>
      <c r="B301" s="136" t="s">
        <v>199</v>
      </c>
      <c r="C301" s="134">
        <v>1534.0</v>
      </c>
      <c r="D301" s="137">
        <v>458.0</v>
      </c>
      <c r="E301" s="134">
        <v>1076.0</v>
      </c>
      <c r="F301" s="135">
        <v>0.0</v>
      </c>
      <c r="G301" s="135">
        <v>0.0</v>
      </c>
      <c r="H301" s="135">
        <v>0.0</v>
      </c>
      <c r="I301" s="135">
        <v>0.0</v>
      </c>
      <c r="J301" s="135">
        <v>0.0</v>
      </c>
      <c r="K301" s="135">
        <v>0.0</v>
      </c>
      <c r="L301" s="135">
        <v>0.0</v>
      </c>
      <c r="M301" s="135">
        <v>0.0</v>
      </c>
      <c r="N301" s="135">
        <v>0.0</v>
      </c>
      <c r="O301" s="135">
        <v>0.0</v>
      </c>
      <c r="P301" s="135">
        <v>0.0</v>
      </c>
      <c r="Q301" s="135">
        <v>0.0</v>
      </c>
      <c r="R301" s="135">
        <v>0.0</v>
      </c>
      <c r="S301" s="135">
        <v>0.0</v>
      </c>
      <c r="T301" s="135">
        <v>0.0</v>
      </c>
      <c r="U301" s="135">
        <v>0.0</v>
      </c>
      <c r="V301" s="135">
        <v>0.0</v>
      </c>
      <c r="W301" s="135">
        <v>0.0</v>
      </c>
      <c r="X301" s="135">
        <v>0.0</v>
      </c>
      <c r="Y301" s="135">
        <v>0.0</v>
      </c>
      <c r="Z301" s="135">
        <v>0.0</v>
      </c>
      <c r="AA301" s="135">
        <v>0.0</v>
      </c>
      <c r="AB301" s="135">
        <v>0.0</v>
      </c>
      <c r="AC301" s="135">
        <v>0.0</v>
      </c>
      <c r="AD301" s="135">
        <v>0.0</v>
      </c>
      <c r="AE301" s="135">
        <v>0.0</v>
      </c>
      <c r="AF301" s="137">
        <v>102.0</v>
      </c>
      <c r="AG301" s="137">
        <v>192.0</v>
      </c>
      <c r="AH301" s="137">
        <v>138.0</v>
      </c>
      <c r="AI301" s="137">
        <v>308.0</v>
      </c>
      <c r="AJ301" s="137">
        <v>134.0</v>
      </c>
      <c r="AK301" s="137">
        <v>274.0</v>
      </c>
      <c r="AL301" s="137">
        <v>84.0</v>
      </c>
      <c r="AM301" s="137">
        <v>302.0</v>
      </c>
      <c r="AN301" s="134">
        <v>1534.0</v>
      </c>
    </row>
    <row r="302">
      <c r="A302" s="132" t="s">
        <v>204</v>
      </c>
      <c r="B302" s="136" t="s">
        <v>198</v>
      </c>
      <c r="C302" s="137">
        <v>16.0</v>
      </c>
      <c r="D302" s="137">
        <v>8.0</v>
      </c>
      <c r="E302" s="137">
        <v>8.0</v>
      </c>
      <c r="F302" s="135">
        <v>0.0</v>
      </c>
      <c r="G302" s="135">
        <v>0.0</v>
      </c>
      <c r="H302" s="135">
        <v>0.0</v>
      </c>
      <c r="I302" s="135">
        <v>0.0</v>
      </c>
      <c r="J302" s="135">
        <v>0.0</v>
      </c>
      <c r="K302" s="135">
        <v>0.0</v>
      </c>
      <c r="L302" s="135">
        <v>0.0</v>
      </c>
      <c r="M302" s="135">
        <v>0.0</v>
      </c>
      <c r="N302" s="135">
        <v>0.0</v>
      </c>
      <c r="O302" s="135">
        <v>0.0</v>
      </c>
      <c r="P302" s="135">
        <v>0.0</v>
      </c>
      <c r="Q302" s="135">
        <v>0.0</v>
      </c>
      <c r="R302" s="135">
        <v>0.0</v>
      </c>
      <c r="S302" s="135">
        <v>0.0</v>
      </c>
      <c r="T302" s="135">
        <v>0.0</v>
      </c>
      <c r="U302" s="135">
        <v>0.0</v>
      </c>
      <c r="V302" s="135">
        <v>0.0</v>
      </c>
      <c r="W302" s="135">
        <v>0.0</v>
      </c>
      <c r="X302" s="135">
        <v>0.0</v>
      </c>
      <c r="Y302" s="135">
        <v>0.0</v>
      </c>
      <c r="Z302" s="135">
        <v>0.0</v>
      </c>
      <c r="AA302" s="135">
        <v>0.0</v>
      </c>
      <c r="AB302" s="135">
        <v>0.0</v>
      </c>
      <c r="AC302" s="135">
        <v>0.0</v>
      </c>
      <c r="AD302" s="135">
        <v>0.0</v>
      </c>
      <c r="AE302" s="135">
        <v>0.0</v>
      </c>
      <c r="AF302" s="137">
        <v>0.0</v>
      </c>
      <c r="AG302" s="137">
        <v>2.0</v>
      </c>
      <c r="AH302" s="137">
        <v>0.0</v>
      </c>
      <c r="AI302" s="137">
        <v>2.0</v>
      </c>
      <c r="AJ302" s="137">
        <v>4.0</v>
      </c>
      <c r="AK302" s="137">
        <v>2.0</v>
      </c>
      <c r="AL302" s="137">
        <v>4.0</v>
      </c>
      <c r="AM302" s="137">
        <v>2.0</v>
      </c>
      <c r="AN302" s="137">
        <v>16.0</v>
      </c>
    </row>
    <row r="303">
      <c r="A303" s="104"/>
      <c r="B303" s="136" t="s">
        <v>199</v>
      </c>
      <c r="C303" s="134">
        <v>1256.0</v>
      </c>
      <c r="D303" s="137">
        <v>400.0</v>
      </c>
      <c r="E303" s="137">
        <v>856.0</v>
      </c>
      <c r="F303" s="135">
        <v>0.0</v>
      </c>
      <c r="G303" s="135">
        <v>0.0</v>
      </c>
      <c r="H303" s="135">
        <v>0.0</v>
      </c>
      <c r="I303" s="135">
        <v>0.0</v>
      </c>
      <c r="J303" s="135">
        <v>0.0</v>
      </c>
      <c r="K303" s="135">
        <v>0.0</v>
      </c>
      <c r="L303" s="135">
        <v>0.0</v>
      </c>
      <c r="M303" s="135">
        <v>0.0</v>
      </c>
      <c r="N303" s="135">
        <v>0.0</v>
      </c>
      <c r="O303" s="135">
        <v>0.0</v>
      </c>
      <c r="P303" s="135">
        <v>0.0</v>
      </c>
      <c r="Q303" s="135">
        <v>0.0</v>
      </c>
      <c r="R303" s="135">
        <v>0.0</v>
      </c>
      <c r="S303" s="135">
        <v>0.0</v>
      </c>
      <c r="T303" s="135">
        <v>0.0</v>
      </c>
      <c r="U303" s="135">
        <v>0.0</v>
      </c>
      <c r="V303" s="135">
        <v>0.0</v>
      </c>
      <c r="W303" s="135">
        <v>0.0</v>
      </c>
      <c r="X303" s="135">
        <v>0.0</v>
      </c>
      <c r="Y303" s="135">
        <v>0.0</v>
      </c>
      <c r="Z303" s="135">
        <v>0.0</v>
      </c>
      <c r="AA303" s="135">
        <v>0.0</v>
      </c>
      <c r="AB303" s="135">
        <v>0.0</v>
      </c>
      <c r="AC303" s="135">
        <v>0.0</v>
      </c>
      <c r="AD303" s="135">
        <v>0.0</v>
      </c>
      <c r="AE303" s="135">
        <v>0.0</v>
      </c>
      <c r="AF303" s="137">
        <v>32.0</v>
      </c>
      <c r="AG303" s="137">
        <v>82.0</v>
      </c>
      <c r="AH303" s="137">
        <v>60.0</v>
      </c>
      <c r="AI303" s="137">
        <v>148.0</v>
      </c>
      <c r="AJ303" s="137">
        <v>104.0</v>
      </c>
      <c r="AK303" s="137">
        <v>186.0</v>
      </c>
      <c r="AL303" s="137">
        <v>204.0</v>
      </c>
      <c r="AM303" s="137">
        <v>440.0</v>
      </c>
      <c r="AN303" s="134">
        <v>1256.0</v>
      </c>
    </row>
    <row r="304">
      <c r="A304" s="132" t="s">
        <v>205</v>
      </c>
      <c r="B304" s="136" t="s">
        <v>198</v>
      </c>
      <c r="C304" s="137">
        <v>8.0</v>
      </c>
      <c r="D304" s="137">
        <v>4.0</v>
      </c>
      <c r="E304" s="137">
        <v>4.0</v>
      </c>
      <c r="F304" s="137">
        <v>0.0</v>
      </c>
      <c r="G304" s="137">
        <v>0.0</v>
      </c>
      <c r="H304" s="137">
        <v>0.0</v>
      </c>
      <c r="I304" s="137">
        <v>0.0</v>
      </c>
      <c r="J304" s="137">
        <v>0.0</v>
      </c>
      <c r="K304" s="137">
        <v>0.0</v>
      </c>
      <c r="L304" s="137">
        <v>0.0</v>
      </c>
      <c r="M304" s="137">
        <v>0.0</v>
      </c>
      <c r="N304" s="137">
        <v>0.0</v>
      </c>
      <c r="O304" s="137">
        <v>0.0</v>
      </c>
      <c r="P304" s="137">
        <v>0.0</v>
      </c>
      <c r="Q304" s="137">
        <v>0.0</v>
      </c>
      <c r="R304" s="137">
        <v>0.0</v>
      </c>
      <c r="S304" s="137">
        <v>0.0</v>
      </c>
      <c r="T304" s="137">
        <v>0.0</v>
      </c>
      <c r="U304" s="137">
        <v>0.0</v>
      </c>
      <c r="V304" s="137">
        <v>0.0</v>
      </c>
      <c r="W304" s="137">
        <v>0.0</v>
      </c>
      <c r="X304" s="137">
        <v>0.0</v>
      </c>
      <c r="Y304" s="137">
        <v>0.0</v>
      </c>
      <c r="Z304" s="137">
        <v>0.0</v>
      </c>
      <c r="AA304" s="137">
        <v>0.0</v>
      </c>
      <c r="AB304" s="137">
        <v>0.0</v>
      </c>
      <c r="AC304" s="137">
        <v>2.0</v>
      </c>
      <c r="AD304" s="137">
        <v>2.0</v>
      </c>
      <c r="AE304" s="137">
        <v>0.0</v>
      </c>
      <c r="AF304" s="137">
        <v>0.0</v>
      </c>
      <c r="AG304" s="137">
        <v>0.0</v>
      </c>
      <c r="AH304" s="137">
        <v>2.0</v>
      </c>
      <c r="AI304" s="137">
        <v>2.0</v>
      </c>
      <c r="AJ304" s="137">
        <v>0.0</v>
      </c>
      <c r="AK304" s="137">
        <v>0.0</v>
      </c>
      <c r="AL304" s="137">
        <v>0.0</v>
      </c>
      <c r="AM304" s="137">
        <v>0.0</v>
      </c>
      <c r="AN304" s="137">
        <v>4.0</v>
      </c>
    </row>
    <row r="305">
      <c r="A305" s="98"/>
      <c r="B305" s="136" t="s">
        <v>199</v>
      </c>
      <c r="C305" s="137">
        <v>72.0</v>
      </c>
      <c r="D305" s="137">
        <v>26.0</v>
      </c>
      <c r="E305" s="137">
        <v>46.0</v>
      </c>
      <c r="F305" s="137">
        <v>0.0</v>
      </c>
      <c r="G305" s="137">
        <v>0.0</v>
      </c>
      <c r="H305" s="137">
        <v>0.0</v>
      </c>
      <c r="I305" s="137">
        <v>0.0</v>
      </c>
      <c r="J305" s="137">
        <v>0.0</v>
      </c>
      <c r="K305" s="137">
        <v>0.0</v>
      </c>
      <c r="L305" s="137">
        <v>0.0</v>
      </c>
      <c r="M305" s="137">
        <v>0.0</v>
      </c>
      <c r="N305" s="137">
        <v>0.0</v>
      </c>
      <c r="O305" s="137">
        <v>2.0</v>
      </c>
      <c r="P305" s="137">
        <v>0.0</v>
      </c>
      <c r="Q305" s="137">
        <v>0.0</v>
      </c>
      <c r="R305" s="137">
        <v>2.0</v>
      </c>
      <c r="S305" s="137">
        <v>4.0</v>
      </c>
      <c r="T305" s="137">
        <v>0.0</v>
      </c>
      <c r="U305" s="137">
        <v>0.0</v>
      </c>
      <c r="V305" s="137">
        <v>0.0</v>
      </c>
      <c r="W305" s="137">
        <v>0.0</v>
      </c>
      <c r="X305" s="137">
        <v>2.0</v>
      </c>
      <c r="Y305" s="137">
        <v>6.0</v>
      </c>
      <c r="Z305" s="137">
        <v>2.0</v>
      </c>
      <c r="AA305" s="137">
        <v>4.0</v>
      </c>
      <c r="AB305" s="137">
        <v>6.0</v>
      </c>
      <c r="AC305" s="137">
        <v>4.0</v>
      </c>
      <c r="AD305" s="137">
        <v>2.0</v>
      </c>
      <c r="AE305" s="137">
        <v>8.0</v>
      </c>
      <c r="AF305" s="137">
        <v>4.0</v>
      </c>
      <c r="AG305" s="137">
        <v>10.0</v>
      </c>
      <c r="AH305" s="137">
        <v>2.0</v>
      </c>
      <c r="AI305" s="137">
        <v>4.0</v>
      </c>
      <c r="AJ305" s="137">
        <v>2.0</v>
      </c>
      <c r="AK305" s="137">
        <v>2.0</v>
      </c>
      <c r="AL305" s="137">
        <v>4.0</v>
      </c>
      <c r="AM305" s="137">
        <v>2.0</v>
      </c>
      <c r="AN305" s="137">
        <v>72.0</v>
      </c>
    </row>
    <row r="306">
      <c r="A306" s="104"/>
      <c r="B306" s="136" t="s">
        <v>206</v>
      </c>
      <c r="C306" s="137">
        <v>74.0</v>
      </c>
      <c r="D306" s="137">
        <v>4.0</v>
      </c>
      <c r="E306" s="137">
        <v>70.0</v>
      </c>
      <c r="F306" s="137">
        <v>0.0</v>
      </c>
      <c r="G306" s="137">
        <v>0.0</v>
      </c>
      <c r="H306" s="137">
        <v>0.0</v>
      </c>
      <c r="I306" s="137">
        <v>0.0</v>
      </c>
      <c r="J306" s="137">
        <v>0.0</v>
      </c>
      <c r="K306" s="137">
        <v>2.0</v>
      </c>
      <c r="L306" s="137">
        <v>0.0</v>
      </c>
      <c r="M306" s="137">
        <v>2.0</v>
      </c>
      <c r="N306" s="137">
        <v>0.0</v>
      </c>
      <c r="O306" s="137">
        <v>4.0</v>
      </c>
      <c r="P306" s="137">
        <v>0.0</v>
      </c>
      <c r="Q306" s="137">
        <v>8.0</v>
      </c>
      <c r="R306" s="137">
        <v>4.0</v>
      </c>
      <c r="S306" s="137">
        <v>8.0</v>
      </c>
      <c r="T306" s="137">
        <v>0.0</v>
      </c>
      <c r="U306" s="137">
        <v>10.0</v>
      </c>
      <c r="V306" s="137">
        <v>0.0</v>
      </c>
      <c r="W306" s="137">
        <v>16.0</v>
      </c>
      <c r="X306" s="137">
        <v>0.0</v>
      </c>
      <c r="Y306" s="137">
        <v>2.0</v>
      </c>
      <c r="Z306" s="137">
        <v>0.0</v>
      </c>
      <c r="AA306" s="137">
        <v>14.0</v>
      </c>
      <c r="AB306" s="137">
        <v>0.0</v>
      </c>
      <c r="AC306" s="137">
        <v>4.0</v>
      </c>
      <c r="AD306" s="137">
        <v>0.0</v>
      </c>
      <c r="AE306" s="137">
        <v>0.0</v>
      </c>
      <c r="AF306" s="137">
        <v>0.0</v>
      </c>
      <c r="AG306" s="137">
        <v>0.0</v>
      </c>
      <c r="AH306" s="137">
        <v>0.0</v>
      </c>
      <c r="AI306" s="137">
        <v>0.0</v>
      </c>
      <c r="AJ306" s="137">
        <v>0.0</v>
      </c>
      <c r="AK306" s="137">
        <v>0.0</v>
      </c>
      <c r="AL306" s="137">
        <v>0.0</v>
      </c>
      <c r="AM306" s="137">
        <v>0.0</v>
      </c>
      <c r="AN306" s="137">
        <v>74.0</v>
      </c>
    </row>
    <row r="307">
      <c r="A307" s="132" t="s">
        <v>207</v>
      </c>
      <c r="B307" s="136" t="s">
        <v>198</v>
      </c>
      <c r="C307" s="134">
        <v>12318.0</v>
      </c>
      <c r="D307" s="134">
        <v>3040.0</v>
      </c>
      <c r="E307" s="134">
        <v>9278.0</v>
      </c>
      <c r="F307" s="137">
        <v>134.0</v>
      </c>
      <c r="G307" s="137">
        <v>140.0</v>
      </c>
      <c r="H307" s="137">
        <v>34.0</v>
      </c>
      <c r="I307" s="137">
        <v>30.0</v>
      </c>
      <c r="J307" s="137">
        <v>28.0</v>
      </c>
      <c r="K307" s="137">
        <v>26.0</v>
      </c>
      <c r="L307" s="137">
        <v>38.0</v>
      </c>
      <c r="M307" s="137">
        <v>76.0</v>
      </c>
      <c r="N307" s="137">
        <v>52.0</v>
      </c>
      <c r="O307" s="137">
        <v>120.0</v>
      </c>
      <c r="P307" s="137">
        <v>82.0</v>
      </c>
      <c r="Q307" s="137">
        <v>242.0</v>
      </c>
      <c r="R307" s="137">
        <v>96.0</v>
      </c>
      <c r="S307" s="137">
        <v>210.0</v>
      </c>
      <c r="T307" s="137">
        <v>80.0</v>
      </c>
      <c r="U307" s="137">
        <v>250.0</v>
      </c>
      <c r="V307" s="137">
        <v>106.0</v>
      </c>
      <c r="W307" s="137">
        <v>420.0</v>
      </c>
      <c r="X307" s="137">
        <v>110.0</v>
      </c>
      <c r="Y307" s="137">
        <v>596.0</v>
      </c>
      <c r="Z307" s="137">
        <v>168.0</v>
      </c>
      <c r="AA307" s="137">
        <v>824.0</v>
      </c>
      <c r="AB307" s="137">
        <v>296.0</v>
      </c>
      <c r="AC307" s="134">
        <v>1006.0</v>
      </c>
      <c r="AD307" s="137">
        <v>338.0</v>
      </c>
      <c r="AE307" s="134">
        <v>1090.0</v>
      </c>
      <c r="AF307" s="137">
        <v>324.0</v>
      </c>
      <c r="AG307" s="134">
        <v>1140.0</v>
      </c>
      <c r="AH307" s="137">
        <v>374.0</v>
      </c>
      <c r="AI307" s="134">
        <v>1002.0</v>
      </c>
      <c r="AJ307" s="137">
        <v>362.0</v>
      </c>
      <c r="AK307" s="137">
        <v>908.0</v>
      </c>
      <c r="AL307" s="137">
        <v>418.0</v>
      </c>
      <c r="AM307" s="134">
        <v>1198.0</v>
      </c>
      <c r="AN307" s="134">
        <v>12126.0</v>
      </c>
    </row>
    <row r="308">
      <c r="A308" s="98"/>
      <c r="B308" s="136" t="s">
        <v>199</v>
      </c>
      <c r="C308" s="134">
        <v>1200.0</v>
      </c>
      <c r="D308" s="137">
        <v>378.0</v>
      </c>
      <c r="E308" s="137">
        <v>822.0</v>
      </c>
      <c r="F308" s="137">
        <v>40.0</v>
      </c>
      <c r="G308" s="137">
        <v>86.0</v>
      </c>
      <c r="H308" s="137">
        <v>8.0</v>
      </c>
      <c r="I308" s="137">
        <v>8.0</v>
      </c>
      <c r="J308" s="137">
        <v>0.0</v>
      </c>
      <c r="K308" s="137">
        <v>2.0</v>
      </c>
      <c r="L308" s="137">
        <v>4.0</v>
      </c>
      <c r="M308" s="137">
        <v>4.0</v>
      </c>
      <c r="N308" s="137">
        <v>4.0</v>
      </c>
      <c r="O308" s="137">
        <v>6.0</v>
      </c>
      <c r="P308" s="137">
        <v>4.0</v>
      </c>
      <c r="Q308" s="137">
        <v>12.0</v>
      </c>
      <c r="R308" s="137">
        <v>6.0</v>
      </c>
      <c r="S308" s="137">
        <v>18.0</v>
      </c>
      <c r="T308" s="137">
        <v>10.0</v>
      </c>
      <c r="U308" s="137">
        <v>22.0</v>
      </c>
      <c r="V308" s="137">
        <v>8.0</v>
      </c>
      <c r="W308" s="137">
        <v>18.0</v>
      </c>
      <c r="X308" s="137">
        <v>24.0</v>
      </c>
      <c r="Y308" s="137">
        <v>44.0</v>
      </c>
      <c r="Z308" s="137">
        <v>26.0</v>
      </c>
      <c r="AA308" s="137">
        <v>80.0</v>
      </c>
      <c r="AB308" s="137">
        <v>28.0</v>
      </c>
      <c r="AC308" s="137">
        <v>80.0</v>
      </c>
      <c r="AD308" s="137">
        <v>40.0</v>
      </c>
      <c r="AE308" s="137">
        <v>116.0</v>
      </c>
      <c r="AF308" s="137">
        <v>44.0</v>
      </c>
      <c r="AG308" s="137">
        <v>76.0</v>
      </c>
      <c r="AH308" s="137">
        <v>34.0</v>
      </c>
      <c r="AI308" s="137">
        <v>70.0</v>
      </c>
      <c r="AJ308" s="137">
        <v>46.0</v>
      </c>
      <c r="AK308" s="137">
        <v>68.0</v>
      </c>
      <c r="AL308" s="137">
        <v>52.0</v>
      </c>
      <c r="AM308" s="137">
        <v>112.0</v>
      </c>
      <c r="AN308" s="137">
        <v>980.0</v>
      </c>
    </row>
    <row r="309">
      <c r="A309" s="98"/>
      <c r="B309" s="136" t="s">
        <v>206</v>
      </c>
      <c r="C309" s="137">
        <v>74.0</v>
      </c>
      <c r="D309" s="137">
        <v>10.0</v>
      </c>
      <c r="E309" s="137">
        <v>64.0</v>
      </c>
      <c r="F309" s="137">
        <v>0.0</v>
      </c>
      <c r="G309" s="137">
        <v>2.0</v>
      </c>
      <c r="H309" s="137">
        <v>0.0</v>
      </c>
      <c r="I309" s="137">
        <v>0.0</v>
      </c>
      <c r="J309" s="137">
        <v>0.0</v>
      </c>
      <c r="K309" s="137">
        <v>2.0</v>
      </c>
      <c r="L309" s="137">
        <v>0.0</v>
      </c>
      <c r="M309" s="137">
        <v>16.0</v>
      </c>
      <c r="N309" s="137">
        <v>4.0</v>
      </c>
      <c r="O309" s="137">
        <v>14.0</v>
      </c>
      <c r="P309" s="137">
        <v>4.0</v>
      </c>
      <c r="Q309" s="137">
        <v>20.0</v>
      </c>
      <c r="R309" s="137">
        <v>2.0</v>
      </c>
      <c r="S309" s="137">
        <v>4.0</v>
      </c>
      <c r="T309" s="137">
        <v>0.0</v>
      </c>
      <c r="U309" s="137">
        <v>2.0</v>
      </c>
      <c r="V309" s="137">
        <v>0.0</v>
      </c>
      <c r="W309" s="137">
        <v>2.0</v>
      </c>
      <c r="X309" s="137">
        <v>0.0</v>
      </c>
      <c r="Y309" s="137">
        <v>2.0</v>
      </c>
      <c r="Z309" s="137">
        <v>0.0</v>
      </c>
      <c r="AA309" s="137">
        <v>0.0</v>
      </c>
      <c r="AB309" s="137">
        <v>0.0</v>
      </c>
      <c r="AC309" s="137">
        <v>0.0</v>
      </c>
      <c r="AD309" s="137">
        <v>0.0</v>
      </c>
      <c r="AE309" s="137">
        <v>0.0</v>
      </c>
      <c r="AF309" s="137">
        <v>0.0</v>
      </c>
      <c r="AG309" s="137">
        <v>0.0</v>
      </c>
      <c r="AH309" s="137">
        <v>0.0</v>
      </c>
      <c r="AI309" s="137">
        <v>0.0</v>
      </c>
      <c r="AJ309" s="137">
        <v>0.0</v>
      </c>
      <c r="AK309" s="137">
        <v>0.0</v>
      </c>
      <c r="AL309" s="137">
        <v>0.0</v>
      </c>
      <c r="AM309" s="137">
        <v>0.0</v>
      </c>
      <c r="AN309" s="137">
        <v>72.0</v>
      </c>
    </row>
    <row r="310">
      <c r="A310" s="98"/>
      <c r="B310" s="136" t="s">
        <v>200</v>
      </c>
      <c r="C310" s="134">
        <v>2432.0</v>
      </c>
      <c r="D310" s="137">
        <v>778.0</v>
      </c>
      <c r="E310" s="134">
        <v>1654.0</v>
      </c>
      <c r="F310" s="137">
        <v>110.0</v>
      </c>
      <c r="G310" s="137">
        <v>134.0</v>
      </c>
      <c r="H310" s="137">
        <v>4.0</v>
      </c>
      <c r="I310" s="137">
        <v>2.0</v>
      </c>
      <c r="J310" s="137">
        <v>0.0</v>
      </c>
      <c r="K310" s="137">
        <v>2.0</v>
      </c>
      <c r="L310" s="137">
        <v>24.0</v>
      </c>
      <c r="M310" s="137">
        <v>26.0</v>
      </c>
      <c r="N310" s="137">
        <v>80.0</v>
      </c>
      <c r="O310" s="137">
        <v>186.0</v>
      </c>
      <c r="P310" s="137">
        <v>110.0</v>
      </c>
      <c r="Q310" s="137">
        <v>350.0</v>
      </c>
      <c r="R310" s="137">
        <v>100.0</v>
      </c>
      <c r="S310" s="137">
        <v>204.0</v>
      </c>
      <c r="T310" s="137">
        <v>62.0</v>
      </c>
      <c r="U310" s="137">
        <v>142.0</v>
      </c>
      <c r="V310" s="137">
        <v>46.0</v>
      </c>
      <c r="W310" s="137">
        <v>104.0</v>
      </c>
      <c r="X310" s="137">
        <v>48.0</v>
      </c>
      <c r="Y310" s="137">
        <v>90.0</v>
      </c>
      <c r="Z310" s="137">
        <v>50.0</v>
      </c>
      <c r="AA310" s="137">
        <v>98.0</v>
      </c>
      <c r="AB310" s="137">
        <v>30.0</v>
      </c>
      <c r="AC310" s="137">
        <v>94.0</v>
      </c>
      <c r="AD310" s="137">
        <v>28.0</v>
      </c>
      <c r="AE310" s="137">
        <v>32.0</v>
      </c>
      <c r="AF310" s="137">
        <v>20.0</v>
      </c>
      <c r="AG310" s="137">
        <v>38.0</v>
      </c>
      <c r="AH310" s="137">
        <v>20.0</v>
      </c>
      <c r="AI310" s="137">
        <v>38.0</v>
      </c>
      <c r="AJ310" s="137">
        <v>8.0</v>
      </c>
      <c r="AK310" s="137">
        <v>24.0</v>
      </c>
      <c r="AL310" s="137">
        <v>38.0</v>
      </c>
      <c r="AM310" s="137">
        <v>90.0</v>
      </c>
      <c r="AN310" s="134">
        <v>2094.0</v>
      </c>
    </row>
    <row r="311">
      <c r="A311" s="104"/>
      <c r="B311" s="136" t="s">
        <v>201</v>
      </c>
      <c r="C311" s="137">
        <v>0.0</v>
      </c>
      <c r="D311" s="137">
        <v>0.0</v>
      </c>
      <c r="E311" s="137">
        <v>0.0</v>
      </c>
      <c r="F311" s="137">
        <v>0.0</v>
      </c>
      <c r="G311" s="137">
        <v>0.0</v>
      </c>
      <c r="H311" s="137">
        <v>0.0</v>
      </c>
      <c r="I311" s="137">
        <v>0.0</v>
      </c>
      <c r="J311" s="137">
        <v>0.0</v>
      </c>
      <c r="K311" s="137">
        <v>0.0</v>
      </c>
      <c r="L311" s="137">
        <v>0.0</v>
      </c>
      <c r="M311" s="137">
        <v>0.0</v>
      </c>
      <c r="N311" s="137">
        <v>0.0</v>
      </c>
      <c r="O311" s="137">
        <v>0.0</v>
      </c>
      <c r="P311" s="137">
        <v>0.0</v>
      </c>
      <c r="Q311" s="137">
        <v>0.0</v>
      </c>
      <c r="R311" s="137">
        <v>0.0</v>
      </c>
      <c r="S311" s="137">
        <v>0.0</v>
      </c>
      <c r="T311" s="137">
        <v>0.0</v>
      </c>
      <c r="U311" s="137">
        <v>0.0</v>
      </c>
      <c r="V311" s="137">
        <v>0.0</v>
      </c>
      <c r="W311" s="137">
        <v>0.0</v>
      </c>
      <c r="X311" s="137">
        <v>0.0</v>
      </c>
      <c r="Y311" s="137">
        <v>0.0</v>
      </c>
      <c r="Z311" s="137">
        <v>0.0</v>
      </c>
      <c r="AA311" s="137">
        <v>0.0</v>
      </c>
      <c r="AB311" s="137">
        <v>0.0</v>
      </c>
      <c r="AC311" s="137">
        <v>0.0</v>
      </c>
      <c r="AD311" s="137">
        <v>0.0</v>
      </c>
      <c r="AE311" s="137">
        <v>0.0</v>
      </c>
      <c r="AF311" s="137">
        <v>0.0</v>
      </c>
      <c r="AG311" s="137">
        <v>0.0</v>
      </c>
      <c r="AH311" s="137">
        <v>0.0</v>
      </c>
      <c r="AI311" s="137">
        <v>0.0</v>
      </c>
      <c r="AJ311" s="137">
        <v>0.0</v>
      </c>
      <c r="AK311" s="137">
        <v>0.0</v>
      </c>
      <c r="AL311" s="137">
        <v>0.0</v>
      </c>
      <c r="AM311" s="137">
        <v>0.0</v>
      </c>
      <c r="AN311" s="137">
        <v>0.0</v>
      </c>
    </row>
    <row r="312">
      <c r="A312" s="132" t="s">
        <v>208</v>
      </c>
      <c r="B312" s="136" t="s">
        <v>198</v>
      </c>
      <c r="C312" s="137">
        <v>104.0</v>
      </c>
      <c r="D312" s="137">
        <v>64.0</v>
      </c>
      <c r="E312" s="137">
        <v>40.0</v>
      </c>
      <c r="F312" s="137">
        <v>58.0</v>
      </c>
      <c r="G312" s="137">
        <v>36.0</v>
      </c>
      <c r="H312" s="137">
        <v>2.0</v>
      </c>
      <c r="I312" s="137">
        <v>2.0</v>
      </c>
      <c r="J312" s="137">
        <v>4.0</v>
      </c>
      <c r="K312" s="137">
        <v>0.0</v>
      </c>
      <c r="L312" s="137">
        <v>0.0</v>
      </c>
      <c r="M312" s="137">
        <v>0.0</v>
      </c>
      <c r="N312" s="137">
        <v>0.0</v>
      </c>
      <c r="O312" s="137">
        <v>2.0</v>
      </c>
      <c r="P312" s="135">
        <v>0.0</v>
      </c>
      <c r="Q312" s="135">
        <v>0.0</v>
      </c>
      <c r="R312" s="135">
        <v>0.0</v>
      </c>
      <c r="S312" s="135">
        <v>0.0</v>
      </c>
      <c r="T312" s="135">
        <v>0.0</v>
      </c>
      <c r="U312" s="135">
        <v>0.0</v>
      </c>
      <c r="V312" s="135">
        <v>0.0</v>
      </c>
      <c r="W312" s="135">
        <v>0.0</v>
      </c>
      <c r="X312" s="135">
        <v>0.0</v>
      </c>
      <c r="Y312" s="135">
        <v>0.0</v>
      </c>
      <c r="Z312" s="135">
        <v>0.0</v>
      </c>
      <c r="AA312" s="135">
        <v>0.0</v>
      </c>
      <c r="AB312" s="135">
        <v>0.0</v>
      </c>
      <c r="AC312" s="135">
        <v>0.0</v>
      </c>
      <c r="AD312" s="135">
        <v>0.0</v>
      </c>
      <c r="AE312" s="135">
        <v>0.0</v>
      </c>
      <c r="AF312" s="135">
        <v>0.0</v>
      </c>
      <c r="AG312" s="135">
        <v>0.0</v>
      </c>
      <c r="AH312" s="135">
        <v>0.0</v>
      </c>
      <c r="AI312" s="135">
        <v>0.0</v>
      </c>
      <c r="AJ312" s="135">
        <v>0.0</v>
      </c>
      <c r="AK312" s="135">
        <v>0.0</v>
      </c>
      <c r="AL312" s="135">
        <v>0.0</v>
      </c>
      <c r="AM312" s="135">
        <v>0.0</v>
      </c>
      <c r="AN312" s="137">
        <v>94.0</v>
      </c>
    </row>
    <row r="313">
      <c r="A313" s="98"/>
      <c r="B313" s="136" t="s">
        <v>199</v>
      </c>
      <c r="C313" s="137">
        <v>264.0</v>
      </c>
      <c r="D313" s="137">
        <v>136.0</v>
      </c>
      <c r="E313" s="137">
        <v>128.0</v>
      </c>
      <c r="F313" s="137">
        <v>106.0</v>
      </c>
      <c r="G313" s="137">
        <v>120.0</v>
      </c>
      <c r="H313" s="137">
        <v>22.0</v>
      </c>
      <c r="I313" s="137">
        <v>8.0</v>
      </c>
      <c r="J313" s="137">
        <v>4.0</v>
      </c>
      <c r="K313" s="137">
        <v>0.0</v>
      </c>
      <c r="L313" s="137">
        <v>4.0</v>
      </c>
      <c r="M313" s="137">
        <v>0.0</v>
      </c>
      <c r="N313" s="137">
        <v>0.0</v>
      </c>
      <c r="O313" s="137">
        <v>0.0</v>
      </c>
      <c r="P313" s="135">
        <v>0.0</v>
      </c>
      <c r="Q313" s="135">
        <v>0.0</v>
      </c>
      <c r="R313" s="135">
        <v>0.0</v>
      </c>
      <c r="S313" s="135">
        <v>0.0</v>
      </c>
      <c r="T313" s="135">
        <v>0.0</v>
      </c>
      <c r="U313" s="135">
        <v>0.0</v>
      </c>
      <c r="V313" s="135">
        <v>0.0</v>
      </c>
      <c r="W313" s="135">
        <v>0.0</v>
      </c>
      <c r="X313" s="135">
        <v>0.0</v>
      </c>
      <c r="Y313" s="135">
        <v>0.0</v>
      </c>
      <c r="Z313" s="135">
        <v>0.0</v>
      </c>
      <c r="AA313" s="135">
        <v>0.0</v>
      </c>
      <c r="AB313" s="135">
        <v>0.0</v>
      </c>
      <c r="AC313" s="135">
        <v>0.0</v>
      </c>
      <c r="AD313" s="135">
        <v>0.0</v>
      </c>
      <c r="AE313" s="135">
        <v>0.0</v>
      </c>
      <c r="AF313" s="135">
        <v>0.0</v>
      </c>
      <c r="AG313" s="135">
        <v>0.0</v>
      </c>
      <c r="AH313" s="135">
        <v>0.0</v>
      </c>
      <c r="AI313" s="135">
        <v>0.0</v>
      </c>
      <c r="AJ313" s="135">
        <v>0.0</v>
      </c>
      <c r="AK313" s="135">
        <v>0.0</v>
      </c>
      <c r="AL313" s="135">
        <v>0.0</v>
      </c>
      <c r="AM313" s="135">
        <v>0.0</v>
      </c>
      <c r="AN313" s="137">
        <v>212.0</v>
      </c>
    </row>
    <row r="314">
      <c r="A314" s="98"/>
      <c r="B314" s="136" t="s">
        <v>206</v>
      </c>
      <c r="C314" s="137">
        <v>4.0</v>
      </c>
      <c r="D314" s="137">
        <v>4.0</v>
      </c>
      <c r="E314" s="137">
        <v>0.0</v>
      </c>
      <c r="F314" s="137">
        <v>4.0</v>
      </c>
      <c r="G314" s="137">
        <v>0.0</v>
      </c>
      <c r="H314" s="137">
        <v>0.0</v>
      </c>
      <c r="I314" s="137">
        <v>0.0</v>
      </c>
      <c r="J314" s="137">
        <v>0.0</v>
      </c>
      <c r="K314" s="137">
        <v>0.0</v>
      </c>
      <c r="L314" s="137">
        <v>0.0</v>
      </c>
      <c r="M314" s="137">
        <v>0.0</v>
      </c>
      <c r="N314" s="137">
        <v>0.0</v>
      </c>
      <c r="O314" s="137">
        <v>0.0</v>
      </c>
      <c r="P314" s="135">
        <v>0.0</v>
      </c>
      <c r="Q314" s="135">
        <v>0.0</v>
      </c>
      <c r="R314" s="135">
        <v>0.0</v>
      </c>
      <c r="S314" s="135">
        <v>0.0</v>
      </c>
      <c r="T314" s="135">
        <v>0.0</v>
      </c>
      <c r="U314" s="135">
        <v>0.0</v>
      </c>
      <c r="V314" s="135">
        <v>0.0</v>
      </c>
      <c r="W314" s="135">
        <v>0.0</v>
      </c>
      <c r="X314" s="135">
        <v>0.0</v>
      </c>
      <c r="Y314" s="135">
        <v>0.0</v>
      </c>
      <c r="Z314" s="135">
        <v>0.0</v>
      </c>
      <c r="AA314" s="135">
        <v>0.0</v>
      </c>
      <c r="AB314" s="135">
        <v>0.0</v>
      </c>
      <c r="AC314" s="135">
        <v>0.0</v>
      </c>
      <c r="AD314" s="135">
        <v>0.0</v>
      </c>
      <c r="AE314" s="135">
        <v>0.0</v>
      </c>
      <c r="AF314" s="135">
        <v>0.0</v>
      </c>
      <c r="AG314" s="135">
        <v>0.0</v>
      </c>
      <c r="AH314" s="135">
        <v>0.0</v>
      </c>
      <c r="AI314" s="135">
        <v>0.0</v>
      </c>
      <c r="AJ314" s="135">
        <v>0.0</v>
      </c>
      <c r="AK314" s="135">
        <v>0.0</v>
      </c>
      <c r="AL314" s="135">
        <v>0.0</v>
      </c>
      <c r="AM314" s="135">
        <v>0.0</v>
      </c>
      <c r="AN314" s="137">
        <v>2.0</v>
      </c>
    </row>
    <row r="315">
      <c r="A315" s="98"/>
      <c r="B315" s="136" t="s">
        <v>200</v>
      </c>
      <c r="C315" s="137">
        <v>26.0</v>
      </c>
      <c r="D315" s="137">
        <v>8.0</v>
      </c>
      <c r="E315" s="137">
        <v>18.0</v>
      </c>
      <c r="F315" s="137">
        <v>6.0</v>
      </c>
      <c r="G315" s="137">
        <v>16.0</v>
      </c>
      <c r="H315" s="137">
        <v>2.0</v>
      </c>
      <c r="I315" s="137">
        <v>0.0</v>
      </c>
      <c r="J315" s="137">
        <v>0.0</v>
      </c>
      <c r="K315" s="137">
        <v>0.0</v>
      </c>
      <c r="L315" s="137">
        <v>0.0</v>
      </c>
      <c r="M315" s="137">
        <v>0.0</v>
      </c>
      <c r="N315" s="137">
        <v>0.0</v>
      </c>
      <c r="O315" s="137">
        <v>2.0</v>
      </c>
      <c r="P315" s="135">
        <v>0.0</v>
      </c>
      <c r="Q315" s="135">
        <v>0.0</v>
      </c>
      <c r="R315" s="135">
        <v>0.0</v>
      </c>
      <c r="S315" s="135">
        <v>0.0</v>
      </c>
      <c r="T315" s="135">
        <v>0.0</v>
      </c>
      <c r="U315" s="135">
        <v>0.0</v>
      </c>
      <c r="V315" s="135">
        <v>0.0</v>
      </c>
      <c r="W315" s="135">
        <v>0.0</v>
      </c>
      <c r="X315" s="135">
        <v>0.0</v>
      </c>
      <c r="Y315" s="135">
        <v>0.0</v>
      </c>
      <c r="Z315" s="135">
        <v>0.0</v>
      </c>
      <c r="AA315" s="135">
        <v>0.0</v>
      </c>
      <c r="AB315" s="135">
        <v>0.0</v>
      </c>
      <c r="AC315" s="135">
        <v>0.0</v>
      </c>
      <c r="AD315" s="135">
        <v>0.0</v>
      </c>
      <c r="AE315" s="135">
        <v>0.0</v>
      </c>
      <c r="AF315" s="135">
        <v>0.0</v>
      </c>
      <c r="AG315" s="135">
        <v>0.0</v>
      </c>
      <c r="AH315" s="135">
        <v>0.0</v>
      </c>
      <c r="AI315" s="135">
        <v>0.0</v>
      </c>
      <c r="AJ315" s="135">
        <v>0.0</v>
      </c>
      <c r="AK315" s="135">
        <v>0.0</v>
      </c>
      <c r="AL315" s="135">
        <v>0.0</v>
      </c>
      <c r="AM315" s="135">
        <v>0.0</v>
      </c>
      <c r="AN315" s="137">
        <v>24.0</v>
      </c>
    </row>
    <row r="316">
      <c r="A316" s="104"/>
      <c r="B316" s="136" t="s">
        <v>201</v>
      </c>
      <c r="C316" s="137">
        <v>0.0</v>
      </c>
      <c r="D316" s="137">
        <v>0.0</v>
      </c>
      <c r="E316" s="137">
        <v>0.0</v>
      </c>
      <c r="F316" s="137">
        <v>0.0</v>
      </c>
      <c r="G316" s="137">
        <v>0.0</v>
      </c>
      <c r="H316" s="137">
        <v>0.0</v>
      </c>
      <c r="I316" s="137">
        <v>0.0</v>
      </c>
      <c r="J316" s="137">
        <v>0.0</v>
      </c>
      <c r="K316" s="137">
        <v>0.0</v>
      </c>
      <c r="L316" s="137">
        <v>0.0</v>
      </c>
      <c r="M316" s="137">
        <v>0.0</v>
      </c>
      <c r="N316" s="137">
        <v>0.0</v>
      </c>
      <c r="O316" s="137">
        <v>0.0</v>
      </c>
      <c r="P316" s="135">
        <v>0.0</v>
      </c>
      <c r="Q316" s="135">
        <v>0.0</v>
      </c>
      <c r="R316" s="135">
        <v>0.0</v>
      </c>
      <c r="S316" s="135">
        <v>0.0</v>
      </c>
      <c r="T316" s="135">
        <v>0.0</v>
      </c>
      <c r="U316" s="135">
        <v>0.0</v>
      </c>
      <c r="V316" s="135">
        <v>0.0</v>
      </c>
      <c r="W316" s="135">
        <v>0.0</v>
      </c>
      <c r="X316" s="135">
        <v>0.0</v>
      </c>
      <c r="Y316" s="135">
        <v>0.0</v>
      </c>
      <c r="Z316" s="135">
        <v>0.0</v>
      </c>
      <c r="AA316" s="135">
        <v>0.0</v>
      </c>
      <c r="AB316" s="135">
        <v>0.0</v>
      </c>
      <c r="AC316" s="135">
        <v>0.0</v>
      </c>
      <c r="AD316" s="135">
        <v>0.0</v>
      </c>
      <c r="AE316" s="135">
        <v>0.0</v>
      </c>
      <c r="AF316" s="135">
        <v>0.0</v>
      </c>
      <c r="AG316" s="135">
        <v>0.0</v>
      </c>
      <c r="AH316" s="135">
        <v>0.0</v>
      </c>
      <c r="AI316" s="135">
        <v>0.0</v>
      </c>
      <c r="AJ316" s="135">
        <v>0.0</v>
      </c>
      <c r="AK316" s="135">
        <v>0.0</v>
      </c>
      <c r="AL316" s="135">
        <v>0.0</v>
      </c>
      <c r="AM316" s="135">
        <v>0.0</v>
      </c>
      <c r="AN316" s="137">
        <v>0.0</v>
      </c>
    </row>
    <row r="317">
      <c r="A317" s="138" t="s">
        <v>252</v>
      </c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</row>
    <row r="318">
      <c r="A318" s="132" t="s">
        <v>197</v>
      </c>
      <c r="B318" s="133" t="s">
        <v>198</v>
      </c>
      <c r="C318" s="134">
        <v>164906.0</v>
      </c>
      <c r="D318" s="134">
        <v>63332.0</v>
      </c>
      <c r="E318" s="134">
        <v>101574.0</v>
      </c>
      <c r="F318" s="135">
        <v>0.0</v>
      </c>
      <c r="G318" s="135">
        <v>0.0</v>
      </c>
      <c r="H318" s="135">
        <v>0.0</v>
      </c>
      <c r="I318" s="135">
        <v>0.0</v>
      </c>
      <c r="J318" s="135">
        <v>0.0</v>
      </c>
      <c r="K318" s="135">
        <v>0.0</v>
      </c>
      <c r="L318" s="137">
        <v>150.0</v>
      </c>
      <c r="M318" s="137">
        <v>194.0</v>
      </c>
      <c r="N318" s="137">
        <v>238.0</v>
      </c>
      <c r="O318" s="137">
        <v>444.0</v>
      </c>
      <c r="P318" s="137">
        <v>518.0</v>
      </c>
      <c r="Q318" s="134">
        <v>1058.0</v>
      </c>
      <c r="R318" s="134">
        <v>1058.0</v>
      </c>
      <c r="S318" s="134">
        <v>1636.0</v>
      </c>
      <c r="T318" s="134">
        <v>1544.0</v>
      </c>
      <c r="U318" s="134">
        <v>2468.0</v>
      </c>
      <c r="V318" s="134">
        <v>2366.0</v>
      </c>
      <c r="W318" s="134">
        <v>3798.0</v>
      </c>
      <c r="X318" s="134">
        <v>3746.0</v>
      </c>
      <c r="Y318" s="134">
        <v>6398.0</v>
      </c>
      <c r="Z318" s="134">
        <v>5728.0</v>
      </c>
      <c r="AA318" s="134">
        <v>9950.0</v>
      </c>
      <c r="AB318" s="134">
        <v>8258.0</v>
      </c>
      <c r="AC318" s="134">
        <v>13074.0</v>
      </c>
      <c r="AD318" s="134">
        <v>9334.0</v>
      </c>
      <c r="AE318" s="134">
        <v>14542.0</v>
      </c>
      <c r="AF318" s="134">
        <v>8678.0</v>
      </c>
      <c r="AG318" s="134">
        <v>13062.0</v>
      </c>
      <c r="AH318" s="134">
        <v>8568.0</v>
      </c>
      <c r="AI318" s="134">
        <v>12672.0</v>
      </c>
      <c r="AJ318" s="134">
        <v>6574.0</v>
      </c>
      <c r="AK318" s="134">
        <v>10028.0</v>
      </c>
      <c r="AL318" s="134">
        <v>6572.0</v>
      </c>
      <c r="AM318" s="134">
        <v>12250.0</v>
      </c>
      <c r="AN318" s="134">
        <v>163784.0</v>
      </c>
    </row>
    <row r="319">
      <c r="A319" s="98"/>
      <c r="B319" s="136" t="s">
        <v>199</v>
      </c>
      <c r="C319" s="134">
        <v>39810.0</v>
      </c>
      <c r="D319" s="134">
        <v>14534.0</v>
      </c>
      <c r="E319" s="134">
        <v>25276.0</v>
      </c>
      <c r="F319" s="135">
        <v>0.0</v>
      </c>
      <c r="G319" s="135">
        <v>0.0</v>
      </c>
      <c r="H319" s="135">
        <v>0.0</v>
      </c>
      <c r="I319" s="135">
        <v>0.0</v>
      </c>
      <c r="J319" s="135">
        <v>0.0</v>
      </c>
      <c r="K319" s="135">
        <v>0.0</v>
      </c>
      <c r="L319" s="137">
        <v>22.0</v>
      </c>
      <c r="M319" s="137">
        <v>24.0</v>
      </c>
      <c r="N319" s="137">
        <v>30.0</v>
      </c>
      <c r="O319" s="137">
        <v>36.0</v>
      </c>
      <c r="P319" s="137">
        <v>46.0</v>
      </c>
      <c r="Q319" s="137">
        <v>104.0</v>
      </c>
      <c r="R319" s="137">
        <v>106.0</v>
      </c>
      <c r="S319" s="137">
        <v>208.0</v>
      </c>
      <c r="T319" s="137">
        <v>236.0</v>
      </c>
      <c r="U319" s="137">
        <v>352.0</v>
      </c>
      <c r="V319" s="137">
        <v>336.0</v>
      </c>
      <c r="W319" s="137">
        <v>596.0</v>
      </c>
      <c r="X319" s="137">
        <v>576.0</v>
      </c>
      <c r="Y319" s="134">
        <v>1240.0</v>
      </c>
      <c r="Z319" s="134">
        <v>1030.0</v>
      </c>
      <c r="AA319" s="134">
        <v>2010.0</v>
      </c>
      <c r="AB319" s="134">
        <v>1674.0</v>
      </c>
      <c r="AC319" s="134">
        <v>2974.0</v>
      </c>
      <c r="AD319" s="134">
        <v>2036.0</v>
      </c>
      <c r="AE319" s="134">
        <v>3464.0</v>
      </c>
      <c r="AF319" s="134">
        <v>2098.0</v>
      </c>
      <c r="AG319" s="134">
        <v>3760.0</v>
      </c>
      <c r="AH319" s="134">
        <v>2334.0</v>
      </c>
      <c r="AI319" s="134">
        <v>3674.0</v>
      </c>
      <c r="AJ319" s="134">
        <v>1950.0</v>
      </c>
      <c r="AK319" s="134">
        <v>3032.0</v>
      </c>
      <c r="AL319" s="134">
        <v>2060.0</v>
      </c>
      <c r="AM319" s="134">
        <v>3802.0</v>
      </c>
      <c r="AN319" s="134">
        <v>39108.0</v>
      </c>
    </row>
    <row r="320">
      <c r="A320" s="98"/>
      <c r="B320" s="136" t="s">
        <v>200</v>
      </c>
      <c r="C320" s="134">
        <v>49326.0</v>
      </c>
      <c r="D320" s="134">
        <v>17782.0</v>
      </c>
      <c r="E320" s="134">
        <v>31544.0</v>
      </c>
      <c r="F320" s="135">
        <v>0.0</v>
      </c>
      <c r="G320" s="135">
        <v>0.0</v>
      </c>
      <c r="H320" s="135">
        <v>0.0</v>
      </c>
      <c r="I320" s="135">
        <v>0.0</v>
      </c>
      <c r="J320" s="135">
        <v>0.0</v>
      </c>
      <c r="K320" s="135">
        <v>0.0</v>
      </c>
      <c r="L320" s="137">
        <v>26.0</v>
      </c>
      <c r="M320" s="137">
        <v>54.0</v>
      </c>
      <c r="N320" s="137">
        <v>62.0</v>
      </c>
      <c r="O320" s="137">
        <v>136.0</v>
      </c>
      <c r="P320" s="137">
        <v>112.0</v>
      </c>
      <c r="Q320" s="137">
        <v>300.0</v>
      </c>
      <c r="R320" s="137">
        <v>246.0</v>
      </c>
      <c r="S320" s="137">
        <v>412.0</v>
      </c>
      <c r="T320" s="137">
        <v>426.0</v>
      </c>
      <c r="U320" s="137">
        <v>650.0</v>
      </c>
      <c r="V320" s="137">
        <v>670.0</v>
      </c>
      <c r="W320" s="134">
        <v>1110.0</v>
      </c>
      <c r="X320" s="137">
        <v>970.0</v>
      </c>
      <c r="Y320" s="134">
        <v>1968.0</v>
      </c>
      <c r="Z320" s="134">
        <v>1596.0</v>
      </c>
      <c r="AA320" s="134">
        <v>3264.0</v>
      </c>
      <c r="AB320" s="134">
        <v>2300.0</v>
      </c>
      <c r="AC320" s="134">
        <v>4184.0</v>
      </c>
      <c r="AD320" s="134">
        <v>2618.0</v>
      </c>
      <c r="AE320" s="134">
        <v>4630.0</v>
      </c>
      <c r="AF320" s="134">
        <v>2592.0</v>
      </c>
      <c r="AG320" s="134">
        <v>4372.0</v>
      </c>
      <c r="AH320" s="134">
        <v>2542.0</v>
      </c>
      <c r="AI320" s="134">
        <v>4020.0</v>
      </c>
      <c r="AJ320" s="134">
        <v>1850.0</v>
      </c>
      <c r="AK320" s="134">
        <v>3088.0</v>
      </c>
      <c r="AL320" s="134">
        <v>1772.0</v>
      </c>
      <c r="AM320" s="134">
        <v>3356.0</v>
      </c>
      <c r="AN320" s="134">
        <v>48746.0</v>
      </c>
    </row>
    <row r="321">
      <c r="A321" s="104"/>
      <c r="B321" s="136" t="s">
        <v>201</v>
      </c>
      <c r="C321" s="134">
        <v>2462.0</v>
      </c>
      <c r="D321" s="134">
        <v>1020.0</v>
      </c>
      <c r="E321" s="134">
        <v>1442.0</v>
      </c>
      <c r="F321" s="135">
        <v>0.0</v>
      </c>
      <c r="G321" s="135">
        <v>0.0</v>
      </c>
      <c r="H321" s="135">
        <v>0.0</v>
      </c>
      <c r="I321" s="135">
        <v>0.0</v>
      </c>
      <c r="J321" s="135">
        <v>0.0</v>
      </c>
      <c r="K321" s="135">
        <v>0.0</v>
      </c>
      <c r="L321" s="137">
        <v>4.0</v>
      </c>
      <c r="M321" s="137">
        <v>4.0</v>
      </c>
      <c r="N321" s="137">
        <v>8.0</v>
      </c>
      <c r="O321" s="137">
        <v>22.0</v>
      </c>
      <c r="P321" s="137">
        <v>36.0</v>
      </c>
      <c r="Q321" s="137">
        <v>26.0</v>
      </c>
      <c r="R321" s="137">
        <v>26.0</v>
      </c>
      <c r="S321" s="137">
        <v>34.0</v>
      </c>
      <c r="T321" s="137">
        <v>58.0</v>
      </c>
      <c r="U321" s="137">
        <v>104.0</v>
      </c>
      <c r="V321" s="137">
        <v>34.0</v>
      </c>
      <c r="W321" s="137">
        <v>108.0</v>
      </c>
      <c r="X321" s="137">
        <v>126.0</v>
      </c>
      <c r="Y321" s="137">
        <v>152.0</v>
      </c>
      <c r="Z321" s="137">
        <v>120.0</v>
      </c>
      <c r="AA321" s="137">
        <v>184.0</v>
      </c>
      <c r="AB321" s="137">
        <v>112.0</v>
      </c>
      <c r="AC321" s="137">
        <v>182.0</v>
      </c>
      <c r="AD321" s="137">
        <v>156.0</v>
      </c>
      <c r="AE321" s="137">
        <v>150.0</v>
      </c>
      <c r="AF321" s="137">
        <v>76.0</v>
      </c>
      <c r="AG321" s="137">
        <v>176.0</v>
      </c>
      <c r="AH321" s="137">
        <v>122.0</v>
      </c>
      <c r="AI321" s="137">
        <v>112.0</v>
      </c>
      <c r="AJ321" s="137">
        <v>60.0</v>
      </c>
      <c r="AK321" s="137">
        <v>90.0</v>
      </c>
      <c r="AL321" s="137">
        <v>82.0</v>
      </c>
      <c r="AM321" s="137">
        <v>98.0</v>
      </c>
      <c r="AN321" s="134">
        <v>2360.0</v>
      </c>
    </row>
    <row r="322">
      <c r="A322" s="132" t="s">
        <v>202</v>
      </c>
      <c r="B322" s="136" t="s">
        <v>198</v>
      </c>
      <c r="C322" s="134">
        <v>1710.0</v>
      </c>
      <c r="D322" s="137">
        <v>980.0</v>
      </c>
      <c r="E322" s="137">
        <v>730.0</v>
      </c>
      <c r="F322" s="137">
        <v>34.0</v>
      </c>
      <c r="G322" s="137">
        <v>36.0</v>
      </c>
      <c r="H322" s="137">
        <v>18.0</v>
      </c>
      <c r="I322" s="137">
        <v>28.0</v>
      </c>
      <c r="J322" s="137">
        <v>12.0</v>
      </c>
      <c r="K322" s="137">
        <v>32.0</v>
      </c>
      <c r="L322" s="137">
        <v>16.0</v>
      </c>
      <c r="M322" s="137">
        <v>40.0</v>
      </c>
      <c r="N322" s="137">
        <v>108.0</v>
      </c>
      <c r="O322" s="137">
        <v>84.0</v>
      </c>
      <c r="P322" s="137">
        <v>116.0</v>
      </c>
      <c r="Q322" s="137">
        <v>90.0</v>
      </c>
      <c r="R322" s="137">
        <v>112.0</v>
      </c>
      <c r="S322" s="137">
        <v>52.0</v>
      </c>
      <c r="T322" s="137">
        <v>82.0</v>
      </c>
      <c r="U322" s="137">
        <v>42.0</v>
      </c>
      <c r="V322" s="137">
        <v>64.0</v>
      </c>
      <c r="W322" s="137">
        <v>48.0</v>
      </c>
      <c r="X322" s="137">
        <v>76.0</v>
      </c>
      <c r="Y322" s="137">
        <v>48.0</v>
      </c>
      <c r="Z322" s="137">
        <v>60.0</v>
      </c>
      <c r="AA322" s="137">
        <v>50.0</v>
      </c>
      <c r="AB322" s="137">
        <v>82.0</v>
      </c>
      <c r="AC322" s="137">
        <v>54.0</v>
      </c>
      <c r="AD322" s="137">
        <v>58.0</v>
      </c>
      <c r="AE322" s="137">
        <v>46.0</v>
      </c>
      <c r="AF322" s="137">
        <v>34.0</v>
      </c>
      <c r="AG322" s="137">
        <v>26.0</v>
      </c>
      <c r="AH322" s="137">
        <v>54.0</v>
      </c>
      <c r="AI322" s="137">
        <v>24.0</v>
      </c>
      <c r="AJ322" s="137">
        <v>20.0</v>
      </c>
      <c r="AK322" s="137">
        <v>16.0</v>
      </c>
      <c r="AL322" s="137">
        <v>34.0</v>
      </c>
      <c r="AM322" s="137">
        <v>14.0</v>
      </c>
      <c r="AN322" s="134">
        <v>1626.0</v>
      </c>
    </row>
    <row r="323">
      <c r="A323" s="104"/>
      <c r="B323" s="136" t="s">
        <v>199</v>
      </c>
      <c r="C323" s="134">
        <v>1204.0</v>
      </c>
      <c r="D323" s="137">
        <v>704.0</v>
      </c>
      <c r="E323" s="137">
        <v>500.0</v>
      </c>
      <c r="F323" s="137">
        <v>10.0</v>
      </c>
      <c r="G323" s="137">
        <v>28.0</v>
      </c>
      <c r="H323" s="137">
        <v>32.0</v>
      </c>
      <c r="I323" s="137">
        <v>28.0</v>
      </c>
      <c r="J323" s="137">
        <v>22.0</v>
      </c>
      <c r="K323" s="137">
        <v>10.0</v>
      </c>
      <c r="L323" s="137">
        <v>4.0</v>
      </c>
      <c r="M323" s="137">
        <v>20.0</v>
      </c>
      <c r="N323" s="137">
        <v>44.0</v>
      </c>
      <c r="O323" s="137">
        <v>40.0</v>
      </c>
      <c r="P323" s="137">
        <v>116.0</v>
      </c>
      <c r="Q323" s="137">
        <v>36.0</v>
      </c>
      <c r="R323" s="137">
        <v>58.0</v>
      </c>
      <c r="S323" s="137">
        <v>40.0</v>
      </c>
      <c r="T323" s="137">
        <v>38.0</v>
      </c>
      <c r="U323" s="137">
        <v>22.0</v>
      </c>
      <c r="V323" s="137">
        <v>32.0</v>
      </c>
      <c r="W323" s="137">
        <v>24.0</v>
      </c>
      <c r="X323" s="137">
        <v>46.0</v>
      </c>
      <c r="Y323" s="137">
        <v>52.0</v>
      </c>
      <c r="Z323" s="137">
        <v>46.0</v>
      </c>
      <c r="AA323" s="137">
        <v>36.0</v>
      </c>
      <c r="AB323" s="137">
        <v>56.0</v>
      </c>
      <c r="AC323" s="137">
        <v>48.0</v>
      </c>
      <c r="AD323" s="137">
        <v>30.0</v>
      </c>
      <c r="AE323" s="137">
        <v>30.0</v>
      </c>
      <c r="AF323" s="137">
        <v>56.0</v>
      </c>
      <c r="AG323" s="137">
        <v>14.0</v>
      </c>
      <c r="AH323" s="137">
        <v>76.0</v>
      </c>
      <c r="AI323" s="137">
        <v>26.0</v>
      </c>
      <c r="AJ323" s="137">
        <v>26.0</v>
      </c>
      <c r="AK323" s="137">
        <v>16.0</v>
      </c>
      <c r="AL323" s="137">
        <v>12.0</v>
      </c>
      <c r="AM323" s="137">
        <v>30.0</v>
      </c>
      <c r="AN323" s="134">
        <v>1152.0</v>
      </c>
    </row>
    <row r="324">
      <c r="A324" s="132" t="s">
        <v>203</v>
      </c>
      <c r="B324" s="136" t="s">
        <v>198</v>
      </c>
      <c r="C324" s="137">
        <v>48.0</v>
      </c>
      <c r="D324" s="137">
        <v>18.0</v>
      </c>
      <c r="E324" s="137">
        <v>30.0</v>
      </c>
      <c r="F324" s="135">
        <v>0.0</v>
      </c>
      <c r="G324" s="135">
        <v>0.0</v>
      </c>
      <c r="H324" s="135">
        <v>0.0</v>
      </c>
      <c r="I324" s="135">
        <v>0.0</v>
      </c>
      <c r="J324" s="135">
        <v>0.0</v>
      </c>
      <c r="K324" s="135">
        <v>0.0</v>
      </c>
      <c r="L324" s="135">
        <v>0.0</v>
      </c>
      <c r="M324" s="135">
        <v>0.0</v>
      </c>
      <c r="N324" s="135">
        <v>0.0</v>
      </c>
      <c r="O324" s="135">
        <v>0.0</v>
      </c>
      <c r="P324" s="135">
        <v>0.0</v>
      </c>
      <c r="Q324" s="135">
        <v>0.0</v>
      </c>
      <c r="R324" s="135">
        <v>0.0</v>
      </c>
      <c r="S324" s="135">
        <v>0.0</v>
      </c>
      <c r="T324" s="135">
        <v>0.0</v>
      </c>
      <c r="U324" s="135">
        <v>0.0</v>
      </c>
      <c r="V324" s="135">
        <v>0.0</v>
      </c>
      <c r="W324" s="135">
        <v>0.0</v>
      </c>
      <c r="X324" s="135">
        <v>0.0</v>
      </c>
      <c r="Y324" s="135">
        <v>0.0</v>
      </c>
      <c r="Z324" s="135">
        <v>0.0</v>
      </c>
      <c r="AA324" s="135">
        <v>0.0</v>
      </c>
      <c r="AB324" s="135">
        <v>0.0</v>
      </c>
      <c r="AC324" s="135">
        <v>0.0</v>
      </c>
      <c r="AD324" s="135">
        <v>0.0</v>
      </c>
      <c r="AE324" s="135">
        <v>0.0</v>
      </c>
      <c r="AF324" s="137">
        <v>8.0</v>
      </c>
      <c r="AG324" s="137">
        <v>12.0</v>
      </c>
      <c r="AH324" s="137">
        <v>4.0</v>
      </c>
      <c r="AI324" s="137">
        <v>8.0</v>
      </c>
      <c r="AJ324" s="137">
        <v>6.0</v>
      </c>
      <c r="AK324" s="137">
        <v>6.0</v>
      </c>
      <c r="AL324" s="137">
        <v>0.0</v>
      </c>
      <c r="AM324" s="137">
        <v>4.0</v>
      </c>
      <c r="AN324" s="137">
        <v>48.0</v>
      </c>
    </row>
    <row r="325">
      <c r="A325" s="104"/>
      <c r="B325" s="136" t="s">
        <v>199</v>
      </c>
      <c r="C325" s="137">
        <v>872.0</v>
      </c>
      <c r="D325" s="137">
        <v>316.0</v>
      </c>
      <c r="E325" s="137">
        <v>556.0</v>
      </c>
      <c r="F325" s="135">
        <v>0.0</v>
      </c>
      <c r="G325" s="135">
        <v>0.0</v>
      </c>
      <c r="H325" s="135">
        <v>0.0</v>
      </c>
      <c r="I325" s="135">
        <v>0.0</v>
      </c>
      <c r="J325" s="135">
        <v>0.0</v>
      </c>
      <c r="K325" s="135">
        <v>0.0</v>
      </c>
      <c r="L325" s="135">
        <v>0.0</v>
      </c>
      <c r="M325" s="135">
        <v>0.0</v>
      </c>
      <c r="N325" s="135">
        <v>0.0</v>
      </c>
      <c r="O325" s="135">
        <v>0.0</v>
      </c>
      <c r="P325" s="135">
        <v>0.0</v>
      </c>
      <c r="Q325" s="135">
        <v>0.0</v>
      </c>
      <c r="R325" s="135">
        <v>0.0</v>
      </c>
      <c r="S325" s="135">
        <v>0.0</v>
      </c>
      <c r="T325" s="135">
        <v>0.0</v>
      </c>
      <c r="U325" s="135">
        <v>0.0</v>
      </c>
      <c r="V325" s="135">
        <v>0.0</v>
      </c>
      <c r="W325" s="135">
        <v>0.0</v>
      </c>
      <c r="X325" s="135">
        <v>0.0</v>
      </c>
      <c r="Y325" s="135">
        <v>0.0</v>
      </c>
      <c r="Z325" s="135">
        <v>0.0</v>
      </c>
      <c r="AA325" s="135">
        <v>0.0</v>
      </c>
      <c r="AB325" s="135">
        <v>0.0</v>
      </c>
      <c r="AC325" s="135">
        <v>0.0</v>
      </c>
      <c r="AD325" s="135">
        <v>0.0</v>
      </c>
      <c r="AE325" s="135">
        <v>0.0</v>
      </c>
      <c r="AF325" s="137">
        <v>84.0</v>
      </c>
      <c r="AG325" s="137">
        <v>182.0</v>
      </c>
      <c r="AH325" s="137">
        <v>102.0</v>
      </c>
      <c r="AI325" s="137">
        <v>152.0</v>
      </c>
      <c r="AJ325" s="137">
        <v>64.0</v>
      </c>
      <c r="AK325" s="137">
        <v>122.0</v>
      </c>
      <c r="AL325" s="137">
        <v>66.0</v>
      </c>
      <c r="AM325" s="137">
        <v>100.0</v>
      </c>
      <c r="AN325" s="137">
        <v>736.0</v>
      </c>
    </row>
    <row r="326">
      <c r="A326" s="132" t="s">
        <v>204</v>
      </c>
      <c r="B326" s="136" t="s">
        <v>198</v>
      </c>
      <c r="C326" s="137">
        <v>18.0</v>
      </c>
      <c r="D326" s="137">
        <v>6.0</v>
      </c>
      <c r="E326" s="137">
        <v>12.0</v>
      </c>
      <c r="F326" s="135">
        <v>0.0</v>
      </c>
      <c r="G326" s="135">
        <v>0.0</v>
      </c>
      <c r="H326" s="135">
        <v>0.0</v>
      </c>
      <c r="I326" s="135">
        <v>0.0</v>
      </c>
      <c r="J326" s="135">
        <v>0.0</v>
      </c>
      <c r="K326" s="135">
        <v>0.0</v>
      </c>
      <c r="L326" s="135">
        <v>0.0</v>
      </c>
      <c r="M326" s="135">
        <v>0.0</v>
      </c>
      <c r="N326" s="135">
        <v>0.0</v>
      </c>
      <c r="O326" s="135">
        <v>0.0</v>
      </c>
      <c r="P326" s="135">
        <v>0.0</v>
      </c>
      <c r="Q326" s="135">
        <v>0.0</v>
      </c>
      <c r="R326" s="135">
        <v>0.0</v>
      </c>
      <c r="S326" s="135">
        <v>0.0</v>
      </c>
      <c r="T326" s="135">
        <v>0.0</v>
      </c>
      <c r="U326" s="135">
        <v>0.0</v>
      </c>
      <c r="V326" s="135">
        <v>0.0</v>
      </c>
      <c r="W326" s="135">
        <v>0.0</v>
      </c>
      <c r="X326" s="135">
        <v>0.0</v>
      </c>
      <c r="Y326" s="135">
        <v>0.0</v>
      </c>
      <c r="Z326" s="135">
        <v>0.0</v>
      </c>
      <c r="AA326" s="135">
        <v>0.0</v>
      </c>
      <c r="AB326" s="135">
        <v>0.0</v>
      </c>
      <c r="AC326" s="135">
        <v>0.0</v>
      </c>
      <c r="AD326" s="135">
        <v>0.0</v>
      </c>
      <c r="AE326" s="135">
        <v>0.0</v>
      </c>
      <c r="AF326" s="137">
        <v>0.0</v>
      </c>
      <c r="AG326" s="137">
        <v>4.0</v>
      </c>
      <c r="AH326" s="137">
        <v>2.0</v>
      </c>
      <c r="AI326" s="137">
        <v>6.0</v>
      </c>
      <c r="AJ326" s="137">
        <v>0.0</v>
      </c>
      <c r="AK326" s="137">
        <v>0.0</v>
      </c>
      <c r="AL326" s="137">
        <v>4.0</v>
      </c>
      <c r="AM326" s="137">
        <v>2.0</v>
      </c>
      <c r="AN326" s="137">
        <v>18.0</v>
      </c>
    </row>
    <row r="327">
      <c r="A327" s="104"/>
      <c r="B327" s="136" t="s">
        <v>199</v>
      </c>
      <c r="C327" s="137">
        <v>550.0</v>
      </c>
      <c r="D327" s="137">
        <v>168.0</v>
      </c>
      <c r="E327" s="137">
        <v>382.0</v>
      </c>
      <c r="F327" s="135">
        <v>0.0</v>
      </c>
      <c r="G327" s="135">
        <v>0.0</v>
      </c>
      <c r="H327" s="135">
        <v>0.0</v>
      </c>
      <c r="I327" s="135">
        <v>0.0</v>
      </c>
      <c r="J327" s="135">
        <v>0.0</v>
      </c>
      <c r="K327" s="135">
        <v>0.0</v>
      </c>
      <c r="L327" s="135">
        <v>0.0</v>
      </c>
      <c r="M327" s="135">
        <v>0.0</v>
      </c>
      <c r="N327" s="135">
        <v>0.0</v>
      </c>
      <c r="O327" s="135">
        <v>0.0</v>
      </c>
      <c r="P327" s="135">
        <v>0.0</v>
      </c>
      <c r="Q327" s="135">
        <v>0.0</v>
      </c>
      <c r="R327" s="135">
        <v>0.0</v>
      </c>
      <c r="S327" s="135">
        <v>0.0</v>
      </c>
      <c r="T327" s="135">
        <v>0.0</v>
      </c>
      <c r="U327" s="135">
        <v>0.0</v>
      </c>
      <c r="V327" s="135">
        <v>0.0</v>
      </c>
      <c r="W327" s="135">
        <v>0.0</v>
      </c>
      <c r="X327" s="135">
        <v>0.0</v>
      </c>
      <c r="Y327" s="135">
        <v>0.0</v>
      </c>
      <c r="Z327" s="135">
        <v>0.0</v>
      </c>
      <c r="AA327" s="135">
        <v>0.0</v>
      </c>
      <c r="AB327" s="135">
        <v>0.0</v>
      </c>
      <c r="AC327" s="135">
        <v>0.0</v>
      </c>
      <c r="AD327" s="135">
        <v>0.0</v>
      </c>
      <c r="AE327" s="135">
        <v>0.0</v>
      </c>
      <c r="AF327" s="137">
        <v>28.0</v>
      </c>
      <c r="AG327" s="137">
        <v>60.0</v>
      </c>
      <c r="AH327" s="137">
        <v>38.0</v>
      </c>
      <c r="AI327" s="137">
        <v>76.0</v>
      </c>
      <c r="AJ327" s="137">
        <v>52.0</v>
      </c>
      <c r="AK327" s="137">
        <v>72.0</v>
      </c>
      <c r="AL327" s="137">
        <v>50.0</v>
      </c>
      <c r="AM327" s="137">
        <v>174.0</v>
      </c>
      <c r="AN327" s="137">
        <v>472.0</v>
      </c>
    </row>
    <row r="328">
      <c r="A328" s="132" t="s">
        <v>205</v>
      </c>
      <c r="B328" s="136" t="s">
        <v>198</v>
      </c>
      <c r="C328" s="137">
        <v>22.0</v>
      </c>
      <c r="D328" s="137">
        <v>10.0</v>
      </c>
      <c r="E328" s="137">
        <v>12.0</v>
      </c>
      <c r="F328" s="137">
        <v>0.0</v>
      </c>
      <c r="G328" s="137">
        <v>0.0</v>
      </c>
      <c r="H328" s="137">
        <v>0.0</v>
      </c>
      <c r="I328" s="137">
        <v>0.0</v>
      </c>
      <c r="J328" s="137">
        <v>0.0</v>
      </c>
      <c r="K328" s="137">
        <v>0.0</v>
      </c>
      <c r="L328" s="137">
        <v>0.0</v>
      </c>
      <c r="M328" s="137">
        <v>2.0</v>
      </c>
      <c r="N328" s="137">
        <v>0.0</v>
      </c>
      <c r="O328" s="137">
        <v>4.0</v>
      </c>
      <c r="P328" s="137">
        <v>0.0</v>
      </c>
      <c r="Q328" s="137">
        <v>2.0</v>
      </c>
      <c r="R328" s="137">
        <v>2.0</v>
      </c>
      <c r="S328" s="137">
        <v>0.0</v>
      </c>
      <c r="T328" s="137">
        <v>2.0</v>
      </c>
      <c r="U328" s="137">
        <v>2.0</v>
      </c>
      <c r="V328" s="137">
        <v>0.0</v>
      </c>
      <c r="W328" s="137">
        <v>0.0</v>
      </c>
      <c r="X328" s="137">
        <v>0.0</v>
      </c>
      <c r="Y328" s="137">
        <v>0.0</v>
      </c>
      <c r="Z328" s="137">
        <v>0.0</v>
      </c>
      <c r="AA328" s="137">
        <v>0.0</v>
      </c>
      <c r="AB328" s="137">
        <v>0.0</v>
      </c>
      <c r="AC328" s="137">
        <v>0.0</v>
      </c>
      <c r="AD328" s="137">
        <v>0.0</v>
      </c>
      <c r="AE328" s="137">
        <v>0.0</v>
      </c>
      <c r="AF328" s="137">
        <v>0.0</v>
      </c>
      <c r="AG328" s="137">
        <v>0.0</v>
      </c>
      <c r="AH328" s="137">
        <v>4.0</v>
      </c>
      <c r="AI328" s="137">
        <v>2.0</v>
      </c>
      <c r="AJ328" s="137">
        <v>0.0</v>
      </c>
      <c r="AK328" s="137">
        <v>0.0</v>
      </c>
      <c r="AL328" s="137">
        <v>2.0</v>
      </c>
      <c r="AM328" s="137">
        <v>0.0</v>
      </c>
      <c r="AN328" s="137">
        <v>22.0</v>
      </c>
    </row>
    <row r="329">
      <c r="A329" s="98"/>
      <c r="B329" s="136" t="s">
        <v>199</v>
      </c>
      <c r="C329" s="137">
        <v>12.0</v>
      </c>
      <c r="D329" s="137">
        <v>6.0</v>
      </c>
      <c r="E329" s="137">
        <v>6.0</v>
      </c>
      <c r="F329" s="137">
        <v>0.0</v>
      </c>
      <c r="G329" s="137">
        <v>0.0</v>
      </c>
      <c r="H329" s="137">
        <v>0.0</v>
      </c>
      <c r="I329" s="137">
        <v>0.0</v>
      </c>
      <c r="J329" s="137">
        <v>0.0</v>
      </c>
      <c r="K329" s="137">
        <v>0.0</v>
      </c>
      <c r="L329" s="137">
        <v>0.0</v>
      </c>
      <c r="M329" s="137">
        <v>0.0</v>
      </c>
      <c r="N329" s="137">
        <v>0.0</v>
      </c>
      <c r="O329" s="137">
        <v>0.0</v>
      </c>
      <c r="P329" s="137">
        <v>0.0</v>
      </c>
      <c r="Q329" s="137">
        <v>0.0</v>
      </c>
      <c r="R329" s="137">
        <v>0.0</v>
      </c>
      <c r="S329" s="137">
        <v>0.0</v>
      </c>
      <c r="T329" s="137">
        <v>2.0</v>
      </c>
      <c r="U329" s="137">
        <v>2.0</v>
      </c>
      <c r="V329" s="137">
        <v>0.0</v>
      </c>
      <c r="W329" s="137">
        <v>0.0</v>
      </c>
      <c r="X329" s="137">
        <v>2.0</v>
      </c>
      <c r="Y329" s="137">
        <v>0.0</v>
      </c>
      <c r="Z329" s="137">
        <v>2.0</v>
      </c>
      <c r="AA329" s="137">
        <v>0.0</v>
      </c>
      <c r="AB329" s="137">
        <v>0.0</v>
      </c>
      <c r="AC329" s="137">
        <v>0.0</v>
      </c>
      <c r="AD329" s="137">
        <v>0.0</v>
      </c>
      <c r="AE329" s="137">
        <v>0.0</v>
      </c>
      <c r="AF329" s="137">
        <v>0.0</v>
      </c>
      <c r="AG329" s="137">
        <v>4.0</v>
      </c>
      <c r="AH329" s="137">
        <v>0.0</v>
      </c>
      <c r="AI329" s="137">
        <v>0.0</v>
      </c>
      <c r="AJ329" s="137">
        <v>0.0</v>
      </c>
      <c r="AK329" s="137">
        <v>0.0</v>
      </c>
      <c r="AL329" s="137">
        <v>0.0</v>
      </c>
      <c r="AM329" s="137">
        <v>0.0</v>
      </c>
      <c r="AN329" s="137">
        <v>10.0</v>
      </c>
    </row>
    <row r="330">
      <c r="A330" s="104"/>
      <c r="B330" s="136" t="s">
        <v>206</v>
      </c>
      <c r="C330" s="137">
        <v>382.0</v>
      </c>
      <c r="D330" s="137">
        <v>116.0</v>
      </c>
      <c r="E330" s="137">
        <v>266.0</v>
      </c>
      <c r="F330" s="137">
        <v>0.0</v>
      </c>
      <c r="G330" s="137">
        <v>0.0</v>
      </c>
      <c r="H330" s="137">
        <v>0.0</v>
      </c>
      <c r="I330" s="137">
        <v>0.0</v>
      </c>
      <c r="J330" s="137">
        <v>0.0</v>
      </c>
      <c r="K330" s="137">
        <v>0.0</v>
      </c>
      <c r="L330" s="137">
        <v>4.0</v>
      </c>
      <c r="M330" s="137">
        <v>38.0</v>
      </c>
      <c r="N330" s="137">
        <v>20.0</v>
      </c>
      <c r="O330" s="137">
        <v>40.0</v>
      </c>
      <c r="P330" s="137">
        <v>22.0</v>
      </c>
      <c r="Q330" s="137">
        <v>42.0</v>
      </c>
      <c r="R330" s="137">
        <v>12.0</v>
      </c>
      <c r="S330" s="137">
        <v>42.0</v>
      </c>
      <c r="T330" s="137">
        <v>14.0</v>
      </c>
      <c r="U330" s="137">
        <v>36.0</v>
      </c>
      <c r="V330" s="137">
        <v>18.0</v>
      </c>
      <c r="W330" s="137">
        <v>16.0</v>
      </c>
      <c r="X330" s="137">
        <v>8.0</v>
      </c>
      <c r="Y330" s="137">
        <v>18.0</v>
      </c>
      <c r="Z330" s="137">
        <v>4.0</v>
      </c>
      <c r="AA330" s="137">
        <v>24.0</v>
      </c>
      <c r="AB330" s="137">
        <v>2.0</v>
      </c>
      <c r="AC330" s="137">
        <v>2.0</v>
      </c>
      <c r="AD330" s="137">
        <v>12.0</v>
      </c>
      <c r="AE330" s="137">
        <v>4.0</v>
      </c>
      <c r="AF330" s="137">
        <v>0.0</v>
      </c>
      <c r="AG330" s="137">
        <v>0.0</v>
      </c>
      <c r="AH330" s="137">
        <v>0.0</v>
      </c>
      <c r="AI330" s="137">
        <v>4.0</v>
      </c>
      <c r="AJ330" s="137">
        <v>0.0</v>
      </c>
      <c r="AK330" s="137">
        <v>0.0</v>
      </c>
      <c r="AL330" s="137">
        <v>0.0</v>
      </c>
      <c r="AM330" s="137">
        <v>0.0</v>
      </c>
      <c r="AN330" s="137">
        <v>382.0</v>
      </c>
    </row>
    <row r="331">
      <c r="A331" s="132" t="s">
        <v>207</v>
      </c>
      <c r="B331" s="136" t="s">
        <v>198</v>
      </c>
      <c r="C331" s="134">
        <v>42454.0</v>
      </c>
      <c r="D331" s="134">
        <v>10182.0</v>
      </c>
      <c r="E331" s="134">
        <v>32272.0</v>
      </c>
      <c r="F331" s="137">
        <v>532.0</v>
      </c>
      <c r="G331" s="137">
        <v>424.0</v>
      </c>
      <c r="H331" s="137">
        <v>338.0</v>
      </c>
      <c r="I331" s="137">
        <v>260.0</v>
      </c>
      <c r="J331" s="137">
        <v>286.0</v>
      </c>
      <c r="K331" s="137">
        <v>216.0</v>
      </c>
      <c r="L331" s="137">
        <v>250.0</v>
      </c>
      <c r="M331" s="137">
        <v>474.0</v>
      </c>
      <c r="N331" s="137">
        <v>240.0</v>
      </c>
      <c r="O331" s="137">
        <v>654.0</v>
      </c>
      <c r="P331" s="137">
        <v>270.0</v>
      </c>
      <c r="Q331" s="137">
        <v>924.0</v>
      </c>
      <c r="R331" s="137">
        <v>278.0</v>
      </c>
      <c r="S331" s="137">
        <v>924.0</v>
      </c>
      <c r="T331" s="137">
        <v>300.0</v>
      </c>
      <c r="U331" s="134">
        <v>1132.0</v>
      </c>
      <c r="V331" s="137">
        <v>284.0</v>
      </c>
      <c r="W331" s="134">
        <v>1348.0</v>
      </c>
      <c r="X331" s="137">
        <v>448.0</v>
      </c>
      <c r="Y331" s="134">
        <v>1818.0</v>
      </c>
      <c r="Z331" s="137">
        <v>582.0</v>
      </c>
      <c r="AA331" s="134">
        <v>2638.0</v>
      </c>
      <c r="AB331" s="137">
        <v>820.0</v>
      </c>
      <c r="AC331" s="134">
        <v>3676.0</v>
      </c>
      <c r="AD331" s="134">
        <v>1026.0</v>
      </c>
      <c r="AE331" s="134">
        <v>4064.0</v>
      </c>
      <c r="AF331" s="134">
        <v>1030.0</v>
      </c>
      <c r="AG331" s="134">
        <v>3844.0</v>
      </c>
      <c r="AH331" s="134">
        <v>1180.0</v>
      </c>
      <c r="AI331" s="134">
        <v>3648.0</v>
      </c>
      <c r="AJ331" s="134">
        <v>1080.0</v>
      </c>
      <c r="AK331" s="134">
        <v>2736.0</v>
      </c>
      <c r="AL331" s="134">
        <v>1238.0</v>
      </c>
      <c r="AM331" s="134">
        <v>3492.0</v>
      </c>
      <c r="AN331" s="134">
        <v>41760.0</v>
      </c>
    </row>
    <row r="332">
      <c r="A332" s="98"/>
      <c r="B332" s="136" t="s">
        <v>199</v>
      </c>
      <c r="C332" s="134">
        <v>2274.0</v>
      </c>
      <c r="D332" s="137">
        <v>906.0</v>
      </c>
      <c r="E332" s="134">
        <v>1368.0</v>
      </c>
      <c r="F332" s="137">
        <v>44.0</v>
      </c>
      <c r="G332" s="137">
        <v>18.0</v>
      </c>
      <c r="H332" s="137">
        <v>48.0</v>
      </c>
      <c r="I332" s="137">
        <v>62.0</v>
      </c>
      <c r="J332" s="137">
        <v>30.0</v>
      </c>
      <c r="K332" s="137">
        <v>32.0</v>
      </c>
      <c r="L332" s="137">
        <v>32.0</v>
      </c>
      <c r="M332" s="137">
        <v>12.0</v>
      </c>
      <c r="N332" s="137">
        <v>40.0</v>
      </c>
      <c r="O332" s="137">
        <v>34.0</v>
      </c>
      <c r="P332" s="137">
        <v>26.0</v>
      </c>
      <c r="Q332" s="137">
        <v>62.0</v>
      </c>
      <c r="R332" s="137">
        <v>40.0</v>
      </c>
      <c r="S332" s="137">
        <v>80.0</v>
      </c>
      <c r="T332" s="137">
        <v>54.0</v>
      </c>
      <c r="U332" s="137">
        <v>110.0</v>
      </c>
      <c r="V332" s="137">
        <v>68.0</v>
      </c>
      <c r="W332" s="137">
        <v>100.0</v>
      </c>
      <c r="X332" s="137">
        <v>62.0</v>
      </c>
      <c r="Y332" s="137">
        <v>94.0</v>
      </c>
      <c r="Z332" s="137">
        <v>80.0</v>
      </c>
      <c r="AA332" s="137">
        <v>132.0</v>
      </c>
      <c r="AB332" s="137">
        <v>64.0</v>
      </c>
      <c r="AC332" s="137">
        <v>80.0</v>
      </c>
      <c r="AD332" s="137">
        <v>84.0</v>
      </c>
      <c r="AE332" s="137">
        <v>148.0</v>
      </c>
      <c r="AF332" s="137">
        <v>94.0</v>
      </c>
      <c r="AG332" s="137">
        <v>124.0</v>
      </c>
      <c r="AH332" s="137">
        <v>54.0</v>
      </c>
      <c r="AI332" s="137">
        <v>74.0</v>
      </c>
      <c r="AJ332" s="137">
        <v>40.0</v>
      </c>
      <c r="AK332" s="137">
        <v>92.0</v>
      </c>
      <c r="AL332" s="137">
        <v>46.0</v>
      </c>
      <c r="AM332" s="137">
        <v>114.0</v>
      </c>
      <c r="AN332" s="134">
        <v>2260.0</v>
      </c>
    </row>
    <row r="333">
      <c r="A333" s="98"/>
      <c r="B333" s="136" t="s">
        <v>206</v>
      </c>
      <c r="C333" s="137">
        <v>24.0</v>
      </c>
      <c r="D333" s="137">
        <v>10.0</v>
      </c>
      <c r="E333" s="137">
        <v>14.0</v>
      </c>
      <c r="F333" s="137">
        <v>0.0</v>
      </c>
      <c r="G333" s="137">
        <v>2.0</v>
      </c>
      <c r="H333" s="137">
        <v>0.0</v>
      </c>
      <c r="I333" s="137">
        <v>0.0</v>
      </c>
      <c r="J333" s="137">
        <v>0.0</v>
      </c>
      <c r="K333" s="137">
        <v>0.0</v>
      </c>
      <c r="L333" s="137">
        <v>0.0</v>
      </c>
      <c r="M333" s="137">
        <v>0.0</v>
      </c>
      <c r="N333" s="137">
        <v>0.0</v>
      </c>
      <c r="O333" s="137">
        <v>0.0</v>
      </c>
      <c r="P333" s="137">
        <v>2.0</v>
      </c>
      <c r="Q333" s="137">
        <v>0.0</v>
      </c>
      <c r="R333" s="137">
        <v>0.0</v>
      </c>
      <c r="S333" s="137">
        <v>0.0</v>
      </c>
      <c r="T333" s="137">
        <v>0.0</v>
      </c>
      <c r="U333" s="137">
        <v>2.0</v>
      </c>
      <c r="V333" s="137">
        <v>0.0</v>
      </c>
      <c r="W333" s="137">
        <v>0.0</v>
      </c>
      <c r="X333" s="137">
        <v>2.0</v>
      </c>
      <c r="Y333" s="137">
        <v>2.0</v>
      </c>
      <c r="Z333" s="137">
        <v>0.0</v>
      </c>
      <c r="AA333" s="137">
        <v>2.0</v>
      </c>
      <c r="AB333" s="137">
        <v>0.0</v>
      </c>
      <c r="AC333" s="137">
        <v>0.0</v>
      </c>
      <c r="AD333" s="137">
        <v>4.0</v>
      </c>
      <c r="AE333" s="137">
        <v>6.0</v>
      </c>
      <c r="AF333" s="137">
        <v>0.0</v>
      </c>
      <c r="AG333" s="137">
        <v>0.0</v>
      </c>
      <c r="AH333" s="137">
        <v>2.0</v>
      </c>
      <c r="AI333" s="137">
        <v>0.0</v>
      </c>
      <c r="AJ333" s="137">
        <v>0.0</v>
      </c>
      <c r="AK333" s="137">
        <v>0.0</v>
      </c>
      <c r="AL333" s="137">
        <v>0.0</v>
      </c>
      <c r="AM333" s="137">
        <v>0.0</v>
      </c>
      <c r="AN333" s="137">
        <v>24.0</v>
      </c>
    </row>
    <row r="334">
      <c r="A334" s="98"/>
      <c r="B334" s="136" t="s">
        <v>200</v>
      </c>
      <c r="C334" s="134">
        <v>3840.0</v>
      </c>
      <c r="D334" s="134">
        <v>1428.0</v>
      </c>
      <c r="E334" s="134">
        <v>2412.0</v>
      </c>
      <c r="F334" s="137">
        <v>808.0</v>
      </c>
      <c r="G334" s="137">
        <v>780.0</v>
      </c>
      <c r="H334" s="137">
        <v>74.0</v>
      </c>
      <c r="I334" s="137">
        <v>102.0</v>
      </c>
      <c r="J334" s="137">
        <v>82.0</v>
      </c>
      <c r="K334" s="137">
        <v>114.0</v>
      </c>
      <c r="L334" s="137">
        <v>38.0</v>
      </c>
      <c r="M334" s="137">
        <v>164.0</v>
      </c>
      <c r="N334" s="137">
        <v>16.0</v>
      </c>
      <c r="O334" s="137">
        <v>106.0</v>
      </c>
      <c r="P334" s="137">
        <v>8.0</v>
      </c>
      <c r="Q334" s="137">
        <v>164.0</v>
      </c>
      <c r="R334" s="137">
        <v>22.0</v>
      </c>
      <c r="S334" s="137">
        <v>124.0</v>
      </c>
      <c r="T334" s="137">
        <v>18.0</v>
      </c>
      <c r="U334" s="137">
        <v>72.0</v>
      </c>
      <c r="V334" s="137">
        <v>8.0</v>
      </c>
      <c r="W334" s="137">
        <v>78.0</v>
      </c>
      <c r="X334" s="137">
        <v>20.0</v>
      </c>
      <c r="Y334" s="137">
        <v>84.0</v>
      </c>
      <c r="Z334" s="137">
        <v>32.0</v>
      </c>
      <c r="AA334" s="137">
        <v>50.0</v>
      </c>
      <c r="AB334" s="137">
        <v>26.0</v>
      </c>
      <c r="AC334" s="137">
        <v>64.0</v>
      </c>
      <c r="AD334" s="137">
        <v>22.0</v>
      </c>
      <c r="AE334" s="137">
        <v>66.0</v>
      </c>
      <c r="AF334" s="137">
        <v>46.0</v>
      </c>
      <c r="AG334" s="137">
        <v>128.0</v>
      </c>
      <c r="AH334" s="137">
        <v>72.0</v>
      </c>
      <c r="AI334" s="137">
        <v>90.0</v>
      </c>
      <c r="AJ334" s="137">
        <v>74.0</v>
      </c>
      <c r="AK334" s="137">
        <v>100.0</v>
      </c>
      <c r="AL334" s="137">
        <v>62.0</v>
      </c>
      <c r="AM334" s="137">
        <v>126.0</v>
      </c>
      <c r="AN334" s="134">
        <v>3770.0</v>
      </c>
    </row>
    <row r="335">
      <c r="A335" s="104"/>
      <c r="B335" s="136" t="s">
        <v>201</v>
      </c>
      <c r="C335" s="134">
        <v>1812.0</v>
      </c>
      <c r="D335" s="137">
        <v>530.0</v>
      </c>
      <c r="E335" s="134">
        <v>1282.0</v>
      </c>
      <c r="F335" s="137">
        <v>22.0</v>
      </c>
      <c r="G335" s="137">
        <v>22.0</v>
      </c>
      <c r="H335" s="137">
        <v>6.0</v>
      </c>
      <c r="I335" s="137">
        <v>10.0</v>
      </c>
      <c r="J335" s="137">
        <v>6.0</v>
      </c>
      <c r="K335" s="137">
        <v>4.0</v>
      </c>
      <c r="L335" s="137">
        <v>8.0</v>
      </c>
      <c r="M335" s="137">
        <v>12.0</v>
      </c>
      <c r="N335" s="137">
        <v>32.0</v>
      </c>
      <c r="O335" s="137">
        <v>110.0</v>
      </c>
      <c r="P335" s="137">
        <v>30.0</v>
      </c>
      <c r="Q335" s="137">
        <v>138.0</v>
      </c>
      <c r="R335" s="137">
        <v>26.0</v>
      </c>
      <c r="S335" s="137">
        <v>142.0</v>
      </c>
      <c r="T335" s="137">
        <v>34.0</v>
      </c>
      <c r="U335" s="137">
        <v>122.0</v>
      </c>
      <c r="V335" s="137">
        <v>48.0</v>
      </c>
      <c r="W335" s="137">
        <v>80.0</v>
      </c>
      <c r="X335" s="137">
        <v>54.0</v>
      </c>
      <c r="Y335" s="137">
        <v>128.0</v>
      </c>
      <c r="Z335" s="137">
        <v>66.0</v>
      </c>
      <c r="AA335" s="137">
        <v>126.0</v>
      </c>
      <c r="AB335" s="137">
        <v>56.0</v>
      </c>
      <c r="AC335" s="137">
        <v>130.0</v>
      </c>
      <c r="AD335" s="137">
        <v>54.0</v>
      </c>
      <c r="AE335" s="137">
        <v>110.0</v>
      </c>
      <c r="AF335" s="137">
        <v>32.0</v>
      </c>
      <c r="AG335" s="137">
        <v>56.0</v>
      </c>
      <c r="AH335" s="137">
        <v>20.0</v>
      </c>
      <c r="AI335" s="137">
        <v>48.0</v>
      </c>
      <c r="AJ335" s="137">
        <v>18.0</v>
      </c>
      <c r="AK335" s="137">
        <v>34.0</v>
      </c>
      <c r="AL335" s="137">
        <v>18.0</v>
      </c>
      <c r="AM335" s="137">
        <v>10.0</v>
      </c>
      <c r="AN335" s="134">
        <v>1782.0</v>
      </c>
    </row>
    <row r="336">
      <c r="A336" s="132" t="s">
        <v>208</v>
      </c>
      <c r="B336" s="136" t="s">
        <v>198</v>
      </c>
      <c r="C336" s="137">
        <v>210.0</v>
      </c>
      <c r="D336" s="137">
        <v>66.0</v>
      </c>
      <c r="E336" s="137">
        <v>144.0</v>
      </c>
      <c r="F336" s="137">
        <v>52.0</v>
      </c>
      <c r="G336" s="137">
        <v>92.0</v>
      </c>
      <c r="H336" s="137">
        <v>14.0</v>
      </c>
      <c r="I336" s="137">
        <v>42.0</v>
      </c>
      <c r="J336" s="137">
        <v>0.0</v>
      </c>
      <c r="K336" s="137">
        <v>6.0</v>
      </c>
      <c r="L336" s="137">
        <v>0.0</v>
      </c>
      <c r="M336" s="137">
        <v>4.0</v>
      </c>
      <c r="N336" s="137">
        <v>0.0</v>
      </c>
      <c r="O336" s="137">
        <v>0.0</v>
      </c>
      <c r="P336" s="135">
        <v>0.0</v>
      </c>
      <c r="Q336" s="135">
        <v>0.0</v>
      </c>
      <c r="R336" s="135">
        <v>0.0</v>
      </c>
      <c r="S336" s="135">
        <v>0.0</v>
      </c>
      <c r="T336" s="135">
        <v>0.0</v>
      </c>
      <c r="U336" s="135">
        <v>0.0</v>
      </c>
      <c r="V336" s="135">
        <v>0.0</v>
      </c>
      <c r="W336" s="135">
        <v>0.0</v>
      </c>
      <c r="X336" s="135">
        <v>0.0</v>
      </c>
      <c r="Y336" s="135">
        <v>0.0</v>
      </c>
      <c r="Z336" s="135">
        <v>0.0</v>
      </c>
      <c r="AA336" s="135">
        <v>0.0</v>
      </c>
      <c r="AB336" s="135">
        <v>0.0</v>
      </c>
      <c r="AC336" s="135">
        <v>0.0</v>
      </c>
      <c r="AD336" s="135">
        <v>0.0</v>
      </c>
      <c r="AE336" s="135">
        <v>0.0</v>
      </c>
      <c r="AF336" s="135">
        <v>0.0</v>
      </c>
      <c r="AG336" s="135">
        <v>0.0</v>
      </c>
      <c r="AH336" s="135">
        <v>0.0</v>
      </c>
      <c r="AI336" s="135">
        <v>0.0</v>
      </c>
      <c r="AJ336" s="135">
        <v>0.0</v>
      </c>
      <c r="AK336" s="135">
        <v>0.0</v>
      </c>
      <c r="AL336" s="135">
        <v>0.0</v>
      </c>
      <c r="AM336" s="135">
        <v>0.0</v>
      </c>
      <c r="AN336" s="137">
        <v>100.0</v>
      </c>
    </row>
    <row r="337">
      <c r="A337" s="98"/>
      <c r="B337" s="136" t="s">
        <v>199</v>
      </c>
      <c r="C337" s="137">
        <v>146.0</v>
      </c>
      <c r="D337" s="137">
        <v>66.0</v>
      </c>
      <c r="E337" s="137">
        <v>80.0</v>
      </c>
      <c r="F337" s="137">
        <v>60.0</v>
      </c>
      <c r="G337" s="137">
        <v>72.0</v>
      </c>
      <c r="H337" s="137">
        <v>4.0</v>
      </c>
      <c r="I337" s="137">
        <v>6.0</v>
      </c>
      <c r="J337" s="137">
        <v>0.0</v>
      </c>
      <c r="K337" s="137">
        <v>0.0</v>
      </c>
      <c r="L337" s="137">
        <v>0.0</v>
      </c>
      <c r="M337" s="137">
        <v>0.0</v>
      </c>
      <c r="N337" s="137">
        <v>2.0</v>
      </c>
      <c r="O337" s="137">
        <v>2.0</v>
      </c>
      <c r="P337" s="135">
        <v>0.0</v>
      </c>
      <c r="Q337" s="135">
        <v>0.0</v>
      </c>
      <c r="R337" s="135">
        <v>0.0</v>
      </c>
      <c r="S337" s="135">
        <v>0.0</v>
      </c>
      <c r="T337" s="135">
        <v>0.0</v>
      </c>
      <c r="U337" s="135">
        <v>0.0</v>
      </c>
      <c r="V337" s="135">
        <v>0.0</v>
      </c>
      <c r="W337" s="135">
        <v>0.0</v>
      </c>
      <c r="X337" s="135">
        <v>0.0</v>
      </c>
      <c r="Y337" s="135">
        <v>0.0</v>
      </c>
      <c r="Z337" s="135">
        <v>0.0</v>
      </c>
      <c r="AA337" s="135">
        <v>0.0</v>
      </c>
      <c r="AB337" s="135">
        <v>0.0</v>
      </c>
      <c r="AC337" s="135">
        <v>0.0</v>
      </c>
      <c r="AD337" s="135">
        <v>0.0</v>
      </c>
      <c r="AE337" s="135">
        <v>0.0</v>
      </c>
      <c r="AF337" s="135">
        <v>0.0</v>
      </c>
      <c r="AG337" s="135">
        <v>0.0</v>
      </c>
      <c r="AH337" s="135">
        <v>0.0</v>
      </c>
      <c r="AI337" s="135">
        <v>0.0</v>
      </c>
      <c r="AJ337" s="135">
        <v>0.0</v>
      </c>
      <c r="AK337" s="135">
        <v>0.0</v>
      </c>
      <c r="AL337" s="135">
        <v>0.0</v>
      </c>
      <c r="AM337" s="135">
        <v>0.0</v>
      </c>
      <c r="AN337" s="137">
        <v>94.0</v>
      </c>
    </row>
    <row r="338">
      <c r="A338" s="98"/>
      <c r="B338" s="136" t="s">
        <v>206</v>
      </c>
      <c r="C338" s="137">
        <v>0.0</v>
      </c>
      <c r="D338" s="137">
        <v>0.0</v>
      </c>
      <c r="E338" s="137">
        <v>0.0</v>
      </c>
      <c r="F338" s="137">
        <v>0.0</v>
      </c>
      <c r="G338" s="137">
        <v>0.0</v>
      </c>
      <c r="H338" s="137">
        <v>0.0</v>
      </c>
      <c r="I338" s="137">
        <v>0.0</v>
      </c>
      <c r="J338" s="137">
        <v>0.0</v>
      </c>
      <c r="K338" s="137">
        <v>0.0</v>
      </c>
      <c r="L338" s="137">
        <v>0.0</v>
      </c>
      <c r="M338" s="137">
        <v>0.0</v>
      </c>
      <c r="N338" s="137">
        <v>0.0</v>
      </c>
      <c r="O338" s="137">
        <v>0.0</v>
      </c>
      <c r="P338" s="135">
        <v>0.0</v>
      </c>
      <c r="Q338" s="135">
        <v>0.0</v>
      </c>
      <c r="R338" s="135">
        <v>0.0</v>
      </c>
      <c r="S338" s="135">
        <v>0.0</v>
      </c>
      <c r="T338" s="135">
        <v>0.0</v>
      </c>
      <c r="U338" s="135">
        <v>0.0</v>
      </c>
      <c r="V338" s="135">
        <v>0.0</v>
      </c>
      <c r="W338" s="135">
        <v>0.0</v>
      </c>
      <c r="X338" s="135">
        <v>0.0</v>
      </c>
      <c r="Y338" s="135">
        <v>0.0</v>
      </c>
      <c r="Z338" s="135">
        <v>0.0</v>
      </c>
      <c r="AA338" s="135">
        <v>0.0</v>
      </c>
      <c r="AB338" s="135">
        <v>0.0</v>
      </c>
      <c r="AC338" s="135">
        <v>0.0</v>
      </c>
      <c r="AD338" s="135">
        <v>0.0</v>
      </c>
      <c r="AE338" s="135">
        <v>0.0</v>
      </c>
      <c r="AF338" s="135">
        <v>0.0</v>
      </c>
      <c r="AG338" s="135">
        <v>0.0</v>
      </c>
      <c r="AH338" s="135">
        <v>0.0</v>
      </c>
      <c r="AI338" s="135">
        <v>0.0</v>
      </c>
      <c r="AJ338" s="135">
        <v>0.0</v>
      </c>
      <c r="AK338" s="135">
        <v>0.0</v>
      </c>
      <c r="AL338" s="135">
        <v>0.0</v>
      </c>
      <c r="AM338" s="135">
        <v>0.0</v>
      </c>
      <c r="AN338" s="137">
        <v>0.0</v>
      </c>
    </row>
    <row r="339">
      <c r="A339" s="98"/>
      <c r="B339" s="136" t="s">
        <v>200</v>
      </c>
      <c r="C339" s="137">
        <v>54.0</v>
      </c>
      <c r="D339" s="137">
        <v>24.0</v>
      </c>
      <c r="E339" s="137">
        <v>30.0</v>
      </c>
      <c r="F339" s="137">
        <v>14.0</v>
      </c>
      <c r="G339" s="137">
        <v>28.0</v>
      </c>
      <c r="H339" s="137">
        <v>8.0</v>
      </c>
      <c r="I339" s="137">
        <v>2.0</v>
      </c>
      <c r="J339" s="137">
        <v>2.0</v>
      </c>
      <c r="K339" s="137">
        <v>0.0</v>
      </c>
      <c r="L339" s="137">
        <v>0.0</v>
      </c>
      <c r="M339" s="137">
        <v>0.0</v>
      </c>
      <c r="N339" s="137">
        <v>0.0</v>
      </c>
      <c r="O339" s="137">
        <v>0.0</v>
      </c>
      <c r="P339" s="135">
        <v>0.0</v>
      </c>
      <c r="Q339" s="135">
        <v>0.0</v>
      </c>
      <c r="R339" s="135">
        <v>0.0</v>
      </c>
      <c r="S339" s="135">
        <v>0.0</v>
      </c>
      <c r="T339" s="135">
        <v>0.0</v>
      </c>
      <c r="U339" s="135">
        <v>0.0</v>
      </c>
      <c r="V339" s="135">
        <v>0.0</v>
      </c>
      <c r="W339" s="135">
        <v>0.0</v>
      </c>
      <c r="X339" s="135">
        <v>0.0</v>
      </c>
      <c r="Y339" s="135">
        <v>0.0</v>
      </c>
      <c r="Z339" s="135">
        <v>0.0</v>
      </c>
      <c r="AA339" s="135">
        <v>0.0</v>
      </c>
      <c r="AB339" s="135">
        <v>0.0</v>
      </c>
      <c r="AC339" s="135">
        <v>0.0</v>
      </c>
      <c r="AD339" s="135">
        <v>0.0</v>
      </c>
      <c r="AE339" s="135">
        <v>0.0</v>
      </c>
      <c r="AF339" s="135">
        <v>0.0</v>
      </c>
      <c r="AG339" s="135">
        <v>0.0</v>
      </c>
      <c r="AH339" s="135">
        <v>0.0</v>
      </c>
      <c r="AI339" s="135">
        <v>0.0</v>
      </c>
      <c r="AJ339" s="135">
        <v>0.0</v>
      </c>
      <c r="AK339" s="135">
        <v>0.0</v>
      </c>
      <c r="AL339" s="135">
        <v>0.0</v>
      </c>
      <c r="AM339" s="135">
        <v>0.0</v>
      </c>
      <c r="AN339" s="137">
        <v>50.0</v>
      </c>
    </row>
    <row r="340">
      <c r="A340" s="104"/>
      <c r="B340" s="136" t="s">
        <v>201</v>
      </c>
      <c r="C340" s="137">
        <v>2.0</v>
      </c>
      <c r="D340" s="137">
        <v>0.0</v>
      </c>
      <c r="E340" s="137">
        <v>2.0</v>
      </c>
      <c r="F340" s="137">
        <v>0.0</v>
      </c>
      <c r="G340" s="137">
        <v>2.0</v>
      </c>
      <c r="H340" s="137">
        <v>0.0</v>
      </c>
      <c r="I340" s="137">
        <v>0.0</v>
      </c>
      <c r="J340" s="137">
        <v>0.0</v>
      </c>
      <c r="K340" s="137">
        <v>0.0</v>
      </c>
      <c r="L340" s="137">
        <v>0.0</v>
      </c>
      <c r="M340" s="137">
        <v>0.0</v>
      </c>
      <c r="N340" s="137">
        <v>0.0</v>
      </c>
      <c r="O340" s="137">
        <v>0.0</v>
      </c>
      <c r="P340" s="135">
        <v>0.0</v>
      </c>
      <c r="Q340" s="135">
        <v>0.0</v>
      </c>
      <c r="R340" s="135">
        <v>0.0</v>
      </c>
      <c r="S340" s="135">
        <v>0.0</v>
      </c>
      <c r="T340" s="135">
        <v>0.0</v>
      </c>
      <c r="U340" s="135">
        <v>0.0</v>
      </c>
      <c r="V340" s="135">
        <v>0.0</v>
      </c>
      <c r="W340" s="135">
        <v>0.0</v>
      </c>
      <c r="X340" s="135">
        <v>0.0</v>
      </c>
      <c r="Y340" s="135">
        <v>0.0</v>
      </c>
      <c r="Z340" s="135">
        <v>0.0</v>
      </c>
      <c r="AA340" s="135">
        <v>0.0</v>
      </c>
      <c r="AB340" s="135">
        <v>0.0</v>
      </c>
      <c r="AC340" s="135">
        <v>0.0</v>
      </c>
      <c r="AD340" s="135">
        <v>0.0</v>
      </c>
      <c r="AE340" s="135">
        <v>0.0</v>
      </c>
      <c r="AF340" s="135">
        <v>0.0</v>
      </c>
      <c r="AG340" s="135">
        <v>0.0</v>
      </c>
      <c r="AH340" s="135">
        <v>0.0</v>
      </c>
      <c r="AI340" s="135">
        <v>0.0</v>
      </c>
      <c r="AJ340" s="135">
        <v>0.0</v>
      </c>
      <c r="AK340" s="135">
        <v>0.0</v>
      </c>
      <c r="AL340" s="135">
        <v>0.0</v>
      </c>
      <c r="AM340" s="135">
        <v>0.0</v>
      </c>
      <c r="AN340" s="137">
        <v>2.0</v>
      </c>
    </row>
    <row r="341">
      <c r="A341" s="138" t="s">
        <v>253</v>
      </c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</row>
    <row r="342">
      <c r="A342" s="132" t="s">
        <v>197</v>
      </c>
      <c r="B342" s="133" t="s">
        <v>198</v>
      </c>
      <c r="C342" s="134">
        <v>150586.0</v>
      </c>
      <c r="D342" s="134">
        <v>56588.0</v>
      </c>
      <c r="E342" s="134">
        <v>93998.0</v>
      </c>
      <c r="F342" s="135">
        <v>0.0</v>
      </c>
      <c r="G342" s="135">
        <v>0.0</v>
      </c>
      <c r="H342" s="135">
        <v>0.0</v>
      </c>
      <c r="I342" s="135">
        <v>0.0</v>
      </c>
      <c r="J342" s="135">
        <v>0.0</v>
      </c>
      <c r="K342" s="135">
        <v>0.0</v>
      </c>
      <c r="L342" s="137">
        <v>110.0</v>
      </c>
      <c r="M342" s="137">
        <v>154.0</v>
      </c>
      <c r="N342" s="137">
        <v>192.0</v>
      </c>
      <c r="O342" s="137">
        <v>456.0</v>
      </c>
      <c r="P342" s="137">
        <v>394.0</v>
      </c>
      <c r="Q342" s="137">
        <v>878.0</v>
      </c>
      <c r="R342" s="137">
        <v>586.0</v>
      </c>
      <c r="S342" s="134">
        <v>1456.0</v>
      </c>
      <c r="T342" s="134">
        <v>1340.0</v>
      </c>
      <c r="U342" s="134">
        <v>2392.0</v>
      </c>
      <c r="V342" s="134">
        <v>1902.0</v>
      </c>
      <c r="W342" s="134">
        <v>3734.0</v>
      </c>
      <c r="X342" s="134">
        <v>3210.0</v>
      </c>
      <c r="Y342" s="134">
        <v>5802.0</v>
      </c>
      <c r="Z342" s="134">
        <v>4798.0</v>
      </c>
      <c r="AA342" s="134">
        <v>9170.0</v>
      </c>
      <c r="AB342" s="134">
        <v>7668.0</v>
      </c>
      <c r="AC342" s="134">
        <v>12992.0</v>
      </c>
      <c r="AD342" s="134">
        <v>8702.0</v>
      </c>
      <c r="AE342" s="134">
        <v>13830.0</v>
      </c>
      <c r="AF342" s="134">
        <v>8816.0</v>
      </c>
      <c r="AG342" s="134">
        <v>12930.0</v>
      </c>
      <c r="AH342" s="134">
        <v>7890.0</v>
      </c>
      <c r="AI342" s="134">
        <v>11358.0</v>
      </c>
      <c r="AJ342" s="134">
        <v>6076.0</v>
      </c>
      <c r="AK342" s="134">
        <v>8842.0</v>
      </c>
      <c r="AL342" s="134">
        <v>4904.0</v>
      </c>
      <c r="AM342" s="134">
        <v>10004.0</v>
      </c>
      <c r="AN342" s="134">
        <v>148308.0</v>
      </c>
    </row>
    <row r="343">
      <c r="A343" s="98"/>
      <c r="B343" s="136" t="s">
        <v>199</v>
      </c>
      <c r="C343" s="134">
        <v>49796.0</v>
      </c>
      <c r="D343" s="134">
        <v>19624.0</v>
      </c>
      <c r="E343" s="134">
        <v>30172.0</v>
      </c>
      <c r="F343" s="135">
        <v>0.0</v>
      </c>
      <c r="G343" s="135">
        <v>0.0</v>
      </c>
      <c r="H343" s="135">
        <v>0.0</v>
      </c>
      <c r="I343" s="135">
        <v>0.0</v>
      </c>
      <c r="J343" s="135">
        <v>0.0</v>
      </c>
      <c r="K343" s="135">
        <v>0.0</v>
      </c>
      <c r="L343" s="137">
        <v>10.0</v>
      </c>
      <c r="M343" s="137">
        <v>16.0</v>
      </c>
      <c r="N343" s="137">
        <v>32.0</v>
      </c>
      <c r="O343" s="137">
        <v>52.0</v>
      </c>
      <c r="P343" s="137">
        <v>118.0</v>
      </c>
      <c r="Q343" s="137">
        <v>156.0</v>
      </c>
      <c r="R343" s="137">
        <v>150.0</v>
      </c>
      <c r="S343" s="137">
        <v>292.0</v>
      </c>
      <c r="T343" s="137">
        <v>472.0</v>
      </c>
      <c r="U343" s="137">
        <v>518.0</v>
      </c>
      <c r="V343" s="137">
        <v>454.0</v>
      </c>
      <c r="W343" s="137">
        <v>888.0</v>
      </c>
      <c r="X343" s="137">
        <v>856.0</v>
      </c>
      <c r="Y343" s="134">
        <v>1762.0</v>
      </c>
      <c r="Z343" s="134">
        <v>1654.0</v>
      </c>
      <c r="AA343" s="134">
        <v>2764.0</v>
      </c>
      <c r="AB343" s="134">
        <v>2678.0</v>
      </c>
      <c r="AC343" s="134">
        <v>4242.0</v>
      </c>
      <c r="AD343" s="134">
        <v>3238.0</v>
      </c>
      <c r="AE343" s="134">
        <v>5024.0</v>
      </c>
      <c r="AF343" s="134">
        <v>3330.0</v>
      </c>
      <c r="AG343" s="134">
        <v>4212.0</v>
      </c>
      <c r="AH343" s="134">
        <v>2736.0</v>
      </c>
      <c r="AI343" s="134">
        <v>4014.0</v>
      </c>
      <c r="AJ343" s="134">
        <v>2226.0</v>
      </c>
      <c r="AK343" s="134">
        <v>3140.0</v>
      </c>
      <c r="AL343" s="134">
        <v>1670.0</v>
      </c>
      <c r="AM343" s="134">
        <v>3092.0</v>
      </c>
      <c r="AN343" s="134">
        <v>49478.0</v>
      </c>
    </row>
    <row r="344">
      <c r="A344" s="98"/>
      <c r="B344" s="136" t="s">
        <v>200</v>
      </c>
      <c r="C344" s="134">
        <v>44332.0</v>
      </c>
      <c r="D344" s="134">
        <v>16336.0</v>
      </c>
      <c r="E344" s="134">
        <v>27996.0</v>
      </c>
      <c r="F344" s="135">
        <v>0.0</v>
      </c>
      <c r="G344" s="135">
        <v>0.0</v>
      </c>
      <c r="H344" s="135">
        <v>0.0</v>
      </c>
      <c r="I344" s="135">
        <v>0.0</v>
      </c>
      <c r="J344" s="135">
        <v>0.0</v>
      </c>
      <c r="K344" s="135">
        <v>0.0</v>
      </c>
      <c r="L344" s="137">
        <v>32.0</v>
      </c>
      <c r="M344" s="137">
        <v>52.0</v>
      </c>
      <c r="N344" s="137">
        <v>48.0</v>
      </c>
      <c r="O344" s="137">
        <v>126.0</v>
      </c>
      <c r="P344" s="137">
        <v>118.0</v>
      </c>
      <c r="Q344" s="137">
        <v>244.0</v>
      </c>
      <c r="R344" s="137">
        <v>196.0</v>
      </c>
      <c r="S344" s="137">
        <v>392.0</v>
      </c>
      <c r="T344" s="137">
        <v>348.0</v>
      </c>
      <c r="U344" s="137">
        <v>622.0</v>
      </c>
      <c r="V344" s="137">
        <v>524.0</v>
      </c>
      <c r="W344" s="134">
        <v>1034.0</v>
      </c>
      <c r="X344" s="137">
        <v>928.0</v>
      </c>
      <c r="Y344" s="134">
        <v>1700.0</v>
      </c>
      <c r="Z344" s="134">
        <v>1278.0</v>
      </c>
      <c r="AA344" s="134">
        <v>2744.0</v>
      </c>
      <c r="AB344" s="134">
        <v>2124.0</v>
      </c>
      <c r="AC344" s="134">
        <v>3938.0</v>
      </c>
      <c r="AD344" s="134">
        <v>2586.0</v>
      </c>
      <c r="AE344" s="134">
        <v>4306.0</v>
      </c>
      <c r="AF344" s="134">
        <v>2454.0</v>
      </c>
      <c r="AG344" s="134">
        <v>3816.0</v>
      </c>
      <c r="AH344" s="134">
        <v>2536.0</v>
      </c>
      <c r="AI344" s="134">
        <v>3628.0</v>
      </c>
      <c r="AJ344" s="134">
        <v>1770.0</v>
      </c>
      <c r="AK344" s="134">
        <v>2582.0</v>
      </c>
      <c r="AL344" s="134">
        <v>1394.0</v>
      </c>
      <c r="AM344" s="134">
        <v>2812.0</v>
      </c>
      <c r="AN344" s="134">
        <v>43166.0</v>
      </c>
    </row>
    <row r="345">
      <c r="A345" s="104"/>
      <c r="B345" s="136" t="s">
        <v>201</v>
      </c>
      <c r="C345" s="137">
        <v>426.0</v>
      </c>
      <c r="D345" s="137">
        <v>164.0</v>
      </c>
      <c r="E345" s="137">
        <v>262.0</v>
      </c>
      <c r="F345" s="135">
        <v>0.0</v>
      </c>
      <c r="G345" s="135">
        <v>0.0</v>
      </c>
      <c r="H345" s="135">
        <v>0.0</v>
      </c>
      <c r="I345" s="135">
        <v>0.0</v>
      </c>
      <c r="J345" s="135">
        <v>0.0</v>
      </c>
      <c r="K345" s="135">
        <v>0.0</v>
      </c>
      <c r="L345" s="137">
        <v>0.0</v>
      </c>
      <c r="M345" s="137">
        <v>0.0</v>
      </c>
      <c r="N345" s="137">
        <v>0.0</v>
      </c>
      <c r="O345" s="137">
        <v>2.0</v>
      </c>
      <c r="P345" s="137">
        <v>0.0</v>
      </c>
      <c r="Q345" s="137">
        <v>6.0</v>
      </c>
      <c r="R345" s="137">
        <v>0.0</v>
      </c>
      <c r="S345" s="137">
        <v>4.0</v>
      </c>
      <c r="T345" s="137">
        <v>2.0</v>
      </c>
      <c r="U345" s="137">
        <v>20.0</v>
      </c>
      <c r="V345" s="137">
        <v>10.0</v>
      </c>
      <c r="W345" s="137">
        <v>10.0</v>
      </c>
      <c r="X345" s="137">
        <v>4.0</v>
      </c>
      <c r="Y345" s="137">
        <v>34.0</v>
      </c>
      <c r="Z345" s="137">
        <v>30.0</v>
      </c>
      <c r="AA345" s="137">
        <v>36.0</v>
      </c>
      <c r="AB345" s="137">
        <v>40.0</v>
      </c>
      <c r="AC345" s="137">
        <v>40.0</v>
      </c>
      <c r="AD345" s="137">
        <v>20.0</v>
      </c>
      <c r="AE345" s="137">
        <v>42.0</v>
      </c>
      <c r="AF345" s="137">
        <v>20.0</v>
      </c>
      <c r="AG345" s="137">
        <v>20.0</v>
      </c>
      <c r="AH345" s="137">
        <v>10.0</v>
      </c>
      <c r="AI345" s="137">
        <v>24.0</v>
      </c>
      <c r="AJ345" s="137">
        <v>10.0</v>
      </c>
      <c r="AK345" s="137">
        <v>10.0</v>
      </c>
      <c r="AL345" s="137">
        <v>18.0</v>
      </c>
      <c r="AM345" s="137">
        <v>14.0</v>
      </c>
      <c r="AN345" s="137">
        <v>426.0</v>
      </c>
    </row>
    <row r="346">
      <c r="A346" s="132" t="s">
        <v>202</v>
      </c>
      <c r="B346" s="136" t="s">
        <v>198</v>
      </c>
      <c r="C346" s="134">
        <v>1350.0</v>
      </c>
      <c r="D346" s="137">
        <v>770.0</v>
      </c>
      <c r="E346" s="137">
        <v>580.0</v>
      </c>
      <c r="F346" s="137">
        <v>12.0</v>
      </c>
      <c r="G346" s="137">
        <v>24.0</v>
      </c>
      <c r="H346" s="137">
        <v>12.0</v>
      </c>
      <c r="I346" s="137">
        <v>38.0</v>
      </c>
      <c r="J346" s="137">
        <v>28.0</v>
      </c>
      <c r="K346" s="137">
        <v>6.0</v>
      </c>
      <c r="L346" s="137">
        <v>6.0</v>
      </c>
      <c r="M346" s="137">
        <v>14.0</v>
      </c>
      <c r="N346" s="137">
        <v>60.0</v>
      </c>
      <c r="O346" s="137">
        <v>26.0</v>
      </c>
      <c r="P346" s="137">
        <v>90.0</v>
      </c>
      <c r="Q346" s="137">
        <v>26.0</v>
      </c>
      <c r="R346" s="137">
        <v>80.0</v>
      </c>
      <c r="S346" s="137">
        <v>32.0</v>
      </c>
      <c r="T346" s="137">
        <v>84.0</v>
      </c>
      <c r="U346" s="137">
        <v>46.0</v>
      </c>
      <c r="V346" s="137">
        <v>40.0</v>
      </c>
      <c r="W346" s="137">
        <v>42.0</v>
      </c>
      <c r="X346" s="137">
        <v>86.0</v>
      </c>
      <c r="Y346" s="137">
        <v>40.0</v>
      </c>
      <c r="Z346" s="137">
        <v>42.0</v>
      </c>
      <c r="AA346" s="137">
        <v>30.0</v>
      </c>
      <c r="AB346" s="137">
        <v>52.0</v>
      </c>
      <c r="AC346" s="137">
        <v>42.0</v>
      </c>
      <c r="AD346" s="137">
        <v>50.0</v>
      </c>
      <c r="AE346" s="137">
        <v>42.0</v>
      </c>
      <c r="AF346" s="137">
        <v>52.0</v>
      </c>
      <c r="AG346" s="137">
        <v>26.0</v>
      </c>
      <c r="AH346" s="137">
        <v>42.0</v>
      </c>
      <c r="AI346" s="137">
        <v>88.0</v>
      </c>
      <c r="AJ346" s="137">
        <v>10.0</v>
      </c>
      <c r="AK346" s="137">
        <v>18.0</v>
      </c>
      <c r="AL346" s="137">
        <v>24.0</v>
      </c>
      <c r="AM346" s="137">
        <v>40.0</v>
      </c>
      <c r="AN346" s="134">
        <v>1338.0</v>
      </c>
    </row>
    <row r="347">
      <c r="A347" s="104"/>
      <c r="B347" s="136" t="s">
        <v>199</v>
      </c>
      <c r="C347" s="134">
        <v>1504.0</v>
      </c>
      <c r="D347" s="137">
        <v>746.0</v>
      </c>
      <c r="E347" s="137">
        <v>758.0</v>
      </c>
      <c r="F347" s="137">
        <v>32.0</v>
      </c>
      <c r="G347" s="137">
        <v>58.0</v>
      </c>
      <c r="H347" s="137">
        <v>86.0</v>
      </c>
      <c r="I347" s="137">
        <v>54.0</v>
      </c>
      <c r="J347" s="137">
        <v>34.0</v>
      </c>
      <c r="K347" s="137">
        <v>36.0</v>
      </c>
      <c r="L347" s="137">
        <v>24.0</v>
      </c>
      <c r="M347" s="137">
        <v>84.0</v>
      </c>
      <c r="N347" s="137">
        <v>72.0</v>
      </c>
      <c r="O347" s="137">
        <v>34.0</v>
      </c>
      <c r="P347" s="137">
        <v>58.0</v>
      </c>
      <c r="Q347" s="137">
        <v>6.0</v>
      </c>
      <c r="R347" s="137">
        <v>60.0</v>
      </c>
      <c r="S347" s="137">
        <v>86.0</v>
      </c>
      <c r="T347" s="137">
        <v>48.0</v>
      </c>
      <c r="U347" s="137">
        <v>48.0</v>
      </c>
      <c r="V347" s="137">
        <v>46.0</v>
      </c>
      <c r="W347" s="137">
        <v>54.0</v>
      </c>
      <c r="X347" s="137">
        <v>74.0</v>
      </c>
      <c r="Y347" s="137">
        <v>42.0</v>
      </c>
      <c r="Z347" s="137">
        <v>42.0</v>
      </c>
      <c r="AA347" s="137">
        <v>26.0</v>
      </c>
      <c r="AB347" s="137">
        <v>50.0</v>
      </c>
      <c r="AC347" s="137">
        <v>22.0</v>
      </c>
      <c r="AD347" s="137">
        <v>42.0</v>
      </c>
      <c r="AE347" s="137">
        <v>28.0</v>
      </c>
      <c r="AF347" s="137">
        <v>36.0</v>
      </c>
      <c r="AG347" s="137">
        <v>34.0</v>
      </c>
      <c r="AH347" s="137">
        <v>20.0</v>
      </c>
      <c r="AI347" s="137">
        <v>102.0</v>
      </c>
      <c r="AJ347" s="137">
        <v>6.0</v>
      </c>
      <c r="AK347" s="137">
        <v>4.0</v>
      </c>
      <c r="AL347" s="137">
        <v>16.0</v>
      </c>
      <c r="AM347" s="137">
        <v>40.0</v>
      </c>
      <c r="AN347" s="134">
        <v>1502.0</v>
      </c>
    </row>
    <row r="348">
      <c r="A348" s="132" t="s">
        <v>203</v>
      </c>
      <c r="B348" s="136" t="s">
        <v>198</v>
      </c>
      <c r="C348" s="137">
        <v>28.0</v>
      </c>
      <c r="D348" s="137">
        <v>18.0</v>
      </c>
      <c r="E348" s="137">
        <v>10.0</v>
      </c>
      <c r="F348" s="135">
        <v>0.0</v>
      </c>
      <c r="G348" s="135">
        <v>0.0</v>
      </c>
      <c r="H348" s="135">
        <v>0.0</v>
      </c>
      <c r="I348" s="135">
        <v>0.0</v>
      </c>
      <c r="J348" s="135">
        <v>0.0</v>
      </c>
      <c r="K348" s="135">
        <v>0.0</v>
      </c>
      <c r="L348" s="135">
        <v>0.0</v>
      </c>
      <c r="M348" s="135">
        <v>0.0</v>
      </c>
      <c r="N348" s="135">
        <v>0.0</v>
      </c>
      <c r="O348" s="135">
        <v>0.0</v>
      </c>
      <c r="P348" s="135">
        <v>0.0</v>
      </c>
      <c r="Q348" s="135">
        <v>0.0</v>
      </c>
      <c r="R348" s="135">
        <v>0.0</v>
      </c>
      <c r="S348" s="135">
        <v>0.0</v>
      </c>
      <c r="T348" s="135">
        <v>0.0</v>
      </c>
      <c r="U348" s="135">
        <v>0.0</v>
      </c>
      <c r="V348" s="135">
        <v>0.0</v>
      </c>
      <c r="W348" s="135">
        <v>0.0</v>
      </c>
      <c r="X348" s="135">
        <v>0.0</v>
      </c>
      <c r="Y348" s="135">
        <v>0.0</v>
      </c>
      <c r="Z348" s="135">
        <v>0.0</v>
      </c>
      <c r="AA348" s="135">
        <v>0.0</v>
      </c>
      <c r="AB348" s="135">
        <v>0.0</v>
      </c>
      <c r="AC348" s="135">
        <v>0.0</v>
      </c>
      <c r="AD348" s="135">
        <v>0.0</v>
      </c>
      <c r="AE348" s="135">
        <v>0.0</v>
      </c>
      <c r="AF348" s="137">
        <v>4.0</v>
      </c>
      <c r="AG348" s="137">
        <v>0.0</v>
      </c>
      <c r="AH348" s="137">
        <v>10.0</v>
      </c>
      <c r="AI348" s="137">
        <v>2.0</v>
      </c>
      <c r="AJ348" s="137">
        <v>4.0</v>
      </c>
      <c r="AK348" s="137">
        <v>4.0</v>
      </c>
      <c r="AL348" s="137">
        <v>0.0</v>
      </c>
      <c r="AM348" s="137">
        <v>4.0</v>
      </c>
      <c r="AN348" s="137">
        <v>28.0</v>
      </c>
    </row>
    <row r="349">
      <c r="A349" s="104"/>
      <c r="B349" s="136" t="s">
        <v>199</v>
      </c>
      <c r="C349" s="137">
        <v>136.0</v>
      </c>
      <c r="D349" s="137">
        <v>34.0</v>
      </c>
      <c r="E349" s="137">
        <v>102.0</v>
      </c>
      <c r="F349" s="135">
        <v>0.0</v>
      </c>
      <c r="G349" s="135">
        <v>0.0</v>
      </c>
      <c r="H349" s="135">
        <v>0.0</v>
      </c>
      <c r="I349" s="135">
        <v>0.0</v>
      </c>
      <c r="J349" s="135">
        <v>0.0</v>
      </c>
      <c r="K349" s="135">
        <v>0.0</v>
      </c>
      <c r="L349" s="135">
        <v>0.0</v>
      </c>
      <c r="M349" s="135">
        <v>0.0</v>
      </c>
      <c r="N349" s="135">
        <v>0.0</v>
      </c>
      <c r="O349" s="135">
        <v>0.0</v>
      </c>
      <c r="P349" s="135">
        <v>0.0</v>
      </c>
      <c r="Q349" s="135">
        <v>0.0</v>
      </c>
      <c r="R349" s="135">
        <v>0.0</v>
      </c>
      <c r="S349" s="135">
        <v>0.0</v>
      </c>
      <c r="T349" s="135">
        <v>0.0</v>
      </c>
      <c r="U349" s="135">
        <v>0.0</v>
      </c>
      <c r="V349" s="135">
        <v>0.0</v>
      </c>
      <c r="W349" s="135">
        <v>0.0</v>
      </c>
      <c r="X349" s="135">
        <v>0.0</v>
      </c>
      <c r="Y349" s="135">
        <v>0.0</v>
      </c>
      <c r="Z349" s="135">
        <v>0.0</v>
      </c>
      <c r="AA349" s="135">
        <v>0.0</v>
      </c>
      <c r="AB349" s="135">
        <v>0.0</v>
      </c>
      <c r="AC349" s="135">
        <v>0.0</v>
      </c>
      <c r="AD349" s="135">
        <v>0.0</v>
      </c>
      <c r="AE349" s="135">
        <v>0.0</v>
      </c>
      <c r="AF349" s="137">
        <v>10.0</v>
      </c>
      <c r="AG349" s="137">
        <v>28.0</v>
      </c>
      <c r="AH349" s="137">
        <v>8.0</v>
      </c>
      <c r="AI349" s="137">
        <v>36.0</v>
      </c>
      <c r="AJ349" s="137">
        <v>6.0</v>
      </c>
      <c r="AK349" s="137">
        <v>20.0</v>
      </c>
      <c r="AL349" s="137">
        <v>10.0</v>
      </c>
      <c r="AM349" s="137">
        <v>18.0</v>
      </c>
      <c r="AN349" s="137">
        <v>136.0</v>
      </c>
    </row>
    <row r="350">
      <c r="A350" s="132" t="s">
        <v>204</v>
      </c>
      <c r="B350" s="136" t="s">
        <v>198</v>
      </c>
      <c r="C350" s="137">
        <v>20.0</v>
      </c>
      <c r="D350" s="137">
        <v>2.0</v>
      </c>
      <c r="E350" s="137">
        <v>18.0</v>
      </c>
      <c r="F350" s="135">
        <v>0.0</v>
      </c>
      <c r="G350" s="135">
        <v>0.0</v>
      </c>
      <c r="H350" s="135">
        <v>0.0</v>
      </c>
      <c r="I350" s="135">
        <v>0.0</v>
      </c>
      <c r="J350" s="135">
        <v>0.0</v>
      </c>
      <c r="K350" s="135">
        <v>0.0</v>
      </c>
      <c r="L350" s="135">
        <v>0.0</v>
      </c>
      <c r="M350" s="135">
        <v>0.0</v>
      </c>
      <c r="N350" s="135">
        <v>0.0</v>
      </c>
      <c r="O350" s="135">
        <v>0.0</v>
      </c>
      <c r="P350" s="135">
        <v>0.0</v>
      </c>
      <c r="Q350" s="135">
        <v>0.0</v>
      </c>
      <c r="R350" s="135">
        <v>0.0</v>
      </c>
      <c r="S350" s="135">
        <v>0.0</v>
      </c>
      <c r="T350" s="135">
        <v>0.0</v>
      </c>
      <c r="U350" s="135">
        <v>0.0</v>
      </c>
      <c r="V350" s="135">
        <v>0.0</v>
      </c>
      <c r="W350" s="135">
        <v>0.0</v>
      </c>
      <c r="X350" s="135">
        <v>0.0</v>
      </c>
      <c r="Y350" s="135">
        <v>0.0</v>
      </c>
      <c r="Z350" s="135">
        <v>0.0</v>
      </c>
      <c r="AA350" s="135">
        <v>0.0</v>
      </c>
      <c r="AB350" s="135">
        <v>0.0</v>
      </c>
      <c r="AC350" s="135">
        <v>0.0</v>
      </c>
      <c r="AD350" s="135">
        <v>0.0</v>
      </c>
      <c r="AE350" s="135">
        <v>0.0</v>
      </c>
      <c r="AF350" s="137">
        <v>0.0</v>
      </c>
      <c r="AG350" s="137">
        <v>0.0</v>
      </c>
      <c r="AH350" s="137">
        <v>0.0</v>
      </c>
      <c r="AI350" s="137">
        <v>0.0</v>
      </c>
      <c r="AJ350" s="137">
        <v>0.0</v>
      </c>
      <c r="AK350" s="137">
        <v>2.0</v>
      </c>
      <c r="AL350" s="137">
        <v>2.0</v>
      </c>
      <c r="AM350" s="137">
        <v>16.0</v>
      </c>
      <c r="AN350" s="137">
        <v>20.0</v>
      </c>
    </row>
    <row r="351">
      <c r="A351" s="104"/>
      <c r="B351" s="136" t="s">
        <v>199</v>
      </c>
      <c r="C351" s="137">
        <v>74.0</v>
      </c>
      <c r="D351" s="137">
        <v>10.0</v>
      </c>
      <c r="E351" s="137">
        <v>64.0</v>
      </c>
      <c r="F351" s="135">
        <v>0.0</v>
      </c>
      <c r="G351" s="135">
        <v>0.0</v>
      </c>
      <c r="H351" s="135">
        <v>0.0</v>
      </c>
      <c r="I351" s="135">
        <v>0.0</v>
      </c>
      <c r="J351" s="135">
        <v>0.0</v>
      </c>
      <c r="K351" s="135">
        <v>0.0</v>
      </c>
      <c r="L351" s="135">
        <v>0.0</v>
      </c>
      <c r="M351" s="135">
        <v>0.0</v>
      </c>
      <c r="N351" s="135">
        <v>0.0</v>
      </c>
      <c r="O351" s="135">
        <v>0.0</v>
      </c>
      <c r="P351" s="135">
        <v>0.0</v>
      </c>
      <c r="Q351" s="135">
        <v>0.0</v>
      </c>
      <c r="R351" s="135">
        <v>0.0</v>
      </c>
      <c r="S351" s="135">
        <v>0.0</v>
      </c>
      <c r="T351" s="135">
        <v>0.0</v>
      </c>
      <c r="U351" s="135">
        <v>0.0</v>
      </c>
      <c r="V351" s="135">
        <v>0.0</v>
      </c>
      <c r="W351" s="135">
        <v>0.0</v>
      </c>
      <c r="X351" s="135">
        <v>0.0</v>
      </c>
      <c r="Y351" s="135">
        <v>0.0</v>
      </c>
      <c r="Z351" s="135">
        <v>0.0</v>
      </c>
      <c r="AA351" s="135">
        <v>0.0</v>
      </c>
      <c r="AB351" s="135">
        <v>0.0</v>
      </c>
      <c r="AC351" s="135">
        <v>0.0</v>
      </c>
      <c r="AD351" s="135">
        <v>0.0</v>
      </c>
      <c r="AE351" s="135">
        <v>0.0</v>
      </c>
      <c r="AF351" s="137">
        <v>0.0</v>
      </c>
      <c r="AG351" s="137">
        <v>4.0</v>
      </c>
      <c r="AH351" s="137">
        <v>2.0</v>
      </c>
      <c r="AI351" s="137">
        <v>12.0</v>
      </c>
      <c r="AJ351" s="137">
        <v>4.0</v>
      </c>
      <c r="AK351" s="137">
        <v>12.0</v>
      </c>
      <c r="AL351" s="137">
        <v>4.0</v>
      </c>
      <c r="AM351" s="137">
        <v>36.0</v>
      </c>
      <c r="AN351" s="137">
        <v>74.0</v>
      </c>
    </row>
    <row r="352">
      <c r="A352" s="132" t="s">
        <v>205</v>
      </c>
      <c r="B352" s="136" t="s">
        <v>198</v>
      </c>
      <c r="C352" s="137">
        <v>78.0</v>
      </c>
      <c r="D352" s="137">
        <v>12.0</v>
      </c>
      <c r="E352" s="137">
        <v>66.0</v>
      </c>
      <c r="F352" s="137">
        <v>0.0</v>
      </c>
      <c r="G352" s="137">
        <v>0.0</v>
      </c>
      <c r="H352" s="137">
        <v>0.0</v>
      </c>
      <c r="I352" s="137">
        <v>0.0</v>
      </c>
      <c r="J352" s="137">
        <v>0.0</v>
      </c>
      <c r="K352" s="137">
        <v>2.0</v>
      </c>
      <c r="L352" s="137">
        <v>0.0</v>
      </c>
      <c r="M352" s="137">
        <v>0.0</v>
      </c>
      <c r="N352" s="137">
        <v>0.0</v>
      </c>
      <c r="O352" s="137">
        <v>0.0</v>
      </c>
      <c r="P352" s="137">
        <v>0.0</v>
      </c>
      <c r="Q352" s="137">
        <v>0.0</v>
      </c>
      <c r="R352" s="137">
        <v>2.0</v>
      </c>
      <c r="S352" s="137">
        <v>0.0</v>
      </c>
      <c r="T352" s="137">
        <v>0.0</v>
      </c>
      <c r="U352" s="137">
        <v>0.0</v>
      </c>
      <c r="V352" s="137">
        <v>0.0</v>
      </c>
      <c r="W352" s="137">
        <v>4.0</v>
      </c>
      <c r="X352" s="137">
        <v>0.0</v>
      </c>
      <c r="Y352" s="137">
        <v>0.0</v>
      </c>
      <c r="Z352" s="137">
        <v>0.0</v>
      </c>
      <c r="AA352" s="137">
        <v>4.0</v>
      </c>
      <c r="AB352" s="137">
        <v>2.0</v>
      </c>
      <c r="AC352" s="137">
        <v>16.0</v>
      </c>
      <c r="AD352" s="137">
        <v>2.0</v>
      </c>
      <c r="AE352" s="137">
        <v>16.0</v>
      </c>
      <c r="AF352" s="137">
        <v>2.0</v>
      </c>
      <c r="AG352" s="137">
        <v>8.0</v>
      </c>
      <c r="AH352" s="137">
        <v>4.0</v>
      </c>
      <c r="AI352" s="137">
        <v>6.0</v>
      </c>
      <c r="AJ352" s="137">
        <v>0.0</v>
      </c>
      <c r="AK352" s="137">
        <v>4.0</v>
      </c>
      <c r="AL352" s="137">
        <v>0.0</v>
      </c>
      <c r="AM352" s="137">
        <v>6.0</v>
      </c>
      <c r="AN352" s="137">
        <v>78.0</v>
      </c>
    </row>
    <row r="353">
      <c r="A353" s="98"/>
      <c r="B353" s="136" t="s">
        <v>199</v>
      </c>
      <c r="C353" s="137">
        <v>2.0</v>
      </c>
      <c r="D353" s="137">
        <v>2.0</v>
      </c>
      <c r="E353" s="137">
        <v>0.0</v>
      </c>
      <c r="F353" s="137">
        <v>2.0</v>
      </c>
      <c r="G353" s="137">
        <v>0.0</v>
      </c>
      <c r="H353" s="137">
        <v>0.0</v>
      </c>
      <c r="I353" s="137">
        <v>0.0</v>
      </c>
      <c r="J353" s="137">
        <v>0.0</v>
      </c>
      <c r="K353" s="137">
        <v>0.0</v>
      </c>
      <c r="L353" s="137">
        <v>0.0</v>
      </c>
      <c r="M353" s="137">
        <v>0.0</v>
      </c>
      <c r="N353" s="137">
        <v>0.0</v>
      </c>
      <c r="O353" s="137">
        <v>0.0</v>
      </c>
      <c r="P353" s="137">
        <v>0.0</v>
      </c>
      <c r="Q353" s="137">
        <v>0.0</v>
      </c>
      <c r="R353" s="137">
        <v>0.0</v>
      </c>
      <c r="S353" s="137">
        <v>0.0</v>
      </c>
      <c r="T353" s="137">
        <v>0.0</v>
      </c>
      <c r="U353" s="137">
        <v>0.0</v>
      </c>
      <c r="V353" s="137">
        <v>0.0</v>
      </c>
      <c r="W353" s="137">
        <v>0.0</v>
      </c>
      <c r="X353" s="137">
        <v>0.0</v>
      </c>
      <c r="Y353" s="137">
        <v>0.0</v>
      </c>
      <c r="Z353" s="137">
        <v>0.0</v>
      </c>
      <c r="AA353" s="137">
        <v>0.0</v>
      </c>
      <c r="AB353" s="137">
        <v>0.0</v>
      </c>
      <c r="AC353" s="137">
        <v>0.0</v>
      </c>
      <c r="AD353" s="137">
        <v>0.0</v>
      </c>
      <c r="AE353" s="137">
        <v>0.0</v>
      </c>
      <c r="AF353" s="137">
        <v>0.0</v>
      </c>
      <c r="AG353" s="137">
        <v>0.0</v>
      </c>
      <c r="AH353" s="137">
        <v>0.0</v>
      </c>
      <c r="AI353" s="137">
        <v>0.0</v>
      </c>
      <c r="AJ353" s="137">
        <v>0.0</v>
      </c>
      <c r="AK353" s="137">
        <v>0.0</v>
      </c>
      <c r="AL353" s="137">
        <v>0.0</v>
      </c>
      <c r="AM353" s="137">
        <v>0.0</v>
      </c>
      <c r="AN353" s="137">
        <v>2.0</v>
      </c>
    </row>
    <row r="354">
      <c r="A354" s="104"/>
      <c r="B354" s="136" t="s">
        <v>206</v>
      </c>
      <c r="C354" s="137">
        <v>148.0</v>
      </c>
      <c r="D354" s="137">
        <v>74.0</v>
      </c>
      <c r="E354" s="137">
        <v>74.0</v>
      </c>
      <c r="F354" s="137">
        <v>0.0</v>
      </c>
      <c r="G354" s="137">
        <v>0.0</v>
      </c>
      <c r="H354" s="137">
        <v>0.0</v>
      </c>
      <c r="I354" s="137">
        <v>0.0</v>
      </c>
      <c r="J354" s="137">
        <v>0.0</v>
      </c>
      <c r="K354" s="137">
        <v>0.0</v>
      </c>
      <c r="L354" s="137">
        <v>10.0</v>
      </c>
      <c r="M354" s="137">
        <v>2.0</v>
      </c>
      <c r="N354" s="137">
        <v>16.0</v>
      </c>
      <c r="O354" s="137">
        <v>16.0</v>
      </c>
      <c r="P354" s="137">
        <v>6.0</v>
      </c>
      <c r="Q354" s="137">
        <v>10.0</v>
      </c>
      <c r="R354" s="137">
        <v>8.0</v>
      </c>
      <c r="S354" s="137">
        <v>10.0</v>
      </c>
      <c r="T354" s="137">
        <v>14.0</v>
      </c>
      <c r="U354" s="137">
        <v>0.0</v>
      </c>
      <c r="V354" s="137">
        <v>0.0</v>
      </c>
      <c r="W354" s="137">
        <v>4.0</v>
      </c>
      <c r="X354" s="137">
        <v>2.0</v>
      </c>
      <c r="Y354" s="137">
        <v>10.0</v>
      </c>
      <c r="Z354" s="137">
        <v>2.0</v>
      </c>
      <c r="AA354" s="137">
        <v>0.0</v>
      </c>
      <c r="AB354" s="137">
        <v>2.0</v>
      </c>
      <c r="AC354" s="137">
        <v>0.0</v>
      </c>
      <c r="AD354" s="137">
        <v>2.0</v>
      </c>
      <c r="AE354" s="137">
        <v>0.0</v>
      </c>
      <c r="AF354" s="137">
        <v>2.0</v>
      </c>
      <c r="AG354" s="137">
        <v>2.0</v>
      </c>
      <c r="AH354" s="137">
        <v>0.0</v>
      </c>
      <c r="AI354" s="137">
        <v>2.0</v>
      </c>
      <c r="AJ354" s="137">
        <v>0.0</v>
      </c>
      <c r="AK354" s="137">
        <v>0.0</v>
      </c>
      <c r="AL354" s="137">
        <v>10.0</v>
      </c>
      <c r="AM354" s="137">
        <v>18.0</v>
      </c>
      <c r="AN354" s="137">
        <v>148.0</v>
      </c>
    </row>
    <row r="355">
      <c r="A355" s="132" t="s">
        <v>207</v>
      </c>
      <c r="B355" s="136" t="s">
        <v>198</v>
      </c>
      <c r="C355" s="134">
        <v>32194.0</v>
      </c>
      <c r="D355" s="134">
        <v>7554.0</v>
      </c>
      <c r="E355" s="134">
        <v>24640.0</v>
      </c>
      <c r="F355" s="137">
        <v>596.0</v>
      </c>
      <c r="G355" s="137">
        <v>412.0</v>
      </c>
      <c r="H355" s="137">
        <v>420.0</v>
      </c>
      <c r="I355" s="137">
        <v>370.0</v>
      </c>
      <c r="J355" s="137">
        <v>284.0</v>
      </c>
      <c r="K355" s="137">
        <v>210.0</v>
      </c>
      <c r="L355" s="137">
        <v>172.0</v>
      </c>
      <c r="M355" s="137">
        <v>276.0</v>
      </c>
      <c r="N355" s="137">
        <v>104.0</v>
      </c>
      <c r="O355" s="137">
        <v>346.0</v>
      </c>
      <c r="P355" s="137">
        <v>94.0</v>
      </c>
      <c r="Q355" s="137">
        <v>562.0</v>
      </c>
      <c r="R355" s="137">
        <v>158.0</v>
      </c>
      <c r="S355" s="137">
        <v>724.0</v>
      </c>
      <c r="T355" s="137">
        <v>182.0</v>
      </c>
      <c r="U355" s="137">
        <v>764.0</v>
      </c>
      <c r="V355" s="137">
        <v>172.0</v>
      </c>
      <c r="W355" s="137">
        <v>974.0</v>
      </c>
      <c r="X355" s="137">
        <v>266.0</v>
      </c>
      <c r="Y355" s="134">
        <v>1112.0</v>
      </c>
      <c r="Z355" s="137">
        <v>374.0</v>
      </c>
      <c r="AA355" s="134">
        <v>1628.0</v>
      </c>
      <c r="AB355" s="137">
        <v>500.0</v>
      </c>
      <c r="AC355" s="134">
        <v>2688.0</v>
      </c>
      <c r="AD355" s="137">
        <v>670.0</v>
      </c>
      <c r="AE355" s="134">
        <v>3112.0</v>
      </c>
      <c r="AF355" s="137">
        <v>798.0</v>
      </c>
      <c r="AG355" s="134">
        <v>3204.0</v>
      </c>
      <c r="AH355" s="137">
        <v>938.0</v>
      </c>
      <c r="AI355" s="134">
        <v>3052.0</v>
      </c>
      <c r="AJ355" s="137">
        <v>880.0</v>
      </c>
      <c r="AK355" s="134">
        <v>2402.0</v>
      </c>
      <c r="AL355" s="137">
        <v>948.0</v>
      </c>
      <c r="AM355" s="134">
        <v>2806.0</v>
      </c>
      <c r="AN355" s="134">
        <v>32128.0</v>
      </c>
    </row>
    <row r="356">
      <c r="A356" s="98"/>
      <c r="B356" s="136" t="s">
        <v>199</v>
      </c>
      <c r="C356" s="134">
        <v>4140.0</v>
      </c>
      <c r="D356" s="134">
        <v>1578.0</v>
      </c>
      <c r="E356" s="134">
        <v>2562.0</v>
      </c>
      <c r="F356" s="137">
        <v>354.0</v>
      </c>
      <c r="G356" s="137">
        <v>328.0</v>
      </c>
      <c r="H356" s="137">
        <v>44.0</v>
      </c>
      <c r="I356" s="137">
        <v>24.0</v>
      </c>
      <c r="J356" s="137">
        <v>0.0</v>
      </c>
      <c r="K356" s="137">
        <v>12.0</v>
      </c>
      <c r="L356" s="137">
        <v>6.0</v>
      </c>
      <c r="M356" s="137">
        <v>12.0</v>
      </c>
      <c r="N356" s="137">
        <v>14.0</v>
      </c>
      <c r="O356" s="137">
        <v>18.0</v>
      </c>
      <c r="P356" s="137">
        <v>14.0</v>
      </c>
      <c r="Q356" s="137">
        <v>10.0</v>
      </c>
      <c r="R356" s="137">
        <v>40.0</v>
      </c>
      <c r="S356" s="137">
        <v>22.0</v>
      </c>
      <c r="T356" s="137">
        <v>28.0</v>
      </c>
      <c r="U356" s="137">
        <v>44.0</v>
      </c>
      <c r="V356" s="137">
        <v>18.0</v>
      </c>
      <c r="W356" s="137">
        <v>46.0</v>
      </c>
      <c r="X356" s="137">
        <v>42.0</v>
      </c>
      <c r="Y356" s="137">
        <v>58.0</v>
      </c>
      <c r="Z356" s="137">
        <v>86.0</v>
      </c>
      <c r="AA356" s="137">
        <v>104.0</v>
      </c>
      <c r="AB356" s="137">
        <v>90.0</v>
      </c>
      <c r="AC356" s="137">
        <v>180.0</v>
      </c>
      <c r="AD356" s="137">
        <v>130.0</v>
      </c>
      <c r="AE356" s="137">
        <v>240.0</v>
      </c>
      <c r="AF356" s="137">
        <v>182.0</v>
      </c>
      <c r="AG356" s="137">
        <v>376.0</v>
      </c>
      <c r="AH356" s="137">
        <v>192.0</v>
      </c>
      <c r="AI356" s="137">
        <v>406.0</v>
      </c>
      <c r="AJ356" s="137">
        <v>130.0</v>
      </c>
      <c r="AK356" s="137">
        <v>244.0</v>
      </c>
      <c r="AL356" s="137">
        <v>208.0</v>
      </c>
      <c r="AM356" s="137">
        <v>438.0</v>
      </c>
      <c r="AN356" s="134">
        <v>4140.0</v>
      </c>
    </row>
    <row r="357">
      <c r="A357" s="98"/>
      <c r="B357" s="136" t="s">
        <v>206</v>
      </c>
      <c r="C357" s="134">
        <v>7184.0</v>
      </c>
      <c r="D357" s="137">
        <v>284.0</v>
      </c>
      <c r="E357" s="134">
        <v>6900.0</v>
      </c>
      <c r="F357" s="137">
        <v>138.0</v>
      </c>
      <c r="G357" s="137">
        <v>14.0</v>
      </c>
      <c r="H357" s="137">
        <v>0.0</v>
      </c>
      <c r="I357" s="137">
        <v>4.0</v>
      </c>
      <c r="J357" s="137">
        <v>0.0</v>
      </c>
      <c r="K357" s="137">
        <v>42.0</v>
      </c>
      <c r="L357" s="137">
        <v>18.0</v>
      </c>
      <c r="M357" s="137">
        <v>286.0</v>
      </c>
      <c r="N357" s="137">
        <v>10.0</v>
      </c>
      <c r="O357" s="137">
        <v>636.0</v>
      </c>
      <c r="P357" s="137">
        <v>8.0</v>
      </c>
      <c r="Q357" s="137">
        <v>714.0</v>
      </c>
      <c r="R357" s="137">
        <v>12.0</v>
      </c>
      <c r="S357" s="137">
        <v>596.0</v>
      </c>
      <c r="T357" s="137">
        <v>6.0</v>
      </c>
      <c r="U357" s="137">
        <v>546.0</v>
      </c>
      <c r="V357" s="137">
        <v>2.0</v>
      </c>
      <c r="W357" s="137">
        <v>488.0</v>
      </c>
      <c r="X357" s="137">
        <v>6.0</v>
      </c>
      <c r="Y357" s="137">
        <v>650.0</v>
      </c>
      <c r="Z357" s="137">
        <v>8.0</v>
      </c>
      <c r="AA357" s="137">
        <v>640.0</v>
      </c>
      <c r="AB357" s="137">
        <v>12.0</v>
      </c>
      <c r="AC357" s="137">
        <v>570.0</v>
      </c>
      <c r="AD357" s="137">
        <v>18.0</v>
      </c>
      <c r="AE357" s="137">
        <v>658.0</v>
      </c>
      <c r="AF357" s="137">
        <v>18.0</v>
      </c>
      <c r="AG357" s="137">
        <v>474.0</v>
      </c>
      <c r="AH357" s="137">
        <v>12.0</v>
      </c>
      <c r="AI357" s="137">
        <v>306.0</v>
      </c>
      <c r="AJ357" s="137">
        <v>14.0</v>
      </c>
      <c r="AK357" s="137">
        <v>188.0</v>
      </c>
      <c r="AL357" s="137">
        <v>2.0</v>
      </c>
      <c r="AM357" s="137">
        <v>88.0</v>
      </c>
      <c r="AN357" s="134">
        <v>7182.0</v>
      </c>
    </row>
    <row r="358">
      <c r="A358" s="98"/>
      <c r="B358" s="136" t="s">
        <v>200</v>
      </c>
      <c r="C358" s="137">
        <v>506.0</v>
      </c>
      <c r="D358" s="137">
        <v>182.0</v>
      </c>
      <c r="E358" s="137">
        <v>324.0</v>
      </c>
      <c r="F358" s="137">
        <v>78.0</v>
      </c>
      <c r="G358" s="137">
        <v>74.0</v>
      </c>
      <c r="H358" s="137">
        <v>18.0</v>
      </c>
      <c r="I358" s="137">
        <v>4.0</v>
      </c>
      <c r="J358" s="137">
        <v>8.0</v>
      </c>
      <c r="K358" s="137">
        <v>8.0</v>
      </c>
      <c r="L358" s="137">
        <v>10.0</v>
      </c>
      <c r="M358" s="137">
        <v>14.0</v>
      </c>
      <c r="N358" s="137">
        <v>6.0</v>
      </c>
      <c r="O358" s="137">
        <v>22.0</v>
      </c>
      <c r="P358" s="137">
        <v>4.0</v>
      </c>
      <c r="Q358" s="137">
        <v>28.0</v>
      </c>
      <c r="R358" s="137">
        <v>2.0</v>
      </c>
      <c r="S358" s="137">
        <v>18.0</v>
      </c>
      <c r="T358" s="137">
        <v>6.0</v>
      </c>
      <c r="U358" s="137">
        <v>20.0</v>
      </c>
      <c r="V358" s="137">
        <v>6.0</v>
      </c>
      <c r="W358" s="137">
        <v>18.0</v>
      </c>
      <c r="X358" s="137">
        <v>10.0</v>
      </c>
      <c r="Y358" s="137">
        <v>16.0</v>
      </c>
      <c r="Z358" s="137">
        <v>2.0</v>
      </c>
      <c r="AA358" s="137">
        <v>10.0</v>
      </c>
      <c r="AB358" s="137">
        <v>4.0</v>
      </c>
      <c r="AC358" s="137">
        <v>18.0</v>
      </c>
      <c r="AD358" s="137">
        <v>4.0</v>
      </c>
      <c r="AE358" s="137">
        <v>16.0</v>
      </c>
      <c r="AF358" s="137">
        <v>8.0</v>
      </c>
      <c r="AG358" s="137">
        <v>14.0</v>
      </c>
      <c r="AH358" s="137">
        <v>8.0</v>
      </c>
      <c r="AI358" s="137">
        <v>18.0</v>
      </c>
      <c r="AJ358" s="137">
        <v>4.0</v>
      </c>
      <c r="AK358" s="137">
        <v>6.0</v>
      </c>
      <c r="AL358" s="137">
        <v>4.0</v>
      </c>
      <c r="AM358" s="137">
        <v>20.0</v>
      </c>
      <c r="AN358" s="137">
        <v>506.0</v>
      </c>
    </row>
    <row r="359">
      <c r="A359" s="104"/>
      <c r="B359" s="136" t="s">
        <v>201</v>
      </c>
      <c r="C359" s="137">
        <v>290.0</v>
      </c>
      <c r="D359" s="137">
        <v>150.0</v>
      </c>
      <c r="E359" s="137">
        <v>140.0</v>
      </c>
      <c r="F359" s="137">
        <v>0.0</v>
      </c>
      <c r="G359" s="137">
        <v>0.0</v>
      </c>
      <c r="H359" s="137">
        <v>0.0</v>
      </c>
      <c r="I359" s="137">
        <v>0.0</v>
      </c>
      <c r="J359" s="137">
        <v>0.0</v>
      </c>
      <c r="K359" s="137">
        <v>0.0</v>
      </c>
      <c r="L359" s="137">
        <v>0.0</v>
      </c>
      <c r="M359" s="137">
        <v>0.0</v>
      </c>
      <c r="N359" s="137">
        <v>0.0</v>
      </c>
      <c r="O359" s="137">
        <v>6.0</v>
      </c>
      <c r="P359" s="137">
        <v>2.0</v>
      </c>
      <c r="Q359" s="137">
        <v>4.0</v>
      </c>
      <c r="R359" s="137">
        <v>8.0</v>
      </c>
      <c r="S359" s="137">
        <v>4.0</v>
      </c>
      <c r="T359" s="137">
        <v>0.0</v>
      </c>
      <c r="U359" s="137">
        <v>34.0</v>
      </c>
      <c r="V359" s="137">
        <v>14.0</v>
      </c>
      <c r="W359" s="137">
        <v>2.0</v>
      </c>
      <c r="X359" s="137">
        <v>6.0</v>
      </c>
      <c r="Y359" s="137">
        <v>2.0</v>
      </c>
      <c r="Z359" s="137">
        <v>20.0</v>
      </c>
      <c r="AA359" s="137">
        <v>0.0</v>
      </c>
      <c r="AB359" s="137">
        <v>26.0</v>
      </c>
      <c r="AC359" s="137">
        <v>2.0</v>
      </c>
      <c r="AD359" s="137">
        <v>2.0</v>
      </c>
      <c r="AE359" s="137">
        <v>8.0</v>
      </c>
      <c r="AF359" s="137">
        <v>26.0</v>
      </c>
      <c r="AG359" s="137">
        <v>2.0</v>
      </c>
      <c r="AH359" s="137">
        <v>4.0</v>
      </c>
      <c r="AI359" s="137">
        <v>6.0</v>
      </c>
      <c r="AJ359" s="137">
        <v>16.0</v>
      </c>
      <c r="AK359" s="137">
        <v>12.0</v>
      </c>
      <c r="AL359" s="137">
        <v>26.0</v>
      </c>
      <c r="AM359" s="137">
        <v>58.0</v>
      </c>
      <c r="AN359" s="137">
        <v>256.0</v>
      </c>
    </row>
    <row r="360">
      <c r="A360" s="132" t="s">
        <v>208</v>
      </c>
      <c r="B360" s="136" t="s">
        <v>198</v>
      </c>
      <c r="C360" s="137">
        <v>14.0</v>
      </c>
      <c r="D360" s="137">
        <v>8.0</v>
      </c>
      <c r="E360" s="137">
        <v>6.0</v>
      </c>
      <c r="F360" s="137">
        <v>2.0</v>
      </c>
      <c r="G360" s="137">
        <v>2.0</v>
      </c>
      <c r="H360" s="137">
        <v>6.0</v>
      </c>
      <c r="I360" s="137">
        <v>4.0</v>
      </c>
      <c r="J360" s="137">
        <v>0.0</v>
      </c>
      <c r="K360" s="137">
        <v>0.0</v>
      </c>
      <c r="L360" s="137">
        <v>0.0</v>
      </c>
      <c r="M360" s="137">
        <v>0.0</v>
      </c>
      <c r="N360" s="137">
        <v>0.0</v>
      </c>
      <c r="O360" s="137">
        <v>0.0</v>
      </c>
      <c r="P360" s="135">
        <v>0.0</v>
      </c>
      <c r="Q360" s="135">
        <v>0.0</v>
      </c>
      <c r="R360" s="135">
        <v>0.0</v>
      </c>
      <c r="S360" s="135">
        <v>0.0</v>
      </c>
      <c r="T360" s="135">
        <v>0.0</v>
      </c>
      <c r="U360" s="135">
        <v>0.0</v>
      </c>
      <c r="V360" s="135">
        <v>0.0</v>
      </c>
      <c r="W360" s="135">
        <v>0.0</v>
      </c>
      <c r="X360" s="135">
        <v>0.0</v>
      </c>
      <c r="Y360" s="135">
        <v>0.0</v>
      </c>
      <c r="Z360" s="135">
        <v>0.0</v>
      </c>
      <c r="AA360" s="135">
        <v>0.0</v>
      </c>
      <c r="AB360" s="135">
        <v>0.0</v>
      </c>
      <c r="AC360" s="135">
        <v>0.0</v>
      </c>
      <c r="AD360" s="135">
        <v>0.0</v>
      </c>
      <c r="AE360" s="135">
        <v>0.0</v>
      </c>
      <c r="AF360" s="135">
        <v>0.0</v>
      </c>
      <c r="AG360" s="135">
        <v>0.0</v>
      </c>
      <c r="AH360" s="135">
        <v>0.0</v>
      </c>
      <c r="AI360" s="135">
        <v>0.0</v>
      </c>
      <c r="AJ360" s="135">
        <v>0.0</v>
      </c>
      <c r="AK360" s="135">
        <v>0.0</v>
      </c>
      <c r="AL360" s="135">
        <v>0.0</v>
      </c>
      <c r="AM360" s="135">
        <v>0.0</v>
      </c>
      <c r="AN360" s="137">
        <v>18.0</v>
      </c>
    </row>
    <row r="361">
      <c r="A361" s="98"/>
      <c r="B361" s="136" t="s">
        <v>199</v>
      </c>
      <c r="C361" s="137">
        <v>28.0</v>
      </c>
      <c r="D361" s="137">
        <v>24.0</v>
      </c>
      <c r="E361" s="137">
        <v>4.0</v>
      </c>
      <c r="F361" s="137">
        <v>2.0</v>
      </c>
      <c r="G361" s="137">
        <v>0.0</v>
      </c>
      <c r="H361" s="137">
        <v>10.0</v>
      </c>
      <c r="I361" s="137">
        <v>4.0</v>
      </c>
      <c r="J361" s="137">
        <v>12.0</v>
      </c>
      <c r="K361" s="137">
        <v>0.0</v>
      </c>
      <c r="L361" s="137">
        <v>0.0</v>
      </c>
      <c r="M361" s="137">
        <v>0.0</v>
      </c>
      <c r="N361" s="137">
        <v>0.0</v>
      </c>
      <c r="O361" s="137">
        <v>0.0</v>
      </c>
      <c r="P361" s="135">
        <v>0.0</v>
      </c>
      <c r="Q361" s="135">
        <v>0.0</v>
      </c>
      <c r="R361" s="135">
        <v>0.0</v>
      </c>
      <c r="S361" s="135">
        <v>0.0</v>
      </c>
      <c r="T361" s="135">
        <v>0.0</v>
      </c>
      <c r="U361" s="135">
        <v>0.0</v>
      </c>
      <c r="V361" s="135">
        <v>0.0</v>
      </c>
      <c r="W361" s="135">
        <v>0.0</v>
      </c>
      <c r="X361" s="135">
        <v>0.0</v>
      </c>
      <c r="Y361" s="135">
        <v>0.0</v>
      </c>
      <c r="Z361" s="135">
        <v>0.0</v>
      </c>
      <c r="AA361" s="135">
        <v>0.0</v>
      </c>
      <c r="AB361" s="135">
        <v>0.0</v>
      </c>
      <c r="AC361" s="135">
        <v>0.0</v>
      </c>
      <c r="AD361" s="135">
        <v>0.0</v>
      </c>
      <c r="AE361" s="135">
        <v>0.0</v>
      </c>
      <c r="AF361" s="135">
        <v>0.0</v>
      </c>
      <c r="AG361" s="135">
        <v>0.0</v>
      </c>
      <c r="AH361" s="135">
        <v>0.0</v>
      </c>
      <c r="AI361" s="135">
        <v>0.0</v>
      </c>
      <c r="AJ361" s="135">
        <v>0.0</v>
      </c>
      <c r="AK361" s="135">
        <v>0.0</v>
      </c>
      <c r="AL361" s="135">
        <v>0.0</v>
      </c>
      <c r="AM361" s="135">
        <v>0.0</v>
      </c>
      <c r="AN361" s="137">
        <v>28.0</v>
      </c>
    </row>
    <row r="362">
      <c r="A362" s="98"/>
      <c r="B362" s="136" t="s">
        <v>206</v>
      </c>
      <c r="C362" s="137">
        <v>4.0</v>
      </c>
      <c r="D362" s="137">
        <v>0.0</v>
      </c>
      <c r="E362" s="137">
        <v>4.0</v>
      </c>
      <c r="F362" s="137">
        <v>0.0</v>
      </c>
      <c r="G362" s="137">
        <v>4.0</v>
      </c>
      <c r="H362" s="137">
        <v>0.0</v>
      </c>
      <c r="I362" s="137">
        <v>0.0</v>
      </c>
      <c r="J362" s="137">
        <v>0.0</v>
      </c>
      <c r="K362" s="137">
        <v>0.0</v>
      </c>
      <c r="L362" s="137">
        <v>0.0</v>
      </c>
      <c r="M362" s="137">
        <v>0.0</v>
      </c>
      <c r="N362" s="137">
        <v>0.0</v>
      </c>
      <c r="O362" s="137">
        <v>0.0</v>
      </c>
      <c r="P362" s="135">
        <v>0.0</v>
      </c>
      <c r="Q362" s="135">
        <v>0.0</v>
      </c>
      <c r="R362" s="135">
        <v>0.0</v>
      </c>
      <c r="S362" s="135">
        <v>0.0</v>
      </c>
      <c r="T362" s="135">
        <v>0.0</v>
      </c>
      <c r="U362" s="135">
        <v>0.0</v>
      </c>
      <c r="V362" s="135">
        <v>0.0</v>
      </c>
      <c r="W362" s="135">
        <v>0.0</v>
      </c>
      <c r="X362" s="135">
        <v>0.0</v>
      </c>
      <c r="Y362" s="135">
        <v>0.0</v>
      </c>
      <c r="Z362" s="135">
        <v>0.0</v>
      </c>
      <c r="AA362" s="135">
        <v>0.0</v>
      </c>
      <c r="AB362" s="135">
        <v>0.0</v>
      </c>
      <c r="AC362" s="135">
        <v>0.0</v>
      </c>
      <c r="AD362" s="135">
        <v>0.0</v>
      </c>
      <c r="AE362" s="135">
        <v>0.0</v>
      </c>
      <c r="AF362" s="135">
        <v>0.0</v>
      </c>
      <c r="AG362" s="135">
        <v>0.0</v>
      </c>
      <c r="AH362" s="135">
        <v>0.0</v>
      </c>
      <c r="AI362" s="135">
        <v>0.0</v>
      </c>
      <c r="AJ362" s="135">
        <v>0.0</v>
      </c>
      <c r="AK362" s="135">
        <v>0.0</v>
      </c>
      <c r="AL362" s="135">
        <v>0.0</v>
      </c>
      <c r="AM362" s="135">
        <v>0.0</v>
      </c>
      <c r="AN362" s="137">
        <v>4.0</v>
      </c>
    </row>
    <row r="363">
      <c r="A363" s="98"/>
      <c r="B363" s="136" t="s">
        <v>200</v>
      </c>
      <c r="C363" s="137">
        <v>10.0</v>
      </c>
      <c r="D363" s="137">
        <v>6.0</v>
      </c>
      <c r="E363" s="137">
        <v>4.0</v>
      </c>
      <c r="F363" s="137">
        <v>4.0</v>
      </c>
      <c r="G363" s="137">
        <v>0.0</v>
      </c>
      <c r="H363" s="137">
        <v>0.0</v>
      </c>
      <c r="I363" s="137">
        <v>2.0</v>
      </c>
      <c r="J363" s="137">
        <v>2.0</v>
      </c>
      <c r="K363" s="137">
        <v>2.0</v>
      </c>
      <c r="L363" s="137">
        <v>0.0</v>
      </c>
      <c r="M363" s="137">
        <v>0.0</v>
      </c>
      <c r="N363" s="137">
        <v>0.0</v>
      </c>
      <c r="O363" s="137">
        <v>0.0</v>
      </c>
      <c r="P363" s="135">
        <v>0.0</v>
      </c>
      <c r="Q363" s="135">
        <v>0.0</v>
      </c>
      <c r="R363" s="135">
        <v>0.0</v>
      </c>
      <c r="S363" s="135">
        <v>0.0</v>
      </c>
      <c r="T363" s="135">
        <v>0.0</v>
      </c>
      <c r="U363" s="135">
        <v>0.0</v>
      </c>
      <c r="V363" s="135">
        <v>0.0</v>
      </c>
      <c r="W363" s="135">
        <v>0.0</v>
      </c>
      <c r="X363" s="135">
        <v>0.0</v>
      </c>
      <c r="Y363" s="135">
        <v>0.0</v>
      </c>
      <c r="Z363" s="135">
        <v>0.0</v>
      </c>
      <c r="AA363" s="135">
        <v>0.0</v>
      </c>
      <c r="AB363" s="135">
        <v>0.0</v>
      </c>
      <c r="AC363" s="135">
        <v>0.0</v>
      </c>
      <c r="AD363" s="135">
        <v>0.0</v>
      </c>
      <c r="AE363" s="135">
        <v>0.0</v>
      </c>
      <c r="AF363" s="135">
        <v>0.0</v>
      </c>
      <c r="AG363" s="135">
        <v>0.0</v>
      </c>
      <c r="AH363" s="135">
        <v>0.0</v>
      </c>
      <c r="AI363" s="135">
        <v>0.0</v>
      </c>
      <c r="AJ363" s="135">
        <v>0.0</v>
      </c>
      <c r="AK363" s="135">
        <v>0.0</v>
      </c>
      <c r="AL363" s="135">
        <v>0.0</v>
      </c>
      <c r="AM363" s="135">
        <v>0.0</v>
      </c>
      <c r="AN363" s="137">
        <v>8.0</v>
      </c>
    </row>
    <row r="364">
      <c r="A364" s="104"/>
      <c r="B364" s="136" t="s">
        <v>201</v>
      </c>
      <c r="C364" s="137">
        <v>0.0</v>
      </c>
      <c r="D364" s="137">
        <v>0.0</v>
      </c>
      <c r="E364" s="137">
        <v>0.0</v>
      </c>
      <c r="F364" s="137">
        <v>0.0</v>
      </c>
      <c r="G364" s="137">
        <v>0.0</v>
      </c>
      <c r="H364" s="137">
        <v>0.0</v>
      </c>
      <c r="I364" s="137">
        <v>0.0</v>
      </c>
      <c r="J364" s="137">
        <v>0.0</v>
      </c>
      <c r="K364" s="137">
        <v>0.0</v>
      </c>
      <c r="L364" s="137">
        <v>0.0</v>
      </c>
      <c r="M364" s="137">
        <v>0.0</v>
      </c>
      <c r="N364" s="137">
        <v>0.0</v>
      </c>
      <c r="O364" s="137">
        <v>0.0</v>
      </c>
      <c r="P364" s="135">
        <v>0.0</v>
      </c>
      <c r="Q364" s="135">
        <v>0.0</v>
      </c>
      <c r="R364" s="135">
        <v>0.0</v>
      </c>
      <c r="S364" s="135">
        <v>0.0</v>
      </c>
      <c r="T364" s="135">
        <v>0.0</v>
      </c>
      <c r="U364" s="135">
        <v>0.0</v>
      </c>
      <c r="V364" s="135">
        <v>0.0</v>
      </c>
      <c r="W364" s="135">
        <v>0.0</v>
      </c>
      <c r="X364" s="135">
        <v>0.0</v>
      </c>
      <c r="Y364" s="135">
        <v>0.0</v>
      </c>
      <c r="Z364" s="135">
        <v>0.0</v>
      </c>
      <c r="AA364" s="135">
        <v>0.0</v>
      </c>
      <c r="AB364" s="135">
        <v>0.0</v>
      </c>
      <c r="AC364" s="135">
        <v>0.0</v>
      </c>
      <c r="AD364" s="135">
        <v>0.0</v>
      </c>
      <c r="AE364" s="135">
        <v>0.0</v>
      </c>
      <c r="AF364" s="135">
        <v>0.0</v>
      </c>
      <c r="AG364" s="135">
        <v>0.0</v>
      </c>
      <c r="AH364" s="135">
        <v>0.0</v>
      </c>
      <c r="AI364" s="135">
        <v>0.0</v>
      </c>
      <c r="AJ364" s="135">
        <v>0.0</v>
      </c>
      <c r="AK364" s="135">
        <v>0.0</v>
      </c>
      <c r="AL364" s="135">
        <v>0.0</v>
      </c>
      <c r="AM364" s="135">
        <v>0.0</v>
      </c>
      <c r="AN364" s="137">
        <v>0.0</v>
      </c>
    </row>
    <row r="365">
      <c r="A365" s="138" t="s">
        <v>254</v>
      </c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</row>
    <row r="366">
      <c r="A366" s="132" t="s">
        <v>197</v>
      </c>
      <c r="B366" s="133" t="s">
        <v>198</v>
      </c>
      <c r="C366" s="134">
        <v>250350.0</v>
      </c>
      <c r="D366" s="134">
        <v>96306.0</v>
      </c>
      <c r="E366" s="134">
        <v>154044.0</v>
      </c>
      <c r="F366" s="135">
        <v>0.0</v>
      </c>
      <c r="G366" s="135">
        <v>0.0</v>
      </c>
      <c r="H366" s="135">
        <v>0.0</v>
      </c>
      <c r="I366" s="135">
        <v>0.0</v>
      </c>
      <c r="J366" s="135">
        <v>0.0</v>
      </c>
      <c r="K366" s="135">
        <v>0.0</v>
      </c>
      <c r="L366" s="137">
        <v>132.0</v>
      </c>
      <c r="M366" s="137">
        <v>254.0</v>
      </c>
      <c r="N366" s="137">
        <v>254.0</v>
      </c>
      <c r="O366" s="137">
        <v>690.0</v>
      </c>
      <c r="P366" s="137">
        <v>620.0</v>
      </c>
      <c r="Q366" s="134">
        <v>1290.0</v>
      </c>
      <c r="R366" s="134">
        <v>1406.0</v>
      </c>
      <c r="S366" s="134">
        <v>2600.0</v>
      </c>
      <c r="T366" s="134">
        <v>2044.0</v>
      </c>
      <c r="U366" s="134">
        <v>4144.0</v>
      </c>
      <c r="V366" s="134">
        <v>3242.0</v>
      </c>
      <c r="W366" s="134">
        <v>6408.0</v>
      </c>
      <c r="X366" s="134">
        <v>4970.0</v>
      </c>
      <c r="Y366" s="134">
        <v>10446.0</v>
      </c>
      <c r="Z366" s="134">
        <v>8372.0</v>
      </c>
      <c r="AA366" s="134">
        <v>16284.0</v>
      </c>
      <c r="AB366" s="134">
        <v>11996.0</v>
      </c>
      <c r="AC366" s="134">
        <v>21520.0</v>
      </c>
      <c r="AD366" s="134">
        <v>14098.0</v>
      </c>
      <c r="AE366" s="134">
        <v>21768.0</v>
      </c>
      <c r="AF366" s="134">
        <v>14556.0</v>
      </c>
      <c r="AG366" s="134">
        <v>21464.0</v>
      </c>
      <c r="AH366" s="134">
        <v>13988.0</v>
      </c>
      <c r="AI366" s="134">
        <v>18572.0</v>
      </c>
      <c r="AJ366" s="134">
        <v>10272.0</v>
      </c>
      <c r="AK366" s="134">
        <v>13708.0</v>
      </c>
      <c r="AL366" s="134">
        <v>10356.0</v>
      </c>
      <c r="AM366" s="134">
        <v>14896.0</v>
      </c>
      <c r="AN366" s="134">
        <v>246064.0</v>
      </c>
    </row>
    <row r="367">
      <c r="A367" s="98"/>
      <c r="B367" s="136" t="s">
        <v>199</v>
      </c>
      <c r="C367" s="134">
        <v>57678.0</v>
      </c>
      <c r="D367" s="134">
        <v>22194.0</v>
      </c>
      <c r="E367" s="134">
        <v>35484.0</v>
      </c>
      <c r="F367" s="135">
        <v>0.0</v>
      </c>
      <c r="G367" s="135">
        <v>0.0</v>
      </c>
      <c r="H367" s="135">
        <v>0.0</v>
      </c>
      <c r="I367" s="135">
        <v>0.0</v>
      </c>
      <c r="J367" s="135">
        <v>0.0</v>
      </c>
      <c r="K367" s="135">
        <v>0.0</v>
      </c>
      <c r="L367" s="137">
        <v>16.0</v>
      </c>
      <c r="M367" s="137">
        <v>36.0</v>
      </c>
      <c r="N367" s="137">
        <v>46.0</v>
      </c>
      <c r="O367" s="137">
        <v>112.0</v>
      </c>
      <c r="P367" s="137">
        <v>120.0</v>
      </c>
      <c r="Q367" s="137">
        <v>206.0</v>
      </c>
      <c r="R367" s="137">
        <v>222.0</v>
      </c>
      <c r="S367" s="137">
        <v>494.0</v>
      </c>
      <c r="T367" s="137">
        <v>380.0</v>
      </c>
      <c r="U367" s="137">
        <v>824.0</v>
      </c>
      <c r="V367" s="137">
        <v>608.0</v>
      </c>
      <c r="W367" s="134">
        <v>1352.0</v>
      </c>
      <c r="X367" s="134">
        <v>1040.0</v>
      </c>
      <c r="Y367" s="134">
        <v>2228.0</v>
      </c>
      <c r="Z367" s="134">
        <v>1800.0</v>
      </c>
      <c r="AA367" s="134">
        <v>3554.0</v>
      </c>
      <c r="AB367" s="134">
        <v>2622.0</v>
      </c>
      <c r="AC367" s="134">
        <v>4652.0</v>
      </c>
      <c r="AD367" s="134">
        <v>3074.0</v>
      </c>
      <c r="AE367" s="134">
        <v>4876.0</v>
      </c>
      <c r="AF367" s="134">
        <v>3282.0</v>
      </c>
      <c r="AG367" s="134">
        <v>5228.0</v>
      </c>
      <c r="AH367" s="134">
        <v>3364.0</v>
      </c>
      <c r="AI367" s="134">
        <v>4660.0</v>
      </c>
      <c r="AJ367" s="134">
        <v>3002.0</v>
      </c>
      <c r="AK367" s="134">
        <v>3552.0</v>
      </c>
      <c r="AL367" s="134">
        <v>2618.0</v>
      </c>
      <c r="AM367" s="134">
        <v>3710.0</v>
      </c>
      <c r="AN367" s="134">
        <v>56888.0</v>
      </c>
    </row>
    <row r="368">
      <c r="A368" s="98"/>
      <c r="B368" s="136" t="s">
        <v>200</v>
      </c>
      <c r="C368" s="134">
        <v>45130.0</v>
      </c>
      <c r="D368" s="134">
        <v>16120.0</v>
      </c>
      <c r="E368" s="134">
        <v>29010.0</v>
      </c>
      <c r="F368" s="135">
        <v>0.0</v>
      </c>
      <c r="G368" s="135">
        <v>0.0</v>
      </c>
      <c r="H368" s="135">
        <v>0.0</v>
      </c>
      <c r="I368" s="135">
        <v>0.0</v>
      </c>
      <c r="J368" s="135">
        <v>0.0</v>
      </c>
      <c r="K368" s="135">
        <v>0.0</v>
      </c>
      <c r="L368" s="137">
        <v>70.0</v>
      </c>
      <c r="M368" s="137">
        <v>134.0</v>
      </c>
      <c r="N368" s="137">
        <v>106.0</v>
      </c>
      <c r="O368" s="137">
        <v>268.0</v>
      </c>
      <c r="P368" s="137">
        <v>168.0</v>
      </c>
      <c r="Q368" s="137">
        <v>464.0</v>
      </c>
      <c r="R368" s="137">
        <v>260.0</v>
      </c>
      <c r="S368" s="137">
        <v>738.0</v>
      </c>
      <c r="T368" s="137">
        <v>404.0</v>
      </c>
      <c r="U368" s="137">
        <v>976.0</v>
      </c>
      <c r="V368" s="137">
        <v>686.0</v>
      </c>
      <c r="W368" s="134">
        <v>1522.0</v>
      </c>
      <c r="X368" s="134">
        <v>1010.0</v>
      </c>
      <c r="Y368" s="134">
        <v>2388.0</v>
      </c>
      <c r="Z368" s="134">
        <v>1548.0</v>
      </c>
      <c r="AA368" s="134">
        <v>3524.0</v>
      </c>
      <c r="AB368" s="134">
        <v>2128.0</v>
      </c>
      <c r="AC368" s="134">
        <v>3920.0</v>
      </c>
      <c r="AD368" s="134">
        <v>2214.0</v>
      </c>
      <c r="AE368" s="134">
        <v>4146.0</v>
      </c>
      <c r="AF368" s="134">
        <v>2474.0</v>
      </c>
      <c r="AG368" s="134">
        <v>3774.0</v>
      </c>
      <c r="AH368" s="134">
        <v>2128.0</v>
      </c>
      <c r="AI368" s="134">
        <v>3114.0</v>
      </c>
      <c r="AJ368" s="134">
        <v>1510.0</v>
      </c>
      <c r="AK368" s="134">
        <v>2098.0</v>
      </c>
      <c r="AL368" s="134">
        <v>1412.0</v>
      </c>
      <c r="AM368" s="134">
        <v>1944.0</v>
      </c>
      <c r="AN368" s="134">
        <v>44260.0</v>
      </c>
    </row>
    <row r="369">
      <c r="A369" s="104"/>
      <c r="B369" s="136" t="s">
        <v>201</v>
      </c>
      <c r="C369" s="134">
        <v>64794.0</v>
      </c>
      <c r="D369" s="134">
        <v>21972.0</v>
      </c>
      <c r="E369" s="134">
        <v>42822.0</v>
      </c>
      <c r="F369" s="135">
        <v>0.0</v>
      </c>
      <c r="G369" s="135">
        <v>0.0</v>
      </c>
      <c r="H369" s="135">
        <v>0.0</v>
      </c>
      <c r="I369" s="135">
        <v>0.0</v>
      </c>
      <c r="J369" s="135">
        <v>0.0</v>
      </c>
      <c r="K369" s="135">
        <v>0.0</v>
      </c>
      <c r="L369" s="137">
        <v>2.0</v>
      </c>
      <c r="M369" s="137">
        <v>30.0</v>
      </c>
      <c r="N369" s="137">
        <v>28.0</v>
      </c>
      <c r="O369" s="137">
        <v>54.0</v>
      </c>
      <c r="P369" s="137">
        <v>100.0</v>
      </c>
      <c r="Q369" s="137">
        <v>328.0</v>
      </c>
      <c r="R369" s="137">
        <v>180.0</v>
      </c>
      <c r="S369" s="137">
        <v>498.0</v>
      </c>
      <c r="T369" s="137">
        <v>274.0</v>
      </c>
      <c r="U369" s="137">
        <v>866.0</v>
      </c>
      <c r="V369" s="137">
        <v>528.0</v>
      </c>
      <c r="W369" s="134">
        <v>1410.0</v>
      </c>
      <c r="X369" s="137">
        <v>854.0</v>
      </c>
      <c r="Y369" s="134">
        <v>2630.0</v>
      </c>
      <c r="Z369" s="134">
        <v>1882.0</v>
      </c>
      <c r="AA369" s="134">
        <v>4726.0</v>
      </c>
      <c r="AB369" s="134">
        <v>2552.0</v>
      </c>
      <c r="AC369" s="134">
        <v>6238.0</v>
      </c>
      <c r="AD369" s="134">
        <v>3254.0</v>
      </c>
      <c r="AE369" s="134">
        <v>6080.0</v>
      </c>
      <c r="AF369" s="134">
        <v>2814.0</v>
      </c>
      <c r="AG369" s="134">
        <v>5988.0</v>
      </c>
      <c r="AH369" s="134">
        <v>3766.0</v>
      </c>
      <c r="AI369" s="134">
        <v>5382.0</v>
      </c>
      <c r="AJ369" s="134">
        <v>2428.0</v>
      </c>
      <c r="AK369" s="134">
        <v>3768.0</v>
      </c>
      <c r="AL369" s="134">
        <v>3310.0</v>
      </c>
      <c r="AM369" s="134">
        <v>4824.0</v>
      </c>
      <c r="AN369" s="134">
        <v>61662.0</v>
      </c>
    </row>
    <row r="370">
      <c r="A370" s="132" t="s">
        <v>202</v>
      </c>
      <c r="B370" s="136" t="s">
        <v>198</v>
      </c>
      <c r="C370" s="137">
        <v>500.0</v>
      </c>
      <c r="D370" s="137">
        <v>254.0</v>
      </c>
      <c r="E370" s="137">
        <v>246.0</v>
      </c>
      <c r="F370" s="137">
        <v>2.0</v>
      </c>
      <c r="G370" s="137">
        <v>0.0</v>
      </c>
      <c r="H370" s="137">
        <v>4.0</v>
      </c>
      <c r="I370" s="137">
        <v>10.0</v>
      </c>
      <c r="J370" s="137">
        <v>4.0</v>
      </c>
      <c r="K370" s="137">
        <v>0.0</v>
      </c>
      <c r="L370" s="137">
        <v>8.0</v>
      </c>
      <c r="M370" s="137">
        <v>12.0</v>
      </c>
      <c r="N370" s="137">
        <v>10.0</v>
      </c>
      <c r="O370" s="137">
        <v>22.0</v>
      </c>
      <c r="P370" s="137">
        <v>32.0</v>
      </c>
      <c r="Q370" s="137">
        <v>20.0</v>
      </c>
      <c r="R370" s="137">
        <v>26.0</v>
      </c>
      <c r="S370" s="137">
        <v>18.0</v>
      </c>
      <c r="T370" s="137">
        <v>8.0</v>
      </c>
      <c r="U370" s="137">
        <v>12.0</v>
      </c>
      <c r="V370" s="137">
        <v>6.0</v>
      </c>
      <c r="W370" s="137">
        <v>10.0</v>
      </c>
      <c r="X370" s="137">
        <v>20.0</v>
      </c>
      <c r="Y370" s="137">
        <v>20.0</v>
      </c>
      <c r="Z370" s="137">
        <v>20.0</v>
      </c>
      <c r="AA370" s="137">
        <v>14.0</v>
      </c>
      <c r="AB370" s="137">
        <v>38.0</v>
      </c>
      <c r="AC370" s="137">
        <v>38.0</v>
      </c>
      <c r="AD370" s="137">
        <v>30.0</v>
      </c>
      <c r="AE370" s="137">
        <v>26.0</v>
      </c>
      <c r="AF370" s="137">
        <v>14.0</v>
      </c>
      <c r="AG370" s="137">
        <v>16.0</v>
      </c>
      <c r="AH370" s="137">
        <v>16.0</v>
      </c>
      <c r="AI370" s="137">
        <v>10.0</v>
      </c>
      <c r="AJ370" s="137">
        <v>6.0</v>
      </c>
      <c r="AK370" s="137">
        <v>8.0</v>
      </c>
      <c r="AL370" s="137">
        <v>10.0</v>
      </c>
      <c r="AM370" s="137">
        <v>10.0</v>
      </c>
      <c r="AN370" s="137">
        <v>490.0</v>
      </c>
    </row>
    <row r="371">
      <c r="A371" s="104"/>
      <c r="B371" s="136" t="s">
        <v>199</v>
      </c>
      <c r="C371" s="137">
        <v>192.0</v>
      </c>
      <c r="D371" s="137">
        <v>84.0</v>
      </c>
      <c r="E371" s="137">
        <v>108.0</v>
      </c>
      <c r="F371" s="137">
        <v>0.0</v>
      </c>
      <c r="G371" s="137">
        <v>0.0</v>
      </c>
      <c r="H371" s="137">
        <v>0.0</v>
      </c>
      <c r="I371" s="137">
        <v>4.0</v>
      </c>
      <c r="J371" s="137">
        <v>0.0</v>
      </c>
      <c r="K371" s="137">
        <v>0.0</v>
      </c>
      <c r="L371" s="137">
        <v>0.0</v>
      </c>
      <c r="M371" s="137">
        <v>4.0</v>
      </c>
      <c r="N371" s="137">
        <v>8.0</v>
      </c>
      <c r="O371" s="137">
        <v>30.0</v>
      </c>
      <c r="P371" s="137">
        <v>18.0</v>
      </c>
      <c r="Q371" s="137">
        <v>10.0</v>
      </c>
      <c r="R371" s="137">
        <v>8.0</v>
      </c>
      <c r="S371" s="137">
        <v>4.0</v>
      </c>
      <c r="T371" s="137">
        <v>0.0</v>
      </c>
      <c r="U371" s="137">
        <v>2.0</v>
      </c>
      <c r="V371" s="137">
        <v>0.0</v>
      </c>
      <c r="W371" s="137">
        <v>6.0</v>
      </c>
      <c r="X371" s="137">
        <v>12.0</v>
      </c>
      <c r="Y371" s="137">
        <v>6.0</v>
      </c>
      <c r="Z371" s="137">
        <v>4.0</v>
      </c>
      <c r="AA371" s="137">
        <v>4.0</v>
      </c>
      <c r="AB371" s="137">
        <v>10.0</v>
      </c>
      <c r="AC371" s="137">
        <v>6.0</v>
      </c>
      <c r="AD371" s="137">
        <v>0.0</v>
      </c>
      <c r="AE371" s="137">
        <v>8.0</v>
      </c>
      <c r="AF371" s="137">
        <v>14.0</v>
      </c>
      <c r="AG371" s="137">
        <v>8.0</v>
      </c>
      <c r="AH371" s="137">
        <v>10.0</v>
      </c>
      <c r="AI371" s="137">
        <v>8.0</v>
      </c>
      <c r="AJ371" s="137">
        <v>0.0</v>
      </c>
      <c r="AK371" s="137">
        <v>6.0</v>
      </c>
      <c r="AL371" s="137">
        <v>0.0</v>
      </c>
      <c r="AM371" s="137">
        <v>2.0</v>
      </c>
      <c r="AN371" s="137">
        <v>184.0</v>
      </c>
    </row>
    <row r="372">
      <c r="A372" s="132" t="s">
        <v>203</v>
      </c>
      <c r="B372" s="136" t="s">
        <v>198</v>
      </c>
      <c r="C372" s="137">
        <v>10.0</v>
      </c>
      <c r="D372" s="137">
        <v>2.0</v>
      </c>
      <c r="E372" s="137">
        <v>8.0</v>
      </c>
      <c r="F372" s="135">
        <v>0.0</v>
      </c>
      <c r="G372" s="135">
        <v>0.0</v>
      </c>
      <c r="H372" s="135">
        <v>0.0</v>
      </c>
      <c r="I372" s="135">
        <v>0.0</v>
      </c>
      <c r="J372" s="135">
        <v>0.0</v>
      </c>
      <c r="K372" s="135">
        <v>0.0</v>
      </c>
      <c r="L372" s="135">
        <v>0.0</v>
      </c>
      <c r="M372" s="135">
        <v>0.0</v>
      </c>
      <c r="N372" s="135">
        <v>0.0</v>
      </c>
      <c r="O372" s="135">
        <v>0.0</v>
      </c>
      <c r="P372" s="135">
        <v>0.0</v>
      </c>
      <c r="Q372" s="135">
        <v>0.0</v>
      </c>
      <c r="R372" s="135">
        <v>0.0</v>
      </c>
      <c r="S372" s="135">
        <v>0.0</v>
      </c>
      <c r="T372" s="135">
        <v>0.0</v>
      </c>
      <c r="U372" s="135">
        <v>0.0</v>
      </c>
      <c r="V372" s="135">
        <v>0.0</v>
      </c>
      <c r="W372" s="135">
        <v>0.0</v>
      </c>
      <c r="X372" s="135">
        <v>0.0</v>
      </c>
      <c r="Y372" s="135">
        <v>0.0</v>
      </c>
      <c r="Z372" s="135">
        <v>0.0</v>
      </c>
      <c r="AA372" s="135">
        <v>0.0</v>
      </c>
      <c r="AB372" s="135">
        <v>0.0</v>
      </c>
      <c r="AC372" s="135">
        <v>0.0</v>
      </c>
      <c r="AD372" s="135">
        <v>0.0</v>
      </c>
      <c r="AE372" s="135">
        <v>0.0</v>
      </c>
      <c r="AF372" s="137">
        <v>0.0</v>
      </c>
      <c r="AG372" s="137">
        <v>0.0</v>
      </c>
      <c r="AH372" s="137">
        <v>0.0</v>
      </c>
      <c r="AI372" s="137">
        <v>2.0</v>
      </c>
      <c r="AJ372" s="137">
        <v>0.0</v>
      </c>
      <c r="AK372" s="137">
        <v>6.0</v>
      </c>
      <c r="AL372" s="137">
        <v>2.0</v>
      </c>
      <c r="AM372" s="137">
        <v>0.0</v>
      </c>
      <c r="AN372" s="137">
        <v>10.0</v>
      </c>
    </row>
    <row r="373">
      <c r="A373" s="104"/>
      <c r="B373" s="136" t="s">
        <v>199</v>
      </c>
      <c r="C373" s="137">
        <v>322.0</v>
      </c>
      <c r="D373" s="137">
        <v>142.0</v>
      </c>
      <c r="E373" s="137">
        <v>180.0</v>
      </c>
      <c r="F373" s="135">
        <v>0.0</v>
      </c>
      <c r="G373" s="135">
        <v>0.0</v>
      </c>
      <c r="H373" s="135">
        <v>0.0</v>
      </c>
      <c r="I373" s="135">
        <v>0.0</v>
      </c>
      <c r="J373" s="135">
        <v>0.0</v>
      </c>
      <c r="K373" s="135">
        <v>0.0</v>
      </c>
      <c r="L373" s="135">
        <v>0.0</v>
      </c>
      <c r="M373" s="135">
        <v>0.0</v>
      </c>
      <c r="N373" s="135">
        <v>0.0</v>
      </c>
      <c r="O373" s="135">
        <v>0.0</v>
      </c>
      <c r="P373" s="135">
        <v>0.0</v>
      </c>
      <c r="Q373" s="135">
        <v>0.0</v>
      </c>
      <c r="R373" s="135">
        <v>0.0</v>
      </c>
      <c r="S373" s="135">
        <v>0.0</v>
      </c>
      <c r="T373" s="135">
        <v>0.0</v>
      </c>
      <c r="U373" s="135">
        <v>0.0</v>
      </c>
      <c r="V373" s="135">
        <v>0.0</v>
      </c>
      <c r="W373" s="135">
        <v>0.0</v>
      </c>
      <c r="X373" s="135">
        <v>0.0</v>
      </c>
      <c r="Y373" s="135">
        <v>0.0</v>
      </c>
      <c r="Z373" s="135">
        <v>0.0</v>
      </c>
      <c r="AA373" s="135">
        <v>0.0</v>
      </c>
      <c r="AB373" s="135">
        <v>0.0</v>
      </c>
      <c r="AC373" s="135">
        <v>0.0</v>
      </c>
      <c r="AD373" s="135">
        <v>0.0</v>
      </c>
      <c r="AE373" s="135">
        <v>0.0</v>
      </c>
      <c r="AF373" s="137">
        <v>22.0</v>
      </c>
      <c r="AG373" s="137">
        <v>44.0</v>
      </c>
      <c r="AH373" s="137">
        <v>56.0</v>
      </c>
      <c r="AI373" s="137">
        <v>60.0</v>
      </c>
      <c r="AJ373" s="137">
        <v>42.0</v>
      </c>
      <c r="AK373" s="137">
        <v>44.0</v>
      </c>
      <c r="AL373" s="137">
        <v>22.0</v>
      </c>
      <c r="AM373" s="137">
        <v>32.0</v>
      </c>
      <c r="AN373" s="137">
        <v>322.0</v>
      </c>
    </row>
    <row r="374">
      <c r="A374" s="132" t="s">
        <v>204</v>
      </c>
      <c r="B374" s="136" t="s">
        <v>198</v>
      </c>
      <c r="C374" s="137">
        <v>22.0</v>
      </c>
      <c r="D374" s="137">
        <v>12.0</v>
      </c>
      <c r="E374" s="137">
        <v>10.0</v>
      </c>
      <c r="F374" s="135">
        <v>0.0</v>
      </c>
      <c r="G374" s="135">
        <v>0.0</v>
      </c>
      <c r="H374" s="135">
        <v>0.0</v>
      </c>
      <c r="I374" s="135">
        <v>0.0</v>
      </c>
      <c r="J374" s="135">
        <v>0.0</v>
      </c>
      <c r="K374" s="135">
        <v>0.0</v>
      </c>
      <c r="L374" s="135">
        <v>0.0</v>
      </c>
      <c r="M374" s="135">
        <v>0.0</v>
      </c>
      <c r="N374" s="135">
        <v>0.0</v>
      </c>
      <c r="O374" s="135">
        <v>0.0</v>
      </c>
      <c r="P374" s="135">
        <v>0.0</v>
      </c>
      <c r="Q374" s="135">
        <v>0.0</v>
      </c>
      <c r="R374" s="135">
        <v>0.0</v>
      </c>
      <c r="S374" s="135">
        <v>0.0</v>
      </c>
      <c r="T374" s="135">
        <v>0.0</v>
      </c>
      <c r="U374" s="135">
        <v>0.0</v>
      </c>
      <c r="V374" s="135">
        <v>0.0</v>
      </c>
      <c r="W374" s="135">
        <v>0.0</v>
      </c>
      <c r="X374" s="135">
        <v>0.0</v>
      </c>
      <c r="Y374" s="135">
        <v>0.0</v>
      </c>
      <c r="Z374" s="135">
        <v>0.0</v>
      </c>
      <c r="AA374" s="135">
        <v>0.0</v>
      </c>
      <c r="AB374" s="135">
        <v>0.0</v>
      </c>
      <c r="AC374" s="135">
        <v>0.0</v>
      </c>
      <c r="AD374" s="135">
        <v>0.0</v>
      </c>
      <c r="AE374" s="135">
        <v>0.0</v>
      </c>
      <c r="AF374" s="137">
        <v>2.0</v>
      </c>
      <c r="AG374" s="137">
        <v>2.0</v>
      </c>
      <c r="AH374" s="137">
        <v>6.0</v>
      </c>
      <c r="AI374" s="137">
        <v>2.0</v>
      </c>
      <c r="AJ374" s="137">
        <v>4.0</v>
      </c>
      <c r="AK374" s="137">
        <v>4.0</v>
      </c>
      <c r="AL374" s="137">
        <v>0.0</v>
      </c>
      <c r="AM374" s="137">
        <v>2.0</v>
      </c>
      <c r="AN374" s="137">
        <v>22.0</v>
      </c>
    </row>
    <row r="375">
      <c r="A375" s="104"/>
      <c r="B375" s="136" t="s">
        <v>199</v>
      </c>
      <c r="C375" s="137">
        <v>252.0</v>
      </c>
      <c r="D375" s="137">
        <v>114.0</v>
      </c>
      <c r="E375" s="137">
        <v>138.0</v>
      </c>
      <c r="F375" s="135">
        <v>0.0</v>
      </c>
      <c r="G375" s="135">
        <v>0.0</v>
      </c>
      <c r="H375" s="135">
        <v>0.0</v>
      </c>
      <c r="I375" s="135">
        <v>0.0</v>
      </c>
      <c r="J375" s="135">
        <v>0.0</v>
      </c>
      <c r="K375" s="135">
        <v>0.0</v>
      </c>
      <c r="L375" s="135">
        <v>0.0</v>
      </c>
      <c r="M375" s="135">
        <v>0.0</v>
      </c>
      <c r="N375" s="135">
        <v>0.0</v>
      </c>
      <c r="O375" s="135">
        <v>0.0</v>
      </c>
      <c r="P375" s="135">
        <v>0.0</v>
      </c>
      <c r="Q375" s="135">
        <v>0.0</v>
      </c>
      <c r="R375" s="135">
        <v>0.0</v>
      </c>
      <c r="S375" s="135">
        <v>0.0</v>
      </c>
      <c r="T375" s="135">
        <v>0.0</v>
      </c>
      <c r="U375" s="135">
        <v>0.0</v>
      </c>
      <c r="V375" s="135">
        <v>0.0</v>
      </c>
      <c r="W375" s="135">
        <v>0.0</v>
      </c>
      <c r="X375" s="135">
        <v>0.0</v>
      </c>
      <c r="Y375" s="135">
        <v>0.0</v>
      </c>
      <c r="Z375" s="135">
        <v>0.0</v>
      </c>
      <c r="AA375" s="135">
        <v>0.0</v>
      </c>
      <c r="AB375" s="135">
        <v>0.0</v>
      </c>
      <c r="AC375" s="135">
        <v>0.0</v>
      </c>
      <c r="AD375" s="135">
        <v>0.0</v>
      </c>
      <c r="AE375" s="135">
        <v>0.0</v>
      </c>
      <c r="AF375" s="137">
        <v>12.0</v>
      </c>
      <c r="AG375" s="137">
        <v>12.0</v>
      </c>
      <c r="AH375" s="137">
        <v>26.0</v>
      </c>
      <c r="AI375" s="137">
        <v>30.0</v>
      </c>
      <c r="AJ375" s="137">
        <v>28.0</v>
      </c>
      <c r="AK375" s="137">
        <v>46.0</v>
      </c>
      <c r="AL375" s="137">
        <v>48.0</v>
      </c>
      <c r="AM375" s="137">
        <v>50.0</v>
      </c>
      <c r="AN375" s="137">
        <v>252.0</v>
      </c>
    </row>
    <row r="376">
      <c r="A376" s="132" t="s">
        <v>205</v>
      </c>
      <c r="B376" s="136" t="s">
        <v>198</v>
      </c>
      <c r="C376" s="137">
        <v>16.0</v>
      </c>
      <c r="D376" s="137">
        <v>6.0</v>
      </c>
      <c r="E376" s="137">
        <v>10.0</v>
      </c>
      <c r="F376" s="137">
        <v>0.0</v>
      </c>
      <c r="G376" s="137">
        <v>0.0</v>
      </c>
      <c r="H376" s="137">
        <v>0.0</v>
      </c>
      <c r="I376" s="137">
        <v>0.0</v>
      </c>
      <c r="J376" s="137">
        <v>0.0</v>
      </c>
      <c r="K376" s="137">
        <v>0.0</v>
      </c>
      <c r="L376" s="137">
        <v>0.0</v>
      </c>
      <c r="M376" s="137">
        <v>2.0</v>
      </c>
      <c r="N376" s="137">
        <v>2.0</v>
      </c>
      <c r="O376" s="137">
        <v>0.0</v>
      </c>
      <c r="P376" s="137">
        <v>0.0</v>
      </c>
      <c r="Q376" s="137">
        <v>0.0</v>
      </c>
      <c r="R376" s="137">
        <v>0.0</v>
      </c>
      <c r="S376" s="137">
        <v>2.0</v>
      </c>
      <c r="T376" s="137">
        <v>0.0</v>
      </c>
      <c r="U376" s="137">
        <v>0.0</v>
      </c>
      <c r="V376" s="137">
        <v>4.0</v>
      </c>
      <c r="W376" s="137">
        <v>0.0</v>
      </c>
      <c r="X376" s="137">
        <v>0.0</v>
      </c>
      <c r="Y376" s="137">
        <v>0.0</v>
      </c>
      <c r="Z376" s="137">
        <v>0.0</v>
      </c>
      <c r="AA376" s="137">
        <v>0.0</v>
      </c>
      <c r="AB376" s="137">
        <v>0.0</v>
      </c>
      <c r="AC376" s="137">
        <v>2.0</v>
      </c>
      <c r="AD376" s="137">
        <v>0.0</v>
      </c>
      <c r="AE376" s="137">
        <v>2.0</v>
      </c>
      <c r="AF376" s="137">
        <v>0.0</v>
      </c>
      <c r="AG376" s="137">
        <v>0.0</v>
      </c>
      <c r="AH376" s="137">
        <v>0.0</v>
      </c>
      <c r="AI376" s="137">
        <v>0.0</v>
      </c>
      <c r="AJ376" s="137">
        <v>0.0</v>
      </c>
      <c r="AK376" s="137">
        <v>0.0</v>
      </c>
      <c r="AL376" s="137">
        <v>0.0</v>
      </c>
      <c r="AM376" s="137">
        <v>2.0</v>
      </c>
      <c r="AN376" s="137">
        <v>16.0</v>
      </c>
    </row>
    <row r="377">
      <c r="A377" s="98"/>
      <c r="B377" s="136" t="s">
        <v>199</v>
      </c>
      <c r="C377" s="137">
        <v>18.0</v>
      </c>
      <c r="D377" s="137">
        <v>6.0</v>
      </c>
      <c r="E377" s="137">
        <v>12.0</v>
      </c>
      <c r="F377" s="137">
        <v>0.0</v>
      </c>
      <c r="G377" s="137">
        <v>2.0</v>
      </c>
      <c r="H377" s="137">
        <v>0.0</v>
      </c>
      <c r="I377" s="137">
        <v>0.0</v>
      </c>
      <c r="J377" s="137">
        <v>0.0</v>
      </c>
      <c r="K377" s="137">
        <v>0.0</v>
      </c>
      <c r="L377" s="137">
        <v>0.0</v>
      </c>
      <c r="M377" s="137">
        <v>2.0</v>
      </c>
      <c r="N377" s="137">
        <v>0.0</v>
      </c>
      <c r="O377" s="137">
        <v>0.0</v>
      </c>
      <c r="P377" s="137">
        <v>0.0</v>
      </c>
      <c r="Q377" s="137">
        <v>0.0</v>
      </c>
      <c r="R377" s="137">
        <v>0.0</v>
      </c>
      <c r="S377" s="137">
        <v>0.0</v>
      </c>
      <c r="T377" s="137">
        <v>2.0</v>
      </c>
      <c r="U377" s="137">
        <v>0.0</v>
      </c>
      <c r="V377" s="137">
        <v>0.0</v>
      </c>
      <c r="W377" s="137">
        <v>0.0</v>
      </c>
      <c r="X377" s="137">
        <v>0.0</v>
      </c>
      <c r="Y377" s="137">
        <v>4.0</v>
      </c>
      <c r="Z377" s="137">
        <v>0.0</v>
      </c>
      <c r="AA377" s="137">
        <v>2.0</v>
      </c>
      <c r="AB377" s="137">
        <v>2.0</v>
      </c>
      <c r="AC377" s="137">
        <v>0.0</v>
      </c>
      <c r="AD377" s="137">
        <v>2.0</v>
      </c>
      <c r="AE377" s="137">
        <v>0.0</v>
      </c>
      <c r="AF377" s="137">
        <v>0.0</v>
      </c>
      <c r="AG377" s="137">
        <v>2.0</v>
      </c>
      <c r="AH377" s="137">
        <v>0.0</v>
      </c>
      <c r="AI377" s="137">
        <v>0.0</v>
      </c>
      <c r="AJ377" s="137">
        <v>0.0</v>
      </c>
      <c r="AK377" s="137">
        <v>0.0</v>
      </c>
      <c r="AL377" s="137">
        <v>0.0</v>
      </c>
      <c r="AM377" s="137">
        <v>0.0</v>
      </c>
      <c r="AN377" s="137">
        <v>18.0</v>
      </c>
    </row>
    <row r="378">
      <c r="A378" s="104"/>
      <c r="B378" s="136" t="s">
        <v>206</v>
      </c>
      <c r="C378" s="137">
        <v>480.0</v>
      </c>
      <c r="D378" s="137">
        <v>120.0</v>
      </c>
      <c r="E378" s="137">
        <v>360.0</v>
      </c>
      <c r="F378" s="137">
        <v>0.0</v>
      </c>
      <c r="G378" s="137">
        <v>0.0</v>
      </c>
      <c r="H378" s="137">
        <v>0.0</v>
      </c>
      <c r="I378" s="137">
        <v>2.0</v>
      </c>
      <c r="J378" s="137">
        <v>0.0</v>
      </c>
      <c r="K378" s="137">
        <v>0.0</v>
      </c>
      <c r="L378" s="137">
        <v>10.0</v>
      </c>
      <c r="M378" s="137">
        <v>50.0</v>
      </c>
      <c r="N378" s="137">
        <v>24.0</v>
      </c>
      <c r="O378" s="137">
        <v>100.0</v>
      </c>
      <c r="P378" s="137">
        <v>8.0</v>
      </c>
      <c r="Q378" s="137">
        <v>52.0</v>
      </c>
      <c r="R378" s="137">
        <v>28.0</v>
      </c>
      <c r="S378" s="137">
        <v>42.0</v>
      </c>
      <c r="T378" s="137">
        <v>2.0</v>
      </c>
      <c r="U378" s="137">
        <v>18.0</v>
      </c>
      <c r="V378" s="137">
        <v>28.0</v>
      </c>
      <c r="W378" s="137">
        <v>24.0</v>
      </c>
      <c r="X378" s="137">
        <v>8.0</v>
      </c>
      <c r="Y378" s="137">
        <v>18.0</v>
      </c>
      <c r="Z378" s="137">
        <v>6.0</v>
      </c>
      <c r="AA378" s="137">
        <v>36.0</v>
      </c>
      <c r="AB378" s="137">
        <v>0.0</v>
      </c>
      <c r="AC378" s="137">
        <v>14.0</v>
      </c>
      <c r="AD378" s="137">
        <v>0.0</v>
      </c>
      <c r="AE378" s="137">
        <v>2.0</v>
      </c>
      <c r="AF378" s="137">
        <v>2.0</v>
      </c>
      <c r="AG378" s="137">
        <v>0.0</v>
      </c>
      <c r="AH378" s="137">
        <v>4.0</v>
      </c>
      <c r="AI378" s="137">
        <v>0.0</v>
      </c>
      <c r="AJ378" s="137">
        <v>0.0</v>
      </c>
      <c r="AK378" s="137">
        <v>0.0</v>
      </c>
      <c r="AL378" s="137">
        <v>0.0</v>
      </c>
      <c r="AM378" s="137">
        <v>2.0</v>
      </c>
      <c r="AN378" s="137">
        <v>448.0</v>
      </c>
    </row>
    <row r="379">
      <c r="A379" s="132" t="s">
        <v>207</v>
      </c>
      <c r="B379" s="136" t="s">
        <v>198</v>
      </c>
      <c r="C379" s="134">
        <v>41524.0</v>
      </c>
      <c r="D379" s="134">
        <v>12134.0</v>
      </c>
      <c r="E379" s="134">
        <v>29390.0</v>
      </c>
      <c r="F379" s="137">
        <v>390.0</v>
      </c>
      <c r="G379" s="137">
        <v>370.0</v>
      </c>
      <c r="H379" s="137">
        <v>352.0</v>
      </c>
      <c r="I379" s="137">
        <v>300.0</v>
      </c>
      <c r="J379" s="137">
        <v>374.0</v>
      </c>
      <c r="K379" s="137">
        <v>382.0</v>
      </c>
      <c r="L379" s="137">
        <v>370.0</v>
      </c>
      <c r="M379" s="137">
        <v>630.0</v>
      </c>
      <c r="N379" s="137">
        <v>440.0</v>
      </c>
      <c r="O379" s="137">
        <v>962.0</v>
      </c>
      <c r="P379" s="137">
        <v>480.0</v>
      </c>
      <c r="Q379" s="134">
        <v>1316.0</v>
      </c>
      <c r="R379" s="137">
        <v>546.0</v>
      </c>
      <c r="S379" s="134">
        <v>1552.0</v>
      </c>
      <c r="T379" s="137">
        <v>434.0</v>
      </c>
      <c r="U379" s="134">
        <v>1962.0</v>
      </c>
      <c r="V379" s="137">
        <v>932.0</v>
      </c>
      <c r="W379" s="134">
        <v>2358.0</v>
      </c>
      <c r="X379" s="137">
        <v>658.0</v>
      </c>
      <c r="Y379" s="134">
        <v>2392.0</v>
      </c>
      <c r="Z379" s="137">
        <v>902.0</v>
      </c>
      <c r="AA379" s="134">
        <v>2820.0</v>
      </c>
      <c r="AB379" s="134">
        <v>1046.0</v>
      </c>
      <c r="AC379" s="134">
        <v>3384.0</v>
      </c>
      <c r="AD379" s="134">
        <v>1180.0</v>
      </c>
      <c r="AE379" s="134">
        <v>2970.0</v>
      </c>
      <c r="AF379" s="134">
        <v>1108.0</v>
      </c>
      <c r="AG379" s="134">
        <v>2624.0</v>
      </c>
      <c r="AH379" s="134">
        <v>1122.0</v>
      </c>
      <c r="AI379" s="134">
        <v>2178.0</v>
      </c>
      <c r="AJ379" s="137">
        <v>754.0</v>
      </c>
      <c r="AK379" s="134">
        <v>1472.0</v>
      </c>
      <c r="AL379" s="134">
        <v>1046.0</v>
      </c>
      <c r="AM379" s="134">
        <v>1718.0</v>
      </c>
      <c r="AN379" s="134">
        <v>40546.0</v>
      </c>
    </row>
    <row r="380">
      <c r="A380" s="98"/>
      <c r="B380" s="136" t="s">
        <v>199</v>
      </c>
      <c r="C380" s="134">
        <v>6164.0</v>
      </c>
      <c r="D380" s="134">
        <v>2646.0</v>
      </c>
      <c r="E380" s="134">
        <v>3518.0</v>
      </c>
      <c r="F380" s="137">
        <v>20.0</v>
      </c>
      <c r="G380" s="137">
        <v>28.0</v>
      </c>
      <c r="H380" s="137">
        <v>4.0</v>
      </c>
      <c r="I380" s="137">
        <v>0.0</v>
      </c>
      <c r="J380" s="137">
        <v>2.0</v>
      </c>
      <c r="K380" s="137">
        <v>8.0</v>
      </c>
      <c r="L380" s="137">
        <v>0.0</v>
      </c>
      <c r="M380" s="137">
        <v>12.0</v>
      </c>
      <c r="N380" s="137">
        <v>4.0</v>
      </c>
      <c r="O380" s="137">
        <v>32.0</v>
      </c>
      <c r="P380" s="137">
        <v>26.0</v>
      </c>
      <c r="Q380" s="137">
        <v>36.0</v>
      </c>
      <c r="R380" s="137">
        <v>86.0</v>
      </c>
      <c r="S380" s="137">
        <v>86.0</v>
      </c>
      <c r="T380" s="137">
        <v>18.0</v>
      </c>
      <c r="U380" s="137">
        <v>82.0</v>
      </c>
      <c r="V380" s="137">
        <v>114.0</v>
      </c>
      <c r="W380" s="137">
        <v>92.0</v>
      </c>
      <c r="X380" s="137">
        <v>158.0</v>
      </c>
      <c r="Y380" s="137">
        <v>166.0</v>
      </c>
      <c r="Z380" s="137">
        <v>318.0</v>
      </c>
      <c r="AA380" s="134">
        <v>1252.0</v>
      </c>
      <c r="AB380" s="137">
        <v>442.0</v>
      </c>
      <c r="AC380" s="137">
        <v>316.0</v>
      </c>
      <c r="AD380" s="137">
        <v>290.0</v>
      </c>
      <c r="AE380" s="137">
        <v>392.0</v>
      </c>
      <c r="AF380" s="137">
        <v>230.0</v>
      </c>
      <c r="AG380" s="137">
        <v>184.0</v>
      </c>
      <c r="AH380" s="137">
        <v>226.0</v>
      </c>
      <c r="AI380" s="137">
        <v>324.0</v>
      </c>
      <c r="AJ380" s="137">
        <v>358.0</v>
      </c>
      <c r="AK380" s="137">
        <v>210.0</v>
      </c>
      <c r="AL380" s="137">
        <v>350.0</v>
      </c>
      <c r="AM380" s="137">
        <v>298.0</v>
      </c>
      <c r="AN380" s="134">
        <v>5402.0</v>
      </c>
    </row>
    <row r="381">
      <c r="A381" s="98"/>
      <c r="B381" s="136" t="s">
        <v>206</v>
      </c>
      <c r="C381" s="137">
        <v>632.0</v>
      </c>
      <c r="D381" s="137">
        <v>10.0</v>
      </c>
      <c r="E381" s="137">
        <v>622.0</v>
      </c>
      <c r="F381" s="137">
        <v>8.0</v>
      </c>
      <c r="G381" s="137">
        <v>2.0</v>
      </c>
      <c r="H381" s="137">
        <v>0.0</v>
      </c>
      <c r="I381" s="137">
        <v>2.0</v>
      </c>
      <c r="J381" s="137">
        <v>0.0</v>
      </c>
      <c r="K381" s="137">
        <v>4.0</v>
      </c>
      <c r="L381" s="137">
        <v>0.0</v>
      </c>
      <c r="M381" s="137">
        <v>40.0</v>
      </c>
      <c r="N381" s="137">
        <v>2.0</v>
      </c>
      <c r="O381" s="137">
        <v>46.0</v>
      </c>
      <c r="P381" s="137">
        <v>0.0</v>
      </c>
      <c r="Q381" s="137">
        <v>58.0</v>
      </c>
      <c r="R381" s="137">
        <v>0.0</v>
      </c>
      <c r="S381" s="137">
        <v>78.0</v>
      </c>
      <c r="T381" s="137">
        <v>0.0</v>
      </c>
      <c r="U381" s="137">
        <v>68.0</v>
      </c>
      <c r="V381" s="137">
        <v>0.0</v>
      </c>
      <c r="W381" s="137">
        <v>60.0</v>
      </c>
      <c r="X381" s="137">
        <v>0.0</v>
      </c>
      <c r="Y381" s="137">
        <v>68.0</v>
      </c>
      <c r="Z381" s="137">
        <v>0.0</v>
      </c>
      <c r="AA381" s="137">
        <v>70.0</v>
      </c>
      <c r="AB381" s="137">
        <v>0.0</v>
      </c>
      <c r="AC381" s="137">
        <v>52.0</v>
      </c>
      <c r="AD381" s="137">
        <v>0.0</v>
      </c>
      <c r="AE381" s="137">
        <v>30.0</v>
      </c>
      <c r="AF381" s="137">
        <v>0.0</v>
      </c>
      <c r="AG381" s="137">
        <v>24.0</v>
      </c>
      <c r="AH381" s="137">
        <v>0.0</v>
      </c>
      <c r="AI381" s="137">
        <v>18.0</v>
      </c>
      <c r="AJ381" s="137">
        <v>0.0</v>
      </c>
      <c r="AK381" s="137">
        <v>2.0</v>
      </c>
      <c r="AL381" s="137">
        <v>0.0</v>
      </c>
      <c r="AM381" s="137">
        <v>0.0</v>
      </c>
      <c r="AN381" s="137">
        <v>620.0</v>
      </c>
    </row>
    <row r="382">
      <c r="A382" s="98"/>
      <c r="B382" s="136" t="s">
        <v>200</v>
      </c>
      <c r="C382" s="134">
        <v>10590.0</v>
      </c>
      <c r="D382" s="134">
        <v>3856.0</v>
      </c>
      <c r="E382" s="134">
        <v>6734.0</v>
      </c>
      <c r="F382" s="134">
        <v>2008.0</v>
      </c>
      <c r="G382" s="134">
        <v>2076.0</v>
      </c>
      <c r="H382" s="137">
        <v>496.0</v>
      </c>
      <c r="I382" s="137">
        <v>500.0</v>
      </c>
      <c r="J382" s="137">
        <v>250.0</v>
      </c>
      <c r="K382" s="137">
        <v>294.0</v>
      </c>
      <c r="L382" s="137">
        <v>162.0</v>
      </c>
      <c r="M382" s="137">
        <v>370.0</v>
      </c>
      <c r="N382" s="137">
        <v>52.0</v>
      </c>
      <c r="O382" s="137">
        <v>402.0</v>
      </c>
      <c r="P382" s="137">
        <v>58.0</v>
      </c>
      <c r="Q382" s="137">
        <v>496.0</v>
      </c>
      <c r="R382" s="137">
        <v>68.0</v>
      </c>
      <c r="S382" s="137">
        <v>492.0</v>
      </c>
      <c r="T382" s="137">
        <v>54.0</v>
      </c>
      <c r="U382" s="137">
        <v>386.0</v>
      </c>
      <c r="V382" s="137">
        <v>60.0</v>
      </c>
      <c r="W382" s="137">
        <v>222.0</v>
      </c>
      <c r="X382" s="137">
        <v>66.0</v>
      </c>
      <c r="Y382" s="137">
        <v>256.0</v>
      </c>
      <c r="Z382" s="137">
        <v>82.0</v>
      </c>
      <c r="AA382" s="137">
        <v>288.0</v>
      </c>
      <c r="AB382" s="137">
        <v>86.0</v>
      </c>
      <c r="AC382" s="137">
        <v>270.0</v>
      </c>
      <c r="AD382" s="137">
        <v>124.0</v>
      </c>
      <c r="AE382" s="137">
        <v>238.0</v>
      </c>
      <c r="AF382" s="137">
        <v>96.0</v>
      </c>
      <c r="AG382" s="137">
        <v>160.0</v>
      </c>
      <c r="AH382" s="137">
        <v>68.0</v>
      </c>
      <c r="AI382" s="137">
        <v>138.0</v>
      </c>
      <c r="AJ382" s="137">
        <v>70.0</v>
      </c>
      <c r="AK382" s="137">
        <v>84.0</v>
      </c>
      <c r="AL382" s="137">
        <v>56.0</v>
      </c>
      <c r="AM382" s="137">
        <v>62.0</v>
      </c>
      <c r="AN382" s="134">
        <v>10470.0</v>
      </c>
    </row>
    <row r="383">
      <c r="A383" s="104"/>
      <c r="B383" s="136" t="s">
        <v>201</v>
      </c>
      <c r="C383" s="134">
        <v>1352.0</v>
      </c>
      <c r="D383" s="137">
        <v>344.0</v>
      </c>
      <c r="E383" s="134">
        <v>1008.0</v>
      </c>
      <c r="F383" s="137">
        <v>2.0</v>
      </c>
      <c r="G383" s="137">
        <v>0.0</v>
      </c>
      <c r="H383" s="137">
        <v>10.0</v>
      </c>
      <c r="I383" s="137">
        <v>0.0</v>
      </c>
      <c r="J383" s="137">
        <v>10.0</v>
      </c>
      <c r="K383" s="137">
        <v>12.0</v>
      </c>
      <c r="L383" s="137">
        <v>30.0</v>
      </c>
      <c r="M383" s="137">
        <v>36.0</v>
      </c>
      <c r="N383" s="137">
        <v>16.0</v>
      </c>
      <c r="O383" s="137">
        <v>40.0</v>
      </c>
      <c r="P383" s="137">
        <v>28.0</v>
      </c>
      <c r="Q383" s="137">
        <v>38.0</v>
      </c>
      <c r="R383" s="137">
        <v>6.0</v>
      </c>
      <c r="S383" s="137">
        <v>80.0</v>
      </c>
      <c r="T383" s="137">
        <v>8.0</v>
      </c>
      <c r="U383" s="137">
        <v>74.0</v>
      </c>
      <c r="V383" s="137">
        <v>20.0</v>
      </c>
      <c r="W383" s="137">
        <v>86.0</v>
      </c>
      <c r="X383" s="137">
        <v>38.0</v>
      </c>
      <c r="Y383" s="137">
        <v>46.0</v>
      </c>
      <c r="Z383" s="137">
        <v>36.0</v>
      </c>
      <c r="AA383" s="137">
        <v>98.0</v>
      </c>
      <c r="AB383" s="137">
        <v>30.0</v>
      </c>
      <c r="AC383" s="137">
        <v>132.0</v>
      </c>
      <c r="AD383" s="137">
        <v>24.0</v>
      </c>
      <c r="AE383" s="137">
        <v>114.0</v>
      </c>
      <c r="AF383" s="137">
        <v>26.0</v>
      </c>
      <c r="AG383" s="137">
        <v>82.0</v>
      </c>
      <c r="AH383" s="137">
        <v>26.0</v>
      </c>
      <c r="AI383" s="137">
        <v>54.0</v>
      </c>
      <c r="AJ383" s="137">
        <v>14.0</v>
      </c>
      <c r="AK383" s="137">
        <v>60.0</v>
      </c>
      <c r="AL383" s="137">
        <v>20.0</v>
      </c>
      <c r="AM383" s="137">
        <v>56.0</v>
      </c>
      <c r="AN383" s="134">
        <v>1282.0</v>
      </c>
    </row>
    <row r="384">
      <c r="A384" s="132" t="s">
        <v>208</v>
      </c>
      <c r="B384" s="136" t="s">
        <v>198</v>
      </c>
      <c r="C384" s="137">
        <v>78.0</v>
      </c>
      <c r="D384" s="137">
        <v>46.0</v>
      </c>
      <c r="E384" s="137">
        <v>32.0</v>
      </c>
      <c r="F384" s="137">
        <v>46.0</v>
      </c>
      <c r="G384" s="137">
        <v>28.0</v>
      </c>
      <c r="H384" s="137">
        <v>0.0</v>
      </c>
      <c r="I384" s="137">
        <v>2.0</v>
      </c>
      <c r="J384" s="137">
        <v>0.0</v>
      </c>
      <c r="K384" s="137">
        <v>0.0</v>
      </c>
      <c r="L384" s="137">
        <v>0.0</v>
      </c>
      <c r="M384" s="137">
        <v>0.0</v>
      </c>
      <c r="N384" s="137">
        <v>0.0</v>
      </c>
      <c r="O384" s="137">
        <v>2.0</v>
      </c>
      <c r="P384" s="135">
        <v>0.0</v>
      </c>
      <c r="Q384" s="135">
        <v>0.0</v>
      </c>
      <c r="R384" s="135">
        <v>0.0</v>
      </c>
      <c r="S384" s="135">
        <v>0.0</v>
      </c>
      <c r="T384" s="135">
        <v>0.0</v>
      </c>
      <c r="U384" s="135">
        <v>0.0</v>
      </c>
      <c r="V384" s="135">
        <v>0.0</v>
      </c>
      <c r="W384" s="135">
        <v>0.0</v>
      </c>
      <c r="X384" s="135">
        <v>0.0</v>
      </c>
      <c r="Y384" s="135">
        <v>0.0</v>
      </c>
      <c r="Z384" s="135">
        <v>0.0</v>
      </c>
      <c r="AA384" s="135">
        <v>0.0</v>
      </c>
      <c r="AB384" s="135">
        <v>0.0</v>
      </c>
      <c r="AC384" s="135">
        <v>0.0</v>
      </c>
      <c r="AD384" s="135">
        <v>0.0</v>
      </c>
      <c r="AE384" s="135">
        <v>0.0</v>
      </c>
      <c r="AF384" s="135">
        <v>0.0</v>
      </c>
      <c r="AG384" s="135">
        <v>0.0</v>
      </c>
      <c r="AH384" s="135">
        <v>0.0</v>
      </c>
      <c r="AI384" s="135">
        <v>0.0</v>
      </c>
      <c r="AJ384" s="135">
        <v>0.0</v>
      </c>
      <c r="AK384" s="135">
        <v>0.0</v>
      </c>
      <c r="AL384" s="135">
        <v>0.0</v>
      </c>
      <c r="AM384" s="135">
        <v>0.0</v>
      </c>
      <c r="AN384" s="137">
        <v>70.0</v>
      </c>
    </row>
    <row r="385">
      <c r="A385" s="98"/>
      <c r="B385" s="136" t="s">
        <v>199</v>
      </c>
      <c r="C385" s="137">
        <v>484.0</v>
      </c>
      <c r="D385" s="137">
        <v>288.0</v>
      </c>
      <c r="E385" s="137">
        <v>196.0</v>
      </c>
      <c r="F385" s="137">
        <v>248.0</v>
      </c>
      <c r="G385" s="137">
        <v>170.0</v>
      </c>
      <c r="H385" s="137">
        <v>38.0</v>
      </c>
      <c r="I385" s="137">
        <v>24.0</v>
      </c>
      <c r="J385" s="137">
        <v>2.0</v>
      </c>
      <c r="K385" s="137">
        <v>0.0</v>
      </c>
      <c r="L385" s="137">
        <v>0.0</v>
      </c>
      <c r="M385" s="137">
        <v>2.0</v>
      </c>
      <c r="N385" s="137">
        <v>0.0</v>
      </c>
      <c r="O385" s="137">
        <v>0.0</v>
      </c>
      <c r="P385" s="135">
        <v>0.0</v>
      </c>
      <c r="Q385" s="135">
        <v>0.0</v>
      </c>
      <c r="R385" s="135">
        <v>0.0</v>
      </c>
      <c r="S385" s="135">
        <v>0.0</v>
      </c>
      <c r="T385" s="135">
        <v>0.0</v>
      </c>
      <c r="U385" s="135">
        <v>0.0</v>
      </c>
      <c r="V385" s="135">
        <v>0.0</v>
      </c>
      <c r="W385" s="135">
        <v>0.0</v>
      </c>
      <c r="X385" s="135">
        <v>0.0</v>
      </c>
      <c r="Y385" s="135">
        <v>0.0</v>
      </c>
      <c r="Z385" s="135">
        <v>0.0</v>
      </c>
      <c r="AA385" s="135">
        <v>0.0</v>
      </c>
      <c r="AB385" s="135">
        <v>0.0</v>
      </c>
      <c r="AC385" s="135">
        <v>0.0</v>
      </c>
      <c r="AD385" s="135">
        <v>0.0</v>
      </c>
      <c r="AE385" s="135">
        <v>0.0</v>
      </c>
      <c r="AF385" s="135">
        <v>0.0</v>
      </c>
      <c r="AG385" s="135">
        <v>0.0</v>
      </c>
      <c r="AH385" s="135">
        <v>0.0</v>
      </c>
      <c r="AI385" s="135">
        <v>0.0</v>
      </c>
      <c r="AJ385" s="135">
        <v>0.0</v>
      </c>
      <c r="AK385" s="135">
        <v>0.0</v>
      </c>
      <c r="AL385" s="135">
        <v>0.0</v>
      </c>
      <c r="AM385" s="135">
        <v>0.0</v>
      </c>
      <c r="AN385" s="137">
        <v>452.0</v>
      </c>
    </row>
    <row r="386">
      <c r="A386" s="98"/>
      <c r="B386" s="136" t="s">
        <v>206</v>
      </c>
      <c r="C386" s="137">
        <v>8.0</v>
      </c>
      <c r="D386" s="137">
        <v>2.0</v>
      </c>
      <c r="E386" s="137">
        <v>6.0</v>
      </c>
      <c r="F386" s="137">
        <v>2.0</v>
      </c>
      <c r="G386" s="137">
        <v>6.0</v>
      </c>
      <c r="H386" s="137">
        <v>0.0</v>
      </c>
      <c r="I386" s="137">
        <v>0.0</v>
      </c>
      <c r="J386" s="137">
        <v>0.0</v>
      </c>
      <c r="K386" s="137">
        <v>0.0</v>
      </c>
      <c r="L386" s="137">
        <v>0.0</v>
      </c>
      <c r="M386" s="137">
        <v>0.0</v>
      </c>
      <c r="N386" s="137">
        <v>0.0</v>
      </c>
      <c r="O386" s="137">
        <v>0.0</v>
      </c>
      <c r="P386" s="135">
        <v>0.0</v>
      </c>
      <c r="Q386" s="135">
        <v>0.0</v>
      </c>
      <c r="R386" s="135">
        <v>0.0</v>
      </c>
      <c r="S386" s="135">
        <v>0.0</v>
      </c>
      <c r="T386" s="135">
        <v>0.0</v>
      </c>
      <c r="U386" s="135">
        <v>0.0</v>
      </c>
      <c r="V386" s="135">
        <v>0.0</v>
      </c>
      <c r="W386" s="135">
        <v>0.0</v>
      </c>
      <c r="X386" s="135">
        <v>0.0</v>
      </c>
      <c r="Y386" s="135">
        <v>0.0</v>
      </c>
      <c r="Z386" s="135">
        <v>0.0</v>
      </c>
      <c r="AA386" s="135">
        <v>0.0</v>
      </c>
      <c r="AB386" s="135">
        <v>0.0</v>
      </c>
      <c r="AC386" s="135">
        <v>0.0</v>
      </c>
      <c r="AD386" s="135">
        <v>0.0</v>
      </c>
      <c r="AE386" s="135">
        <v>0.0</v>
      </c>
      <c r="AF386" s="135">
        <v>0.0</v>
      </c>
      <c r="AG386" s="135">
        <v>0.0</v>
      </c>
      <c r="AH386" s="135">
        <v>0.0</v>
      </c>
      <c r="AI386" s="135">
        <v>0.0</v>
      </c>
      <c r="AJ386" s="135">
        <v>0.0</v>
      </c>
      <c r="AK386" s="135">
        <v>0.0</v>
      </c>
      <c r="AL386" s="135">
        <v>0.0</v>
      </c>
      <c r="AM386" s="135">
        <v>0.0</v>
      </c>
      <c r="AN386" s="137">
        <v>8.0</v>
      </c>
    </row>
    <row r="387">
      <c r="A387" s="98"/>
      <c r="B387" s="136" t="s">
        <v>200</v>
      </c>
      <c r="C387" s="137">
        <v>110.0</v>
      </c>
      <c r="D387" s="137">
        <v>66.0</v>
      </c>
      <c r="E387" s="137">
        <v>44.0</v>
      </c>
      <c r="F387" s="137">
        <v>62.0</v>
      </c>
      <c r="G387" s="137">
        <v>42.0</v>
      </c>
      <c r="H387" s="137">
        <v>4.0</v>
      </c>
      <c r="I387" s="137">
        <v>2.0</v>
      </c>
      <c r="J387" s="137">
        <v>0.0</v>
      </c>
      <c r="K387" s="137">
        <v>0.0</v>
      </c>
      <c r="L387" s="137">
        <v>0.0</v>
      </c>
      <c r="M387" s="137">
        <v>0.0</v>
      </c>
      <c r="N387" s="137">
        <v>0.0</v>
      </c>
      <c r="O387" s="137">
        <v>0.0</v>
      </c>
      <c r="P387" s="135">
        <v>0.0</v>
      </c>
      <c r="Q387" s="135">
        <v>0.0</v>
      </c>
      <c r="R387" s="135">
        <v>0.0</v>
      </c>
      <c r="S387" s="135">
        <v>0.0</v>
      </c>
      <c r="T387" s="135">
        <v>0.0</v>
      </c>
      <c r="U387" s="135">
        <v>0.0</v>
      </c>
      <c r="V387" s="135">
        <v>0.0</v>
      </c>
      <c r="W387" s="135">
        <v>0.0</v>
      </c>
      <c r="X387" s="135">
        <v>0.0</v>
      </c>
      <c r="Y387" s="135">
        <v>0.0</v>
      </c>
      <c r="Z387" s="135">
        <v>0.0</v>
      </c>
      <c r="AA387" s="135">
        <v>0.0</v>
      </c>
      <c r="AB387" s="135">
        <v>0.0</v>
      </c>
      <c r="AC387" s="135">
        <v>0.0</v>
      </c>
      <c r="AD387" s="135">
        <v>0.0</v>
      </c>
      <c r="AE387" s="135">
        <v>0.0</v>
      </c>
      <c r="AF387" s="135">
        <v>0.0</v>
      </c>
      <c r="AG387" s="135">
        <v>0.0</v>
      </c>
      <c r="AH387" s="135">
        <v>0.0</v>
      </c>
      <c r="AI387" s="135">
        <v>0.0</v>
      </c>
      <c r="AJ387" s="135">
        <v>0.0</v>
      </c>
      <c r="AK387" s="135">
        <v>0.0</v>
      </c>
      <c r="AL387" s="135">
        <v>0.0</v>
      </c>
      <c r="AM387" s="135">
        <v>0.0</v>
      </c>
      <c r="AN387" s="137">
        <v>110.0</v>
      </c>
    </row>
    <row r="388">
      <c r="A388" s="104"/>
      <c r="B388" s="136" t="s">
        <v>201</v>
      </c>
      <c r="C388" s="137">
        <v>0.0</v>
      </c>
      <c r="D388" s="137">
        <v>0.0</v>
      </c>
      <c r="E388" s="137">
        <v>0.0</v>
      </c>
      <c r="F388" s="137">
        <v>0.0</v>
      </c>
      <c r="G388" s="137">
        <v>0.0</v>
      </c>
      <c r="H388" s="137">
        <v>0.0</v>
      </c>
      <c r="I388" s="137">
        <v>0.0</v>
      </c>
      <c r="J388" s="137">
        <v>0.0</v>
      </c>
      <c r="K388" s="137">
        <v>0.0</v>
      </c>
      <c r="L388" s="137">
        <v>0.0</v>
      </c>
      <c r="M388" s="137">
        <v>0.0</v>
      </c>
      <c r="N388" s="137">
        <v>0.0</v>
      </c>
      <c r="O388" s="137">
        <v>0.0</v>
      </c>
      <c r="P388" s="135">
        <v>0.0</v>
      </c>
      <c r="Q388" s="135">
        <v>0.0</v>
      </c>
      <c r="R388" s="135">
        <v>0.0</v>
      </c>
      <c r="S388" s="135">
        <v>0.0</v>
      </c>
      <c r="T388" s="135">
        <v>0.0</v>
      </c>
      <c r="U388" s="135">
        <v>0.0</v>
      </c>
      <c r="V388" s="135">
        <v>0.0</v>
      </c>
      <c r="W388" s="135">
        <v>0.0</v>
      </c>
      <c r="X388" s="135">
        <v>0.0</v>
      </c>
      <c r="Y388" s="135">
        <v>0.0</v>
      </c>
      <c r="Z388" s="135">
        <v>0.0</v>
      </c>
      <c r="AA388" s="135">
        <v>0.0</v>
      </c>
      <c r="AB388" s="135">
        <v>0.0</v>
      </c>
      <c r="AC388" s="135">
        <v>0.0</v>
      </c>
      <c r="AD388" s="135">
        <v>0.0</v>
      </c>
      <c r="AE388" s="135">
        <v>0.0</v>
      </c>
      <c r="AF388" s="135">
        <v>0.0</v>
      </c>
      <c r="AG388" s="135">
        <v>0.0</v>
      </c>
      <c r="AH388" s="135">
        <v>0.0</v>
      </c>
      <c r="AI388" s="135">
        <v>0.0</v>
      </c>
      <c r="AJ388" s="135">
        <v>0.0</v>
      </c>
      <c r="AK388" s="135">
        <v>0.0</v>
      </c>
      <c r="AL388" s="135">
        <v>0.0</v>
      </c>
      <c r="AM388" s="135">
        <v>0.0</v>
      </c>
      <c r="AN388" s="137">
        <v>0.0</v>
      </c>
    </row>
    <row r="389">
      <c r="A389" s="138" t="s">
        <v>255</v>
      </c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</row>
    <row r="390">
      <c r="A390" s="132" t="s">
        <v>197</v>
      </c>
      <c r="B390" s="133" t="s">
        <v>198</v>
      </c>
      <c r="C390" s="134">
        <v>235002.0</v>
      </c>
      <c r="D390" s="134">
        <v>91676.0</v>
      </c>
      <c r="E390" s="134">
        <v>143326.0</v>
      </c>
      <c r="F390" s="135">
        <v>0.0</v>
      </c>
      <c r="G390" s="135">
        <v>0.0</v>
      </c>
      <c r="H390" s="135">
        <v>0.0</v>
      </c>
      <c r="I390" s="135">
        <v>0.0</v>
      </c>
      <c r="J390" s="135">
        <v>0.0</v>
      </c>
      <c r="K390" s="135">
        <v>0.0</v>
      </c>
      <c r="L390" s="137">
        <v>106.0</v>
      </c>
      <c r="M390" s="137">
        <v>174.0</v>
      </c>
      <c r="N390" s="137">
        <v>206.0</v>
      </c>
      <c r="O390" s="137">
        <v>402.0</v>
      </c>
      <c r="P390" s="137">
        <v>370.0</v>
      </c>
      <c r="Q390" s="137">
        <v>960.0</v>
      </c>
      <c r="R390" s="137">
        <v>944.0</v>
      </c>
      <c r="S390" s="134">
        <v>1884.0</v>
      </c>
      <c r="T390" s="134">
        <v>1610.0</v>
      </c>
      <c r="U390" s="134">
        <v>3222.0</v>
      </c>
      <c r="V390" s="134">
        <v>2994.0</v>
      </c>
      <c r="W390" s="134">
        <v>5790.0</v>
      </c>
      <c r="X390" s="134">
        <v>4706.0</v>
      </c>
      <c r="Y390" s="134">
        <v>9670.0</v>
      </c>
      <c r="Z390" s="134">
        <v>7966.0</v>
      </c>
      <c r="AA390" s="134">
        <v>15688.0</v>
      </c>
      <c r="AB390" s="134">
        <v>10832.0</v>
      </c>
      <c r="AC390" s="134">
        <v>19050.0</v>
      </c>
      <c r="AD390" s="134">
        <v>12342.0</v>
      </c>
      <c r="AE390" s="134">
        <v>20732.0</v>
      </c>
      <c r="AF390" s="134">
        <v>13942.0</v>
      </c>
      <c r="AG390" s="134">
        <v>20370.0</v>
      </c>
      <c r="AH390" s="134">
        <v>12824.0</v>
      </c>
      <c r="AI390" s="134">
        <v>17380.0</v>
      </c>
      <c r="AJ390" s="134">
        <v>10302.0</v>
      </c>
      <c r="AK390" s="134">
        <v>12892.0</v>
      </c>
      <c r="AL390" s="134">
        <v>12532.0</v>
      </c>
      <c r="AM390" s="134">
        <v>15112.0</v>
      </c>
      <c r="AN390" s="134">
        <v>228266.0</v>
      </c>
    </row>
    <row r="391">
      <c r="A391" s="98"/>
      <c r="B391" s="136" t="s">
        <v>199</v>
      </c>
      <c r="C391" s="134">
        <v>74602.0</v>
      </c>
      <c r="D391" s="134">
        <v>28154.0</v>
      </c>
      <c r="E391" s="134">
        <v>46448.0</v>
      </c>
      <c r="F391" s="135">
        <v>0.0</v>
      </c>
      <c r="G391" s="135">
        <v>0.0</v>
      </c>
      <c r="H391" s="135">
        <v>0.0</v>
      </c>
      <c r="I391" s="135">
        <v>0.0</v>
      </c>
      <c r="J391" s="135">
        <v>0.0</v>
      </c>
      <c r="K391" s="135">
        <v>0.0</v>
      </c>
      <c r="L391" s="137">
        <v>26.0</v>
      </c>
      <c r="M391" s="137">
        <v>26.0</v>
      </c>
      <c r="N391" s="137">
        <v>38.0</v>
      </c>
      <c r="O391" s="137">
        <v>96.0</v>
      </c>
      <c r="P391" s="137">
        <v>112.0</v>
      </c>
      <c r="Q391" s="137">
        <v>214.0</v>
      </c>
      <c r="R391" s="137">
        <v>192.0</v>
      </c>
      <c r="S391" s="137">
        <v>584.0</v>
      </c>
      <c r="T391" s="137">
        <v>366.0</v>
      </c>
      <c r="U391" s="137">
        <v>928.0</v>
      </c>
      <c r="V391" s="137">
        <v>824.0</v>
      </c>
      <c r="W391" s="134">
        <v>1728.0</v>
      </c>
      <c r="X391" s="134">
        <v>1296.0</v>
      </c>
      <c r="Y391" s="134">
        <v>2872.0</v>
      </c>
      <c r="Z391" s="134">
        <v>2286.0</v>
      </c>
      <c r="AA391" s="134">
        <v>4880.0</v>
      </c>
      <c r="AB391" s="134">
        <v>3138.0</v>
      </c>
      <c r="AC391" s="134">
        <v>5918.0</v>
      </c>
      <c r="AD391" s="134">
        <v>3534.0</v>
      </c>
      <c r="AE391" s="134">
        <v>6170.0</v>
      </c>
      <c r="AF391" s="134">
        <v>4474.0</v>
      </c>
      <c r="AG391" s="134">
        <v>6888.0</v>
      </c>
      <c r="AH391" s="134">
        <v>4390.0</v>
      </c>
      <c r="AI391" s="134">
        <v>6088.0</v>
      </c>
      <c r="AJ391" s="134">
        <v>3598.0</v>
      </c>
      <c r="AK391" s="134">
        <v>4566.0</v>
      </c>
      <c r="AL391" s="134">
        <v>3880.0</v>
      </c>
      <c r="AM391" s="134">
        <v>5490.0</v>
      </c>
      <c r="AN391" s="134">
        <v>73470.0</v>
      </c>
    </row>
    <row r="392">
      <c r="A392" s="98"/>
      <c r="B392" s="136" t="s">
        <v>200</v>
      </c>
      <c r="C392" s="134">
        <v>72578.0</v>
      </c>
      <c r="D392" s="134">
        <v>26534.0</v>
      </c>
      <c r="E392" s="134">
        <v>46044.0</v>
      </c>
      <c r="F392" s="135">
        <v>0.0</v>
      </c>
      <c r="G392" s="135">
        <v>0.0</v>
      </c>
      <c r="H392" s="135">
        <v>0.0</v>
      </c>
      <c r="I392" s="135">
        <v>0.0</v>
      </c>
      <c r="J392" s="135">
        <v>0.0</v>
      </c>
      <c r="K392" s="135">
        <v>0.0</v>
      </c>
      <c r="L392" s="137">
        <v>34.0</v>
      </c>
      <c r="M392" s="137">
        <v>40.0</v>
      </c>
      <c r="N392" s="137">
        <v>70.0</v>
      </c>
      <c r="O392" s="137">
        <v>150.0</v>
      </c>
      <c r="P392" s="137">
        <v>176.0</v>
      </c>
      <c r="Q392" s="137">
        <v>362.0</v>
      </c>
      <c r="R392" s="137">
        <v>354.0</v>
      </c>
      <c r="S392" s="137">
        <v>758.0</v>
      </c>
      <c r="T392" s="137">
        <v>508.0</v>
      </c>
      <c r="U392" s="134">
        <v>1140.0</v>
      </c>
      <c r="V392" s="137">
        <v>888.0</v>
      </c>
      <c r="W392" s="134">
        <v>2072.0</v>
      </c>
      <c r="X392" s="134">
        <v>1482.0</v>
      </c>
      <c r="Y392" s="134">
        <v>3312.0</v>
      </c>
      <c r="Z392" s="134">
        <v>2402.0</v>
      </c>
      <c r="AA392" s="134">
        <v>5140.0</v>
      </c>
      <c r="AB392" s="134">
        <v>3268.0</v>
      </c>
      <c r="AC392" s="134">
        <v>6316.0</v>
      </c>
      <c r="AD392" s="134">
        <v>3698.0</v>
      </c>
      <c r="AE392" s="134">
        <v>6606.0</v>
      </c>
      <c r="AF392" s="134">
        <v>4204.0</v>
      </c>
      <c r="AG392" s="134">
        <v>6450.0</v>
      </c>
      <c r="AH392" s="134">
        <v>3682.0</v>
      </c>
      <c r="AI392" s="134">
        <v>5908.0</v>
      </c>
      <c r="AJ392" s="134">
        <v>2904.0</v>
      </c>
      <c r="AK392" s="134">
        <v>3664.0</v>
      </c>
      <c r="AL392" s="134">
        <v>2802.0</v>
      </c>
      <c r="AM392" s="134">
        <v>4022.0</v>
      </c>
      <c r="AN392" s="134">
        <v>71678.0</v>
      </c>
    </row>
    <row r="393">
      <c r="A393" s="104"/>
      <c r="B393" s="136" t="s">
        <v>201</v>
      </c>
      <c r="C393" s="137">
        <v>862.0</v>
      </c>
      <c r="D393" s="137">
        <v>292.0</v>
      </c>
      <c r="E393" s="137">
        <v>570.0</v>
      </c>
      <c r="F393" s="135">
        <v>0.0</v>
      </c>
      <c r="G393" s="135">
        <v>0.0</v>
      </c>
      <c r="H393" s="135">
        <v>0.0</v>
      </c>
      <c r="I393" s="135">
        <v>0.0</v>
      </c>
      <c r="J393" s="135">
        <v>0.0</v>
      </c>
      <c r="K393" s="135">
        <v>0.0</v>
      </c>
      <c r="L393" s="137">
        <v>2.0</v>
      </c>
      <c r="M393" s="137">
        <v>2.0</v>
      </c>
      <c r="N393" s="137">
        <v>0.0</v>
      </c>
      <c r="O393" s="137">
        <v>2.0</v>
      </c>
      <c r="P393" s="137">
        <v>2.0</v>
      </c>
      <c r="Q393" s="137">
        <v>8.0</v>
      </c>
      <c r="R393" s="137">
        <v>2.0</v>
      </c>
      <c r="S393" s="137">
        <v>12.0</v>
      </c>
      <c r="T393" s="137">
        <v>4.0</v>
      </c>
      <c r="U393" s="137">
        <v>14.0</v>
      </c>
      <c r="V393" s="137">
        <v>8.0</v>
      </c>
      <c r="W393" s="137">
        <v>34.0</v>
      </c>
      <c r="X393" s="137">
        <v>22.0</v>
      </c>
      <c r="Y393" s="137">
        <v>38.0</v>
      </c>
      <c r="Z393" s="137">
        <v>18.0</v>
      </c>
      <c r="AA393" s="137">
        <v>64.0</v>
      </c>
      <c r="AB393" s="137">
        <v>44.0</v>
      </c>
      <c r="AC393" s="137">
        <v>84.0</v>
      </c>
      <c r="AD393" s="137">
        <v>40.0</v>
      </c>
      <c r="AE393" s="137">
        <v>84.0</v>
      </c>
      <c r="AF393" s="137">
        <v>40.0</v>
      </c>
      <c r="AG393" s="137">
        <v>58.0</v>
      </c>
      <c r="AH393" s="137">
        <v>44.0</v>
      </c>
      <c r="AI393" s="137">
        <v>68.0</v>
      </c>
      <c r="AJ393" s="137">
        <v>34.0</v>
      </c>
      <c r="AK393" s="137">
        <v>52.0</v>
      </c>
      <c r="AL393" s="137">
        <v>32.0</v>
      </c>
      <c r="AM393" s="137">
        <v>50.0</v>
      </c>
      <c r="AN393" s="137">
        <v>860.0</v>
      </c>
    </row>
    <row r="394">
      <c r="A394" s="132" t="s">
        <v>202</v>
      </c>
      <c r="B394" s="136" t="s">
        <v>198</v>
      </c>
      <c r="C394" s="137">
        <v>234.0</v>
      </c>
      <c r="D394" s="137">
        <v>130.0</v>
      </c>
      <c r="E394" s="137">
        <v>104.0</v>
      </c>
      <c r="F394" s="137">
        <v>0.0</v>
      </c>
      <c r="G394" s="137">
        <v>0.0</v>
      </c>
      <c r="H394" s="137">
        <v>0.0</v>
      </c>
      <c r="I394" s="137">
        <v>0.0</v>
      </c>
      <c r="J394" s="137">
        <v>2.0</v>
      </c>
      <c r="K394" s="137">
        <v>8.0</v>
      </c>
      <c r="L394" s="137">
        <v>12.0</v>
      </c>
      <c r="M394" s="137">
        <v>16.0</v>
      </c>
      <c r="N394" s="137">
        <v>6.0</v>
      </c>
      <c r="O394" s="137">
        <v>18.0</v>
      </c>
      <c r="P394" s="137">
        <v>6.0</v>
      </c>
      <c r="Q394" s="137">
        <v>10.0</v>
      </c>
      <c r="R394" s="137">
        <v>12.0</v>
      </c>
      <c r="S394" s="137">
        <v>6.0</v>
      </c>
      <c r="T394" s="137">
        <v>2.0</v>
      </c>
      <c r="U394" s="137">
        <v>4.0</v>
      </c>
      <c r="V394" s="137">
        <v>14.0</v>
      </c>
      <c r="W394" s="137">
        <v>0.0</v>
      </c>
      <c r="X394" s="137">
        <v>8.0</v>
      </c>
      <c r="Y394" s="137">
        <v>4.0</v>
      </c>
      <c r="Z394" s="137">
        <v>2.0</v>
      </c>
      <c r="AA394" s="137">
        <v>0.0</v>
      </c>
      <c r="AB394" s="137">
        <v>10.0</v>
      </c>
      <c r="AC394" s="137">
        <v>6.0</v>
      </c>
      <c r="AD394" s="137">
        <v>16.0</v>
      </c>
      <c r="AE394" s="137">
        <v>4.0</v>
      </c>
      <c r="AF394" s="137">
        <v>10.0</v>
      </c>
      <c r="AG394" s="137">
        <v>10.0</v>
      </c>
      <c r="AH394" s="137">
        <v>10.0</v>
      </c>
      <c r="AI394" s="137">
        <v>6.0</v>
      </c>
      <c r="AJ394" s="137">
        <v>12.0</v>
      </c>
      <c r="AK394" s="137">
        <v>0.0</v>
      </c>
      <c r="AL394" s="137">
        <v>8.0</v>
      </c>
      <c r="AM394" s="137">
        <v>12.0</v>
      </c>
      <c r="AN394" s="137">
        <v>220.0</v>
      </c>
    </row>
    <row r="395">
      <c r="A395" s="104"/>
      <c r="B395" s="136" t="s">
        <v>199</v>
      </c>
      <c r="C395" s="137">
        <v>128.0</v>
      </c>
      <c r="D395" s="137">
        <v>92.0</v>
      </c>
      <c r="E395" s="137">
        <v>36.0</v>
      </c>
      <c r="F395" s="137">
        <v>0.0</v>
      </c>
      <c r="G395" s="137">
        <v>0.0</v>
      </c>
      <c r="H395" s="137">
        <v>0.0</v>
      </c>
      <c r="I395" s="137">
        <v>0.0</v>
      </c>
      <c r="J395" s="137">
        <v>0.0</v>
      </c>
      <c r="K395" s="137">
        <v>0.0</v>
      </c>
      <c r="L395" s="137">
        <v>4.0</v>
      </c>
      <c r="M395" s="137">
        <v>2.0</v>
      </c>
      <c r="N395" s="137">
        <v>0.0</v>
      </c>
      <c r="O395" s="137">
        <v>2.0</v>
      </c>
      <c r="P395" s="137">
        <v>0.0</v>
      </c>
      <c r="Q395" s="137">
        <v>12.0</v>
      </c>
      <c r="R395" s="137">
        <v>12.0</v>
      </c>
      <c r="S395" s="137">
        <v>2.0</v>
      </c>
      <c r="T395" s="137">
        <v>0.0</v>
      </c>
      <c r="U395" s="137">
        <v>0.0</v>
      </c>
      <c r="V395" s="137">
        <v>8.0</v>
      </c>
      <c r="W395" s="137">
        <v>2.0</v>
      </c>
      <c r="X395" s="137">
        <v>32.0</v>
      </c>
      <c r="Y395" s="137">
        <v>2.0</v>
      </c>
      <c r="Z395" s="137">
        <v>8.0</v>
      </c>
      <c r="AA395" s="137">
        <v>2.0</v>
      </c>
      <c r="AB395" s="137">
        <v>2.0</v>
      </c>
      <c r="AC395" s="137">
        <v>6.0</v>
      </c>
      <c r="AD395" s="137">
        <v>6.0</v>
      </c>
      <c r="AE395" s="137">
        <v>0.0</v>
      </c>
      <c r="AF395" s="137">
        <v>4.0</v>
      </c>
      <c r="AG395" s="137">
        <v>4.0</v>
      </c>
      <c r="AH395" s="137">
        <v>4.0</v>
      </c>
      <c r="AI395" s="137">
        <v>0.0</v>
      </c>
      <c r="AJ395" s="137">
        <v>0.0</v>
      </c>
      <c r="AK395" s="137">
        <v>0.0</v>
      </c>
      <c r="AL395" s="137">
        <v>12.0</v>
      </c>
      <c r="AM395" s="137">
        <v>2.0</v>
      </c>
      <c r="AN395" s="137">
        <v>118.0</v>
      </c>
    </row>
    <row r="396">
      <c r="A396" s="132" t="s">
        <v>203</v>
      </c>
      <c r="B396" s="136" t="s">
        <v>198</v>
      </c>
      <c r="C396" s="137">
        <v>58.0</v>
      </c>
      <c r="D396" s="137">
        <v>28.0</v>
      </c>
      <c r="E396" s="137">
        <v>30.0</v>
      </c>
      <c r="F396" s="135">
        <v>0.0</v>
      </c>
      <c r="G396" s="135">
        <v>0.0</v>
      </c>
      <c r="H396" s="135">
        <v>0.0</v>
      </c>
      <c r="I396" s="135">
        <v>0.0</v>
      </c>
      <c r="J396" s="135">
        <v>0.0</v>
      </c>
      <c r="K396" s="135">
        <v>0.0</v>
      </c>
      <c r="L396" s="135">
        <v>0.0</v>
      </c>
      <c r="M396" s="135">
        <v>0.0</v>
      </c>
      <c r="N396" s="135">
        <v>0.0</v>
      </c>
      <c r="O396" s="135">
        <v>0.0</v>
      </c>
      <c r="P396" s="135">
        <v>0.0</v>
      </c>
      <c r="Q396" s="135">
        <v>0.0</v>
      </c>
      <c r="R396" s="135">
        <v>0.0</v>
      </c>
      <c r="S396" s="135">
        <v>0.0</v>
      </c>
      <c r="T396" s="135">
        <v>0.0</v>
      </c>
      <c r="U396" s="135">
        <v>0.0</v>
      </c>
      <c r="V396" s="135">
        <v>0.0</v>
      </c>
      <c r="W396" s="135">
        <v>0.0</v>
      </c>
      <c r="X396" s="135">
        <v>0.0</v>
      </c>
      <c r="Y396" s="135">
        <v>0.0</v>
      </c>
      <c r="Z396" s="135">
        <v>0.0</v>
      </c>
      <c r="AA396" s="135">
        <v>0.0</v>
      </c>
      <c r="AB396" s="135">
        <v>0.0</v>
      </c>
      <c r="AC396" s="135">
        <v>0.0</v>
      </c>
      <c r="AD396" s="135">
        <v>0.0</v>
      </c>
      <c r="AE396" s="135">
        <v>0.0</v>
      </c>
      <c r="AF396" s="137">
        <v>8.0</v>
      </c>
      <c r="AG396" s="137">
        <v>10.0</v>
      </c>
      <c r="AH396" s="137">
        <v>10.0</v>
      </c>
      <c r="AI396" s="137">
        <v>12.0</v>
      </c>
      <c r="AJ396" s="137">
        <v>6.0</v>
      </c>
      <c r="AK396" s="137">
        <v>8.0</v>
      </c>
      <c r="AL396" s="137">
        <v>4.0</v>
      </c>
      <c r="AM396" s="137">
        <v>0.0</v>
      </c>
      <c r="AN396" s="137">
        <v>58.0</v>
      </c>
    </row>
    <row r="397">
      <c r="A397" s="104"/>
      <c r="B397" s="136" t="s">
        <v>199</v>
      </c>
      <c r="C397" s="134">
        <v>1066.0</v>
      </c>
      <c r="D397" s="137">
        <v>456.0</v>
      </c>
      <c r="E397" s="137">
        <v>610.0</v>
      </c>
      <c r="F397" s="135">
        <v>0.0</v>
      </c>
      <c r="G397" s="135">
        <v>0.0</v>
      </c>
      <c r="H397" s="135">
        <v>0.0</v>
      </c>
      <c r="I397" s="135">
        <v>0.0</v>
      </c>
      <c r="J397" s="135">
        <v>0.0</v>
      </c>
      <c r="K397" s="135">
        <v>0.0</v>
      </c>
      <c r="L397" s="135">
        <v>0.0</v>
      </c>
      <c r="M397" s="135">
        <v>0.0</v>
      </c>
      <c r="N397" s="135">
        <v>0.0</v>
      </c>
      <c r="O397" s="135">
        <v>0.0</v>
      </c>
      <c r="P397" s="135">
        <v>0.0</v>
      </c>
      <c r="Q397" s="135">
        <v>0.0</v>
      </c>
      <c r="R397" s="135">
        <v>0.0</v>
      </c>
      <c r="S397" s="135">
        <v>0.0</v>
      </c>
      <c r="T397" s="135">
        <v>0.0</v>
      </c>
      <c r="U397" s="135">
        <v>0.0</v>
      </c>
      <c r="V397" s="135">
        <v>0.0</v>
      </c>
      <c r="W397" s="135">
        <v>0.0</v>
      </c>
      <c r="X397" s="135">
        <v>0.0</v>
      </c>
      <c r="Y397" s="135">
        <v>0.0</v>
      </c>
      <c r="Z397" s="135">
        <v>0.0</v>
      </c>
      <c r="AA397" s="135">
        <v>0.0</v>
      </c>
      <c r="AB397" s="135">
        <v>0.0</v>
      </c>
      <c r="AC397" s="135">
        <v>0.0</v>
      </c>
      <c r="AD397" s="135">
        <v>0.0</v>
      </c>
      <c r="AE397" s="135">
        <v>0.0</v>
      </c>
      <c r="AF397" s="137">
        <v>136.0</v>
      </c>
      <c r="AG397" s="137">
        <v>188.0</v>
      </c>
      <c r="AH397" s="137">
        <v>152.0</v>
      </c>
      <c r="AI397" s="137">
        <v>176.0</v>
      </c>
      <c r="AJ397" s="137">
        <v>100.0</v>
      </c>
      <c r="AK397" s="137">
        <v>140.0</v>
      </c>
      <c r="AL397" s="137">
        <v>68.0</v>
      </c>
      <c r="AM397" s="137">
        <v>106.0</v>
      </c>
      <c r="AN397" s="137">
        <v>956.0</v>
      </c>
    </row>
    <row r="398">
      <c r="A398" s="132" t="s">
        <v>204</v>
      </c>
      <c r="B398" s="136" t="s">
        <v>198</v>
      </c>
      <c r="C398" s="137">
        <v>34.0</v>
      </c>
      <c r="D398" s="137">
        <v>16.0</v>
      </c>
      <c r="E398" s="137">
        <v>18.0</v>
      </c>
      <c r="F398" s="135">
        <v>0.0</v>
      </c>
      <c r="G398" s="135">
        <v>0.0</v>
      </c>
      <c r="H398" s="135">
        <v>0.0</v>
      </c>
      <c r="I398" s="135">
        <v>0.0</v>
      </c>
      <c r="J398" s="135">
        <v>0.0</v>
      </c>
      <c r="K398" s="135">
        <v>0.0</v>
      </c>
      <c r="L398" s="135">
        <v>0.0</v>
      </c>
      <c r="M398" s="135">
        <v>0.0</v>
      </c>
      <c r="N398" s="135">
        <v>0.0</v>
      </c>
      <c r="O398" s="135">
        <v>0.0</v>
      </c>
      <c r="P398" s="135">
        <v>0.0</v>
      </c>
      <c r="Q398" s="135">
        <v>0.0</v>
      </c>
      <c r="R398" s="135">
        <v>0.0</v>
      </c>
      <c r="S398" s="135">
        <v>0.0</v>
      </c>
      <c r="T398" s="135">
        <v>0.0</v>
      </c>
      <c r="U398" s="135">
        <v>0.0</v>
      </c>
      <c r="V398" s="135">
        <v>0.0</v>
      </c>
      <c r="W398" s="135">
        <v>0.0</v>
      </c>
      <c r="X398" s="135">
        <v>0.0</v>
      </c>
      <c r="Y398" s="135">
        <v>0.0</v>
      </c>
      <c r="Z398" s="135">
        <v>0.0</v>
      </c>
      <c r="AA398" s="135">
        <v>0.0</v>
      </c>
      <c r="AB398" s="135">
        <v>0.0</v>
      </c>
      <c r="AC398" s="135">
        <v>0.0</v>
      </c>
      <c r="AD398" s="135">
        <v>0.0</v>
      </c>
      <c r="AE398" s="135">
        <v>0.0</v>
      </c>
      <c r="AF398" s="137">
        <v>4.0</v>
      </c>
      <c r="AG398" s="137">
        <v>0.0</v>
      </c>
      <c r="AH398" s="137">
        <v>0.0</v>
      </c>
      <c r="AI398" s="137">
        <v>4.0</v>
      </c>
      <c r="AJ398" s="137">
        <v>4.0</v>
      </c>
      <c r="AK398" s="137">
        <v>6.0</v>
      </c>
      <c r="AL398" s="137">
        <v>8.0</v>
      </c>
      <c r="AM398" s="137">
        <v>8.0</v>
      </c>
      <c r="AN398" s="137">
        <v>34.0</v>
      </c>
    </row>
    <row r="399">
      <c r="A399" s="104"/>
      <c r="B399" s="136" t="s">
        <v>199</v>
      </c>
      <c r="C399" s="137">
        <v>658.0</v>
      </c>
      <c r="D399" s="137">
        <v>296.0</v>
      </c>
      <c r="E399" s="137">
        <v>362.0</v>
      </c>
      <c r="F399" s="135">
        <v>0.0</v>
      </c>
      <c r="G399" s="135">
        <v>0.0</v>
      </c>
      <c r="H399" s="135">
        <v>0.0</v>
      </c>
      <c r="I399" s="135">
        <v>0.0</v>
      </c>
      <c r="J399" s="135">
        <v>0.0</v>
      </c>
      <c r="K399" s="135">
        <v>0.0</v>
      </c>
      <c r="L399" s="135">
        <v>0.0</v>
      </c>
      <c r="M399" s="135">
        <v>0.0</v>
      </c>
      <c r="N399" s="135">
        <v>0.0</v>
      </c>
      <c r="O399" s="135">
        <v>0.0</v>
      </c>
      <c r="P399" s="135">
        <v>0.0</v>
      </c>
      <c r="Q399" s="135">
        <v>0.0</v>
      </c>
      <c r="R399" s="135">
        <v>0.0</v>
      </c>
      <c r="S399" s="135">
        <v>0.0</v>
      </c>
      <c r="T399" s="135">
        <v>0.0</v>
      </c>
      <c r="U399" s="135">
        <v>0.0</v>
      </c>
      <c r="V399" s="135">
        <v>0.0</v>
      </c>
      <c r="W399" s="135">
        <v>0.0</v>
      </c>
      <c r="X399" s="135">
        <v>0.0</v>
      </c>
      <c r="Y399" s="135">
        <v>0.0</v>
      </c>
      <c r="Z399" s="135">
        <v>0.0</v>
      </c>
      <c r="AA399" s="135">
        <v>0.0</v>
      </c>
      <c r="AB399" s="135">
        <v>0.0</v>
      </c>
      <c r="AC399" s="135">
        <v>0.0</v>
      </c>
      <c r="AD399" s="135">
        <v>0.0</v>
      </c>
      <c r="AE399" s="135">
        <v>0.0</v>
      </c>
      <c r="AF399" s="137">
        <v>42.0</v>
      </c>
      <c r="AG399" s="137">
        <v>54.0</v>
      </c>
      <c r="AH399" s="137">
        <v>60.0</v>
      </c>
      <c r="AI399" s="137">
        <v>72.0</v>
      </c>
      <c r="AJ399" s="137">
        <v>94.0</v>
      </c>
      <c r="AK399" s="137">
        <v>80.0</v>
      </c>
      <c r="AL399" s="137">
        <v>100.0</v>
      </c>
      <c r="AM399" s="137">
        <v>156.0</v>
      </c>
      <c r="AN399" s="137">
        <v>586.0</v>
      </c>
    </row>
    <row r="400">
      <c r="A400" s="132" t="s">
        <v>205</v>
      </c>
      <c r="B400" s="136" t="s">
        <v>198</v>
      </c>
      <c r="C400" s="137">
        <v>290.0</v>
      </c>
      <c r="D400" s="137">
        <v>90.0</v>
      </c>
      <c r="E400" s="137">
        <v>200.0</v>
      </c>
      <c r="F400" s="137">
        <v>0.0</v>
      </c>
      <c r="G400" s="137">
        <v>0.0</v>
      </c>
      <c r="H400" s="137">
        <v>0.0</v>
      </c>
      <c r="I400" s="137">
        <v>0.0</v>
      </c>
      <c r="J400" s="137">
        <v>0.0</v>
      </c>
      <c r="K400" s="137">
        <v>8.0</v>
      </c>
      <c r="L400" s="137">
        <v>6.0</v>
      </c>
      <c r="M400" s="137">
        <v>8.0</v>
      </c>
      <c r="N400" s="137">
        <v>12.0</v>
      </c>
      <c r="O400" s="137">
        <v>20.0</v>
      </c>
      <c r="P400" s="137">
        <v>18.0</v>
      </c>
      <c r="Q400" s="137">
        <v>36.0</v>
      </c>
      <c r="R400" s="137">
        <v>6.0</v>
      </c>
      <c r="S400" s="137">
        <v>16.0</v>
      </c>
      <c r="T400" s="137">
        <v>6.0</v>
      </c>
      <c r="U400" s="137">
        <v>10.0</v>
      </c>
      <c r="V400" s="137">
        <v>4.0</v>
      </c>
      <c r="W400" s="137">
        <v>4.0</v>
      </c>
      <c r="X400" s="137">
        <v>8.0</v>
      </c>
      <c r="Y400" s="137">
        <v>26.0</v>
      </c>
      <c r="Z400" s="137">
        <v>6.0</v>
      </c>
      <c r="AA400" s="137">
        <v>14.0</v>
      </c>
      <c r="AB400" s="137">
        <v>4.0</v>
      </c>
      <c r="AC400" s="137">
        <v>10.0</v>
      </c>
      <c r="AD400" s="137">
        <v>4.0</v>
      </c>
      <c r="AE400" s="137">
        <v>6.0</v>
      </c>
      <c r="AF400" s="137">
        <v>2.0</v>
      </c>
      <c r="AG400" s="137">
        <v>10.0</v>
      </c>
      <c r="AH400" s="137">
        <v>4.0</v>
      </c>
      <c r="AI400" s="137">
        <v>4.0</v>
      </c>
      <c r="AJ400" s="137">
        <v>2.0</v>
      </c>
      <c r="AK400" s="137">
        <v>2.0</v>
      </c>
      <c r="AL400" s="137">
        <v>8.0</v>
      </c>
      <c r="AM400" s="137">
        <v>26.0</v>
      </c>
      <c r="AN400" s="137">
        <v>290.0</v>
      </c>
    </row>
    <row r="401">
      <c r="A401" s="98"/>
      <c r="B401" s="136" t="s">
        <v>199</v>
      </c>
      <c r="C401" s="137">
        <v>2.0</v>
      </c>
      <c r="D401" s="137">
        <v>0.0</v>
      </c>
      <c r="E401" s="137">
        <v>2.0</v>
      </c>
      <c r="F401" s="137">
        <v>0.0</v>
      </c>
      <c r="G401" s="137">
        <v>0.0</v>
      </c>
      <c r="H401" s="137">
        <v>0.0</v>
      </c>
      <c r="I401" s="137">
        <v>0.0</v>
      </c>
      <c r="J401" s="137">
        <v>0.0</v>
      </c>
      <c r="K401" s="137">
        <v>0.0</v>
      </c>
      <c r="L401" s="137">
        <v>0.0</v>
      </c>
      <c r="M401" s="137">
        <v>0.0</v>
      </c>
      <c r="N401" s="137">
        <v>0.0</v>
      </c>
      <c r="O401" s="137">
        <v>0.0</v>
      </c>
      <c r="P401" s="137">
        <v>0.0</v>
      </c>
      <c r="Q401" s="137">
        <v>0.0</v>
      </c>
      <c r="R401" s="137">
        <v>0.0</v>
      </c>
      <c r="S401" s="137">
        <v>0.0</v>
      </c>
      <c r="T401" s="137">
        <v>0.0</v>
      </c>
      <c r="U401" s="137">
        <v>0.0</v>
      </c>
      <c r="V401" s="137">
        <v>0.0</v>
      </c>
      <c r="W401" s="137">
        <v>0.0</v>
      </c>
      <c r="X401" s="137">
        <v>0.0</v>
      </c>
      <c r="Y401" s="137">
        <v>0.0</v>
      </c>
      <c r="Z401" s="137">
        <v>0.0</v>
      </c>
      <c r="AA401" s="137">
        <v>0.0</v>
      </c>
      <c r="AB401" s="137">
        <v>0.0</v>
      </c>
      <c r="AC401" s="137">
        <v>0.0</v>
      </c>
      <c r="AD401" s="137">
        <v>0.0</v>
      </c>
      <c r="AE401" s="137">
        <v>0.0</v>
      </c>
      <c r="AF401" s="137">
        <v>0.0</v>
      </c>
      <c r="AG401" s="137">
        <v>0.0</v>
      </c>
      <c r="AH401" s="137">
        <v>0.0</v>
      </c>
      <c r="AI401" s="137">
        <v>0.0</v>
      </c>
      <c r="AJ401" s="137">
        <v>0.0</v>
      </c>
      <c r="AK401" s="137">
        <v>2.0</v>
      </c>
      <c r="AL401" s="137">
        <v>0.0</v>
      </c>
      <c r="AM401" s="137">
        <v>0.0</v>
      </c>
      <c r="AN401" s="137">
        <v>2.0</v>
      </c>
    </row>
    <row r="402">
      <c r="A402" s="104"/>
      <c r="B402" s="136" t="s">
        <v>206</v>
      </c>
      <c r="C402" s="137">
        <v>182.0</v>
      </c>
      <c r="D402" s="137">
        <v>34.0</v>
      </c>
      <c r="E402" s="137">
        <v>148.0</v>
      </c>
      <c r="F402" s="137">
        <v>0.0</v>
      </c>
      <c r="G402" s="137">
        <v>0.0</v>
      </c>
      <c r="H402" s="137">
        <v>0.0</v>
      </c>
      <c r="I402" s="137">
        <v>0.0</v>
      </c>
      <c r="J402" s="137">
        <v>0.0</v>
      </c>
      <c r="K402" s="137">
        <v>0.0</v>
      </c>
      <c r="L402" s="137">
        <v>0.0</v>
      </c>
      <c r="M402" s="137">
        <v>6.0</v>
      </c>
      <c r="N402" s="137">
        <v>8.0</v>
      </c>
      <c r="O402" s="137">
        <v>26.0</v>
      </c>
      <c r="P402" s="137">
        <v>8.0</v>
      </c>
      <c r="Q402" s="137">
        <v>22.0</v>
      </c>
      <c r="R402" s="137">
        <v>8.0</v>
      </c>
      <c r="S402" s="137">
        <v>40.0</v>
      </c>
      <c r="T402" s="137">
        <v>2.0</v>
      </c>
      <c r="U402" s="137">
        <v>18.0</v>
      </c>
      <c r="V402" s="137">
        <v>2.0</v>
      </c>
      <c r="W402" s="137">
        <v>18.0</v>
      </c>
      <c r="X402" s="137">
        <v>0.0</v>
      </c>
      <c r="Y402" s="137">
        <v>8.0</v>
      </c>
      <c r="Z402" s="137">
        <v>2.0</v>
      </c>
      <c r="AA402" s="137">
        <v>6.0</v>
      </c>
      <c r="AB402" s="137">
        <v>2.0</v>
      </c>
      <c r="AC402" s="137">
        <v>2.0</v>
      </c>
      <c r="AD402" s="137">
        <v>0.0</v>
      </c>
      <c r="AE402" s="137">
        <v>0.0</v>
      </c>
      <c r="AF402" s="137">
        <v>0.0</v>
      </c>
      <c r="AG402" s="137">
        <v>2.0</v>
      </c>
      <c r="AH402" s="137">
        <v>2.0</v>
      </c>
      <c r="AI402" s="137">
        <v>0.0</v>
      </c>
      <c r="AJ402" s="137">
        <v>0.0</v>
      </c>
      <c r="AK402" s="137">
        <v>0.0</v>
      </c>
      <c r="AL402" s="137">
        <v>0.0</v>
      </c>
      <c r="AM402" s="137">
        <v>0.0</v>
      </c>
      <c r="AN402" s="137">
        <v>180.0</v>
      </c>
    </row>
    <row r="403">
      <c r="A403" s="132" t="s">
        <v>207</v>
      </c>
      <c r="B403" s="136" t="s">
        <v>198</v>
      </c>
      <c r="C403" s="134">
        <v>68670.0</v>
      </c>
      <c r="D403" s="134">
        <v>19494.0</v>
      </c>
      <c r="E403" s="134">
        <v>49176.0</v>
      </c>
      <c r="F403" s="137">
        <v>354.0</v>
      </c>
      <c r="G403" s="137">
        <v>318.0</v>
      </c>
      <c r="H403" s="137">
        <v>164.0</v>
      </c>
      <c r="I403" s="137">
        <v>228.0</v>
      </c>
      <c r="J403" s="137">
        <v>304.0</v>
      </c>
      <c r="K403" s="137">
        <v>366.0</v>
      </c>
      <c r="L403" s="137">
        <v>326.0</v>
      </c>
      <c r="M403" s="137">
        <v>628.0</v>
      </c>
      <c r="N403" s="137">
        <v>368.0</v>
      </c>
      <c r="O403" s="134">
        <v>1074.0</v>
      </c>
      <c r="P403" s="137">
        <v>374.0</v>
      </c>
      <c r="Q403" s="134">
        <v>1380.0</v>
      </c>
      <c r="R403" s="137">
        <v>366.0</v>
      </c>
      <c r="S403" s="134">
        <v>1762.0</v>
      </c>
      <c r="T403" s="137">
        <v>440.0</v>
      </c>
      <c r="U403" s="134">
        <v>1958.0</v>
      </c>
      <c r="V403" s="137">
        <v>622.0</v>
      </c>
      <c r="W403" s="134">
        <v>2484.0</v>
      </c>
      <c r="X403" s="137">
        <v>856.0</v>
      </c>
      <c r="Y403" s="134">
        <v>3406.0</v>
      </c>
      <c r="Z403" s="134">
        <v>1118.0</v>
      </c>
      <c r="AA403" s="134">
        <v>4610.0</v>
      </c>
      <c r="AB403" s="134">
        <v>1602.0</v>
      </c>
      <c r="AC403" s="134">
        <v>6026.0</v>
      </c>
      <c r="AD403" s="134">
        <v>2184.0</v>
      </c>
      <c r="AE403" s="134">
        <v>6214.0</v>
      </c>
      <c r="AF403" s="134">
        <v>2652.0</v>
      </c>
      <c r="AG403" s="134">
        <v>5852.0</v>
      </c>
      <c r="AH403" s="134">
        <v>2746.0</v>
      </c>
      <c r="AI403" s="134">
        <v>5060.0</v>
      </c>
      <c r="AJ403" s="134">
        <v>2240.0</v>
      </c>
      <c r="AK403" s="134">
        <v>3634.0</v>
      </c>
      <c r="AL403" s="134">
        <v>2778.0</v>
      </c>
      <c r="AM403" s="134">
        <v>4176.0</v>
      </c>
      <c r="AN403" s="134">
        <v>68216.0</v>
      </c>
    </row>
    <row r="404">
      <c r="A404" s="98"/>
      <c r="B404" s="136" t="s">
        <v>199</v>
      </c>
      <c r="C404" s="134">
        <v>6634.0</v>
      </c>
      <c r="D404" s="134">
        <v>2882.0</v>
      </c>
      <c r="E404" s="134">
        <v>3752.0</v>
      </c>
      <c r="F404" s="137">
        <v>56.0</v>
      </c>
      <c r="G404" s="137">
        <v>16.0</v>
      </c>
      <c r="H404" s="137">
        <v>4.0</v>
      </c>
      <c r="I404" s="137">
        <v>2.0</v>
      </c>
      <c r="J404" s="137">
        <v>2.0</v>
      </c>
      <c r="K404" s="137">
        <v>4.0</v>
      </c>
      <c r="L404" s="137">
        <v>16.0</v>
      </c>
      <c r="M404" s="137">
        <v>18.0</v>
      </c>
      <c r="N404" s="137">
        <v>26.0</v>
      </c>
      <c r="O404" s="137">
        <v>26.0</v>
      </c>
      <c r="P404" s="137">
        <v>18.0</v>
      </c>
      <c r="Q404" s="137">
        <v>40.0</v>
      </c>
      <c r="R404" s="137">
        <v>22.0</v>
      </c>
      <c r="S404" s="137">
        <v>70.0</v>
      </c>
      <c r="T404" s="137">
        <v>94.0</v>
      </c>
      <c r="U404" s="137">
        <v>60.0</v>
      </c>
      <c r="V404" s="137">
        <v>32.0</v>
      </c>
      <c r="W404" s="137">
        <v>124.0</v>
      </c>
      <c r="X404" s="137">
        <v>74.0</v>
      </c>
      <c r="Y404" s="137">
        <v>354.0</v>
      </c>
      <c r="Z404" s="137">
        <v>116.0</v>
      </c>
      <c r="AA404" s="137">
        <v>358.0</v>
      </c>
      <c r="AB404" s="137">
        <v>182.0</v>
      </c>
      <c r="AC404" s="137">
        <v>304.0</v>
      </c>
      <c r="AD404" s="137">
        <v>334.0</v>
      </c>
      <c r="AE404" s="137">
        <v>322.0</v>
      </c>
      <c r="AF404" s="137">
        <v>360.0</v>
      </c>
      <c r="AG404" s="137">
        <v>512.0</v>
      </c>
      <c r="AH404" s="137">
        <v>352.0</v>
      </c>
      <c r="AI404" s="137">
        <v>578.0</v>
      </c>
      <c r="AJ404" s="137">
        <v>476.0</v>
      </c>
      <c r="AK404" s="137">
        <v>418.0</v>
      </c>
      <c r="AL404" s="137">
        <v>718.0</v>
      </c>
      <c r="AM404" s="137">
        <v>546.0</v>
      </c>
      <c r="AN404" s="134">
        <v>6624.0</v>
      </c>
    </row>
    <row r="405">
      <c r="A405" s="98"/>
      <c r="B405" s="136" t="s">
        <v>206</v>
      </c>
      <c r="C405" s="137">
        <v>112.0</v>
      </c>
      <c r="D405" s="137">
        <v>38.0</v>
      </c>
      <c r="E405" s="137">
        <v>74.0</v>
      </c>
      <c r="F405" s="137">
        <v>8.0</v>
      </c>
      <c r="G405" s="137">
        <v>10.0</v>
      </c>
      <c r="H405" s="137">
        <v>0.0</v>
      </c>
      <c r="I405" s="137">
        <v>0.0</v>
      </c>
      <c r="J405" s="137">
        <v>2.0</v>
      </c>
      <c r="K405" s="137">
        <v>8.0</v>
      </c>
      <c r="L405" s="137">
        <v>2.0</v>
      </c>
      <c r="M405" s="137">
        <v>18.0</v>
      </c>
      <c r="N405" s="137">
        <v>12.0</v>
      </c>
      <c r="O405" s="137">
        <v>8.0</v>
      </c>
      <c r="P405" s="137">
        <v>8.0</v>
      </c>
      <c r="Q405" s="137">
        <v>8.0</v>
      </c>
      <c r="R405" s="137">
        <v>4.0</v>
      </c>
      <c r="S405" s="137">
        <v>4.0</v>
      </c>
      <c r="T405" s="137">
        <v>0.0</v>
      </c>
      <c r="U405" s="137">
        <v>8.0</v>
      </c>
      <c r="V405" s="137">
        <v>0.0</v>
      </c>
      <c r="W405" s="137">
        <v>6.0</v>
      </c>
      <c r="X405" s="137">
        <v>0.0</v>
      </c>
      <c r="Y405" s="137">
        <v>0.0</v>
      </c>
      <c r="Z405" s="137">
        <v>0.0</v>
      </c>
      <c r="AA405" s="137">
        <v>4.0</v>
      </c>
      <c r="AB405" s="137">
        <v>0.0</v>
      </c>
      <c r="AC405" s="137">
        <v>0.0</v>
      </c>
      <c r="AD405" s="137">
        <v>0.0</v>
      </c>
      <c r="AE405" s="137">
        <v>0.0</v>
      </c>
      <c r="AF405" s="137">
        <v>2.0</v>
      </c>
      <c r="AG405" s="137">
        <v>0.0</v>
      </c>
      <c r="AH405" s="137">
        <v>0.0</v>
      </c>
      <c r="AI405" s="137">
        <v>0.0</v>
      </c>
      <c r="AJ405" s="137">
        <v>0.0</v>
      </c>
      <c r="AK405" s="137">
        <v>0.0</v>
      </c>
      <c r="AL405" s="137">
        <v>0.0</v>
      </c>
      <c r="AM405" s="137">
        <v>0.0</v>
      </c>
      <c r="AN405" s="137">
        <v>112.0</v>
      </c>
    </row>
    <row r="406">
      <c r="A406" s="98"/>
      <c r="B406" s="136" t="s">
        <v>200</v>
      </c>
      <c r="C406" s="134">
        <v>4932.0</v>
      </c>
      <c r="D406" s="134">
        <v>1396.0</v>
      </c>
      <c r="E406" s="134">
        <v>3536.0</v>
      </c>
      <c r="F406" s="137">
        <v>202.0</v>
      </c>
      <c r="G406" s="137">
        <v>170.0</v>
      </c>
      <c r="H406" s="137">
        <v>70.0</v>
      </c>
      <c r="I406" s="137">
        <v>64.0</v>
      </c>
      <c r="J406" s="137">
        <v>42.0</v>
      </c>
      <c r="K406" s="137">
        <v>36.0</v>
      </c>
      <c r="L406" s="137">
        <v>16.0</v>
      </c>
      <c r="M406" s="137">
        <v>98.0</v>
      </c>
      <c r="N406" s="137">
        <v>18.0</v>
      </c>
      <c r="O406" s="137">
        <v>82.0</v>
      </c>
      <c r="P406" s="137">
        <v>24.0</v>
      </c>
      <c r="Q406" s="137">
        <v>90.0</v>
      </c>
      <c r="R406" s="137">
        <v>26.0</v>
      </c>
      <c r="S406" s="137">
        <v>116.0</v>
      </c>
      <c r="T406" s="137">
        <v>38.0</v>
      </c>
      <c r="U406" s="137">
        <v>144.0</v>
      </c>
      <c r="V406" s="137">
        <v>48.0</v>
      </c>
      <c r="W406" s="137">
        <v>190.0</v>
      </c>
      <c r="X406" s="137">
        <v>44.0</v>
      </c>
      <c r="Y406" s="137">
        <v>210.0</v>
      </c>
      <c r="Z406" s="137">
        <v>84.0</v>
      </c>
      <c r="AA406" s="137">
        <v>268.0</v>
      </c>
      <c r="AB406" s="137">
        <v>136.0</v>
      </c>
      <c r="AC406" s="137">
        <v>358.0</v>
      </c>
      <c r="AD406" s="137">
        <v>144.0</v>
      </c>
      <c r="AE406" s="137">
        <v>370.0</v>
      </c>
      <c r="AF406" s="137">
        <v>188.0</v>
      </c>
      <c r="AG406" s="137">
        <v>358.0</v>
      </c>
      <c r="AH406" s="137">
        <v>108.0</v>
      </c>
      <c r="AI406" s="137">
        <v>624.0</v>
      </c>
      <c r="AJ406" s="137">
        <v>104.0</v>
      </c>
      <c r="AK406" s="137">
        <v>174.0</v>
      </c>
      <c r="AL406" s="137">
        <v>104.0</v>
      </c>
      <c r="AM406" s="137">
        <v>184.0</v>
      </c>
      <c r="AN406" s="134">
        <v>4840.0</v>
      </c>
    </row>
    <row r="407">
      <c r="A407" s="104"/>
      <c r="B407" s="136" t="s">
        <v>201</v>
      </c>
      <c r="C407" s="134">
        <v>6332.0</v>
      </c>
      <c r="D407" s="134">
        <v>2642.0</v>
      </c>
      <c r="E407" s="134">
        <v>3690.0</v>
      </c>
      <c r="F407" s="137">
        <v>240.0</v>
      </c>
      <c r="G407" s="137">
        <v>480.0</v>
      </c>
      <c r="H407" s="137">
        <v>68.0</v>
      </c>
      <c r="I407" s="137">
        <v>60.0</v>
      </c>
      <c r="J407" s="137">
        <v>52.0</v>
      </c>
      <c r="K407" s="137">
        <v>38.0</v>
      </c>
      <c r="L407" s="137">
        <v>18.0</v>
      </c>
      <c r="M407" s="137">
        <v>90.0</v>
      </c>
      <c r="N407" s="137">
        <v>50.0</v>
      </c>
      <c r="O407" s="137">
        <v>256.0</v>
      </c>
      <c r="P407" s="137">
        <v>40.0</v>
      </c>
      <c r="Q407" s="137">
        <v>210.0</v>
      </c>
      <c r="R407" s="137">
        <v>58.0</v>
      </c>
      <c r="S407" s="137">
        <v>236.0</v>
      </c>
      <c r="T407" s="137">
        <v>62.0</v>
      </c>
      <c r="U407" s="137">
        <v>188.0</v>
      </c>
      <c r="V407" s="137">
        <v>64.0</v>
      </c>
      <c r="W407" s="137">
        <v>240.0</v>
      </c>
      <c r="X407" s="137">
        <v>56.0</v>
      </c>
      <c r="Y407" s="137">
        <v>208.0</v>
      </c>
      <c r="Z407" s="137">
        <v>132.0</v>
      </c>
      <c r="AA407" s="137">
        <v>126.0</v>
      </c>
      <c r="AB407" s="137">
        <v>172.0</v>
      </c>
      <c r="AC407" s="137">
        <v>236.0</v>
      </c>
      <c r="AD407" s="137">
        <v>172.0</v>
      </c>
      <c r="AE407" s="137">
        <v>278.0</v>
      </c>
      <c r="AF407" s="137">
        <v>314.0</v>
      </c>
      <c r="AG407" s="137">
        <v>242.0</v>
      </c>
      <c r="AH407" s="137">
        <v>464.0</v>
      </c>
      <c r="AI407" s="137">
        <v>206.0</v>
      </c>
      <c r="AJ407" s="137">
        <v>384.0</v>
      </c>
      <c r="AK407" s="137">
        <v>226.0</v>
      </c>
      <c r="AL407" s="137">
        <v>296.0</v>
      </c>
      <c r="AM407" s="137">
        <v>370.0</v>
      </c>
      <c r="AN407" s="134">
        <v>6030.0</v>
      </c>
    </row>
    <row r="408">
      <c r="A408" s="132" t="s">
        <v>208</v>
      </c>
      <c r="B408" s="136" t="s">
        <v>198</v>
      </c>
      <c r="C408" s="137">
        <v>372.0</v>
      </c>
      <c r="D408" s="137">
        <v>180.0</v>
      </c>
      <c r="E408" s="137">
        <v>192.0</v>
      </c>
      <c r="F408" s="137">
        <v>146.0</v>
      </c>
      <c r="G408" s="137">
        <v>176.0</v>
      </c>
      <c r="H408" s="137">
        <v>18.0</v>
      </c>
      <c r="I408" s="137">
        <v>8.0</v>
      </c>
      <c r="J408" s="137">
        <v>8.0</v>
      </c>
      <c r="K408" s="137">
        <v>4.0</v>
      </c>
      <c r="L408" s="137">
        <v>6.0</v>
      </c>
      <c r="M408" s="137">
        <v>0.0</v>
      </c>
      <c r="N408" s="137">
        <v>2.0</v>
      </c>
      <c r="O408" s="137">
        <v>4.0</v>
      </c>
      <c r="P408" s="135">
        <v>0.0</v>
      </c>
      <c r="Q408" s="135">
        <v>0.0</v>
      </c>
      <c r="R408" s="135">
        <v>0.0</v>
      </c>
      <c r="S408" s="135">
        <v>0.0</v>
      </c>
      <c r="T408" s="135">
        <v>0.0</v>
      </c>
      <c r="U408" s="135">
        <v>0.0</v>
      </c>
      <c r="V408" s="135">
        <v>0.0</v>
      </c>
      <c r="W408" s="135">
        <v>0.0</v>
      </c>
      <c r="X408" s="135">
        <v>0.0</v>
      </c>
      <c r="Y408" s="135">
        <v>0.0</v>
      </c>
      <c r="Z408" s="135">
        <v>0.0</v>
      </c>
      <c r="AA408" s="135">
        <v>0.0</v>
      </c>
      <c r="AB408" s="135">
        <v>2.0</v>
      </c>
      <c r="AC408" s="135">
        <v>2.0</v>
      </c>
      <c r="AD408" s="135">
        <v>2.0</v>
      </c>
      <c r="AE408" s="135">
        <v>2.0</v>
      </c>
      <c r="AF408" s="135">
        <v>0.0</v>
      </c>
      <c r="AG408" s="135">
        <v>2.0</v>
      </c>
      <c r="AH408" s="135">
        <v>0.0</v>
      </c>
      <c r="AI408" s="135">
        <v>0.0</v>
      </c>
      <c r="AJ408" s="135">
        <v>0.0</v>
      </c>
      <c r="AK408" s="135">
        <v>0.0</v>
      </c>
      <c r="AL408" s="135">
        <v>0.0</v>
      </c>
      <c r="AM408" s="135">
        <v>0.0</v>
      </c>
      <c r="AN408" s="137">
        <v>394.0</v>
      </c>
    </row>
    <row r="409">
      <c r="A409" s="98"/>
      <c r="B409" s="136" t="s">
        <v>199</v>
      </c>
      <c r="C409" s="134">
        <v>1688.0</v>
      </c>
      <c r="D409" s="137">
        <v>856.0</v>
      </c>
      <c r="E409" s="137">
        <v>832.0</v>
      </c>
      <c r="F409" s="137">
        <v>732.0</v>
      </c>
      <c r="G409" s="137">
        <v>762.0</v>
      </c>
      <c r="H409" s="137">
        <v>100.0</v>
      </c>
      <c r="I409" s="137">
        <v>52.0</v>
      </c>
      <c r="J409" s="137">
        <v>22.0</v>
      </c>
      <c r="K409" s="137">
        <v>10.0</v>
      </c>
      <c r="L409" s="137">
        <v>2.0</v>
      </c>
      <c r="M409" s="137">
        <v>6.0</v>
      </c>
      <c r="N409" s="137">
        <v>0.0</v>
      </c>
      <c r="O409" s="137">
        <v>2.0</v>
      </c>
      <c r="P409" s="135">
        <v>0.0</v>
      </c>
      <c r="Q409" s="135">
        <v>0.0</v>
      </c>
      <c r="R409" s="135">
        <v>0.0</v>
      </c>
      <c r="S409" s="135">
        <v>0.0</v>
      </c>
      <c r="T409" s="135">
        <v>0.0</v>
      </c>
      <c r="U409" s="135">
        <v>0.0</v>
      </c>
      <c r="V409" s="135">
        <v>0.0</v>
      </c>
      <c r="W409" s="135">
        <v>0.0</v>
      </c>
      <c r="X409" s="135">
        <v>0.0</v>
      </c>
      <c r="Y409" s="135">
        <v>0.0</v>
      </c>
      <c r="Z409" s="135">
        <v>0.0</v>
      </c>
      <c r="AA409" s="135">
        <v>0.0</v>
      </c>
      <c r="AB409" s="135">
        <v>0.0</v>
      </c>
      <c r="AC409" s="135">
        <v>0.0</v>
      </c>
      <c r="AD409" s="135">
        <v>0.0</v>
      </c>
      <c r="AE409" s="135">
        <v>0.0</v>
      </c>
      <c r="AF409" s="135">
        <v>0.0</v>
      </c>
      <c r="AG409" s="135">
        <v>0.0</v>
      </c>
      <c r="AH409" s="135">
        <v>0.0</v>
      </c>
      <c r="AI409" s="135">
        <v>0.0</v>
      </c>
      <c r="AJ409" s="135">
        <v>0.0</v>
      </c>
      <c r="AK409" s="135">
        <v>0.0</v>
      </c>
      <c r="AL409" s="135">
        <v>0.0</v>
      </c>
      <c r="AM409" s="135">
        <v>0.0</v>
      </c>
      <c r="AN409" s="134">
        <v>1558.0</v>
      </c>
    </row>
    <row r="410">
      <c r="A410" s="98"/>
      <c r="B410" s="136" t="s">
        <v>206</v>
      </c>
      <c r="C410" s="137">
        <v>88.0</v>
      </c>
      <c r="D410" s="137">
        <v>34.0</v>
      </c>
      <c r="E410" s="137">
        <v>54.0</v>
      </c>
      <c r="F410" s="137">
        <v>22.0</v>
      </c>
      <c r="G410" s="137">
        <v>20.0</v>
      </c>
      <c r="H410" s="137">
        <v>2.0</v>
      </c>
      <c r="I410" s="137">
        <v>6.0</v>
      </c>
      <c r="J410" s="137">
        <v>2.0</v>
      </c>
      <c r="K410" s="137">
        <v>6.0</v>
      </c>
      <c r="L410" s="137">
        <v>8.0</v>
      </c>
      <c r="M410" s="137">
        <v>20.0</v>
      </c>
      <c r="N410" s="137">
        <v>0.0</v>
      </c>
      <c r="O410" s="137">
        <v>2.0</v>
      </c>
      <c r="P410" s="135">
        <v>0.0</v>
      </c>
      <c r="Q410" s="135">
        <v>0.0</v>
      </c>
      <c r="R410" s="135">
        <v>0.0</v>
      </c>
      <c r="S410" s="135">
        <v>0.0</v>
      </c>
      <c r="T410" s="135">
        <v>0.0</v>
      </c>
      <c r="U410" s="135">
        <v>0.0</v>
      </c>
      <c r="V410" s="135">
        <v>0.0</v>
      </c>
      <c r="W410" s="135">
        <v>0.0</v>
      </c>
      <c r="X410" s="135">
        <v>0.0</v>
      </c>
      <c r="Y410" s="135">
        <v>0.0</v>
      </c>
      <c r="Z410" s="135">
        <v>0.0</v>
      </c>
      <c r="AA410" s="135">
        <v>0.0</v>
      </c>
      <c r="AB410" s="135">
        <v>0.0</v>
      </c>
      <c r="AC410" s="135">
        <v>0.0</v>
      </c>
      <c r="AD410" s="135">
        <v>0.0</v>
      </c>
      <c r="AE410" s="135">
        <v>0.0</v>
      </c>
      <c r="AF410" s="135">
        <v>0.0</v>
      </c>
      <c r="AG410" s="135">
        <v>0.0</v>
      </c>
      <c r="AH410" s="135">
        <v>0.0</v>
      </c>
      <c r="AI410" s="135">
        <v>0.0</v>
      </c>
      <c r="AJ410" s="135">
        <v>0.0</v>
      </c>
      <c r="AK410" s="135">
        <v>0.0</v>
      </c>
      <c r="AL410" s="135">
        <v>0.0</v>
      </c>
      <c r="AM410" s="135">
        <v>0.0</v>
      </c>
      <c r="AN410" s="137">
        <v>86.0</v>
      </c>
    </row>
    <row r="411">
      <c r="A411" s="98"/>
      <c r="B411" s="136" t="s">
        <v>200</v>
      </c>
      <c r="C411" s="137">
        <v>350.0</v>
      </c>
      <c r="D411" s="137">
        <v>210.0</v>
      </c>
      <c r="E411" s="137">
        <v>140.0</v>
      </c>
      <c r="F411" s="137">
        <v>166.0</v>
      </c>
      <c r="G411" s="137">
        <v>94.0</v>
      </c>
      <c r="H411" s="137">
        <v>22.0</v>
      </c>
      <c r="I411" s="137">
        <v>20.0</v>
      </c>
      <c r="J411" s="137">
        <v>14.0</v>
      </c>
      <c r="K411" s="137">
        <v>10.0</v>
      </c>
      <c r="L411" s="137">
        <v>4.0</v>
      </c>
      <c r="M411" s="137">
        <v>10.0</v>
      </c>
      <c r="N411" s="137">
        <v>4.0</v>
      </c>
      <c r="O411" s="137">
        <v>6.0</v>
      </c>
      <c r="P411" s="135">
        <v>2.0</v>
      </c>
      <c r="Q411" s="135">
        <v>0.0</v>
      </c>
      <c r="R411" s="135">
        <v>0.0</v>
      </c>
      <c r="S411" s="135">
        <v>0.0</v>
      </c>
      <c r="T411" s="135">
        <v>0.0</v>
      </c>
      <c r="U411" s="135">
        <v>0.0</v>
      </c>
      <c r="V411" s="135">
        <v>0.0</v>
      </c>
      <c r="W411" s="135">
        <v>0.0</v>
      </c>
      <c r="X411" s="135">
        <v>0.0</v>
      </c>
      <c r="Y411" s="135">
        <v>0.0</v>
      </c>
      <c r="Z411" s="135">
        <v>0.0</v>
      </c>
      <c r="AA411" s="135">
        <v>0.0</v>
      </c>
      <c r="AB411" s="135">
        <v>0.0</v>
      </c>
      <c r="AC411" s="135">
        <v>0.0</v>
      </c>
      <c r="AD411" s="135">
        <v>0.0</v>
      </c>
      <c r="AE411" s="135">
        <v>0.0</v>
      </c>
      <c r="AF411" s="135">
        <v>0.0</v>
      </c>
      <c r="AG411" s="135">
        <v>0.0</v>
      </c>
      <c r="AH411" s="135">
        <v>0.0</v>
      </c>
      <c r="AI411" s="135">
        <v>0.0</v>
      </c>
      <c r="AJ411" s="135">
        <v>0.0</v>
      </c>
      <c r="AK411" s="135">
        <v>0.0</v>
      </c>
      <c r="AL411" s="135">
        <v>0.0</v>
      </c>
      <c r="AM411" s="135">
        <v>0.0</v>
      </c>
      <c r="AN411" s="137">
        <v>330.0</v>
      </c>
    </row>
    <row r="412">
      <c r="A412" s="104"/>
      <c r="B412" s="136" t="s">
        <v>201</v>
      </c>
      <c r="C412" s="137">
        <v>66.0</v>
      </c>
      <c r="D412" s="137">
        <v>38.0</v>
      </c>
      <c r="E412" s="137">
        <v>28.0</v>
      </c>
      <c r="F412" s="137">
        <v>24.0</v>
      </c>
      <c r="G412" s="137">
        <v>0.0</v>
      </c>
      <c r="H412" s="137">
        <v>8.0</v>
      </c>
      <c r="I412" s="137">
        <v>16.0</v>
      </c>
      <c r="J412" s="137">
        <v>0.0</v>
      </c>
      <c r="K412" s="137">
        <v>4.0</v>
      </c>
      <c r="L412" s="137">
        <v>6.0</v>
      </c>
      <c r="M412" s="137">
        <v>8.0</v>
      </c>
      <c r="N412" s="137">
        <v>0.0</v>
      </c>
      <c r="O412" s="137">
        <v>0.0</v>
      </c>
      <c r="P412" s="135">
        <v>0.0</v>
      </c>
      <c r="Q412" s="135">
        <v>0.0</v>
      </c>
      <c r="R412" s="135">
        <v>0.0</v>
      </c>
      <c r="S412" s="135">
        <v>0.0</v>
      </c>
      <c r="T412" s="135">
        <v>0.0</v>
      </c>
      <c r="U412" s="135">
        <v>0.0</v>
      </c>
      <c r="V412" s="135">
        <v>0.0</v>
      </c>
      <c r="W412" s="135">
        <v>0.0</v>
      </c>
      <c r="X412" s="135">
        <v>0.0</v>
      </c>
      <c r="Y412" s="135">
        <v>0.0</v>
      </c>
      <c r="Z412" s="135">
        <v>0.0</v>
      </c>
      <c r="AA412" s="135">
        <v>0.0</v>
      </c>
      <c r="AB412" s="135">
        <v>0.0</v>
      </c>
      <c r="AC412" s="135">
        <v>0.0</v>
      </c>
      <c r="AD412" s="135">
        <v>0.0</v>
      </c>
      <c r="AE412" s="135">
        <v>0.0</v>
      </c>
      <c r="AF412" s="135">
        <v>0.0</v>
      </c>
      <c r="AG412" s="135">
        <v>0.0</v>
      </c>
      <c r="AH412" s="135">
        <v>0.0</v>
      </c>
      <c r="AI412" s="135">
        <v>0.0</v>
      </c>
      <c r="AJ412" s="135">
        <v>0.0</v>
      </c>
      <c r="AK412" s="135">
        <v>0.0</v>
      </c>
      <c r="AL412" s="135">
        <v>0.0</v>
      </c>
      <c r="AM412" s="135">
        <v>0.0</v>
      </c>
      <c r="AN412" s="137">
        <v>66.0</v>
      </c>
    </row>
    <row r="413">
      <c r="A413" s="138" t="s">
        <v>256</v>
      </c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</row>
    <row r="414">
      <c r="A414" s="132" t="s">
        <v>197</v>
      </c>
      <c r="B414" s="133" t="s">
        <v>198</v>
      </c>
      <c r="C414" s="134">
        <v>96686.0</v>
      </c>
      <c r="D414" s="134">
        <v>37142.0</v>
      </c>
      <c r="E414" s="134">
        <v>59544.0</v>
      </c>
      <c r="F414" s="135">
        <v>0.0</v>
      </c>
      <c r="G414" s="135">
        <v>0.0</v>
      </c>
      <c r="H414" s="135">
        <v>0.0</v>
      </c>
      <c r="I414" s="135">
        <v>0.0</v>
      </c>
      <c r="J414" s="135">
        <v>0.0</v>
      </c>
      <c r="K414" s="135">
        <v>0.0</v>
      </c>
      <c r="L414" s="137">
        <v>64.0</v>
      </c>
      <c r="M414" s="137">
        <v>90.0</v>
      </c>
      <c r="N414" s="137">
        <v>96.0</v>
      </c>
      <c r="O414" s="137">
        <v>214.0</v>
      </c>
      <c r="P414" s="137">
        <v>198.0</v>
      </c>
      <c r="Q414" s="137">
        <v>436.0</v>
      </c>
      <c r="R414" s="137">
        <v>394.0</v>
      </c>
      <c r="S414" s="137">
        <v>814.0</v>
      </c>
      <c r="T414" s="137">
        <v>596.0</v>
      </c>
      <c r="U414" s="134">
        <v>1408.0</v>
      </c>
      <c r="V414" s="134">
        <v>1152.0</v>
      </c>
      <c r="W414" s="134">
        <v>2452.0</v>
      </c>
      <c r="X414" s="134">
        <v>2140.0</v>
      </c>
      <c r="Y414" s="134">
        <v>4422.0</v>
      </c>
      <c r="Z414" s="134">
        <v>3400.0</v>
      </c>
      <c r="AA414" s="134">
        <v>6868.0</v>
      </c>
      <c r="AB414" s="134">
        <v>4884.0</v>
      </c>
      <c r="AC414" s="134">
        <v>7876.0</v>
      </c>
      <c r="AD414" s="134">
        <v>5466.0</v>
      </c>
      <c r="AE414" s="134">
        <v>8118.0</v>
      </c>
      <c r="AF414" s="134">
        <v>5548.0</v>
      </c>
      <c r="AG414" s="134">
        <v>7708.0</v>
      </c>
      <c r="AH414" s="134">
        <v>4934.0</v>
      </c>
      <c r="AI414" s="134">
        <v>6706.0</v>
      </c>
      <c r="AJ414" s="134">
        <v>4026.0</v>
      </c>
      <c r="AK414" s="134">
        <v>5370.0</v>
      </c>
      <c r="AL414" s="134">
        <v>4244.0</v>
      </c>
      <c r="AM414" s="134">
        <v>7062.0</v>
      </c>
      <c r="AN414" s="134">
        <v>96532.0</v>
      </c>
    </row>
    <row r="415">
      <c r="A415" s="98"/>
      <c r="B415" s="136" t="s">
        <v>199</v>
      </c>
      <c r="C415" s="134">
        <v>45856.0</v>
      </c>
      <c r="D415" s="134">
        <v>17074.0</v>
      </c>
      <c r="E415" s="134">
        <v>28782.0</v>
      </c>
      <c r="F415" s="135">
        <v>0.0</v>
      </c>
      <c r="G415" s="135">
        <v>0.0</v>
      </c>
      <c r="H415" s="135">
        <v>0.0</v>
      </c>
      <c r="I415" s="135">
        <v>0.0</v>
      </c>
      <c r="J415" s="135">
        <v>0.0</v>
      </c>
      <c r="K415" s="135">
        <v>0.0</v>
      </c>
      <c r="L415" s="137">
        <v>10.0</v>
      </c>
      <c r="M415" s="137">
        <v>16.0</v>
      </c>
      <c r="N415" s="137">
        <v>46.0</v>
      </c>
      <c r="O415" s="137">
        <v>46.0</v>
      </c>
      <c r="P415" s="137">
        <v>60.0</v>
      </c>
      <c r="Q415" s="137">
        <v>140.0</v>
      </c>
      <c r="R415" s="137">
        <v>102.0</v>
      </c>
      <c r="S415" s="137">
        <v>272.0</v>
      </c>
      <c r="T415" s="137">
        <v>216.0</v>
      </c>
      <c r="U415" s="137">
        <v>490.0</v>
      </c>
      <c r="V415" s="137">
        <v>398.0</v>
      </c>
      <c r="W415" s="137">
        <v>944.0</v>
      </c>
      <c r="X415" s="137">
        <v>808.0</v>
      </c>
      <c r="Y415" s="134">
        <v>1856.0</v>
      </c>
      <c r="Z415" s="134">
        <v>1452.0</v>
      </c>
      <c r="AA415" s="134">
        <v>3068.0</v>
      </c>
      <c r="AB415" s="134">
        <v>2082.0</v>
      </c>
      <c r="AC415" s="134">
        <v>3806.0</v>
      </c>
      <c r="AD415" s="134">
        <v>2400.0</v>
      </c>
      <c r="AE415" s="134">
        <v>4150.0</v>
      </c>
      <c r="AF415" s="134">
        <v>2534.0</v>
      </c>
      <c r="AG415" s="134">
        <v>3734.0</v>
      </c>
      <c r="AH415" s="134">
        <v>2570.0</v>
      </c>
      <c r="AI415" s="134">
        <v>3504.0</v>
      </c>
      <c r="AJ415" s="134">
        <v>2022.0</v>
      </c>
      <c r="AK415" s="134">
        <v>2898.0</v>
      </c>
      <c r="AL415" s="134">
        <v>2374.0</v>
      </c>
      <c r="AM415" s="134">
        <v>3858.0</v>
      </c>
      <c r="AN415" s="134">
        <v>45652.0</v>
      </c>
    </row>
    <row r="416">
      <c r="A416" s="98"/>
      <c r="B416" s="136" t="s">
        <v>200</v>
      </c>
      <c r="C416" s="134">
        <v>43070.0</v>
      </c>
      <c r="D416" s="134">
        <v>15956.0</v>
      </c>
      <c r="E416" s="134">
        <v>27114.0</v>
      </c>
      <c r="F416" s="135">
        <v>0.0</v>
      </c>
      <c r="G416" s="135">
        <v>0.0</v>
      </c>
      <c r="H416" s="135">
        <v>0.0</v>
      </c>
      <c r="I416" s="135">
        <v>0.0</v>
      </c>
      <c r="J416" s="135">
        <v>0.0</v>
      </c>
      <c r="K416" s="135">
        <v>0.0</v>
      </c>
      <c r="L416" s="137">
        <v>24.0</v>
      </c>
      <c r="M416" s="137">
        <v>52.0</v>
      </c>
      <c r="N416" s="137">
        <v>50.0</v>
      </c>
      <c r="O416" s="137">
        <v>118.0</v>
      </c>
      <c r="P416" s="137">
        <v>82.0</v>
      </c>
      <c r="Q416" s="137">
        <v>168.0</v>
      </c>
      <c r="R416" s="137">
        <v>164.0</v>
      </c>
      <c r="S416" s="137">
        <v>358.0</v>
      </c>
      <c r="T416" s="137">
        <v>268.0</v>
      </c>
      <c r="U416" s="137">
        <v>604.0</v>
      </c>
      <c r="V416" s="137">
        <v>562.0</v>
      </c>
      <c r="W416" s="134">
        <v>1080.0</v>
      </c>
      <c r="X416" s="137">
        <v>804.0</v>
      </c>
      <c r="Y416" s="134">
        <v>2028.0</v>
      </c>
      <c r="Z416" s="134">
        <v>1374.0</v>
      </c>
      <c r="AA416" s="134">
        <v>3284.0</v>
      </c>
      <c r="AB416" s="134">
        <v>2018.0</v>
      </c>
      <c r="AC416" s="134">
        <v>3642.0</v>
      </c>
      <c r="AD416" s="134">
        <v>2272.0</v>
      </c>
      <c r="AE416" s="134">
        <v>3732.0</v>
      </c>
      <c r="AF416" s="134">
        <v>2408.0</v>
      </c>
      <c r="AG416" s="134">
        <v>3678.0</v>
      </c>
      <c r="AH416" s="134">
        <v>2296.0</v>
      </c>
      <c r="AI416" s="134">
        <v>3188.0</v>
      </c>
      <c r="AJ416" s="134">
        <v>1766.0</v>
      </c>
      <c r="AK416" s="134">
        <v>2464.0</v>
      </c>
      <c r="AL416" s="134">
        <v>1868.0</v>
      </c>
      <c r="AM416" s="134">
        <v>2718.0</v>
      </c>
      <c r="AN416" s="134">
        <v>42938.0</v>
      </c>
    </row>
    <row r="417">
      <c r="A417" s="104"/>
      <c r="B417" s="136" t="s">
        <v>201</v>
      </c>
      <c r="C417" s="137">
        <v>820.0</v>
      </c>
      <c r="D417" s="137">
        <v>376.0</v>
      </c>
      <c r="E417" s="137">
        <v>444.0</v>
      </c>
      <c r="F417" s="135">
        <v>0.0</v>
      </c>
      <c r="G417" s="135">
        <v>0.0</v>
      </c>
      <c r="H417" s="135">
        <v>0.0</v>
      </c>
      <c r="I417" s="135">
        <v>0.0</v>
      </c>
      <c r="J417" s="135">
        <v>0.0</v>
      </c>
      <c r="K417" s="135">
        <v>0.0</v>
      </c>
      <c r="L417" s="137">
        <v>0.0</v>
      </c>
      <c r="M417" s="137">
        <v>0.0</v>
      </c>
      <c r="N417" s="137">
        <v>0.0</v>
      </c>
      <c r="O417" s="137">
        <v>0.0</v>
      </c>
      <c r="P417" s="137">
        <v>0.0</v>
      </c>
      <c r="Q417" s="137">
        <v>0.0</v>
      </c>
      <c r="R417" s="137">
        <v>6.0</v>
      </c>
      <c r="S417" s="137">
        <v>6.0</v>
      </c>
      <c r="T417" s="137">
        <v>14.0</v>
      </c>
      <c r="U417" s="137">
        <v>2.0</v>
      </c>
      <c r="V417" s="137">
        <v>20.0</v>
      </c>
      <c r="W417" s="137">
        <v>98.0</v>
      </c>
      <c r="X417" s="137">
        <v>58.0</v>
      </c>
      <c r="Y417" s="137">
        <v>78.0</v>
      </c>
      <c r="Z417" s="137">
        <v>88.0</v>
      </c>
      <c r="AA417" s="137">
        <v>84.0</v>
      </c>
      <c r="AB417" s="137">
        <v>48.0</v>
      </c>
      <c r="AC417" s="137">
        <v>20.0</v>
      </c>
      <c r="AD417" s="137">
        <v>22.0</v>
      </c>
      <c r="AE417" s="137">
        <v>68.0</v>
      </c>
      <c r="AF417" s="137">
        <v>54.0</v>
      </c>
      <c r="AG417" s="137">
        <v>18.0</v>
      </c>
      <c r="AH417" s="137">
        <v>48.0</v>
      </c>
      <c r="AI417" s="137">
        <v>42.0</v>
      </c>
      <c r="AJ417" s="137">
        <v>18.0</v>
      </c>
      <c r="AK417" s="137">
        <v>22.0</v>
      </c>
      <c r="AL417" s="137">
        <v>0.0</v>
      </c>
      <c r="AM417" s="137">
        <v>6.0</v>
      </c>
      <c r="AN417" s="137">
        <v>820.0</v>
      </c>
    </row>
    <row r="418">
      <c r="A418" s="132" t="s">
        <v>202</v>
      </c>
      <c r="B418" s="136" t="s">
        <v>198</v>
      </c>
      <c r="C418" s="137">
        <v>654.0</v>
      </c>
      <c r="D418" s="137">
        <v>398.0</v>
      </c>
      <c r="E418" s="137">
        <v>256.0</v>
      </c>
      <c r="F418" s="137">
        <v>14.0</v>
      </c>
      <c r="G418" s="137">
        <v>36.0</v>
      </c>
      <c r="H418" s="137">
        <v>8.0</v>
      </c>
      <c r="I418" s="137">
        <v>12.0</v>
      </c>
      <c r="J418" s="137">
        <v>38.0</v>
      </c>
      <c r="K418" s="137">
        <v>10.0</v>
      </c>
      <c r="L418" s="137">
        <v>18.0</v>
      </c>
      <c r="M418" s="137">
        <v>4.0</v>
      </c>
      <c r="N418" s="137">
        <v>26.0</v>
      </c>
      <c r="O418" s="137">
        <v>4.0</v>
      </c>
      <c r="P418" s="137">
        <v>38.0</v>
      </c>
      <c r="Q418" s="137">
        <v>54.0</v>
      </c>
      <c r="R418" s="137">
        <v>82.0</v>
      </c>
      <c r="S418" s="137">
        <v>16.0</v>
      </c>
      <c r="T418" s="137">
        <v>18.0</v>
      </c>
      <c r="U418" s="137">
        <v>6.0</v>
      </c>
      <c r="V418" s="137">
        <v>14.0</v>
      </c>
      <c r="W418" s="137">
        <v>12.0</v>
      </c>
      <c r="X418" s="137">
        <v>10.0</v>
      </c>
      <c r="Y418" s="137">
        <v>12.0</v>
      </c>
      <c r="Z418" s="137">
        <v>12.0</v>
      </c>
      <c r="AA418" s="137">
        <v>28.0</v>
      </c>
      <c r="AB418" s="137">
        <v>48.0</v>
      </c>
      <c r="AC418" s="137">
        <v>10.0</v>
      </c>
      <c r="AD418" s="137">
        <v>16.0</v>
      </c>
      <c r="AE418" s="137">
        <v>18.0</v>
      </c>
      <c r="AF418" s="137">
        <v>12.0</v>
      </c>
      <c r="AG418" s="137">
        <v>14.0</v>
      </c>
      <c r="AH418" s="137">
        <v>30.0</v>
      </c>
      <c r="AI418" s="137">
        <v>16.0</v>
      </c>
      <c r="AJ418" s="137">
        <v>4.0</v>
      </c>
      <c r="AK418" s="137">
        <v>4.0</v>
      </c>
      <c r="AL418" s="137">
        <v>10.0</v>
      </c>
      <c r="AM418" s="137">
        <v>0.0</v>
      </c>
      <c r="AN418" s="137">
        <v>654.0</v>
      </c>
    </row>
    <row r="419">
      <c r="A419" s="104"/>
      <c r="B419" s="136" t="s">
        <v>199</v>
      </c>
      <c r="C419" s="137">
        <v>74.0</v>
      </c>
      <c r="D419" s="137">
        <v>56.0</v>
      </c>
      <c r="E419" s="137">
        <v>18.0</v>
      </c>
      <c r="F419" s="137">
        <v>0.0</v>
      </c>
      <c r="G419" s="137">
        <v>2.0</v>
      </c>
      <c r="H419" s="137">
        <v>0.0</v>
      </c>
      <c r="I419" s="137">
        <v>0.0</v>
      </c>
      <c r="J419" s="137">
        <v>2.0</v>
      </c>
      <c r="K419" s="137">
        <v>0.0</v>
      </c>
      <c r="L419" s="137">
        <v>0.0</v>
      </c>
      <c r="M419" s="137">
        <v>2.0</v>
      </c>
      <c r="N419" s="137">
        <v>4.0</v>
      </c>
      <c r="O419" s="137">
        <v>0.0</v>
      </c>
      <c r="P419" s="137">
        <v>4.0</v>
      </c>
      <c r="Q419" s="137">
        <v>8.0</v>
      </c>
      <c r="R419" s="137">
        <v>12.0</v>
      </c>
      <c r="S419" s="137">
        <v>0.0</v>
      </c>
      <c r="T419" s="137">
        <v>0.0</v>
      </c>
      <c r="U419" s="137">
        <v>0.0</v>
      </c>
      <c r="V419" s="137">
        <v>4.0</v>
      </c>
      <c r="W419" s="137">
        <v>2.0</v>
      </c>
      <c r="X419" s="137">
        <v>2.0</v>
      </c>
      <c r="Y419" s="137">
        <v>2.0</v>
      </c>
      <c r="Z419" s="137">
        <v>0.0</v>
      </c>
      <c r="AA419" s="137">
        <v>0.0</v>
      </c>
      <c r="AB419" s="137">
        <v>8.0</v>
      </c>
      <c r="AC419" s="137">
        <v>0.0</v>
      </c>
      <c r="AD419" s="137">
        <v>2.0</v>
      </c>
      <c r="AE419" s="137">
        <v>2.0</v>
      </c>
      <c r="AF419" s="137">
        <v>10.0</v>
      </c>
      <c r="AG419" s="137">
        <v>0.0</v>
      </c>
      <c r="AH419" s="137">
        <v>4.0</v>
      </c>
      <c r="AI419" s="137">
        <v>0.0</v>
      </c>
      <c r="AJ419" s="137">
        <v>0.0</v>
      </c>
      <c r="AK419" s="137">
        <v>0.0</v>
      </c>
      <c r="AL419" s="137">
        <v>4.0</v>
      </c>
      <c r="AM419" s="137">
        <v>0.0</v>
      </c>
      <c r="AN419" s="137">
        <v>74.0</v>
      </c>
    </row>
    <row r="420">
      <c r="A420" s="132" t="s">
        <v>203</v>
      </c>
      <c r="B420" s="136" t="s">
        <v>198</v>
      </c>
      <c r="C420" s="137">
        <v>0.0</v>
      </c>
      <c r="D420" s="137">
        <v>0.0</v>
      </c>
      <c r="E420" s="137">
        <v>0.0</v>
      </c>
      <c r="F420" s="135">
        <v>0.0</v>
      </c>
      <c r="G420" s="135">
        <v>0.0</v>
      </c>
      <c r="H420" s="135">
        <v>0.0</v>
      </c>
      <c r="I420" s="135">
        <v>0.0</v>
      </c>
      <c r="J420" s="135">
        <v>0.0</v>
      </c>
      <c r="K420" s="135">
        <v>0.0</v>
      </c>
      <c r="L420" s="135">
        <v>0.0</v>
      </c>
      <c r="M420" s="135">
        <v>0.0</v>
      </c>
      <c r="N420" s="135">
        <v>0.0</v>
      </c>
      <c r="O420" s="135">
        <v>0.0</v>
      </c>
      <c r="P420" s="135">
        <v>0.0</v>
      </c>
      <c r="Q420" s="135">
        <v>0.0</v>
      </c>
      <c r="R420" s="135">
        <v>0.0</v>
      </c>
      <c r="S420" s="135">
        <v>0.0</v>
      </c>
      <c r="T420" s="135">
        <v>0.0</v>
      </c>
      <c r="U420" s="135">
        <v>0.0</v>
      </c>
      <c r="V420" s="135">
        <v>0.0</v>
      </c>
      <c r="W420" s="135">
        <v>0.0</v>
      </c>
      <c r="X420" s="135">
        <v>0.0</v>
      </c>
      <c r="Y420" s="135">
        <v>0.0</v>
      </c>
      <c r="Z420" s="135">
        <v>0.0</v>
      </c>
      <c r="AA420" s="135">
        <v>0.0</v>
      </c>
      <c r="AB420" s="135">
        <v>0.0</v>
      </c>
      <c r="AC420" s="135">
        <v>0.0</v>
      </c>
      <c r="AD420" s="135">
        <v>0.0</v>
      </c>
      <c r="AE420" s="135">
        <v>0.0</v>
      </c>
      <c r="AF420" s="137">
        <v>0.0</v>
      </c>
      <c r="AG420" s="137">
        <v>0.0</v>
      </c>
      <c r="AH420" s="137">
        <v>0.0</v>
      </c>
      <c r="AI420" s="137">
        <v>0.0</v>
      </c>
      <c r="AJ420" s="137">
        <v>0.0</v>
      </c>
      <c r="AK420" s="137">
        <v>0.0</v>
      </c>
      <c r="AL420" s="137">
        <v>0.0</v>
      </c>
      <c r="AM420" s="137">
        <v>0.0</v>
      </c>
      <c r="AN420" s="137">
        <v>0.0</v>
      </c>
    </row>
    <row r="421">
      <c r="A421" s="104"/>
      <c r="B421" s="136" t="s">
        <v>199</v>
      </c>
      <c r="C421" s="137">
        <v>274.0</v>
      </c>
      <c r="D421" s="137">
        <v>114.0</v>
      </c>
      <c r="E421" s="137">
        <v>160.0</v>
      </c>
      <c r="F421" s="135">
        <v>0.0</v>
      </c>
      <c r="G421" s="135">
        <v>0.0</v>
      </c>
      <c r="H421" s="135">
        <v>0.0</v>
      </c>
      <c r="I421" s="135">
        <v>0.0</v>
      </c>
      <c r="J421" s="135">
        <v>0.0</v>
      </c>
      <c r="K421" s="135">
        <v>0.0</v>
      </c>
      <c r="L421" s="135">
        <v>0.0</v>
      </c>
      <c r="M421" s="135">
        <v>0.0</v>
      </c>
      <c r="N421" s="135">
        <v>0.0</v>
      </c>
      <c r="O421" s="135">
        <v>0.0</v>
      </c>
      <c r="P421" s="135">
        <v>0.0</v>
      </c>
      <c r="Q421" s="135">
        <v>0.0</v>
      </c>
      <c r="R421" s="135">
        <v>0.0</v>
      </c>
      <c r="S421" s="135">
        <v>0.0</v>
      </c>
      <c r="T421" s="135">
        <v>0.0</v>
      </c>
      <c r="U421" s="135">
        <v>0.0</v>
      </c>
      <c r="V421" s="135">
        <v>0.0</v>
      </c>
      <c r="W421" s="135">
        <v>0.0</v>
      </c>
      <c r="X421" s="135">
        <v>0.0</v>
      </c>
      <c r="Y421" s="135">
        <v>0.0</v>
      </c>
      <c r="Z421" s="135">
        <v>0.0</v>
      </c>
      <c r="AA421" s="135">
        <v>0.0</v>
      </c>
      <c r="AB421" s="135">
        <v>0.0</v>
      </c>
      <c r="AC421" s="135">
        <v>0.0</v>
      </c>
      <c r="AD421" s="135">
        <v>0.0</v>
      </c>
      <c r="AE421" s="135">
        <v>0.0</v>
      </c>
      <c r="AF421" s="137">
        <v>26.0</v>
      </c>
      <c r="AG421" s="137">
        <v>48.0</v>
      </c>
      <c r="AH421" s="137">
        <v>40.0</v>
      </c>
      <c r="AI421" s="137">
        <v>54.0</v>
      </c>
      <c r="AJ421" s="137">
        <v>26.0</v>
      </c>
      <c r="AK421" s="137">
        <v>30.0</v>
      </c>
      <c r="AL421" s="137">
        <v>22.0</v>
      </c>
      <c r="AM421" s="137">
        <v>28.0</v>
      </c>
      <c r="AN421" s="137">
        <v>274.0</v>
      </c>
    </row>
    <row r="422">
      <c r="A422" s="132" t="s">
        <v>204</v>
      </c>
      <c r="B422" s="136" t="s">
        <v>198</v>
      </c>
      <c r="C422" s="137">
        <v>0.0</v>
      </c>
      <c r="D422" s="137">
        <v>0.0</v>
      </c>
      <c r="E422" s="137">
        <v>0.0</v>
      </c>
      <c r="F422" s="135">
        <v>0.0</v>
      </c>
      <c r="G422" s="135">
        <v>0.0</v>
      </c>
      <c r="H422" s="135">
        <v>0.0</v>
      </c>
      <c r="I422" s="135">
        <v>0.0</v>
      </c>
      <c r="J422" s="135">
        <v>0.0</v>
      </c>
      <c r="K422" s="135">
        <v>0.0</v>
      </c>
      <c r="L422" s="135">
        <v>0.0</v>
      </c>
      <c r="M422" s="135">
        <v>0.0</v>
      </c>
      <c r="N422" s="135">
        <v>0.0</v>
      </c>
      <c r="O422" s="135">
        <v>0.0</v>
      </c>
      <c r="P422" s="135">
        <v>0.0</v>
      </c>
      <c r="Q422" s="135">
        <v>0.0</v>
      </c>
      <c r="R422" s="135">
        <v>0.0</v>
      </c>
      <c r="S422" s="135">
        <v>0.0</v>
      </c>
      <c r="T422" s="135">
        <v>0.0</v>
      </c>
      <c r="U422" s="135">
        <v>0.0</v>
      </c>
      <c r="V422" s="135">
        <v>0.0</v>
      </c>
      <c r="W422" s="135">
        <v>0.0</v>
      </c>
      <c r="X422" s="135">
        <v>0.0</v>
      </c>
      <c r="Y422" s="135">
        <v>0.0</v>
      </c>
      <c r="Z422" s="135">
        <v>0.0</v>
      </c>
      <c r="AA422" s="135">
        <v>0.0</v>
      </c>
      <c r="AB422" s="135">
        <v>0.0</v>
      </c>
      <c r="AC422" s="135">
        <v>0.0</v>
      </c>
      <c r="AD422" s="135">
        <v>0.0</v>
      </c>
      <c r="AE422" s="135">
        <v>0.0</v>
      </c>
      <c r="AF422" s="137">
        <v>0.0</v>
      </c>
      <c r="AG422" s="137">
        <v>0.0</v>
      </c>
      <c r="AH422" s="137">
        <v>0.0</v>
      </c>
      <c r="AI422" s="137">
        <v>0.0</v>
      </c>
      <c r="AJ422" s="137">
        <v>0.0</v>
      </c>
      <c r="AK422" s="137">
        <v>0.0</v>
      </c>
      <c r="AL422" s="137">
        <v>0.0</v>
      </c>
      <c r="AM422" s="137">
        <v>0.0</v>
      </c>
      <c r="AN422" s="137">
        <v>0.0</v>
      </c>
    </row>
    <row r="423">
      <c r="A423" s="104"/>
      <c r="B423" s="136" t="s">
        <v>199</v>
      </c>
      <c r="C423" s="137">
        <v>210.0</v>
      </c>
      <c r="D423" s="137">
        <v>68.0</v>
      </c>
      <c r="E423" s="137">
        <v>142.0</v>
      </c>
      <c r="F423" s="135">
        <v>0.0</v>
      </c>
      <c r="G423" s="135">
        <v>0.0</v>
      </c>
      <c r="H423" s="135">
        <v>0.0</v>
      </c>
      <c r="I423" s="135">
        <v>0.0</v>
      </c>
      <c r="J423" s="135">
        <v>0.0</v>
      </c>
      <c r="K423" s="135">
        <v>0.0</v>
      </c>
      <c r="L423" s="135">
        <v>0.0</v>
      </c>
      <c r="M423" s="135">
        <v>0.0</v>
      </c>
      <c r="N423" s="135">
        <v>0.0</v>
      </c>
      <c r="O423" s="135">
        <v>0.0</v>
      </c>
      <c r="P423" s="135">
        <v>0.0</v>
      </c>
      <c r="Q423" s="135">
        <v>0.0</v>
      </c>
      <c r="R423" s="135">
        <v>0.0</v>
      </c>
      <c r="S423" s="135">
        <v>0.0</v>
      </c>
      <c r="T423" s="135">
        <v>0.0</v>
      </c>
      <c r="U423" s="135">
        <v>0.0</v>
      </c>
      <c r="V423" s="135">
        <v>0.0</v>
      </c>
      <c r="W423" s="135">
        <v>0.0</v>
      </c>
      <c r="X423" s="135">
        <v>0.0</v>
      </c>
      <c r="Y423" s="135">
        <v>0.0</v>
      </c>
      <c r="Z423" s="135">
        <v>0.0</v>
      </c>
      <c r="AA423" s="135">
        <v>0.0</v>
      </c>
      <c r="AB423" s="135">
        <v>0.0</v>
      </c>
      <c r="AC423" s="135">
        <v>0.0</v>
      </c>
      <c r="AD423" s="135">
        <v>0.0</v>
      </c>
      <c r="AE423" s="135">
        <v>0.0</v>
      </c>
      <c r="AF423" s="137">
        <v>10.0</v>
      </c>
      <c r="AG423" s="137">
        <v>22.0</v>
      </c>
      <c r="AH423" s="137">
        <v>12.0</v>
      </c>
      <c r="AI423" s="137">
        <v>20.0</v>
      </c>
      <c r="AJ423" s="137">
        <v>24.0</v>
      </c>
      <c r="AK423" s="137">
        <v>22.0</v>
      </c>
      <c r="AL423" s="137">
        <v>22.0</v>
      </c>
      <c r="AM423" s="137">
        <v>78.0</v>
      </c>
      <c r="AN423" s="137">
        <v>210.0</v>
      </c>
    </row>
    <row r="424">
      <c r="A424" s="132" t="s">
        <v>205</v>
      </c>
      <c r="B424" s="136" t="s">
        <v>198</v>
      </c>
      <c r="C424" s="137">
        <v>0.0</v>
      </c>
      <c r="D424" s="137">
        <v>0.0</v>
      </c>
      <c r="E424" s="137">
        <v>0.0</v>
      </c>
      <c r="F424" s="137">
        <v>0.0</v>
      </c>
      <c r="G424" s="137">
        <v>0.0</v>
      </c>
      <c r="H424" s="137">
        <v>0.0</v>
      </c>
      <c r="I424" s="137">
        <v>0.0</v>
      </c>
      <c r="J424" s="137">
        <v>0.0</v>
      </c>
      <c r="K424" s="137">
        <v>0.0</v>
      </c>
      <c r="L424" s="137">
        <v>0.0</v>
      </c>
      <c r="M424" s="137">
        <v>0.0</v>
      </c>
      <c r="N424" s="137">
        <v>0.0</v>
      </c>
      <c r="O424" s="137">
        <v>0.0</v>
      </c>
      <c r="P424" s="137">
        <v>0.0</v>
      </c>
      <c r="Q424" s="137">
        <v>0.0</v>
      </c>
      <c r="R424" s="137">
        <v>0.0</v>
      </c>
      <c r="S424" s="137">
        <v>0.0</v>
      </c>
      <c r="T424" s="137">
        <v>0.0</v>
      </c>
      <c r="U424" s="137">
        <v>0.0</v>
      </c>
      <c r="V424" s="137">
        <v>0.0</v>
      </c>
      <c r="W424" s="137">
        <v>0.0</v>
      </c>
      <c r="X424" s="137">
        <v>0.0</v>
      </c>
      <c r="Y424" s="137">
        <v>0.0</v>
      </c>
      <c r="Z424" s="137">
        <v>0.0</v>
      </c>
      <c r="AA424" s="137">
        <v>0.0</v>
      </c>
      <c r="AB424" s="137">
        <v>0.0</v>
      </c>
      <c r="AC424" s="137">
        <v>0.0</v>
      </c>
      <c r="AD424" s="137">
        <v>0.0</v>
      </c>
      <c r="AE424" s="137">
        <v>0.0</v>
      </c>
      <c r="AF424" s="137">
        <v>0.0</v>
      </c>
      <c r="AG424" s="137">
        <v>0.0</v>
      </c>
      <c r="AH424" s="137">
        <v>0.0</v>
      </c>
      <c r="AI424" s="137">
        <v>0.0</v>
      </c>
      <c r="AJ424" s="137">
        <v>0.0</v>
      </c>
      <c r="AK424" s="137">
        <v>0.0</v>
      </c>
      <c r="AL424" s="137">
        <v>0.0</v>
      </c>
      <c r="AM424" s="137">
        <v>0.0</v>
      </c>
      <c r="AN424" s="137">
        <v>0.0</v>
      </c>
    </row>
    <row r="425">
      <c r="A425" s="98"/>
      <c r="B425" s="136" t="s">
        <v>199</v>
      </c>
      <c r="C425" s="137">
        <v>0.0</v>
      </c>
      <c r="D425" s="137">
        <v>0.0</v>
      </c>
      <c r="E425" s="137">
        <v>0.0</v>
      </c>
      <c r="F425" s="137">
        <v>0.0</v>
      </c>
      <c r="G425" s="137">
        <v>0.0</v>
      </c>
      <c r="H425" s="137">
        <v>0.0</v>
      </c>
      <c r="I425" s="137">
        <v>0.0</v>
      </c>
      <c r="J425" s="137">
        <v>0.0</v>
      </c>
      <c r="K425" s="137">
        <v>0.0</v>
      </c>
      <c r="L425" s="137">
        <v>0.0</v>
      </c>
      <c r="M425" s="137">
        <v>0.0</v>
      </c>
      <c r="N425" s="137">
        <v>0.0</v>
      </c>
      <c r="O425" s="137">
        <v>0.0</v>
      </c>
      <c r="P425" s="137">
        <v>0.0</v>
      </c>
      <c r="Q425" s="137">
        <v>0.0</v>
      </c>
      <c r="R425" s="137">
        <v>0.0</v>
      </c>
      <c r="S425" s="137">
        <v>0.0</v>
      </c>
      <c r="T425" s="137">
        <v>0.0</v>
      </c>
      <c r="U425" s="137">
        <v>0.0</v>
      </c>
      <c r="V425" s="137">
        <v>0.0</v>
      </c>
      <c r="W425" s="137">
        <v>0.0</v>
      </c>
      <c r="X425" s="137">
        <v>0.0</v>
      </c>
      <c r="Y425" s="137">
        <v>0.0</v>
      </c>
      <c r="Z425" s="137">
        <v>0.0</v>
      </c>
      <c r="AA425" s="137">
        <v>0.0</v>
      </c>
      <c r="AB425" s="137">
        <v>0.0</v>
      </c>
      <c r="AC425" s="137">
        <v>0.0</v>
      </c>
      <c r="AD425" s="137">
        <v>0.0</v>
      </c>
      <c r="AE425" s="137">
        <v>0.0</v>
      </c>
      <c r="AF425" s="137">
        <v>0.0</v>
      </c>
      <c r="AG425" s="137">
        <v>0.0</v>
      </c>
      <c r="AH425" s="137">
        <v>0.0</v>
      </c>
      <c r="AI425" s="137">
        <v>0.0</v>
      </c>
      <c r="AJ425" s="137">
        <v>0.0</v>
      </c>
      <c r="AK425" s="137">
        <v>0.0</v>
      </c>
      <c r="AL425" s="137">
        <v>0.0</v>
      </c>
      <c r="AM425" s="137">
        <v>0.0</v>
      </c>
      <c r="AN425" s="137">
        <v>0.0</v>
      </c>
    </row>
    <row r="426">
      <c r="A426" s="104"/>
      <c r="B426" s="136" t="s">
        <v>206</v>
      </c>
      <c r="C426" s="137">
        <v>16.0</v>
      </c>
      <c r="D426" s="137">
        <v>12.0</v>
      </c>
      <c r="E426" s="137">
        <v>4.0</v>
      </c>
      <c r="F426" s="137">
        <v>0.0</v>
      </c>
      <c r="G426" s="137">
        <v>0.0</v>
      </c>
      <c r="H426" s="137">
        <v>0.0</v>
      </c>
      <c r="I426" s="137">
        <v>0.0</v>
      </c>
      <c r="J426" s="137">
        <v>0.0</v>
      </c>
      <c r="K426" s="137">
        <v>0.0</v>
      </c>
      <c r="L426" s="137">
        <v>0.0</v>
      </c>
      <c r="M426" s="137">
        <v>4.0</v>
      </c>
      <c r="N426" s="137">
        <v>0.0</v>
      </c>
      <c r="O426" s="137">
        <v>0.0</v>
      </c>
      <c r="P426" s="137">
        <v>4.0</v>
      </c>
      <c r="Q426" s="137">
        <v>0.0</v>
      </c>
      <c r="R426" s="137">
        <v>0.0</v>
      </c>
      <c r="S426" s="137">
        <v>0.0</v>
      </c>
      <c r="T426" s="137">
        <v>0.0</v>
      </c>
      <c r="U426" s="137">
        <v>0.0</v>
      </c>
      <c r="V426" s="137">
        <v>0.0</v>
      </c>
      <c r="W426" s="137">
        <v>0.0</v>
      </c>
      <c r="X426" s="137">
        <v>0.0</v>
      </c>
      <c r="Y426" s="137">
        <v>0.0</v>
      </c>
      <c r="Z426" s="137">
        <v>0.0</v>
      </c>
      <c r="AA426" s="137">
        <v>0.0</v>
      </c>
      <c r="AB426" s="137">
        <v>0.0</v>
      </c>
      <c r="AC426" s="137">
        <v>0.0</v>
      </c>
      <c r="AD426" s="137">
        <v>0.0</v>
      </c>
      <c r="AE426" s="137">
        <v>0.0</v>
      </c>
      <c r="AF426" s="137">
        <v>0.0</v>
      </c>
      <c r="AG426" s="137">
        <v>0.0</v>
      </c>
      <c r="AH426" s="137">
        <v>8.0</v>
      </c>
      <c r="AI426" s="137">
        <v>0.0</v>
      </c>
      <c r="AJ426" s="137">
        <v>0.0</v>
      </c>
      <c r="AK426" s="137">
        <v>0.0</v>
      </c>
      <c r="AL426" s="137">
        <v>0.0</v>
      </c>
      <c r="AM426" s="137">
        <v>0.0</v>
      </c>
      <c r="AN426" s="137">
        <v>16.0</v>
      </c>
    </row>
    <row r="427">
      <c r="A427" s="132" t="s">
        <v>207</v>
      </c>
      <c r="B427" s="136" t="s">
        <v>198</v>
      </c>
      <c r="C427" s="134">
        <v>21880.0</v>
      </c>
      <c r="D427" s="134">
        <v>5928.0</v>
      </c>
      <c r="E427" s="134">
        <v>15952.0</v>
      </c>
      <c r="F427" s="137">
        <v>134.0</v>
      </c>
      <c r="G427" s="137">
        <v>118.0</v>
      </c>
      <c r="H427" s="137">
        <v>124.0</v>
      </c>
      <c r="I427" s="137">
        <v>78.0</v>
      </c>
      <c r="J427" s="137">
        <v>94.0</v>
      </c>
      <c r="K427" s="137">
        <v>124.0</v>
      </c>
      <c r="L427" s="137">
        <v>104.0</v>
      </c>
      <c r="M427" s="137">
        <v>180.0</v>
      </c>
      <c r="N427" s="137">
        <v>98.0</v>
      </c>
      <c r="O427" s="137">
        <v>304.0</v>
      </c>
      <c r="P427" s="137">
        <v>92.0</v>
      </c>
      <c r="Q427" s="137">
        <v>336.0</v>
      </c>
      <c r="R427" s="137">
        <v>100.0</v>
      </c>
      <c r="S427" s="137">
        <v>472.0</v>
      </c>
      <c r="T427" s="137">
        <v>98.0</v>
      </c>
      <c r="U427" s="137">
        <v>518.0</v>
      </c>
      <c r="V427" s="137">
        <v>136.0</v>
      </c>
      <c r="W427" s="137">
        <v>732.0</v>
      </c>
      <c r="X427" s="137">
        <v>268.0</v>
      </c>
      <c r="Y427" s="134">
        <v>1082.0</v>
      </c>
      <c r="Z427" s="137">
        <v>404.0</v>
      </c>
      <c r="AA427" s="134">
        <v>1594.0</v>
      </c>
      <c r="AB427" s="137">
        <v>590.0</v>
      </c>
      <c r="AC427" s="134">
        <v>1792.0</v>
      </c>
      <c r="AD427" s="137">
        <v>642.0</v>
      </c>
      <c r="AE427" s="134">
        <v>2114.0</v>
      </c>
      <c r="AF427" s="137">
        <v>784.0</v>
      </c>
      <c r="AG427" s="134">
        <v>1808.0</v>
      </c>
      <c r="AH427" s="137">
        <v>732.0</v>
      </c>
      <c r="AI427" s="134">
        <v>1618.0</v>
      </c>
      <c r="AJ427" s="137">
        <v>690.0</v>
      </c>
      <c r="AK427" s="134">
        <v>1378.0</v>
      </c>
      <c r="AL427" s="137">
        <v>838.0</v>
      </c>
      <c r="AM427" s="134">
        <v>1704.0</v>
      </c>
      <c r="AN427" s="134">
        <v>21856.0</v>
      </c>
    </row>
    <row r="428">
      <c r="A428" s="98"/>
      <c r="B428" s="136" t="s">
        <v>199</v>
      </c>
      <c r="C428" s="134">
        <v>4868.0</v>
      </c>
      <c r="D428" s="134">
        <v>1876.0</v>
      </c>
      <c r="E428" s="134">
        <v>2992.0</v>
      </c>
      <c r="F428" s="137">
        <v>4.0</v>
      </c>
      <c r="G428" s="137">
        <v>12.0</v>
      </c>
      <c r="H428" s="137">
        <v>14.0</v>
      </c>
      <c r="I428" s="137">
        <v>2.0</v>
      </c>
      <c r="J428" s="137">
        <v>10.0</v>
      </c>
      <c r="K428" s="137">
        <v>4.0</v>
      </c>
      <c r="L428" s="137">
        <v>6.0</v>
      </c>
      <c r="M428" s="137">
        <v>12.0</v>
      </c>
      <c r="N428" s="137">
        <v>20.0</v>
      </c>
      <c r="O428" s="137">
        <v>28.0</v>
      </c>
      <c r="P428" s="137">
        <v>2.0</v>
      </c>
      <c r="Q428" s="137">
        <v>28.0</v>
      </c>
      <c r="R428" s="137">
        <v>14.0</v>
      </c>
      <c r="S428" s="137">
        <v>58.0</v>
      </c>
      <c r="T428" s="137">
        <v>10.0</v>
      </c>
      <c r="U428" s="137">
        <v>52.0</v>
      </c>
      <c r="V428" s="137">
        <v>28.0</v>
      </c>
      <c r="W428" s="137">
        <v>74.0</v>
      </c>
      <c r="X428" s="137">
        <v>38.0</v>
      </c>
      <c r="Y428" s="137">
        <v>192.0</v>
      </c>
      <c r="Z428" s="137">
        <v>46.0</v>
      </c>
      <c r="AA428" s="137">
        <v>246.0</v>
      </c>
      <c r="AB428" s="137">
        <v>192.0</v>
      </c>
      <c r="AC428" s="137">
        <v>284.0</v>
      </c>
      <c r="AD428" s="137">
        <v>192.0</v>
      </c>
      <c r="AE428" s="137">
        <v>374.0</v>
      </c>
      <c r="AF428" s="137">
        <v>236.0</v>
      </c>
      <c r="AG428" s="137">
        <v>304.0</v>
      </c>
      <c r="AH428" s="137">
        <v>354.0</v>
      </c>
      <c r="AI428" s="137">
        <v>352.0</v>
      </c>
      <c r="AJ428" s="137">
        <v>278.0</v>
      </c>
      <c r="AK428" s="137">
        <v>354.0</v>
      </c>
      <c r="AL428" s="137">
        <v>432.0</v>
      </c>
      <c r="AM428" s="137">
        <v>616.0</v>
      </c>
      <c r="AN428" s="134">
        <v>4864.0</v>
      </c>
    </row>
    <row r="429">
      <c r="A429" s="98"/>
      <c r="B429" s="136" t="s">
        <v>206</v>
      </c>
      <c r="C429" s="137">
        <v>116.0</v>
      </c>
      <c r="D429" s="137">
        <v>32.0</v>
      </c>
      <c r="E429" s="137">
        <v>84.0</v>
      </c>
      <c r="F429" s="137">
        <v>0.0</v>
      </c>
      <c r="G429" s="137">
        <v>0.0</v>
      </c>
      <c r="H429" s="137">
        <v>0.0</v>
      </c>
      <c r="I429" s="137">
        <v>0.0</v>
      </c>
      <c r="J429" s="137">
        <v>0.0</v>
      </c>
      <c r="K429" s="137">
        <v>0.0</v>
      </c>
      <c r="L429" s="137">
        <v>0.0</v>
      </c>
      <c r="M429" s="137">
        <v>0.0</v>
      </c>
      <c r="N429" s="137">
        <v>0.0</v>
      </c>
      <c r="O429" s="137">
        <v>2.0</v>
      </c>
      <c r="P429" s="137">
        <v>0.0</v>
      </c>
      <c r="Q429" s="137">
        <v>2.0</v>
      </c>
      <c r="R429" s="137">
        <v>2.0</v>
      </c>
      <c r="S429" s="137">
        <v>16.0</v>
      </c>
      <c r="T429" s="137">
        <v>4.0</v>
      </c>
      <c r="U429" s="137">
        <v>2.0</v>
      </c>
      <c r="V429" s="137">
        <v>0.0</v>
      </c>
      <c r="W429" s="137">
        <v>4.0</v>
      </c>
      <c r="X429" s="137">
        <v>2.0</v>
      </c>
      <c r="Y429" s="137">
        <v>6.0</v>
      </c>
      <c r="Z429" s="137">
        <v>4.0</v>
      </c>
      <c r="AA429" s="137">
        <v>8.0</v>
      </c>
      <c r="AB429" s="137">
        <v>6.0</v>
      </c>
      <c r="AC429" s="137">
        <v>16.0</v>
      </c>
      <c r="AD429" s="137">
        <v>2.0</v>
      </c>
      <c r="AE429" s="137">
        <v>10.0</v>
      </c>
      <c r="AF429" s="137">
        <v>8.0</v>
      </c>
      <c r="AG429" s="137">
        <v>4.0</v>
      </c>
      <c r="AH429" s="137">
        <v>0.0</v>
      </c>
      <c r="AI429" s="137">
        <v>2.0</v>
      </c>
      <c r="AJ429" s="137">
        <v>0.0</v>
      </c>
      <c r="AK429" s="137">
        <v>4.0</v>
      </c>
      <c r="AL429" s="137">
        <v>4.0</v>
      </c>
      <c r="AM429" s="137">
        <v>8.0</v>
      </c>
      <c r="AN429" s="137">
        <v>116.0</v>
      </c>
    </row>
    <row r="430">
      <c r="A430" s="98"/>
      <c r="B430" s="136" t="s">
        <v>200</v>
      </c>
      <c r="C430" s="134">
        <v>2972.0</v>
      </c>
      <c r="D430" s="137">
        <v>654.0</v>
      </c>
      <c r="E430" s="134">
        <v>2318.0</v>
      </c>
      <c r="F430" s="137">
        <v>6.0</v>
      </c>
      <c r="G430" s="137">
        <v>4.0</v>
      </c>
      <c r="H430" s="137">
        <v>2.0</v>
      </c>
      <c r="I430" s="137">
        <v>8.0</v>
      </c>
      <c r="J430" s="137">
        <v>10.0</v>
      </c>
      <c r="K430" s="137">
        <v>10.0</v>
      </c>
      <c r="L430" s="137">
        <v>10.0</v>
      </c>
      <c r="M430" s="137">
        <v>66.0</v>
      </c>
      <c r="N430" s="137">
        <v>8.0</v>
      </c>
      <c r="O430" s="137">
        <v>84.0</v>
      </c>
      <c r="P430" s="137">
        <v>8.0</v>
      </c>
      <c r="Q430" s="137">
        <v>132.0</v>
      </c>
      <c r="R430" s="137">
        <v>10.0</v>
      </c>
      <c r="S430" s="137">
        <v>132.0</v>
      </c>
      <c r="T430" s="137">
        <v>20.0</v>
      </c>
      <c r="U430" s="137">
        <v>134.0</v>
      </c>
      <c r="V430" s="137">
        <v>30.0</v>
      </c>
      <c r="W430" s="137">
        <v>130.0</v>
      </c>
      <c r="X430" s="137">
        <v>38.0</v>
      </c>
      <c r="Y430" s="137">
        <v>178.0</v>
      </c>
      <c r="Z430" s="137">
        <v>44.0</v>
      </c>
      <c r="AA430" s="137">
        <v>210.0</v>
      </c>
      <c r="AB430" s="137">
        <v>86.0</v>
      </c>
      <c r="AC430" s="137">
        <v>242.0</v>
      </c>
      <c r="AD430" s="137">
        <v>104.0</v>
      </c>
      <c r="AE430" s="137">
        <v>274.0</v>
      </c>
      <c r="AF430" s="137">
        <v>74.0</v>
      </c>
      <c r="AG430" s="137">
        <v>228.0</v>
      </c>
      <c r="AH430" s="137">
        <v>80.0</v>
      </c>
      <c r="AI430" s="137">
        <v>188.0</v>
      </c>
      <c r="AJ430" s="137">
        <v>62.0</v>
      </c>
      <c r="AK430" s="137">
        <v>138.0</v>
      </c>
      <c r="AL430" s="137">
        <v>62.0</v>
      </c>
      <c r="AM430" s="137">
        <v>160.0</v>
      </c>
      <c r="AN430" s="134">
        <v>2958.0</v>
      </c>
    </row>
    <row r="431">
      <c r="A431" s="104"/>
      <c r="B431" s="136" t="s">
        <v>201</v>
      </c>
      <c r="C431" s="134">
        <v>5334.0</v>
      </c>
      <c r="D431" s="134">
        <v>2352.0</v>
      </c>
      <c r="E431" s="134">
        <v>2982.0</v>
      </c>
      <c r="F431" s="137">
        <v>48.0</v>
      </c>
      <c r="G431" s="137">
        <v>36.0</v>
      </c>
      <c r="H431" s="137">
        <v>70.0</v>
      </c>
      <c r="I431" s="137">
        <v>44.0</v>
      </c>
      <c r="J431" s="137">
        <v>100.0</v>
      </c>
      <c r="K431" s="137">
        <v>82.0</v>
      </c>
      <c r="L431" s="137">
        <v>114.0</v>
      </c>
      <c r="M431" s="137">
        <v>108.0</v>
      </c>
      <c r="N431" s="137">
        <v>102.0</v>
      </c>
      <c r="O431" s="137">
        <v>216.0</v>
      </c>
      <c r="P431" s="137">
        <v>98.0</v>
      </c>
      <c r="Q431" s="137">
        <v>178.0</v>
      </c>
      <c r="R431" s="137">
        <v>88.0</v>
      </c>
      <c r="S431" s="137">
        <v>190.0</v>
      </c>
      <c r="T431" s="137">
        <v>112.0</v>
      </c>
      <c r="U431" s="137">
        <v>174.0</v>
      </c>
      <c r="V431" s="137">
        <v>116.0</v>
      </c>
      <c r="W431" s="137">
        <v>184.0</v>
      </c>
      <c r="X431" s="137">
        <v>168.0</v>
      </c>
      <c r="Y431" s="137">
        <v>274.0</v>
      </c>
      <c r="Z431" s="137">
        <v>374.0</v>
      </c>
      <c r="AA431" s="137">
        <v>244.0</v>
      </c>
      <c r="AB431" s="137">
        <v>154.0</v>
      </c>
      <c r="AC431" s="137">
        <v>266.0</v>
      </c>
      <c r="AD431" s="137">
        <v>216.0</v>
      </c>
      <c r="AE431" s="137">
        <v>224.0</v>
      </c>
      <c r="AF431" s="137">
        <v>150.0</v>
      </c>
      <c r="AG431" s="137">
        <v>224.0</v>
      </c>
      <c r="AH431" s="137">
        <v>140.0</v>
      </c>
      <c r="AI431" s="137">
        <v>178.0</v>
      </c>
      <c r="AJ431" s="137">
        <v>120.0</v>
      </c>
      <c r="AK431" s="137">
        <v>172.0</v>
      </c>
      <c r="AL431" s="137">
        <v>182.0</v>
      </c>
      <c r="AM431" s="137">
        <v>188.0</v>
      </c>
      <c r="AN431" s="134">
        <v>5334.0</v>
      </c>
    </row>
    <row r="432">
      <c r="A432" s="132" t="s">
        <v>208</v>
      </c>
      <c r="B432" s="136" t="s">
        <v>198</v>
      </c>
      <c r="C432" s="137">
        <v>106.0</v>
      </c>
      <c r="D432" s="137">
        <v>72.0</v>
      </c>
      <c r="E432" s="137">
        <v>34.0</v>
      </c>
      <c r="F432" s="137">
        <v>42.0</v>
      </c>
      <c r="G432" s="137">
        <v>16.0</v>
      </c>
      <c r="H432" s="137">
        <v>16.0</v>
      </c>
      <c r="I432" s="137">
        <v>16.0</v>
      </c>
      <c r="J432" s="137">
        <v>12.0</v>
      </c>
      <c r="K432" s="137">
        <v>2.0</v>
      </c>
      <c r="L432" s="137">
        <v>2.0</v>
      </c>
      <c r="M432" s="137">
        <v>0.0</v>
      </c>
      <c r="N432" s="137">
        <v>0.0</v>
      </c>
      <c r="O432" s="137">
        <v>0.0</v>
      </c>
      <c r="P432" s="135">
        <v>0.0</v>
      </c>
      <c r="Q432" s="135">
        <v>0.0</v>
      </c>
      <c r="R432" s="135">
        <v>0.0</v>
      </c>
      <c r="S432" s="135">
        <v>0.0</v>
      </c>
      <c r="T432" s="135">
        <v>0.0</v>
      </c>
      <c r="U432" s="135">
        <v>0.0</v>
      </c>
      <c r="V432" s="135">
        <v>0.0</v>
      </c>
      <c r="W432" s="135">
        <v>0.0</v>
      </c>
      <c r="X432" s="135">
        <v>0.0</v>
      </c>
      <c r="Y432" s="135">
        <v>0.0</v>
      </c>
      <c r="Z432" s="135">
        <v>0.0</v>
      </c>
      <c r="AA432" s="135">
        <v>0.0</v>
      </c>
      <c r="AB432" s="135">
        <v>0.0</v>
      </c>
      <c r="AC432" s="135">
        <v>0.0</v>
      </c>
      <c r="AD432" s="135">
        <v>0.0</v>
      </c>
      <c r="AE432" s="135">
        <v>0.0</v>
      </c>
      <c r="AF432" s="135">
        <v>0.0</v>
      </c>
      <c r="AG432" s="135">
        <v>0.0</v>
      </c>
      <c r="AH432" s="135">
        <v>0.0</v>
      </c>
      <c r="AI432" s="135">
        <v>0.0</v>
      </c>
      <c r="AJ432" s="135">
        <v>0.0</v>
      </c>
      <c r="AK432" s="135">
        <v>0.0</v>
      </c>
      <c r="AL432" s="135">
        <v>0.0</v>
      </c>
      <c r="AM432" s="135">
        <v>0.0</v>
      </c>
      <c r="AN432" s="137">
        <v>104.0</v>
      </c>
    </row>
    <row r="433">
      <c r="A433" s="98"/>
      <c r="B433" s="136" t="s">
        <v>199</v>
      </c>
      <c r="C433" s="137">
        <v>82.0</v>
      </c>
      <c r="D433" s="137">
        <v>28.0</v>
      </c>
      <c r="E433" s="137">
        <v>54.0</v>
      </c>
      <c r="F433" s="137">
        <v>26.0</v>
      </c>
      <c r="G433" s="137">
        <v>50.0</v>
      </c>
      <c r="H433" s="137">
        <v>2.0</v>
      </c>
      <c r="I433" s="137">
        <v>4.0</v>
      </c>
      <c r="J433" s="137">
        <v>0.0</v>
      </c>
      <c r="K433" s="137">
        <v>0.0</v>
      </c>
      <c r="L433" s="137">
        <v>0.0</v>
      </c>
      <c r="M433" s="137">
        <v>0.0</v>
      </c>
      <c r="N433" s="137">
        <v>0.0</v>
      </c>
      <c r="O433" s="137">
        <v>0.0</v>
      </c>
      <c r="P433" s="135">
        <v>0.0</v>
      </c>
      <c r="Q433" s="135">
        <v>0.0</v>
      </c>
      <c r="R433" s="135">
        <v>0.0</v>
      </c>
      <c r="S433" s="135">
        <v>0.0</v>
      </c>
      <c r="T433" s="135">
        <v>0.0</v>
      </c>
      <c r="U433" s="135">
        <v>0.0</v>
      </c>
      <c r="V433" s="135">
        <v>0.0</v>
      </c>
      <c r="W433" s="135">
        <v>0.0</v>
      </c>
      <c r="X433" s="135">
        <v>0.0</v>
      </c>
      <c r="Y433" s="135">
        <v>0.0</v>
      </c>
      <c r="Z433" s="135">
        <v>0.0</v>
      </c>
      <c r="AA433" s="135">
        <v>0.0</v>
      </c>
      <c r="AB433" s="135">
        <v>0.0</v>
      </c>
      <c r="AC433" s="135">
        <v>0.0</v>
      </c>
      <c r="AD433" s="135">
        <v>0.0</v>
      </c>
      <c r="AE433" s="135">
        <v>0.0</v>
      </c>
      <c r="AF433" s="135">
        <v>0.0</v>
      </c>
      <c r="AG433" s="135">
        <v>0.0</v>
      </c>
      <c r="AH433" s="135">
        <v>0.0</v>
      </c>
      <c r="AI433" s="135">
        <v>0.0</v>
      </c>
      <c r="AJ433" s="135">
        <v>0.0</v>
      </c>
      <c r="AK433" s="135">
        <v>0.0</v>
      </c>
      <c r="AL433" s="135">
        <v>0.0</v>
      </c>
      <c r="AM433" s="135">
        <v>0.0</v>
      </c>
      <c r="AN433" s="137">
        <v>74.0</v>
      </c>
    </row>
    <row r="434">
      <c r="A434" s="98"/>
      <c r="B434" s="136" t="s">
        <v>206</v>
      </c>
      <c r="C434" s="137">
        <v>2.0</v>
      </c>
      <c r="D434" s="137">
        <v>2.0</v>
      </c>
      <c r="E434" s="137">
        <v>0.0</v>
      </c>
      <c r="F434" s="137">
        <v>2.0</v>
      </c>
      <c r="G434" s="137">
        <v>0.0</v>
      </c>
      <c r="H434" s="137">
        <v>0.0</v>
      </c>
      <c r="I434" s="137">
        <v>0.0</v>
      </c>
      <c r="J434" s="137">
        <v>0.0</v>
      </c>
      <c r="K434" s="137">
        <v>0.0</v>
      </c>
      <c r="L434" s="137">
        <v>0.0</v>
      </c>
      <c r="M434" s="137">
        <v>0.0</v>
      </c>
      <c r="N434" s="137">
        <v>0.0</v>
      </c>
      <c r="O434" s="137">
        <v>0.0</v>
      </c>
      <c r="P434" s="135">
        <v>0.0</v>
      </c>
      <c r="Q434" s="135">
        <v>0.0</v>
      </c>
      <c r="R434" s="135">
        <v>0.0</v>
      </c>
      <c r="S434" s="135">
        <v>0.0</v>
      </c>
      <c r="T434" s="135">
        <v>0.0</v>
      </c>
      <c r="U434" s="135">
        <v>0.0</v>
      </c>
      <c r="V434" s="135">
        <v>0.0</v>
      </c>
      <c r="W434" s="135">
        <v>0.0</v>
      </c>
      <c r="X434" s="135">
        <v>0.0</v>
      </c>
      <c r="Y434" s="135">
        <v>0.0</v>
      </c>
      <c r="Z434" s="135">
        <v>0.0</v>
      </c>
      <c r="AA434" s="135">
        <v>0.0</v>
      </c>
      <c r="AB434" s="135">
        <v>0.0</v>
      </c>
      <c r="AC434" s="135">
        <v>0.0</v>
      </c>
      <c r="AD434" s="135">
        <v>0.0</v>
      </c>
      <c r="AE434" s="135">
        <v>0.0</v>
      </c>
      <c r="AF434" s="135">
        <v>0.0</v>
      </c>
      <c r="AG434" s="135">
        <v>0.0</v>
      </c>
      <c r="AH434" s="135">
        <v>0.0</v>
      </c>
      <c r="AI434" s="135">
        <v>0.0</v>
      </c>
      <c r="AJ434" s="135">
        <v>0.0</v>
      </c>
      <c r="AK434" s="135">
        <v>0.0</v>
      </c>
      <c r="AL434" s="135">
        <v>0.0</v>
      </c>
      <c r="AM434" s="135">
        <v>0.0</v>
      </c>
      <c r="AN434" s="137">
        <v>2.0</v>
      </c>
    </row>
    <row r="435">
      <c r="A435" s="98"/>
      <c r="B435" s="136" t="s">
        <v>200</v>
      </c>
      <c r="C435" s="137">
        <v>14.0</v>
      </c>
      <c r="D435" s="137">
        <v>8.0</v>
      </c>
      <c r="E435" s="137">
        <v>6.0</v>
      </c>
      <c r="F435" s="137">
        <v>2.0</v>
      </c>
      <c r="G435" s="137">
        <v>6.0</v>
      </c>
      <c r="H435" s="137">
        <v>4.0</v>
      </c>
      <c r="I435" s="137">
        <v>0.0</v>
      </c>
      <c r="J435" s="137">
        <v>2.0</v>
      </c>
      <c r="K435" s="137">
        <v>0.0</v>
      </c>
      <c r="L435" s="137">
        <v>0.0</v>
      </c>
      <c r="M435" s="137">
        <v>0.0</v>
      </c>
      <c r="N435" s="137">
        <v>0.0</v>
      </c>
      <c r="O435" s="137">
        <v>0.0</v>
      </c>
      <c r="P435" s="135">
        <v>0.0</v>
      </c>
      <c r="Q435" s="135">
        <v>0.0</v>
      </c>
      <c r="R435" s="135">
        <v>0.0</v>
      </c>
      <c r="S435" s="135">
        <v>0.0</v>
      </c>
      <c r="T435" s="135">
        <v>0.0</v>
      </c>
      <c r="U435" s="135">
        <v>0.0</v>
      </c>
      <c r="V435" s="135">
        <v>0.0</v>
      </c>
      <c r="W435" s="135">
        <v>0.0</v>
      </c>
      <c r="X435" s="135">
        <v>0.0</v>
      </c>
      <c r="Y435" s="135">
        <v>0.0</v>
      </c>
      <c r="Z435" s="135">
        <v>0.0</v>
      </c>
      <c r="AA435" s="135">
        <v>0.0</v>
      </c>
      <c r="AB435" s="135">
        <v>0.0</v>
      </c>
      <c r="AC435" s="135">
        <v>0.0</v>
      </c>
      <c r="AD435" s="135">
        <v>0.0</v>
      </c>
      <c r="AE435" s="135">
        <v>0.0</v>
      </c>
      <c r="AF435" s="135">
        <v>0.0</v>
      </c>
      <c r="AG435" s="135">
        <v>0.0</v>
      </c>
      <c r="AH435" s="135">
        <v>0.0</v>
      </c>
      <c r="AI435" s="135">
        <v>0.0</v>
      </c>
      <c r="AJ435" s="135">
        <v>0.0</v>
      </c>
      <c r="AK435" s="135">
        <v>0.0</v>
      </c>
      <c r="AL435" s="135">
        <v>0.0</v>
      </c>
      <c r="AM435" s="135">
        <v>0.0</v>
      </c>
      <c r="AN435" s="137">
        <v>12.0</v>
      </c>
    </row>
    <row r="436">
      <c r="A436" s="104"/>
      <c r="B436" s="136" t="s">
        <v>201</v>
      </c>
      <c r="C436" s="137">
        <v>0.0</v>
      </c>
      <c r="D436" s="137">
        <v>0.0</v>
      </c>
      <c r="E436" s="137">
        <v>0.0</v>
      </c>
      <c r="F436" s="137">
        <v>0.0</v>
      </c>
      <c r="G436" s="137">
        <v>0.0</v>
      </c>
      <c r="H436" s="137">
        <v>0.0</v>
      </c>
      <c r="I436" s="137">
        <v>0.0</v>
      </c>
      <c r="J436" s="137">
        <v>0.0</v>
      </c>
      <c r="K436" s="137">
        <v>0.0</v>
      </c>
      <c r="L436" s="137">
        <v>0.0</v>
      </c>
      <c r="M436" s="137">
        <v>0.0</v>
      </c>
      <c r="N436" s="137">
        <v>0.0</v>
      </c>
      <c r="O436" s="137">
        <v>0.0</v>
      </c>
      <c r="P436" s="135">
        <v>0.0</v>
      </c>
      <c r="Q436" s="135">
        <v>0.0</v>
      </c>
      <c r="R436" s="135">
        <v>0.0</v>
      </c>
      <c r="S436" s="135">
        <v>0.0</v>
      </c>
      <c r="T436" s="135">
        <v>0.0</v>
      </c>
      <c r="U436" s="135">
        <v>0.0</v>
      </c>
      <c r="V436" s="135">
        <v>0.0</v>
      </c>
      <c r="W436" s="135">
        <v>0.0</v>
      </c>
      <c r="X436" s="135">
        <v>0.0</v>
      </c>
      <c r="Y436" s="135">
        <v>0.0</v>
      </c>
      <c r="Z436" s="135">
        <v>0.0</v>
      </c>
      <c r="AA436" s="135">
        <v>0.0</v>
      </c>
      <c r="AB436" s="135">
        <v>0.0</v>
      </c>
      <c r="AC436" s="135">
        <v>0.0</v>
      </c>
      <c r="AD436" s="135">
        <v>0.0</v>
      </c>
      <c r="AE436" s="135">
        <v>0.0</v>
      </c>
      <c r="AF436" s="135">
        <v>0.0</v>
      </c>
      <c r="AG436" s="135">
        <v>0.0</v>
      </c>
      <c r="AH436" s="135">
        <v>0.0</v>
      </c>
      <c r="AI436" s="135">
        <v>0.0</v>
      </c>
      <c r="AJ436" s="135">
        <v>0.0</v>
      </c>
      <c r="AK436" s="135">
        <v>0.0</v>
      </c>
      <c r="AL436" s="135">
        <v>0.0</v>
      </c>
      <c r="AM436" s="135">
        <v>0.0</v>
      </c>
      <c r="AN436" s="137">
        <v>0.0</v>
      </c>
    </row>
    <row r="437">
      <c r="A437" s="138" t="s">
        <v>257</v>
      </c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</row>
    <row r="438">
      <c r="A438" s="132" t="s">
        <v>197</v>
      </c>
      <c r="B438" s="133" t="s">
        <v>198</v>
      </c>
      <c r="C438" s="134">
        <v>74224.0</v>
      </c>
      <c r="D438" s="134">
        <v>26806.0</v>
      </c>
      <c r="E438" s="134">
        <v>47418.0</v>
      </c>
      <c r="F438" s="135">
        <v>0.0</v>
      </c>
      <c r="G438" s="135">
        <v>0.0</v>
      </c>
      <c r="H438" s="135">
        <v>0.0</v>
      </c>
      <c r="I438" s="135">
        <v>0.0</v>
      </c>
      <c r="J438" s="135">
        <v>0.0</v>
      </c>
      <c r="K438" s="135">
        <v>0.0</v>
      </c>
      <c r="L438" s="137">
        <v>40.0</v>
      </c>
      <c r="M438" s="137">
        <v>60.0</v>
      </c>
      <c r="N438" s="137">
        <v>78.0</v>
      </c>
      <c r="O438" s="137">
        <v>112.0</v>
      </c>
      <c r="P438" s="137">
        <v>116.0</v>
      </c>
      <c r="Q438" s="137">
        <v>242.0</v>
      </c>
      <c r="R438" s="137">
        <v>182.0</v>
      </c>
      <c r="S438" s="137">
        <v>468.0</v>
      </c>
      <c r="T438" s="137">
        <v>374.0</v>
      </c>
      <c r="U438" s="137">
        <v>814.0</v>
      </c>
      <c r="V438" s="137">
        <v>702.0</v>
      </c>
      <c r="W438" s="134">
        <v>1512.0</v>
      </c>
      <c r="X438" s="134">
        <v>1220.0</v>
      </c>
      <c r="Y438" s="134">
        <v>2912.0</v>
      </c>
      <c r="Z438" s="134">
        <v>2182.0</v>
      </c>
      <c r="AA438" s="134">
        <v>4952.0</v>
      </c>
      <c r="AB438" s="134">
        <v>3364.0</v>
      </c>
      <c r="AC438" s="134">
        <v>6630.0</v>
      </c>
      <c r="AD438" s="134">
        <v>4276.0</v>
      </c>
      <c r="AE438" s="134">
        <v>6988.0</v>
      </c>
      <c r="AF438" s="134">
        <v>4196.0</v>
      </c>
      <c r="AG438" s="134">
        <v>6868.0</v>
      </c>
      <c r="AH438" s="134">
        <v>3904.0</v>
      </c>
      <c r="AI438" s="134">
        <v>6002.0</v>
      </c>
      <c r="AJ438" s="134">
        <v>3110.0</v>
      </c>
      <c r="AK438" s="134">
        <v>4662.0</v>
      </c>
      <c r="AL438" s="134">
        <v>3062.0</v>
      </c>
      <c r="AM438" s="134">
        <v>5196.0</v>
      </c>
      <c r="AN438" s="134">
        <v>74160.0</v>
      </c>
    </row>
    <row r="439">
      <c r="A439" s="98"/>
      <c r="B439" s="136" t="s">
        <v>199</v>
      </c>
      <c r="C439" s="134">
        <v>35902.0</v>
      </c>
      <c r="D439" s="134">
        <v>12682.0</v>
      </c>
      <c r="E439" s="134">
        <v>23220.0</v>
      </c>
      <c r="F439" s="135">
        <v>0.0</v>
      </c>
      <c r="G439" s="135">
        <v>0.0</v>
      </c>
      <c r="H439" s="135">
        <v>0.0</v>
      </c>
      <c r="I439" s="135">
        <v>0.0</v>
      </c>
      <c r="J439" s="135">
        <v>0.0</v>
      </c>
      <c r="K439" s="135">
        <v>0.0</v>
      </c>
      <c r="L439" s="137">
        <v>10.0</v>
      </c>
      <c r="M439" s="137">
        <v>24.0</v>
      </c>
      <c r="N439" s="137">
        <v>26.0</v>
      </c>
      <c r="O439" s="137">
        <v>68.0</v>
      </c>
      <c r="P439" s="137">
        <v>80.0</v>
      </c>
      <c r="Q439" s="137">
        <v>158.0</v>
      </c>
      <c r="R439" s="137">
        <v>120.0</v>
      </c>
      <c r="S439" s="137">
        <v>244.0</v>
      </c>
      <c r="T439" s="137">
        <v>204.0</v>
      </c>
      <c r="U439" s="137">
        <v>434.0</v>
      </c>
      <c r="V439" s="137">
        <v>372.0</v>
      </c>
      <c r="W439" s="137">
        <v>832.0</v>
      </c>
      <c r="X439" s="137">
        <v>708.0</v>
      </c>
      <c r="Y439" s="134">
        <v>1590.0</v>
      </c>
      <c r="Z439" s="134">
        <v>1214.0</v>
      </c>
      <c r="AA439" s="134">
        <v>2732.0</v>
      </c>
      <c r="AB439" s="134">
        <v>1894.0</v>
      </c>
      <c r="AC439" s="134">
        <v>3766.0</v>
      </c>
      <c r="AD439" s="134">
        <v>2236.0</v>
      </c>
      <c r="AE439" s="134">
        <v>3954.0</v>
      </c>
      <c r="AF439" s="134">
        <v>1786.0</v>
      </c>
      <c r="AG439" s="134">
        <v>2788.0</v>
      </c>
      <c r="AH439" s="134">
        <v>1576.0</v>
      </c>
      <c r="AI439" s="134">
        <v>2448.0</v>
      </c>
      <c r="AJ439" s="134">
        <v>1218.0</v>
      </c>
      <c r="AK439" s="134">
        <v>1976.0</v>
      </c>
      <c r="AL439" s="134">
        <v>1238.0</v>
      </c>
      <c r="AM439" s="134">
        <v>2206.0</v>
      </c>
      <c r="AN439" s="134">
        <v>35760.0</v>
      </c>
    </row>
    <row r="440">
      <c r="A440" s="98"/>
      <c r="B440" s="136" t="s">
        <v>200</v>
      </c>
      <c r="C440" s="134">
        <v>27318.0</v>
      </c>
      <c r="D440" s="134">
        <v>8964.0</v>
      </c>
      <c r="E440" s="134">
        <v>18354.0</v>
      </c>
      <c r="F440" s="135">
        <v>0.0</v>
      </c>
      <c r="G440" s="135">
        <v>0.0</v>
      </c>
      <c r="H440" s="135">
        <v>0.0</v>
      </c>
      <c r="I440" s="135">
        <v>0.0</v>
      </c>
      <c r="J440" s="135">
        <v>0.0</v>
      </c>
      <c r="K440" s="135">
        <v>0.0</v>
      </c>
      <c r="L440" s="137">
        <v>26.0</v>
      </c>
      <c r="M440" s="137">
        <v>12.0</v>
      </c>
      <c r="N440" s="137">
        <v>54.0</v>
      </c>
      <c r="O440" s="137">
        <v>82.0</v>
      </c>
      <c r="P440" s="137">
        <v>60.0</v>
      </c>
      <c r="Q440" s="137">
        <v>160.0</v>
      </c>
      <c r="R440" s="137">
        <v>110.0</v>
      </c>
      <c r="S440" s="137">
        <v>242.0</v>
      </c>
      <c r="T440" s="137">
        <v>148.0</v>
      </c>
      <c r="U440" s="137">
        <v>376.0</v>
      </c>
      <c r="V440" s="137">
        <v>250.0</v>
      </c>
      <c r="W440" s="137">
        <v>654.0</v>
      </c>
      <c r="X440" s="137">
        <v>456.0</v>
      </c>
      <c r="Y440" s="134">
        <v>1226.0</v>
      </c>
      <c r="Z440" s="137">
        <v>726.0</v>
      </c>
      <c r="AA440" s="134">
        <v>1998.0</v>
      </c>
      <c r="AB440" s="134">
        <v>1200.0</v>
      </c>
      <c r="AC440" s="134">
        <v>2686.0</v>
      </c>
      <c r="AD440" s="134">
        <v>1326.0</v>
      </c>
      <c r="AE440" s="134">
        <v>2698.0</v>
      </c>
      <c r="AF440" s="134">
        <v>1454.0</v>
      </c>
      <c r="AG440" s="134">
        <v>2606.0</v>
      </c>
      <c r="AH440" s="134">
        <v>1322.0</v>
      </c>
      <c r="AI440" s="134">
        <v>2242.0</v>
      </c>
      <c r="AJ440" s="137">
        <v>932.0</v>
      </c>
      <c r="AK440" s="134">
        <v>1752.0</v>
      </c>
      <c r="AL440" s="137">
        <v>900.0</v>
      </c>
      <c r="AM440" s="134">
        <v>1620.0</v>
      </c>
      <c r="AN440" s="134">
        <v>27198.0</v>
      </c>
    </row>
    <row r="441">
      <c r="A441" s="104"/>
      <c r="B441" s="136" t="s">
        <v>201</v>
      </c>
      <c r="C441" s="134">
        <v>1898.0</v>
      </c>
      <c r="D441" s="137">
        <v>632.0</v>
      </c>
      <c r="E441" s="134">
        <v>1266.0</v>
      </c>
      <c r="F441" s="135">
        <v>0.0</v>
      </c>
      <c r="G441" s="135">
        <v>0.0</v>
      </c>
      <c r="H441" s="135">
        <v>0.0</v>
      </c>
      <c r="I441" s="135">
        <v>0.0</v>
      </c>
      <c r="J441" s="135">
        <v>0.0</v>
      </c>
      <c r="K441" s="135">
        <v>0.0</v>
      </c>
      <c r="L441" s="137">
        <v>0.0</v>
      </c>
      <c r="M441" s="137">
        <v>4.0</v>
      </c>
      <c r="N441" s="137">
        <v>18.0</v>
      </c>
      <c r="O441" s="137">
        <v>0.0</v>
      </c>
      <c r="P441" s="137">
        <v>24.0</v>
      </c>
      <c r="Q441" s="137">
        <v>52.0</v>
      </c>
      <c r="R441" s="137">
        <v>52.0</v>
      </c>
      <c r="S441" s="137">
        <v>92.0</v>
      </c>
      <c r="T441" s="137">
        <v>60.0</v>
      </c>
      <c r="U441" s="137">
        <v>138.0</v>
      </c>
      <c r="V441" s="137">
        <v>68.0</v>
      </c>
      <c r="W441" s="137">
        <v>118.0</v>
      </c>
      <c r="X441" s="137">
        <v>58.0</v>
      </c>
      <c r="Y441" s="137">
        <v>144.0</v>
      </c>
      <c r="Z441" s="137">
        <v>44.0</v>
      </c>
      <c r="AA441" s="137">
        <v>184.0</v>
      </c>
      <c r="AB441" s="137">
        <v>70.0</v>
      </c>
      <c r="AC441" s="137">
        <v>112.0</v>
      </c>
      <c r="AD441" s="137">
        <v>42.0</v>
      </c>
      <c r="AE441" s="137">
        <v>86.0</v>
      </c>
      <c r="AF441" s="137">
        <v>52.0</v>
      </c>
      <c r="AG441" s="137">
        <v>90.0</v>
      </c>
      <c r="AH441" s="137">
        <v>50.0</v>
      </c>
      <c r="AI441" s="137">
        <v>106.0</v>
      </c>
      <c r="AJ441" s="137">
        <v>34.0</v>
      </c>
      <c r="AK441" s="137">
        <v>48.0</v>
      </c>
      <c r="AL441" s="137">
        <v>60.0</v>
      </c>
      <c r="AM441" s="137">
        <v>92.0</v>
      </c>
      <c r="AN441" s="134">
        <v>1854.0</v>
      </c>
    </row>
    <row r="442">
      <c r="A442" s="132" t="s">
        <v>202</v>
      </c>
      <c r="B442" s="136" t="s">
        <v>198</v>
      </c>
      <c r="C442" s="137">
        <v>682.0</v>
      </c>
      <c r="D442" s="137">
        <v>386.0</v>
      </c>
      <c r="E442" s="137">
        <v>296.0</v>
      </c>
      <c r="F442" s="137">
        <v>8.0</v>
      </c>
      <c r="G442" s="137">
        <v>24.0</v>
      </c>
      <c r="H442" s="137">
        <v>8.0</v>
      </c>
      <c r="I442" s="137">
        <v>2.0</v>
      </c>
      <c r="J442" s="137">
        <v>10.0</v>
      </c>
      <c r="K442" s="137">
        <v>8.0</v>
      </c>
      <c r="L442" s="137">
        <v>10.0</v>
      </c>
      <c r="M442" s="137">
        <v>24.0</v>
      </c>
      <c r="N442" s="137">
        <v>38.0</v>
      </c>
      <c r="O442" s="137">
        <v>4.0</v>
      </c>
      <c r="P442" s="137">
        <v>16.0</v>
      </c>
      <c r="Q442" s="137">
        <v>24.0</v>
      </c>
      <c r="R442" s="137">
        <v>36.0</v>
      </c>
      <c r="S442" s="137">
        <v>16.0</v>
      </c>
      <c r="T442" s="137">
        <v>34.0</v>
      </c>
      <c r="U442" s="137">
        <v>28.0</v>
      </c>
      <c r="V442" s="137">
        <v>28.0</v>
      </c>
      <c r="W442" s="137">
        <v>12.0</v>
      </c>
      <c r="X442" s="137">
        <v>20.0</v>
      </c>
      <c r="Y442" s="137">
        <v>22.0</v>
      </c>
      <c r="Z442" s="137">
        <v>46.0</v>
      </c>
      <c r="AA442" s="137">
        <v>24.0</v>
      </c>
      <c r="AB442" s="137">
        <v>20.0</v>
      </c>
      <c r="AC442" s="137">
        <v>38.0</v>
      </c>
      <c r="AD442" s="137">
        <v>16.0</v>
      </c>
      <c r="AE442" s="137">
        <v>30.0</v>
      </c>
      <c r="AF442" s="137">
        <v>28.0</v>
      </c>
      <c r="AG442" s="137">
        <v>14.0</v>
      </c>
      <c r="AH442" s="137">
        <v>38.0</v>
      </c>
      <c r="AI442" s="137">
        <v>24.0</v>
      </c>
      <c r="AJ442" s="137">
        <v>6.0</v>
      </c>
      <c r="AK442" s="137">
        <v>0.0</v>
      </c>
      <c r="AL442" s="137">
        <v>24.0</v>
      </c>
      <c r="AM442" s="137">
        <v>2.0</v>
      </c>
      <c r="AN442" s="137">
        <v>678.0</v>
      </c>
    </row>
    <row r="443">
      <c r="A443" s="104"/>
      <c r="B443" s="136" t="s">
        <v>199</v>
      </c>
      <c r="C443" s="137">
        <v>550.0</v>
      </c>
      <c r="D443" s="137">
        <v>278.0</v>
      </c>
      <c r="E443" s="137">
        <v>272.0</v>
      </c>
      <c r="F443" s="137">
        <v>2.0</v>
      </c>
      <c r="G443" s="137">
        <v>58.0</v>
      </c>
      <c r="H443" s="137">
        <v>30.0</v>
      </c>
      <c r="I443" s="137">
        <v>12.0</v>
      </c>
      <c r="J443" s="137">
        <v>12.0</v>
      </c>
      <c r="K443" s="137">
        <v>18.0</v>
      </c>
      <c r="L443" s="137">
        <v>16.0</v>
      </c>
      <c r="M443" s="137">
        <v>28.0</v>
      </c>
      <c r="N443" s="137">
        <v>44.0</v>
      </c>
      <c r="O443" s="137">
        <v>12.0</v>
      </c>
      <c r="P443" s="137">
        <v>14.0</v>
      </c>
      <c r="Q443" s="137">
        <v>16.0</v>
      </c>
      <c r="R443" s="137">
        <v>70.0</v>
      </c>
      <c r="S443" s="137">
        <v>12.0</v>
      </c>
      <c r="T443" s="137">
        <v>28.0</v>
      </c>
      <c r="U443" s="137">
        <v>14.0</v>
      </c>
      <c r="V443" s="137">
        <v>10.0</v>
      </c>
      <c r="W443" s="137">
        <v>2.0</v>
      </c>
      <c r="X443" s="137">
        <v>16.0</v>
      </c>
      <c r="Y443" s="137">
        <v>14.0</v>
      </c>
      <c r="Z443" s="137">
        <v>12.0</v>
      </c>
      <c r="AA443" s="137">
        <v>18.0</v>
      </c>
      <c r="AB443" s="137">
        <v>0.0</v>
      </c>
      <c r="AC443" s="137">
        <v>14.0</v>
      </c>
      <c r="AD443" s="137">
        <v>2.0</v>
      </c>
      <c r="AE443" s="137">
        <v>26.0</v>
      </c>
      <c r="AF443" s="137">
        <v>8.0</v>
      </c>
      <c r="AG443" s="137">
        <v>26.0</v>
      </c>
      <c r="AH443" s="137">
        <v>8.0</v>
      </c>
      <c r="AI443" s="137">
        <v>0.0</v>
      </c>
      <c r="AJ443" s="137">
        <v>4.0</v>
      </c>
      <c r="AK443" s="137">
        <v>2.0</v>
      </c>
      <c r="AL443" s="137">
        <v>2.0</v>
      </c>
      <c r="AM443" s="137">
        <v>0.0</v>
      </c>
      <c r="AN443" s="137">
        <v>544.0</v>
      </c>
    </row>
    <row r="444">
      <c r="A444" s="132" t="s">
        <v>203</v>
      </c>
      <c r="B444" s="136" t="s">
        <v>198</v>
      </c>
      <c r="C444" s="137">
        <v>12.0</v>
      </c>
      <c r="D444" s="137">
        <v>4.0</v>
      </c>
      <c r="E444" s="137">
        <v>8.0</v>
      </c>
      <c r="F444" s="135">
        <v>0.0</v>
      </c>
      <c r="G444" s="135">
        <v>0.0</v>
      </c>
      <c r="H444" s="135">
        <v>0.0</v>
      </c>
      <c r="I444" s="135">
        <v>0.0</v>
      </c>
      <c r="J444" s="135">
        <v>0.0</v>
      </c>
      <c r="K444" s="135">
        <v>0.0</v>
      </c>
      <c r="L444" s="135">
        <v>0.0</v>
      </c>
      <c r="M444" s="135">
        <v>0.0</v>
      </c>
      <c r="N444" s="135">
        <v>0.0</v>
      </c>
      <c r="O444" s="135">
        <v>0.0</v>
      </c>
      <c r="P444" s="135">
        <v>0.0</v>
      </c>
      <c r="Q444" s="135">
        <v>0.0</v>
      </c>
      <c r="R444" s="135">
        <v>0.0</v>
      </c>
      <c r="S444" s="135">
        <v>0.0</v>
      </c>
      <c r="T444" s="135">
        <v>0.0</v>
      </c>
      <c r="U444" s="135">
        <v>0.0</v>
      </c>
      <c r="V444" s="135">
        <v>0.0</v>
      </c>
      <c r="W444" s="135">
        <v>0.0</v>
      </c>
      <c r="X444" s="135">
        <v>0.0</v>
      </c>
      <c r="Y444" s="135">
        <v>0.0</v>
      </c>
      <c r="Z444" s="135">
        <v>0.0</v>
      </c>
      <c r="AA444" s="135">
        <v>0.0</v>
      </c>
      <c r="AB444" s="135">
        <v>0.0</v>
      </c>
      <c r="AC444" s="135">
        <v>0.0</v>
      </c>
      <c r="AD444" s="135">
        <v>0.0</v>
      </c>
      <c r="AE444" s="135">
        <v>0.0</v>
      </c>
      <c r="AF444" s="137">
        <v>0.0</v>
      </c>
      <c r="AG444" s="137">
        <v>2.0</v>
      </c>
      <c r="AH444" s="137">
        <v>0.0</v>
      </c>
      <c r="AI444" s="137">
        <v>4.0</v>
      </c>
      <c r="AJ444" s="137">
        <v>2.0</v>
      </c>
      <c r="AK444" s="137">
        <v>0.0</v>
      </c>
      <c r="AL444" s="137">
        <v>2.0</v>
      </c>
      <c r="AM444" s="137">
        <v>2.0</v>
      </c>
      <c r="AN444" s="137">
        <v>12.0</v>
      </c>
    </row>
    <row r="445">
      <c r="A445" s="104"/>
      <c r="B445" s="136" t="s">
        <v>199</v>
      </c>
      <c r="C445" s="137">
        <v>454.0</v>
      </c>
      <c r="D445" s="137">
        <v>150.0</v>
      </c>
      <c r="E445" s="137">
        <v>304.0</v>
      </c>
      <c r="F445" s="135">
        <v>0.0</v>
      </c>
      <c r="G445" s="135">
        <v>0.0</v>
      </c>
      <c r="H445" s="135">
        <v>0.0</v>
      </c>
      <c r="I445" s="135">
        <v>0.0</v>
      </c>
      <c r="J445" s="135">
        <v>0.0</v>
      </c>
      <c r="K445" s="135">
        <v>0.0</v>
      </c>
      <c r="L445" s="135">
        <v>0.0</v>
      </c>
      <c r="M445" s="135">
        <v>0.0</v>
      </c>
      <c r="N445" s="135">
        <v>0.0</v>
      </c>
      <c r="O445" s="135">
        <v>0.0</v>
      </c>
      <c r="P445" s="135">
        <v>0.0</v>
      </c>
      <c r="Q445" s="135">
        <v>0.0</v>
      </c>
      <c r="R445" s="135">
        <v>0.0</v>
      </c>
      <c r="S445" s="135">
        <v>0.0</v>
      </c>
      <c r="T445" s="135">
        <v>0.0</v>
      </c>
      <c r="U445" s="135">
        <v>0.0</v>
      </c>
      <c r="V445" s="135">
        <v>0.0</v>
      </c>
      <c r="W445" s="135">
        <v>0.0</v>
      </c>
      <c r="X445" s="135">
        <v>0.0</v>
      </c>
      <c r="Y445" s="135">
        <v>0.0</v>
      </c>
      <c r="Z445" s="135">
        <v>0.0</v>
      </c>
      <c r="AA445" s="135">
        <v>0.0</v>
      </c>
      <c r="AB445" s="135">
        <v>0.0</v>
      </c>
      <c r="AC445" s="135">
        <v>0.0</v>
      </c>
      <c r="AD445" s="135">
        <v>0.0</v>
      </c>
      <c r="AE445" s="135">
        <v>0.0</v>
      </c>
      <c r="AF445" s="137">
        <v>52.0</v>
      </c>
      <c r="AG445" s="137">
        <v>74.0</v>
      </c>
      <c r="AH445" s="137">
        <v>34.0</v>
      </c>
      <c r="AI445" s="137">
        <v>104.0</v>
      </c>
      <c r="AJ445" s="137">
        <v>34.0</v>
      </c>
      <c r="AK445" s="137">
        <v>56.0</v>
      </c>
      <c r="AL445" s="137">
        <v>30.0</v>
      </c>
      <c r="AM445" s="137">
        <v>70.0</v>
      </c>
      <c r="AN445" s="137">
        <v>452.0</v>
      </c>
    </row>
    <row r="446">
      <c r="A446" s="132" t="s">
        <v>204</v>
      </c>
      <c r="B446" s="136" t="s">
        <v>198</v>
      </c>
      <c r="C446" s="137">
        <v>2.0</v>
      </c>
      <c r="D446" s="137">
        <v>0.0</v>
      </c>
      <c r="E446" s="137">
        <v>2.0</v>
      </c>
      <c r="F446" s="135">
        <v>0.0</v>
      </c>
      <c r="G446" s="135">
        <v>0.0</v>
      </c>
      <c r="H446" s="135">
        <v>0.0</v>
      </c>
      <c r="I446" s="135">
        <v>0.0</v>
      </c>
      <c r="J446" s="135">
        <v>0.0</v>
      </c>
      <c r="K446" s="135">
        <v>0.0</v>
      </c>
      <c r="L446" s="135">
        <v>0.0</v>
      </c>
      <c r="M446" s="135">
        <v>0.0</v>
      </c>
      <c r="N446" s="135">
        <v>0.0</v>
      </c>
      <c r="O446" s="135">
        <v>0.0</v>
      </c>
      <c r="P446" s="135">
        <v>0.0</v>
      </c>
      <c r="Q446" s="135">
        <v>0.0</v>
      </c>
      <c r="R446" s="135">
        <v>0.0</v>
      </c>
      <c r="S446" s="135">
        <v>0.0</v>
      </c>
      <c r="T446" s="135">
        <v>0.0</v>
      </c>
      <c r="U446" s="135">
        <v>0.0</v>
      </c>
      <c r="V446" s="135">
        <v>0.0</v>
      </c>
      <c r="W446" s="135">
        <v>0.0</v>
      </c>
      <c r="X446" s="135">
        <v>0.0</v>
      </c>
      <c r="Y446" s="135">
        <v>0.0</v>
      </c>
      <c r="Z446" s="135">
        <v>0.0</v>
      </c>
      <c r="AA446" s="135">
        <v>0.0</v>
      </c>
      <c r="AB446" s="135">
        <v>0.0</v>
      </c>
      <c r="AC446" s="135">
        <v>0.0</v>
      </c>
      <c r="AD446" s="135">
        <v>0.0</v>
      </c>
      <c r="AE446" s="135">
        <v>0.0</v>
      </c>
      <c r="AF446" s="137">
        <v>0.0</v>
      </c>
      <c r="AG446" s="137">
        <v>0.0</v>
      </c>
      <c r="AH446" s="137">
        <v>0.0</v>
      </c>
      <c r="AI446" s="137">
        <v>0.0</v>
      </c>
      <c r="AJ446" s="137">
        <v>0.0</v>
      </c>
      <c r="AK446" s="137">
        <v>0.0</v>
      </c>
      <c r="AL446" s="137">
        <v>0.0</v>
      </c>
      <c r="AM446" s="137">
        <v>2.0</v>
      </c>
      <c r="AN446" s="137">
        <v>2.0</v>
      </c>
    </row>
    <row r="447">
      <c r="A447" s="104"/>
      <c r="B447" s="136" t="s">
        <v>199</v>
      </c>
      <c r="C447" s="137">
        <v>200.0</v>
      </c>
      <c r="D447" s="137">
        <v>72.0</v>
      </c>
      <c r="E447" s="137">
        <v>128.0</v>
      </c>
      <c r="F447" s="135">
        <v>0.0</v>
      </c>
      <c r="G447" s="135">
        <v>0.0</v>
      </c>
      <c r="H447" s="135">
        <v>0.0</v>
      </c>
      <c r="I447" s="135">
        <v>0.0</v>
      </c>
      <c r="J447" s="135">
        <v>0.0</v>
      </c>
      <c r="K447" s="135">
        <v>0.0</v>
      </c>
      <c r="L447" s="135">
        <v>0.0</v>
      </c>
      <c r="M447" s="135">
        <v>0.0</v>
      </c>
      <c r="N447" s="135">
        <v>0.0</v>
      </c>
      <c r="O447" s="135">
        <v>0.0</v>
      </c>
      <c r="P447" s="135">
        <v>0.0</v>
      </c>
      <c r="Q447" s="135">
        <v>0.0</v>
      </c>
      <c r="R447" s="135">
        <v>0.0</v>
      </c>
      <c r="S447" s="135">
        <v>0.0</v>
      </c>
      <c r="T447" s="135">
        <v>0.0</v>
      </c>
      <c r="U447" s="135">
        <v>0.0</v>
      </c>
      <c r="V447" s="135">
        <v>0.0</v>
      </c>
      <c r="W447" s="135">
        <v>0.0</v>
      </c>
      <c r="X447" s="135">
        <v>0.0</v>
      </c>
      <c r="Y447" s="135">
        <v>0.0</v>
      </c>
      <c r="Z447" s="135">
        <v>0.0</v>
      </c>
      <c r="AA447" s="135">
        <v>0.0</v>
      </c>
      <c r="AB447" s="135">
        <v>0.0</v>
      </c>
      <c r="AC447" s="135">
        <v>0.0</v>
      </c>
      <c r="AD447" s="135">
        <v>0.0</v>
      </c>
      <c r="AE447" s="135">
        <v>0.0</v>
      </c>
      <c r="AF447" s="137">
        <v>12.0</v>
      </c>
      <c r="AG447" s="137">
        <v>14.0</v>
      </c>
      <c r="AH447" s="137">
        <v>6.0</v>
      </c>
      <c r="AI447" s="137">
        <v>24.0</v>
      </c>
      <c r="AJ447" s="137">
        <v>14.0</v>
      </c>
      <c r="AK447" s="137">
        <v>28.0</v>
      </c>
      <c r="AL447" s="137">
        <v>40.0</v>
      </c>
      <c r="AM447" s="137">
        <v>62.0</v>
      </c>
      <c r="AN447" s="137">
        <v>200.0</v>
      </c>
    </row>
    <row r="448">
      <c r="A448" s="132" t="s">
        <v>205</v>
      </c>
      <c r="B448" s="136" t="s">
        <v>198</v>
      </c>
      <c r="C448" s="137">
        <v>54.0</v>
      </c>
      <c r="D448" s="137">
        <v>12.0</v>
      </c>
      <c r="E448" s="137">
        <v>42.0</v>
      </c>
      <c r="F448" s="137">
        <v>6.0</v>
      </c>
      <c r="G448" s="137">
        <v>2.0</v>
      </c>
      <c r="H448" s="137">
        <v>0.0</v>
      </c>
      <c r="I448" s="137">
        <v>0.0</v>
      </c>
      <c r="J448" s="137">
        <v>0.0</v>
      </c>
      <c r="K448" s="137">
        <v>0.0</v>
      </c>
      <c r="L448" s="137">
        <v>0.0</v>
      </c>
      <c r="M448" s="137">
        <v>0.0</v>
      </c>
      <c r="N448" s="137">
        <v>0.0</v>
      </c>
      <c r="O448" s="137">
        <v>0.0</v>
      </c>
      <c r="P448" s="137">
        <v>0.0</v>
      </c>
      <c r="Q448" s="137">
        <v>0.0</v>
      </c>
      <c r="R448" s="137">
        <v>0.0</v>
      </c>
      <c r="S448" s="137">
        <v>4.0</v>
      </c>
      <c r="T448" s="137">
        <v>0.0</v>
      </c>
      <c r="U448" s="137">
        <v>0.0</v>
      </c>
      <c r="V448" s="137">
        <v>0.0</v>
      </c>
      <c r="W448" s="137">
        <v>0.0</v>
      </c>
      <c r="X448" s="137">
        <v>0.0</v>
      </c>
      <c r="Y448" s="137">
        <v>4.0</v>
      </c>
      <c r="Z448" s="137">
        <v>0.0</v>
      </c>
      <c r="AA448" s="137">
        <v>4.0</v>
      </c>
      <c r="AB448" s="137">
        <v>0.0</v>
      </c>
      <c r="AC448" s="137">
        <v>8.0</v>
      </c>
      <c r="AD448" s="137">
        <v>2.0</v>
      </c>
      <c r="AE448" s="137">
        <v>4.0</v>
      </c>
      <c r="AF448" s="137">
        <v>0.0</v>
      </c>
      <c r="AG448" s="137">
        <v>10.0</v>
      </c>
      <c r="AH448" s="137">
        <v>2.0</v>
      </c>
      <c r="AI448" s="137">
        <v>6.0</v>
      </c>
      <c r="AJ448" s="137">
        <v>2.0</v>
      </c>
      <c r="AK448" s="137">
        <v>0.0</v>
      </c>
      <c r="AL448" s="137">
        <v>0.0</v>
      </c>
      <c r="AM448" s="137">
        <v>0.0</v>
      </c>
      <c r="AN448" s="137">
        <v>52.0</v>
      </c>
    </row>
    <row r="449">
      <c r="A449" s="98"/>
      <c r="B449" s="136" t="s">
        <v>199</v>
      </c>
      <c r="C449" s="137">
        <v>2.0</v>
      </c>
      <c r="D449" s="137">
        <v>0.0</v>
      </c>
      <c r="E449" s="137">
        <v>2.0</v>
      </c>
      <c r="F449" s="137">
        <v>0.0</v>
      </c>
      <c r="G449" s="137">
        <v>0.0</v>
      </c>
      <c r="H449" s="137">
        <v>0.0</v>
      </c>
      <c r="I449" s="137">
        <v>0.0</v>
      </c>
      <c r="J449" s="137">
        <v>0.0</v>
      </c>
      <c r="K449" s="137">
        <v>0.0</v>
      </c>
      <c r="L449" s="137">
        <v>0.0</v>
      </c>
      <c r="M449" s="137">
        <v>0.0</v>
      </c>
      <c r="N449" s="137">
        <v>0.0</v>
      </c>
      <c r="O449" s="137">
        <v>0.0</v>
      </c>
      <c r="P449" s="137">
        <v>0.0</v>
      </c>
      <c r="Q449" s="137">
        <v>0.0</v>
      </c>
      <c r="R449" s="137">
        <v>0.0</v>
      </c>
      <c r="S449" s="137">
        <v>0.0</v>
      </c>
      <c r="T449" s="137">
        <v>0.0</v>
      </c>
      <c r="U449" s="137">
        <v>2.0</v>
      </c>
      <c r="V449" s="137">
        <v>0.0</v>
      </c>
      <c r="W449" s="137">
        <v>0.0</v>
      </c>
      <c r="X449" s="137">
        <v>0.0</v>
      </c>
      <c r="Y449" s="137">
        <v>0.0</v>
      </c>
      <c r="Z449" s="137">
        <v>0.0</v>
      </c>
      <c r="AA449" s="137">
        <v>0.0</v>
      </c>
      <c r="AB449" s="137">
        <v>0.0</v>
      </c>
      <c r="AC449" s="137">
        <v>0.0</v>
      </c>
      <c r="AD449" s="137">
        <v>0.0</v>
      </c>
      <c r="AE449" s="137">
        <v>0.0</v>
      </c>
      <c r="AF449" s="137">
        <v>0.0</v>
      </c>
      <c r="AG449" s="137">
        <v>0.0</v>
      </c>
      <c r="AH449" s="137">
        <v>0.0</v>
      </c>
      <c r="AI449" s="137">
        <v>0.0</v>
      </c>
      <c r="AJ449" s="137">
        <v>0.0</v>
      </c>
      <c r="AK449" s="137">
        <v>0.0</v>
      </c>
      <c r="AL449" s="137">
        <v>0.0</v>
      </c>
      <c r="AM449" s="137">
        <v>0.0</v>
      </c>
      <c r="AN449" s="137">
        <v>2.0</v>
      </c>
    </row>
    <row r="450">
      <c r="A450" s="104"/>
      <c r="B450" s="136" t="s">
        <v>206</v>
      </c>
      <c r="C450" s="137">
        <v>132.0</v>
      </c>
      <c r="D450" s="137">
        <v>34.0</v>
      </c>
      <c r="E450" s="137">
        <v>98.0</v>
      </c>
      <c r="F450" s="137">
        <v>0.0</v>
      </c>
      <c r="G450" s="137">
        <v>0.0</v>
      </c>
      <c r="H450" s="137">
        <v>0.0</v>
      </c>
      <c r="I450" s="137">
        <v>0.0</v>
      </c>
      <c r="J450" s="137">
        <v>0.0</v>
      </c>
      <c r="K450" s="137">
        <v>0.0</v>
      </c>
      <c r="L450" s="137">
        <v>2.0</v>
      </c>
      <c r="M450" s="137">
        <v>16.0</v>
      </c>
      <c r="N450" s="137">
        <v>14.0</v>
      </c>
      <c r="O450" s="137">
        <v>32.0</v>
      </c>
      <c r="P450" s="137">
        <v>10.0</v>
      </c>
      <c r="Q450" s="137">
        <v>22.0</v>
      </c>
      <c r="R450" s="137">
        <v>2.0</v>
      </c>
      <c r="S450" s="137">
        <v>10.0</v>
      </c>
      <c r="T450" s="137">
        <v>2.0</v>
      </c>
      <c r="U450" s="137">
        <v>14.0</v>
      </c>
      <c r="V450" s="137">
        <v>0.0</v>
      </c>
      <c r="W450" s="137">
        <v>0.0</v>
      </c>
      <c r="X450" s="137">
        <v>0.0</v>
      </c>
      <c r="Y450" s="137">
        <v>0.0</v>
      </c>
      <c r="Z450" s="137">
        <v>0.0</v>
      </c>
      <c r="AA450" s="137">
        <v>2.0</v>
      </c>
      <c r="AB450" s="137">
        <v>2.0</v>
      </c>
      <c r="AC450" s="137">
        <v>0.0</v>
      </c>
      <c r="AD450" s="137">
        <v>0.0</v>
      </c>
      <c r="AE450" s="137">
        <v>2.0</v>
      </c>
      <c r="AF450" s="137">
        <v>2.0</v>
      </c>
      <c r="AG450" s="137">
        <v>0.0</v>
      </c>
      <c r="AH450" s="137">
        <v>0.0</v>
      </c>
      <c r="AI450" s="137">
        <v>0.0</v>
      </c>
      <c r="AJ450" s="137">
        <v>0.0</v>
      </c>
      <c r="AK450" s="137">
        <v>0.0</v>
      </c>
      <c r="AL450" s="137">
        <v>0.0</v>
      </c>
      <c r="AM450" s="137">
        <v>0.0</v>
      </c>
      <c r="AN450" s="137">
        <v>132.0</v>
      </c>
    </row>
    <row r="451">
      <c r="A451" s="132" t="s">
        <v>207</v>
      </c>
      <c r="B451" s="136" t="s">
        <v>198</v>
      </c>
      <c r="C451" s="134">
        <v>7948.0</v>
      </c>
      <c r="D451" s="134">
        <v>1930.0</v>
      </c>
      <c r="E451" s="134">
        <v>6018.0</v>
      </c>
      <c r="F451" s="137">
        <v>86.0</v>
      </c>
      <c r="G451" s="137">
        <v>70.0</v>
      </c>
      <c r="H451" s="137">
        <v>88.0</v>
      </c>
      <c r="I451" s="137">
        <v>84.0</v>
      </c>
      <c r="J451" s="137">
        <v>66.0</v>
      </c>
      <c r="K451" s="137">
        <v>82.0</v>
      </c>
      <c r="L451" s="137">
        <v>54.0</v>
      </c>
      <c r="M451" s="137">
        <v>104.0</v>
      </c>
      <c r="N451" s="137">
        <v>24.0</v>
      </c>
      <c r="O451" s="137">
        <v>136.0</v>
      </c>
      <c r="P451" s="137">
        <v>38.0</v>
      </c>
      <c r="Q451" s="137">
        <v>148.0</v>
      </c>
      <c r="R451" s="137">
        <v>58.0</v>
      </c>
      <c r="S451" s="137">
        <v>196.0</v>
      </c>
      <c r="T451" s="137">
        <v>60.0</v>
      </c>
      <c r="U451" s="137">
        <v>238.0</v>
      </c>
      <c r="V451" s="137">
        <v>42.0</v>
      </c>
      <c r="W451" s="137">
        <v>334.0</v>
      </c>
      <c r="X451" s="137">
        <v>100.0</v>
      </c>
      <c r="Y451" s="137">
        <v>382.0</v>
      </c>
      <c r="Z451" s="137">
        <v>102.0</v>
      </c>
      <c r="AA451" s="137">
        <v>554.0</v>
      </c>
      <c r="AB451" s="137">
        <v>150.0</v>
      </c>
      <c r="AC451" s="137">
        <v>750.0</v>
      </c>
      <c r="AD451" s="137">
        <v>182.0</v>
      </c>
      <c r="AE451" s="137">
        <v>742.0</v>
      </c>
      <c r="AF451" s="137">
        <v>220.0</v>
      </c>
      <c r="AG451" s="137">
        <v>722.0</v>
      </c>
      <c r="AH451" s="137">
        <v>208.0</v>
      </c>
      <c r="AI451" s="137">
        <v>536.0</v>
      </c>
      <c r="AJ451" s="137">
        <v>184.0</v>
      </c>
      <c r="AK451" s="137">
        <v>440.0</v>
      </c>
      <c r="AL451" s="137">
        <v>268.0</v>
      </c>
      <c r="AM451" s="137">
        <v>500.0</v>
      </c>
      <c r="AN451" s="134">
        <v>7938.0</v>
      </c>
    </row>
    <row r="452">
      <c r="A452" s="98"/>
      <c r="B452" s="136" t="s">
        <v>199</v>
      </c>
      <c r="C452" s="134">
        <v>1976.0</v>
      </c>
      <c r="D452" s="137">
        <v>448.0</v>
      </c>
      <c r="E452" s="134">
        <v>1528.0</v>
      </c>
      <c r="F452" s="137">
        <v>0.0</v>
      </c>
      <c r="G452" s="137">
        <v>0.0</v>
      </c>
      <c r="H452" s="137">
        <v>4.0</v>
      </c>
      <c r="I452" s="137">
        <v>2.0</v>
      </c>
      <c r="J452" s="137">
        <v>6.0</v>
      </c>
      <c r="K452" s="137">
        <v>12.0</v>
      </c>
      <c r="L452" s="137">
        <v>6.0</v>
      </c>
      <c r="M452" s="137">
        <v>46.0</v>
      </c>
      <c r="N452" s="137">
        <v>8.0</v>
      </c>
      <c r="O452" s="137">
        <v>38.0</v>
      </c>
      <c r="P452" s="137">
        <v>20.0</v>
      </c>
      <c r="Q452" s="137">
        <v>62.0</v>
      </c>
      <c r="R452" s="137">
        <v>12.0</v>
      </c>
      <c r="S452" s="137">
        <v>70.0</v>
      </c>
      <c r="T452" s="137">
        <v>26.0</v>
      </c>
      <c r="U452" s="137">
        <v>88.0</v>
      </c>
      <c r="V452" s="137">
        <v>20.0</v>
      </c>
      <c r="W452" s="137">
        <v>128.0</v>
      </c>
      <c r="X452" s="137">
        <v>22.0</v>
      </c>
      <c r="Y452" s="137">
        <v>138.0</v>
      </c>
      <c r="Z452" s="137">
        <v>52.0</v>
      </c>
      <c r="AA452" s="137">
        <v>180.0</v>
      </c>
      <c r="AB452" s="137">
        <v>40.0</v>
      </c>
      <c r="AC452" s="137">
        <v>194.0</v>
      </c>
      <c r="AD452" s="137">
        <v>46.0</v>
      </c>
      <c r="AE452" s="137">
        <v>158.0</v>
      </c>
      <c r="AF452" s="137">
        <v>46.0</v>
      </c>
      <c r="AG452" s="137">
        <v>116.0</v>
      </c>
      <c r="AH452" s="137">
        <v>42.0</v>
      </c>
      <c r="AI452" s="137">
        <v>118.0</v>
      </c>
      <c r="AJ452" s="137">
        <v>32.0</v>
      </c>
      <c r="AK452" s="137">
        <v>86.0</v>
      </c>
      <c r="AL452" s="137">
        <v>66.0</v>
      </c>
      <c r="AM452" s="137">
        <v>92.0</v>
      </c>
      <c r="AN452" s="134">
        <v>1956.0</v>
      </c>
    </row>
    <row r="453">
      <c r="A453" s="98"/>
      <c r="B453" s="136" t="s">
        <v>206</v>
      </c>
      <c r="C453" s="137">
        <v>8.0</v>
      </c>
      <c r="D453" s="137">
        <v>2.0</v>
      </c>
      <c r="E453" s="137">
        <v>6.0</v>
      </c>
      <c r="F453" s="137">
        <v>2.0</v>
      </c>
      <c r="G453" s="137">
        <v>4.0</v>
      </c>
      <c r="H453" s="137">
        <v>0.0</v>
      </c>
      <c r="I453" s="137">
        <v>2.0</v>
      </c>
      <c r="J453" s="137">
        <v>0.0</v>
      </c>
      <c r="K453" s="137">
        <v>0.0</v>
      </c>
      <c r="L453" s="137">
        <v>0.0</v>
      </c>
      <c r="M453" s="137">
        <v>0.0</v>
      </c>
      <c r="N453" s="137">
        <v>0.0</v>
      </c>
      <c r="O453" s="137">
        <v>0.0</v>
      </c>
      <c r="P453" s="137">
        <v>0.0</v>
      </c>
      <c r="Q453" s="137">
        <v>0.0</v>
      </c>
      <c r="R453" s="137">
        <v>0.0</v>
      </c>
      <c r="S453" s="137">
        <v>0.0</v>
      </c>
      <c r="T453" s="137">
        <v>0.0</v>
      </c>
      <c r="U453" s="137">
        <v>0.0</v>
      </c>
      <c r="V453" s="137">
        <v>0.0</v>
      </c>
      <c r="W453" s="137">
        <v>0.0</v>
      </c>
      <c r="X453" s="137">
        <v>0.0</v>
      </c>
      <c r="Y453" s="137">
        <v>0.0</v>
      </c>
      <c r="Z453" s="137">
        <v>0.0</v>
      </c>
      <c r="AA453" s="137">
        <v>0.0</v>
      </c>
      <c r="AB453" s="137">
        <v>0.0</v>
      </c>
      <c r="AC453" s="137">
        <v>0.0</v>
      </c>
      <c r="AD453" s="137">
        <v>0.0</v>
      </c>
      <c r="AE453" s="137">
        <v>0.0</v>
      </c>
      <c r="AF453" s="137">
        <v>0.0</v>
      </c>
      <c r="AG453" s="137">
        <v>0.0</v>
      </c>
      <c r="AH453" s="137">
        <v>0.0</v>
      </c>
      <c r="AI453" s="137">
        <v>0.0</v>
      </c>
      <c r="AJ453" s="137">
        <v>0.0</v>
      </c>
      <c r="AK453" s="137">
        <v>0.0</v>
      </c>
      <c r="AL453" s="137">
        <v>0.0</v>
      </c>
      <c r="AM453" s="137">
        <v>0.0</v>
      </c>
      <c r="AN453" s="137">
        <v>8.0</v>
      </c>
    </row>
    <row r="454">
      <c r="A454" s="98"/>
      <c r="B454" s="136" t="s">
        <v>200</v>
      </c>
      <c r="C454" s="137">
        <v>922.0</v>
      </c>
      <c r="D454" s="137">
        <v>268.0</v>
      </c>
      <c r="E454" s="137">
        <v>654.0</v>
      </c>
      <c r="F454" s="137">
        <v>34.0</v>
      </c>
      <c r="G454" s="137">
        <v>16.0</v>
      </c>
      <c r="H454" s="137">
        <v>6.0</v>
      </c>
      <c r="I454" s="137">
        <v>12.0</v>
      </c>
      <c r="J454" s="137">
        <v>2.0</v>
      </c>
      <c r="K454" s="137">
        <v>6.0</v>
      </c>
      <c r="L454" s="137">
        <v>2.0</v>
      </c>
      <c r="M454" s="137">
        <v>14.0</v>
      </c>
      <c r="N454" s="137">
        <v>10.0</v>
      </c>
      <c r="O454" s="137">
        <v>38.0</v>
      </c>
      <c r="P454" s="137">
        <v>10.0</v>
      </c>
      <c r="Q454" s="137">
        <v>48.0</v>
      </c>
      <c r="R454" s="137">
        <v>14.0</v>
      </c>
      <c r="S454" s="137">
        <v>44.0</v>
      </c>
      <c r="T454" s="137">
        <v>14.0</v>
      </c>
      <c r="U454" s="137">
        <v>56.0</v>
      </c>
      <c r="V454" s="137">
        <v>8.0</v>
      </c>
      <c r="W454" s="137">
        <v>52.0</v>
      </c>
      <c r="X454" s="137">
        <v>14.0</v>
      </c>
      <c r="Y454" s="137">
        <v>46.0</v>
      </c>
      <c r="Z454" s="137">
        <v>14.0</v>
      </c>
      <c r="AA454" s="137">
        <v>46.0</v>
      </c>
      <c r="AB454" s="137">
        <v>30.0</v>
      </c>
      <c r="AC454" s="137">
        <v>80.0</v>
      </c>
      <c r="AD454" s="137">
        <v>32.0</v>
      </c>
      <c r="AE454" s="137">
        <v>52.0</v>
      </c>
      <c r="AF454" s="137">
        <v>28.0</v>
      </c>
      <c r="AG454" s="137">
        <v>50.0</v>
      </c>
      <c r="AH454" s="137">
        <v>26.0</v>
      </c>
      <c r="AI454" s="137">
        <v>36.0</v>
      </c>
      <c r="AJ454" s="137">
        <v>14.0</v>
      </c>
      <c r="AK454" s="137">
        <v>28.0</v>
      </c>
      <c r="AL454" s="137">
        <v>10.0</v>
      </c>
      <c r="AM454" s="137">
        <v>30.0</v>
      </c>
      <c r="AN454" s="137">
        <v>920.0</v>
      </c>
    </row>
    <row r="455">
      <c r="A455" s="104"/>
      <c r="B455" s="136" t="s">
        <v>201</v>
      </c>
      <c r="C455" s="137">
        <v>0.0</v>
      </c>
      <c r="D455" s="137">
        <v>0.0</v>
      </c>
      <c r="E455" s="137">
        <v>0.0</v>
      </c>
      <c r="F455" s="137">
        <v>0.0</v>
      </c>
      <c r="G455" s="137">
        <v>0.0</v>
      </c>
      <c r="H455" s="137">
        <v>0.0</v>
      </c>
      <c r="I455" s="137">
        <v>0.0</v>
      </c>
      <c r="J455" s="137">
        <v>0.0</v>
      </c>
      <c r="K455" s="137">
        <v>0.0</v>
      </c>
      <c r="L455" s="137">
        <v>0.0</v>
      </c>
      <c r="M455" s="137">
        <v>0.0</v>
      </c>
      <c r="N455" s="137">
        <v>0.0</v>
      </c>
      <c r="O455" s="137">
        <v>0.0</v>
      </c>
      <c r="P455" s="137">
        <v>0.0</v>
      </c>
      <c r="Q455" s="137">
        <v>0.0</v>
      </c>
      <c r="R455" s="137">
        <v>0.0</v>
      </c>
      <c r="S455" s="137">
        <v>0.0</v>
      </c>
      <c r="T455" s="137">
        <v>0.0</v>
      </c>
      <c r="U455" s="137">
        <v>0.0</v>
      </c>
      <c r="V455" s="137">
        <v>0.0</v>
      </c>
      <c r="W455" s="137">
        <v>0.0</v>
      </c>
      <c r="X455" s="137">
        <v>0.0</v>
      </c>
      <c r="Y455" s="137">
        <v>0.0</v>
      </c>
      <c r="Z455" s="137">
        <v>0.0</v>
      </c>
      <c r="AA455" s="137">
        <v>0.0</v>
      </c>
      <c r="AB455" s="137">
        <v>0.0</v>
      </c>
      <c r="AC455" s="137">
        <v>0.0</v>
      </c>
      <c r="AD455" s="137">
        <v>0.0</v>
      </c>
      <c r="AE455" s="137">
        <v>0.0</v>
      </c>
      <c r="AF455" s="137">
        <v>0.0</v>
      </c>
      <c r="AG455" s="137">
        <v>0.0</v>
      </c>
      <c r="AH455" s="137">
        <v>0.0</v>
      </c>
      <c r="AI455" s="137">
        <v>0.0</v>
      </c>
      <c r="AJ455" s="137">
        <v>0.0</v>
      </c>
      <c r="AK455" s="137">
        <v>0.0</v>
      </c>
      <c r="AL455" s="137">
        <v>0.0</v>
      </c>
      <c r="AM455" s="137">
        <v>0.0</v>
      </c>
      <c r="AN455" s="137">
        <v>0.0</v>
      </c>
    </row>
    <row r="456">
      <c r="A456" s="132" t="s">
        <v>208</v>
      </c>
      <c r="B456" s="136" t="s">
        <v>198</v>
      </c>
      <c r="C456" s="137">
        <v>14.0</v>
      </c>
      <c r="D456" s="137">
        <v>12.0</v>
      </c>
      <c r="E456" s="137">
        <v>2.0</v>
      </c>
      <c r="F456" s="137">
        <v>0.0</v>
      </c>
      <c r="G456" s="137">
        <v>2.0</v>
      </c>
      <c r="H456" s="137">
        <v>4.0</v>
      </c>
      <c r="I456" s="137">
        <v>0.0</v>
      </c>
      <c r="J456" s="137">
        <v>6.0</v>
      </c>
      <c r="K456" s="137">
        <v>0.0</v>
      </c>
      <c r="L456" s="137">
        <v>2.0</v>
      </c>
      <c r="M456" s="137">
        <v>0.0</v>
      </c>
      <c r="N456" s="137">
        <v>0.0</v>
      </c>
      <c r="O456" s="137">
        <v>0.0</v>
      </c>
      <c r="P456" s="135">
        <v>0.0</v>
      </c>
      <c r="Q456" s="135">
        <v>0.0</v>
      </c>
      <c r="R456" s="135">
        <v>0.0</v>
      </c>
      <c r="S456" s="135">
        <v>0.0</v>
      </c>
      <c r="T456" s="135">
        <v>0.0</v>
      </c>
      <c r="U456" s="135">
        <v>0.0</v>
      </c>
      <c r="V456" s="135">
        <v>0.0</v>
      </c>
      <c r="W456" s="135">
        <v>0.0</v>
      </c>
      <c r="X456" s="135">
        <v>0.0</v>
      </c>
      <c r="Y456" s="135">
        <v>0.0</v>
      </c>
      <c r="Z456" s="135">
        <v>0.0</v>
      </c>
      <c r="AA456" s="135">
        <v>0.0</v>
      </c>
      <c r="AB456" s="135">
        <v>0.0</v>
      </c>
      <c r="AC456" s="135">
        <v>0.0</v>
      </c>
      <c r="AD456" s="135">
        <v>0.0</v>
      </c>
      <c r="AE456" s="135">
        <v>0.0</v>
      </c>
      <c r="AF456" s="135">
        <v>0.0</v>
      </c>
      <c r="AG456" s="135">
        <v>0.0</v>
      </c>
      <c r="AH456" s="135">
        <v>0.0</v>
      </c>
      <c r="AI456" s="135">
        <v>0.0</v>
      </c>
      <c r="AJ456" s="135">
        <v>0.0</v>
      </c>
      <c r="AK456" s="135">
        <v>0.0</v>
      </c>
      <c r="AL456" s="135">
        <v>0.0</v>
      </c>
      <c r="AM456" s="135">
        <v>0.0</v>
      </c>
      <c r="AN456" s="137">
        <v>12.0</v>
      </c>
    </row>
    <row r="457">
      <c r="A457" s="98"/>
      <c r="B457" s="136" t="s">
        <v>199</v>
      </c>
      <c r="C457" s="137">
        <v>28.0</v>
      </c>
      <c r="D457" s="137">
        <v>20.0</v>
      </c>
      <c r="E457" s="137">
        <v>8.0</v>
      </c>
      <c r="F457" s="137">
        <v>12.0</v>
      </c>
      <c r="G457" s="137">
        <v>8.0</v>
      </c>
      <c r="H457" s="137">
        <v>4.0</v>
      </c>
      <c r="I457" s="137">
        <v>0.0</v>
      </c>
      <c r="J457" s="137">
        <v>2.0</v>
      </c>
      <c r="K457" s="137">
        <v>0.0</v>
      </c>
      <c r="L457" s="137">
        <v>2.0</v>
      </c>
      <c r="M457" s="137">
        <v>0.0</v>
      </c>
      <c r="N457" s="137">
        <v>0.0</v>
      </c>
      <c r="O457" s="137">
        <v>0.0</v>
      </c>
      <c r="P457" s="135">
        <v>0.0</v>
      </c>
      <c r="Q457" s="135">
        <v>0.0</v>
      </c>
      <c r="R457" s="135">
        <v>0.0</v>
      </c>
      <c r="S457" s="135">
        <v>0.0</v>
      </c>
      <c r="T457" s="135">
        <v>0.0</v>
      </c>
      <c r="U457" s="135">
        <v>0.0</v>
      </c>
      <c r="V457" s="135">
        <v>0.0</v>
      </c>
      <c r="W457" s="135">
        <v>0.0</v>
      </c>
      <c r="X457" s="135">
        <v>0.0</v>
      </c>
      <c r="Y457" s="135">
        <v>0.0</v>
      </c>
      <c r="Z457" s="135">
        <v>0.0</v>
      </c>
      <c r="AA457" s="135">
        <v>0.0</v>
      </c>
      <c r="AB457" s="135">
        <v>0.0</v>
      </c>
      <c r="AC457" s="135">
        <v>0.0</v>
      </c>
      <c r="AD457" s="135">
        <v>0.0</v>
      </c>
      <c r="AE457" s="135">
        <v>0.0</v>
      </c>
      <c r="AF457" s="135">
        <v>0.0</v>
      </c>
      <c r="AG457" s="135">
        <v>0.0</v>
      </c>
      <c r="AH457" s="135">
        <v>0.0</v>
      </c>
      <c r="AI457" s="135">
        <v>0.0</v>
      </c>
      <c r="AJ457" s="135">
        <v>0.0</v>
      </c>
      <c r="AK457" s="135">
        <v>0.0</v>
      </c>
      <c r="AL457" s="135">
        <v>0.0</v>
      </c>
      <c r="AM457" s="135">
        <v>0.0</v>
      </c>
      <c r="AN457" s="137">
        <v>24.0</v>
      </c>
    </row>
    <row r="458">
      <c r="A458" s="98"/>
      <c r="B458" s="136" t="s">
        <v>206</v>
      </c>
      <c r="C458" s="137">
        <v>0.0</v>
      </c>
      <c r="D458" s="137">
        <v>0.0</v>
      </c>
      <c r="E458" s="137">
        <v>0.0</v>
      </c>
      <c r="F458" s="137">
        <v>0.0</v>
      </c>
      <c r="G458" s="137">
        <v>0.0</v>
      </c>
      <c r="H458" s="137">
        <v>0.0</v>
      </c>
      <c r="I458" s="137">
        <v>0.0</v>
      </c>
      <c r="J458" s="137">
        <v>0.0</v>
      </c>
      <c r="K458" s="137">
        <v>0.0</v>
      </c>
      <c r="L458" s="137">
        <v>0.0</v>
      </c>
      <c r="M458" s="137">
        <v>0.0</v>
      </c>
      <c r="N458" s="137">
        <v>0.0</v>
      </c>
      <c r="O458" s="137">
        <v>0.0</v>
      </c>
      <c r="P458" s="135">
        <v>0.0</v>
      </c>
      <c r="Q458" s="135">
        <v>0.0</v>
      </c>
      <c r="R458" s="135">
        <v>0.0</v>
      </c>
      <c r="S458" s="135">
        <v>0.0</v>
      </c>
      <c r="T458" s="135">
        <v>0.0</v>
      </c>
      <c r="U458" s="135">
        <v>0.0</v>
      </c>
      <c r="V458" s="135">
        <v>0.0</v>
      </c>
      <c r="W458" s="135">
        <v>0.0</v>
      </c>
      <c r="X458" s="135">
        <v>0.0</v>
      </c>
      <c r="Y458" s="135">
        <v>0.0</v>
      </c>
      <c r="Z458" s="135">
        <v>0.0</v>
      </c>
      <c r="AA458" s="135">
        <v>0.0</v>
      </c>
      <c r="AB458" s="135">
        <v>0.0</v>
      </c>
      <c r="AC458" s="135">
        <v>0.0</v>
      </c>
      <c r="AD458" s="135">
        <v>0.0</v>
      </c>
      <c r="AE458" s="135">
        <v>0.0</v>
      </c>
      <c r="AF458" s="135">
        <v>0.0</v>
      </c>
      <c r="AG458" s="135">
        <v>0.0</v>
      </c>
      <c r="AH458" s="135">
        <v>0.0</v>
      </c>
      <c r="AI458" s="135">
        <v>0.0</v>
      </c>
      <c r="AJ458" s="135">
        <v>0.0</v>
      </c>
      <c r="AK458" s="135">
        <v>0.0</v>
      </c>
      <c r="AL458" s="135">
        <v>0.0</v>
      </c>
      <c r="AM458" s="135">
        <v>0.0</v>
      </c>
      <c r="AN458" s="137">
        <v>0.0</v>
      </c>
    </row>
    <row r="459">
      <c r="A459" s="98"/>
      <c r="B459" s="136" t="s">
        <v>200</v>
      </c>
      <c r="C459" s="137">
        <v>266.0</v>
      </c>
      <c r="D459" s="137">
        <v>116.0</v>
      </c>
      <c r="E459" s="137">
        <v>150.0</v>
      </c>
      <c r="F459" s="137">
        <v>80.0</v>
      </c>
      <c r="G459" s="137">
        <v>100.0</v>
      </c>
      <c r="H459" s="137">
        <v>10.0</v>
      </c>
      <c r="I459" s="137">
        <v>22.0</v>
      </c>
      <c r="J459" s="137">
        <v>20.0</v>
      </c>
      <c r="K459" s="137">
        <v>12.0</v>
      </c>
      <c r="L459" s="137">
        <v>4.0</v>
      </c>
      <c r="M459" s="137">
        <v>8.0</v>
      </c>
      <c r="N459" s="137">
        <v>2.0</v>
      </c>
      <c r="O459" s="137">
        <v>8.0</v>
      </c>
      <c r="P459" s="135">
        <v>0.0</v>
      </c>
      <c r="Q459" s="135">
        <v>0.0</v>
      </c>
      <c r="R459" s="135">
        <v>0.0</v>
      </c>
      <c r="S459" s="135">
        <v>0.0</v>
      </c>
      <c r="T459" s="135">
        <v>0.0</v>
      </c>
      <c r="U459" s="135">
        <v>0.0</v>
      </c>
      <c r="V459" s="135">
        <v>0.0</v>
      </c>
      <c r="W459" s="135">
        <v>0.0</v>
      </c>
      <c r="X459" s="135">
        <v>0.0</v>
      </c>
      <c r="Y459" s="135">
        <v>0.0</v>
      </c>
      <c r="Z459" s="135">
        <v>0.0</v>
      </c>
      <c r="AA459" s="135">
        <v>0.0</v>
      </c>
      <c r="AB459" s="135">
        <v>0.0</v>
      </c>
      <c r="AC459" s="135">
        <v>0.0</v>
      </c>
      <c r="AD459" s="135">
        <v>0.0</v>
      </c>
      <c r="AE459" s="135">
        <v>0.0</v>
      </c>
      <c r="AF459" s="135">
        <v>0.0</v>
      </c>
      <c r="AG459" s="135">
        <v>0.0</v>
      </c>
      <c r="AH459" s="135">
        <v>0.0</v>
      </c>
      <c r="AI459" s="135">
        <v>0.0</v>
      </c>
      <c r="AJ459" s="135">
        <v>0.0</v>
      </c>
      <c r="AK459" s="135">
        <v>0.0</v>
      </c>
      <c r="AL459" s="135">
        <v>0.0</v>
      </c>
      <c r="AM459" s="135">
        <v>0.0</v>
      </c>
      <c r="AN459" s="137">
        <v>266.0</v>
      </c>
    </row>
    <row r="460">
      <c r="A460" s="104"/>
      <c r="B460" s="136" t="s">
        <v>201</v>
      </c>
      <c r="C460" s="137">
        <v>0.0</v>
      </c>
      <c r="D460" s="137">
        <v>0.0</v>
      </c>
      <c r="E460" s="137">
        <v>0.0</v>
      </c>
      <c r="F460" s="137">
        <v>0.0</v>
      </c>
      <c r="G460" s="137">
        <v>0.0</v>
      </c>
      <c r="H460" s="137">
        <v>0.0</v>
      </c>
      <c r="I460" s="137">
        <v>0.0</v>
      </c>
      <c r="J460" s="137">
        <v>0.0</v>
      </c>
      <c r="K460" s="137">
        <v>0.0</v>
      </c>
      <c r="L460" s="137">
        <v>0.0</v>
      </c>
      <c r="M460" s="137">
        <v>0.0</v>
      </c>
      <c r="N460" s="137">
        <v>0.0</v>
      </c>
      <c r="O460" s="137">
        <v>0.0</v>
      </c>
      <c r="P460" s="135">
        <v>0.0</v>
      </c>
      <c r="Q460" s="135">
        <v>0.0</v>
      </c>
      <c r="R460" s="135">
        <v>0.0</v>
      </c>
      <c r="S460" s="135">
        <v>0.0</v>
      </c>
      <c r="T460" s="135">
        <v>0.0</v>
      </c>
      <c r="U460" s="135">
        <v>0.0</v>
      </c>
      <c r="V460" s="135">
        <v>0.0</v>
      </c>
      <c r="W460" s="135">
        <v>0.0</v>
      </c>
      <c r="X460" s="135">
        <v>0.0</v>
      </c>
      <c r="Y460" s="135">
        <v>0.0</v>
      </c>
      <c r="Z460" s="135">
        <v>0.0</v>
      </c>
      <c r="AA460" s="135">
        <v>0.0</v>
      </c>
      <c r="AB460" s="135">
        <v>0.0</v>
      </c>
      <c r="AC460" s="135">
        <v>0.0</v>
      </c>
      <c r="AD460" s="135">
        <v>0.0</v>
      </c>
      <c r="AE460" s="135">
        <v>0.0</v>
      </c>
      <c r="AF460" s="135">
        <v>0.0</v>
      </c>
      <c r="AG460" s="135">
        <v>0.0</v>
      </c>
      <c r="AH460" s="135">
        <v>0.0</v>
      </c>
      <c r="AI460" s="135">
        <v>0.0</v>
      </c>
      <c r="AJ460" s="135">
        <v>0.0</v>
      </c>
      <c r="AK460" s="135">
        <v>0.0</v>
      </c>
      <c r="AL460" s="135">
        <v>0.0</v>
      </c>
      <c r="AM460" s="135">
        <v>0.0</v>
      </c>
      <c r="AN460" s="137">
        <v>0.0</v>
      </c>
    </row>
    <row r="461">
      <c r="A461" s="138" t="s">
        <v>258</v>
      </c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</row>
    <row r="462">
      <c r="A462" s="132" t="s">
        <v>197</v>
      </c>
      <c r="B462" s="133" t="s">
        <v>198</v>
      </c>
      <c r="C462" s="134">
        <v>29102.0</v>
      </c>
      <c r="D462" s="134">
        <v>10776.0</v>
      </c>
      <c r="E462" s="134">
        <v>18326.0</v>
      </c>
      <c r="F462" s="135">
        <v>0.0</v>
      </c>
      <c r="G462" s="135">
        <v>0.0</v>
      </c>
      <c r="H462" s="135">
        <v>0.0</v>
      </c>
      <c r="I462" s="135">
        <v>0.0</v>
      </c>
      <c r="J462" s="135">
        <v>0.0</v>
      </c>
      <c r="K462" s="135">
        <v>0.0</v>
      </c>
      <c r="L462" s="137">
        <v>22.0</v>
      </c>
      <c r="M462" s="137">
        <v>40.0</v>
      </c>
      <c r="N462" s="137">
        <v>18.0</v>
      </c>
      <c r="O462" s="137">
        <v>74.0</v>
      </c>
      <c r="P462" s="137">
        <v>36.0</v>
      </c>
      <c r="Q462" s="137">
        <v>152.0</v>
      </c>
      <c r="R462" s="137">
        <v>76.0</v>
      </c>
      <c r="S462" s="137">
        <v>288.0</v>
      </c>
      <c r="T462" s="137">
        <v>226.0</v>
      </c>
      <c r="U462" s="137">
        <v>510.0</v>
      </c>
      <c r="V462" s="137">
        <v>426.0</v>
      </c>
      <c r="W462" s="137">
        <v>958.0</v>
      </c>
      <c r="X462" s="137">
        <v>604.0</v>
      </c>
      <c r="Y462" s="134">
        <v>1578.0</v>
      </c>
      <c r="Z462" s="134">
        <v>1072.0</v>
      </c>
      <c r="AA462" s="134">
        <v>2256.0</v>
      </c>
      <c r="AB462" s="134">
        <v>1412.0</v>
      </c>
      <c r="AC462" s="134">
        <v>2460.0</v>
      </c>
      <c r="AD462" s="134">
        <v>1586.0</v>
      </c>
      <c r="AE462" s="134">
        <v>2574.0</v>
      </c>
      <c r="AF462" s="134">
        <v>1582.0</v>
      </c>
      <c r="AG462" s="134">
        <v>2454.0</v>
      </c>
      <c r="AH462" s="134">
        <v>1406.0</v>
      </c>
      <c r="AI462" s="134">
        <v>1946.0</v>
      </c>
      <c r="AJ462" s="134">
        <v>1160.0</v>
      </c>
      <c r="AK462" s="134">
        <v>1394.0</v>
      </c>
      <c r="AL462" s="134">
        <v>1150.0</v>
      </c>
      <c r="AM462" s="134">
        <v>1642.0</v>
      </c>
      <c r="AN462" s="134">
        <v>28732.0</v>
      </c>
    </row>
    <row r="463">
      <c r="A463" s="98"/>
      <c r="B463" s="136" t="s">
        <v>199</v>
      </c>
      <c r="C463" s="134">
        <v>16056.0</v>
      </c>
      <c r="D463" s="134">
        <v>6018.0</v>
      </c>
      <c r="E463" s="134">
        <v>10038.0</v>
      </c>
      <c r="F463" s="135">
        <v>0.0</v>
      </c>
      <c r="G463" s="135">
        <v>0.0</v>
      </c>
      <c r="H463" s="135">
        <v>0.0</v>
      </c>
      <c r="I463" s="135">
        <v>0.0</v>
      </c>
      <c r="J463" s="135">
        <v>0.0</v>
      </c>
      <c r="K463" s="135">
        <v>0.0</v>
      </c>
      <c r="L463" s="137">
        <v>6.0</v>
      </c>
      <c r="M463" s="137">
        <v>8.0</v>
      </c>
      <c r="N463" s="137">
        <v>10.0</v>
      </c>
      <c r="O463" s="137">
        <v>22.0</v>
      </c>
      <c r="P463" s="137">
        <v>32.0</v>
      </c>
      <c r="Q463" s="137">
        <v>58.0</v>
      </c>
      <c r="R463" s="137">
        <v>58.0</v>
      </c>
      <c r="S463" s="137">
        <v>114.0</v>
      </c>
      <c r="T463" s="137">
        <v>112.0</v>
      </c>
      <c r="U463" s="137">
        <v>208.0</v>
      </c>
      <c r="V463" s="137">
        <v>180.0</v>
      </c>
      <c r="W463" s="137">
        <v>424.0</v>
      </c>
      <c r="X463" s="137">
        <v>342.0</v>
      </c>
      <c r="Y463" s="137">
        <v>820.0</v>
      </c>
      <c r="Z463" s="137">
        <v>500.0</v>
      </c>
      <c r="AA463" s="134">
        <v>1172.0</v>
      </c>
      <c r="AB463" s="137">
        <v>726.0</v>
      </c>
      <c r="AC463" s="134">
        <v>1384.0</v>
      </c>
      <c r="AD463" s="137">
        <v>840.0</v>
      </c>
      <c r="AE463" s="134">
        <v>1382.0</v>
      </c>
      <c r="AF463" s="134">
        <v>1014.0</v>
      </c>
      <c r="AG463" s="134">
        <v>1622.0</v>
      </c>
      <c r="AH463" s="137">
        <v>842.0</v>
      </c>
      <c r="AI463" s="134">
        <v>1034.0</v>
      </c>
      <c r="AJ463" s="137">
        <v>664.0</v>
      </c>
      <c r="AK463" s="137">
        <v>842.0</v>
      </c>
      <c r="AL463" s="137">
        <v>688.0</v>
      </c>
      <c r="AM463" s="137">
        <v>946.0</v>
      </c>
      <c r="AN463" s="134">
        <v>15888.0</v>
      </c>
    </row>
    <row r="464">
      <c r="A464" s="98"/>
      <c r="B464" s="136" t="s">
        <v>200</v>
      </c>
      <c r="C464" s="134">
        <v>13752.0</v>
      </c>
      <c r="D464" s="134">
        <v>5084.0</v>
      </c>
      <c r="E464" s="134">
        <v>8668.0</v>
      </c>
      <c r="F464" s="135">
        <v>0.0</v>
      </c>
      <c r="G464" s="135">
        <v>0.0</v>
      </c>
      <c r="H464" s="135">
        <v>0.0</v>
      </c>
      <c r="I464" s="135">
        <v>0.0</v>
      </c>
      <c r="J464" s="135">
        <v>0.0</v>
      </c>
      <c r="K464" s="135">
        <v>0.0</v>
      </c>
      <c r="L464" s="137">
        <v>18.0</v>
      </c>
      <c r="M464" s="137">
        <v>14.0</v>
      </c>
      <c r="N464" s="137">
        <v>14.0</v>
      </c>
      <c r="O464" s="137">
        <v>40.0</v>
      </c>
      <c r="P464" s="137">
        <v>40.0</v>
      </c>
      <c r="Q464" s="137">
        <v>84.0</v>
      </c>
      <c r="R464" s="137">
        <v>42.0</v>
      </c>
      <c r="S464" s="137">
        <v>132.0</v>
      </c>
      <c r="T464" s="137">
        <v>112.0</v>
      </c>
      <c r="U464" s="137">
        <v>268.0</v>
      </c>
      <c r="V464" s="137">
        <v>186.0</v>
      </c>
      <c r="W464" s="137">
        <v>402.0</v>
      </c>
      <c r="X464" s="137">
        <v>336.0</v>
      </c>
      <c r="Y464" s="137">
        <v>744.0</v>
      </c>
      <c r="Z464" s="137">
        <v>510.0</v>
      </c>
      <c r="AA464" s="134">
        <v>1122.0</v>
      </c>
      <c r="AB464" s="137">
        <v>700.0</v>
      </c>
      <c r="AC464" s="134">
        <v>1172.0</v>
      </c>
      <c r="AD464" s="137">
        <v>690.0</v>
      </c>
      <c r="AE464" s="134">
        <v>1172.0</v>
      </c>
      <c r="AF464" s="137">
        <v>758.0</v>
      </c>
      <c r="AG464" s="134">
        <v>1076.0</v>
      </c>
      <c r="AH464" s="137">
        <v>640.0</v>
      </c>
      <c r="AI464" s="137">
        <v>850.0</v>
      </c>
      <c r="AJ464" s="137">
        <v>540.0</v>
      </c>
      <c r="AK464" s="137">
        <v>622.0</v>
      </c>
      <c r="AL464" s="137">
        <v>498.0</v>
      </c>
      <c r="AM464" s="137">
        <v>970.0</v>
      </c>
      <c r="AN464" s="134">
        <v>13560.0</v>
      </c>
    </row>
    <row r="465">
      <c r="A465" s="104"/>
      <c r="B465" s="136" t="s">
        <v>201</v>
      </c>
      <c r="C465" s="137">
        <v>66.0</v>
      </c>
      <c r="D465" s="137">
        <v>30.0</v>
      </c>
      <c r="E465" s="137">
        <v>36.0</v>
      </c>
      <c r="F465" s="135">
        <v>0.0</v>
      </c>
      <c r="G465" s="135">
        <v>0.0</v>
      </c>
      <c r="H465" s="135">
        <v>0.0</v>
      </c>
      <c r="I465" s="135">
        <v>0.0</v>
      </c>
      <c r="J465" s="135">
        <v>0.0</v>
      </c>
      <c r="K465" s="135">
        <v>0.0</v>
      </c>
      <c r="L465" s="137">
        <v>0.0</v>
      </c>
      <c r="M465" s="137">
        <v>0.0</v>
      </c>
      <c r="N465" s="137">
        <v>0.0</v>
      </c>
      <c r="O465" s="137">
        <v>0.0</v>
      </c>
      <c r="P465" s="137">
        <v>0.0</v>
      </c>
      <c r="Q465" s="137">
        <v>0.0</v>
      </c>
      <c r="R465" s="137">
        <v>0.0</v>
      </c>
      <c r="S465" s="137">
        <v>0.0</v>
      </c>
      <c r="T465" s="137">
        <v>0.0</v>
      </c>
      <c r="U465" s="137">
        <v>2.0</v>
      </c>
      <c r="V465" s="137">
        <v>0.0</v>
      </c>
      <c r="W465" s="137">
        <v>0.0</v>
      </c>
      <c r="X465" s="137">
        <v>2.0</v>
      </c>
      <c r="Y465" s="137">
        <v>4.0</v>
      </c>
      <c r="Z465" s="137">
        <v>2.0</v>
      </c>
      <c r="AA465" s="137">
        <v>4.0</v>
      </c>
      <c r="AB465" s="137">
        <v>4.0</v>
      </c>
      <c r="AC465" s="137">
        <v>10.0</v>
      </c>
      <c r="AD465" s="137">
        <v>6.0</v>
      </c>
      <c r="AE465" s="137">
        <v>0.0</v>
      </c>
      <c r="AF465" s="137">
        <v>6.0</v>
      </c>
      <c r="AG465" s="137">
        <v>6.0</v>
      </c>
      <c r="AH465" s="137">
        <v>6.0</v>
      </c>
      <c r="AI465" s="137">
        <v>8.0</v>
      </c>
      <c r="AJ465" s="137">
        <v>0.0</v>
      </c>
      <c r="AK465" s="137">
        <v>2.0</v>
      </c>
      <c r="AL465" s="137">
        <v>4.0</v>
      </c>
      <c r="AM465" s="137">
        <v>0.0</v>
      </c>
      <c r="AN465" s="137">
        <v>4.0</v>
      </c>
    </row>
    <row r="466">
      <c r="A466" s="132" t="s">
        <v>202</v>
      </c>
      <c r="B466" s="136" t="s">
        <v>198</v>
      </c>
      <c r="C466" s="137">
        <v>286.0</v>
      </c>
      <c r="D466" s="137">
        <v>144.0</v>
      </c>
      <c r="E466" s="137">
        <v>142.0</v>
      </c>
      <c r="F466" s="137">
        <v>4.0</v>
      </c>
      <c r="G466" s="137">
        <v>0.0</v>
      </c>
      <c r="H466" s="137">
        <v>6.0</v>
      </c>
      <c r="I466" s="137">
        <v>0.0</v>
      </c>
      <c r="J466" s="137">
        <v>4.0</v>
      </c>
      <c r="K466" s="137">
        <v>12.0</v>
      </c>
      <c r="L466" s="137">
        <v>6.0</v>
      </c>
      <c r="M466" s="137">
        <v>6.0</v>
      </c>
      <c r="N466" s="137">
        <v>28.0</v>
      </c>
      <c r="O466" s="137">
        <v>20.0</v>
      </c>
      <c r="P466" s="137">
        <v>12.0</v>
      </c>
      <c r="Q466" s="137">
        <v>10.0</v>
      </c>
      <c r="R466" s="137">
        <v>2.0</v>
      </c>
      <c r="S466" s="137">
        <v>10.0</v>
      </c>
      <c r="T466" s="137">
        <v>14.0</v>
      </c>
      <c r="U466" s="137">
        <v>8.0</v>
      </c>
      <c r="V466" s="137">
        <v>8.0</v>
      </c>
      <c r="W466" s="137">
        <v>12.0</v>
      </c>
      <c r="X466" s="137">
        <v>20.0</v>
      </c>
      <c r="Y466" s="137">
        <v>4.0</v>
      </c>
      <c r="Z466" s="137">
        <v>10.0</v>
      </c>
      <c r="AA466" s="137">
        <v>10.0</v>
      </c>
      <c r="AB466" s="137">
        <v>2.0</v>
      </c>
      <c r="AC466" s="137">
        <v>18.0</v>
      </c>
      <c r="AD466" s="137">
        <v>6.0</v>
      </c>
      <c r="AE466" s="137">
        <v>4.0</v>
      </c>
      <c r="AF466" s="137">
        <v>4.0</v>
      </c>
      <c r="AG466" s="137">
        <v>0.0</v>
      </c>
      <c r="AH466" s="137">
        <v>6.0</v>
      </c>
      <c r="AI466" s="137">
        <v>18.0</v>
      </c>
      <c r="AJ466" s="137">
        <v>2.0</v>
      </c>
      <c r="AK466" s="137">
        <v>10.0</v>
      </c>
      <c r="AL466" s="137">
        <v>10.0</v>
      </c>
      <c r="AM466" s="137">
        <v>0.0</v>
      </c>
      <c r="AN466" s="137">
        <v>278.0</v>
      </c>
    </row>
    <row r="467">
      <c r="A467" s="104"/>
      <c r="B467" s="136" t="s">
        <v>199</v>
      </c>
      <c r="C467" s="137">
        <v>48.0</v>
      </c>
      <c r="D467" s="137">
        <v>42.0</v>
      </c>
      <c r="E467" s="137">
        <v>6.0</v>
      </c>
      <c r="F467" s="137">
        <v>0.0</v>
      </c>
      <c r="G467" s="137">
        <v>0.0</v>
      </c>
      <c r="H467" s="137">
        <v>0.0</v>
      </c>
      <c r="I467" s="137">
        <v>0.0</v>
      </c>
      <c r="J467" s="137">
        <v>0.0</v>
      </c>
      <c r="K467" s="137">
        <v>0.0</v>
      </c>
      <c r="L467" s="137">
        <v>0.0</v>
      </c>
      <c r="M467" s="137">
        <v>0.0</v>
      </c>
      <c r="N467" s="137">
        <v>0.0</v>
      </c>
      <c r="O467" s="137">
        <v>2.0</v>
      </c>
      <c r="P467" s="137">
        <v>2.0</v>
      </c>
      <c r="Q467" s="137">
        <v>0.0</v>
      </c>
      <c r="R467" s="137">
        <v>0.0</v>
      </c>
      <c r="S467" s="137">
        <v>0.0</v>
      </c>
      <c r="T467" s="137">
        <v>2.0</v>
      </c>
      <c r="U467" s="137">
        <v>0.0</v>
      </c>
      <c r="V467" s="137">
        <v>4.0</v>
      </c>
      <c r="W467" s="137">
        <v>0.0</v>
      </c>
      <c r="X467" s="137">
        <v>2.0</v>
      </c>
      <c r="Y467" s="137">
        <v>0.0</v>
      </c>
      <c r="Z467" s="137">
        <v>10.0</v>
      </c>
      <c r="AA467" s="137">
        <v>4.0</v>
      </c>
      <c r="AB467" s="137">
        <v>0.0</v>
      </c>
      <c r="AC467" s="137">
        <v>0.0</v>
      </c>
      <c r="AD467" s="137">
        <v>0.0</v>
      </c>
      <c r="AE467" s="137">
        <v>0.0</v>
      </c>
      <c r="AF467" s="137">
        <v>2.0</v>
      </c>
      <c r="AG467" s="137">
        <v>0.0</v>
      </c>
      <c r="AH467" s="137">
        <v>4.0</v>
      </c>
      <c r="AI467" s="137">
        <v>0.0</v>
      </c>
      <c r="AJ467" s="137">
        <v>0.0</v>
      </c>
      <c r="AK467" s="137">
        <v>0.0</v>
      </c>
      <c r="AL467" s="137">
        <v>16.0</v>
      </c>
      <c r="AM467" s="137">
        <v>0.0</v>
      </c>
      <c r="AN467" s="137">
        <v>46.0</v>
      </c>
    </row>
    <row r="468">
      <c r="A468" s="132" t="s">
        <v>203</v>
      </c>
      <c r="B468" s="136" t="s">
        <v>198</v>
      </c>
      <c r="C468" s="137">
        <v>4.0</v>
      </c>
      <c r="D468" s="137">
        <v>4.0</v>
      </c>
      <c r="E468" s="137">
        <v>0.0</v>
      </c>
      <c r="F468" s="135">
        <v>0.0</v>
      </c>
      <c r="G468" s="135">
        <v>0.0</v>
      </c>
      <c r="H468" s="135">
        <v>0.0</v>
      </c>
      <c r="I468" s="135">
        <v>0.0</v>
      </c>
      <c r="J468" s="135">
        <v>0.0</v>
      </c>
      <c r="K468" s="135">
        <v>0.0</v>
      </c>
      <c r="L468" s="135">
        <v>0.0</v>
      </c>
      <c r="M468" s="135">
        <v>0.0</v>
      </c>
      <c r="N468" s="135">
        <v>0.0</v>
      </c>
      <c r="O468" s="135">
        <v>0.0</v>
      </c>
      <c r="P468" s="135">
        <v>0.0</v>
      </c>
      <c r="Q468" s="135">
        <v>0.0</v>
      </c>
      <c r="R468" s="135">
        <v>0.0</v>
      </c>
      <c r="S468" s="135">
        <v>0.0</v>
      </c>
      <c r="T468" s="135">
        <v>0.0</v>
      </c>
      <c r="U468" s="135">
        <v>0.0</v>
      </c>
      <c r="V468" s="135">
        <v>0.0</v>
      </c>
      <c r="W468" s="135">
        <v>0.0</v>
      </c>
      <c r="X468" s="135">
        <v>0.0</v>
      </c>
      <c r="Y468" s="135">
        <v>0.0</v>
      </c>
      <c r="Z468" s="135">
        <v>0.0</v>
      </c>
      <c r="AA468" s="135">
        <v>0.0</v>
      </c>
      <c r="AB468" s="135">
        <v>0.0</v>
      </c>
      <c r="AC468" s="135">
        <v>0.0</v>
      </c>
      <c r="AD468" s="135">
        <v>0.0</v>
      </c>
      <c r="AE468" s="135">
        <v>0.0</v>
      </c>
      <c r="AF468" s="137">
        <v>2.0</v>
      </c>
      <c r="AG468" s="137">
        <v>0.0</v>
      </c>
      <c r="AH468" s="137">
        <v>0.0</v>
      </c>
      <c r="AI468" s="137">
        <v>0.0</v>
      </c>
      <c r="AJ468" s="137">
        <v>0.0</v>
      </c>
      <c r="AK468" s="137">
        <v>0.0</v>
      </c>
      <c r="AL468" s="137">
        <v>2.0</v>
      </c>
      <c r="AM468" s="137">
        <v>0.0</v>
      </c>
      <c r="AN468" s="137">
        <v>4.0</v>
      </c>
    </row>
    <row r="469">
      <c r="A469" s="104"/>
      <c r="B469" s="136" t="s">
        <v>199</v>
      </c>
      <c r="C469" s="137">
        <v>62.0</v>
      </c>
      <c r="D469" s="137">
        <v>30.0</v>
      </c>
      <c r="E469" s="137">
        <v>32.0</v>
      </c>
      <c r="F469" s="135">
        <v>0.0</v>
      </c>
      <c r="G469" s="135">
        <v>0.0</v>
      </c>
      <c r="H469" s="135">
        <v>0.0</v>
      </c>
      <c r="I469" s="135">
        <v>0.0</v>
      </c>
      <c r="J469" s="135">
        <v>0.0</v>
      </c>
      <c r="K469" s="135">
        <v>0.0</v>
      </c>
      <c r="L469" s="135">
        <v>0.0</v>
      </c>
      <c r="M469" s="135">
        <v>0.0</v>
      </c>
      <c r="N469" s="135">
        <v>0.0</v>
      </c>
      <c r="O469" s="135">
        <v>0.0</v>
      </c>
      <c r="P469" s="135">
        <v>0.0</v>
      </c>
      <c r="Q469" s="135">
        <v>0.0</v>
      </c>
      <c r="R469" s="135">
        <v>0.0</v>
      </c>
      <c r="S469" s="135">
        <v>0.0</v>
      </c>
      <c r="T469" s="135">
        <v>0.0</v>
      </c>
      <c r="U469" s="135">
        <v>0.0</v>
      </c>
      <c r="V469" s="135">
        <v>0.0</v>
      </c>
      <c r="W469" s="135">
        <v>0.0</v>
      </c>
      <c r="X469" s="135">
        <v>0.0</v>
      </c>
      <c r="Y469" s="135">
        <v>0.0</v>
      </c>
      <c r="Z469" s="135">
        <v>0.0</v>
      </c>
      <c r="AA469" s="135">
        <v>0.0</v>
      </c>
      <c r="AB469" s="135">
        <v>0.0</v>
      </c>
      <c r="AC469" s="135">
        <v>0.0</v>
      </c>
      <c r="AD469" s="135">
        <v>0.0</v>
      </c>
      <c r="AE469" s="135">
        <v>0.0</v>
      </c>
      <c r="AF469" s="137">
        <v>8.0</v>
      </c>
      <c r="AG469" s="137">
        <v>10.0</v>
      </c>
      <c r="AH469" s="137">
        <v>12.0</v>
      </c>
      <c r="AI469" s="137">
        <v>14.0</v>
      </c>
      <c r="AJ469" s="137">
        <v>6.0</v>
      </c>
      <c r="AK469" s="137">
        <v>8.0</v>
      </c>
      <c r="AL469" s="137">
        <v>4.0</v>
      </c>
      <c r="AM469" s="137">
        <v>0.0</v>
      </c>
      <c r="AN469" s="137">
        <v>58.0</v>
      </c>
    </row>
    <row r="470">
      <c r="A470" s="132" t="s">
        <v>204</v>
      </c>
      <c r="B470" s="136" t="s">
        <v>198</v>
      </c>
      <c r="C470" s="137">
        <v>2.0</v>
      </c>
      <c r="D470" s="137">
        <v>2.0</v>
      </c>
      <c r="E470" s="137">
        <v>0.0</v>
      </c>
      <c r="F470" s="135">
        <v>0.0</v>
      </c>
      <c r="G470" s="135">
        <v>0.0</v>
      </c>
      <c r="H470" s="135">
        <v>0.0</v>
      </c>
      <c r="I470" s="135">
        <v>0.0</v>
      </c>
      <c r="J470" s="135">
        <v>0.0</v>
      </c>
      <c r="K470" s="135">
        <v>0.0</v>
      </c>
      <c r="L470" s="135">
        <v>0.0</v>
      </c>
      <c r="M470" s="135">
        <v>0.0</v>
      </c>
      <c r="N470" s="135">
        <v>0.0</v>
      </c>
      <c r="O470" s="135">
        <v>0.0</v>
      </c>
      <c r="P470" s="135">
        <v>0.0</v>
      </c>
      <c r="Q470" s="135">
        <v>0.0</v>
      </c>
      <c r="R470" s="135">
        <v>0.0</v>
      </c>
      <c r="S470" s="135">
        <v>0.0</v>
      </c>
      <c r="T470" s="135">
        <v>0.0</v>
      </c>
      <c r="U470" s="135">
        <v>0.0</v>
      </c>
      <c r="V470" s="135">
        <v>0.0</v>
      </c>
      <c r="W470" s="135">
        <v>0.0</v>
      </c>
      <c r="X470" s="135">
        <v>0.0</v>
      </c>
      <c r="Y470" s="135">
        <v>0.0</v>
      </c>
      <c r="Z470" s="135">
        <v>0.0</v>
      </c>
      <c r="AA470" s="135">
        <v>0.0</v>
      </c>
      <c r="AB470" s="135">
        <v>0.0</v>
      </c>
      <c r="AC470" s="135">
        <v>0.0</v>
      </c>
      <c r="AD470" s="135">
        <v>0.0</v>
      </c>
      <c r="AE470" s="135">
        <v>0.0</v>
      </c>
      <c r="AF470" s="137">
        <v>0.0</v>
      </c>
      <c r="AG470" s="137">
        <v>0.0</v>
      </c>
      <c r="AH470" s="137">
        <v>0.0</v>
      </c>
      <c r="AI470" s="137">
        <v>0.0</v>
      </c>
      <c r="AJ470" s="137">
        <v>0.0</v>
      </c>
      <c r="AK470" s="137">
        <v>0.0</v>
      </c>
      <c r="AL470" s="137">
        <v>2.0</v>
      </c>
      <c r="AM470" s="137">
        <v>0.0</v>
      </c>
      <c r="AN470" s="137">
        <v>2.0</v>
      </c>
    </row>
    <row r="471">
      <c r="A471" s="104"/>
      <c r="B471" s="136" t="s">
        <v>199</v>
      </c>
      <c r="C471" s="137">
        <v>48.0</v>
      </c>
      <c r="D471" s="137">
        <v>16.0</v>
      </c>
      <c r="E471" s="137">
        <v>32.0</v>
      </c>
      <c r="F471" s="135">
        <v>0.0</v>
      </c>
      <c r="G471" s="135">
        <v>0.0</v>
      </c>
      <c r="H471" s="135">
        <v>0.0</v>
      </c>
      <c r="I471" s="135">
        <v>0.0</v>
      </c>
      <c r="J471" s="135">
        <v>0.0</v>
      </c>
      <c r="K471" s="135">
        <v>0.0</v>
      </c>
      <c r="L471" s="135">
        <v>0.0</v>
      </c>
      <c r="M471" s="135">
        <v>0.0</v>
      </c>
      <c r="N471" s="135">
        <v>0.0</v>
      </c>
      <c r="O471" s="135">
        <v>0.0</v>
      </c>
      <c r="P471" s="135">
        <v>0.0</v>
      </c>
      <c r="Q471" s="135">
        <v>0.0</v>
      </c>
      <c r="R471" s="135">
        <v>0.0</v>
      </c>
      <c r="S471" s="135">
        <v>0.0</v>
      </c>
      <c r="T471" s="135">
        <v>0.0</v>
      </c>
      <c r="U471" s="135">
        <v>0.0</v>
      </c>
      <c r="V471" s="135">
        <v>0.0</v>
      </c>
      <c r="W471" s="135">
        <v>0.0</v>
      </c>
      <c r="X471" s="135">
        <v>0.0</v>
      </c>
      <c r="Y471" s="135">
        <v>0.0</v>
      </c>
      <c r="Z471" s="135">
        <v>0.0</v>
      </c>
      <c r="AA471" s="135">
        <v>0.0</v>
      </c>
      <c r="AB471" s="135">
        <v>0.0</v>
      </c>
      <c r="AC471" s="135">
        <v>0.0</v>
      </c>
      <c r="AD471" s="135">
        <v>0.0</v>
      </c>
      <c r="AE471" s="135">
        <v>0.0</v>
      </c>
      <c r="AF471" s="137">
        <v>6.0</v>
      </c>
      <c r="AG471" s="137">
        <v>6.0</v>
      </c>
      <c r="AH471" s="137">
        <v>8.0</v>
      </c>
      <c r="AI471" s="137">
        <v>4.0</v>
      </c>
      <c r="AJ471" s="137">
        <v>2.0</v>
      </c>
      <c r="AK471" s="137">
        <v>12.0</v>
      </c>
      <c r="AL471" s="137">
        <v>0.0</v>
      </c>
      <c r="AM471" s="137">
        <v>10.0</v>
      </c>
      <c r="AN471" s="137">
        <v>46.0</v>
      </c>
    </row>
    <row r="472">
      <c r="A472" s="132" t="s">
        <v>205</v>
      </c>
      <c r="B472" s="136" t="s">
        <v>198</v>
      </c>
      <c r="C472" s="137">
        <v>10.0</v>
      </c>
      <c r="D472" s="137">
        <v>2.0</v>
      </c>
      <c r="E472" s="137">
        <v>8.0</v>
      </c>
      <c r="F472" s="137">
        <v>0.0</v>
      </c>
      <c r="G472" s="137">
        <v>0.0</v>
      </c>
      <c r="H472" s="137">
        <v>0.0</v>
      </c>
      <c r="I472" s="137">
        <v>0.0</v>
      </c>
      <c r="J472" s="137">
        <v>0.0</v>
      </c>
      <c r="K472" s="137">
        <v>0.0</v>
      </c>
      <c r="L472" s="137">
        <v>0.0</v>
      </c>
      <c r="M472" s="137">
        <v>0.0</v>
      </c>
      <c r="N472" s="137">
        <v>0.0</v>
      </c>
      <c r="O472" s="137">
        <v>2.0</v>
      </c>
      <c r="P472" s="137">
        <v>0.0</v>
      </c>
      <c r="Q472" s="137">
        <v>0.0</v>
      </c>
      <c r="R472" s="137">
        <v>0.0</v>
      </c>
      <c r="S472" s="137">
        <v>0.0</v>
      </c>
      <c r="T472" s="137">
        <v>0.0</v>
      </c>
      <c r="U472" s="137">
        <v>0.0</v>
      </c>
      <c r="V472" s="137">
        <v>0.0</v>
      </c>
      <c r="W472" s="137">
        <v>0.0</v>
      </c>
      <c r="X472" s="137">
        <v>0.0</v>
      </c>
      <c r="Y472" s="137">
        <v>0.0</v>
      </c>
      <c r="Z472" s="137">
        <v>0.0</v>
      </c>
      <c r="AA472" s="137">
        <v>2.0</v>
      </c>
      <c r="AB472" s="137">
        <v>2.0</v>
      </c>
      <c r="AC472" s="137">
        <v>0.0</v>
      </c>
      <c r="AD472" s="137">
        <v>0.0</v>
      </c>
      <c r="AE472" s="137">
        <v>0.0</v>
      </c>
      <c r="AF472" s="137">
        <v>0.0</v>
      </c>
      <c r="AG472" s="137">
        <v>0.0</v>
      </c>
      <c r="AH472" s="137">
        <v>0.0</v>
      </c>
      <c r="AI472" s="137">
        <v>2.0</v>
      </c>
      <c r="AJ472" s="137">
        <v>0.0</v>
      </c>
      <c r="AK472" s="137">
        <v>0.0</v>
      </c>
      <c r="AL472" s="137">
        <v>0.0</v>
      </c>
      <c r="AM472" s="137">
        <v>2.0</v>
      </c>
      <c r="AN472" s="137">
        <v>10.0</v>
      </c>
    </row>
    <row r="473">
      <c r="A473" s="98"/>
      <c r="B473" s="136" t="s">
        <v>199</v>
      </c>
      <c r="C473" s="137">
        <v>2.0</v>
      </c>
      <c r="D473" s="137">
        <v>0.0</v>
      </c>
      <c r="E473" s="137">
        <v>2.0</v>
      </c>
      <c r="F473" s="137">
        <v>0.0</v>
      </c>
      <c r="G473" s="137">
        <v>0.0</v>
      </c>
      <c r="H473" s="137">
        <v>0.0</v>
      </c>
      <c r="I473" s="137">
        <v>0.0</v>
      </c>
      <c r="J473" s="137">
        <v>0.0</v>
      </c>
      <c r="K473" s="137">
        <v>0.0</v>
      </c>
      <c r="L473" s="137">
        <v>0.0</v>
      </c>
      <c r="M473" s="137">
        <v>0.0</v>
      </c>
      <c r="N473" s="137">
        <v>0.0</v>
      </c>
      <c r="O473" s="137">
        <v>0.0</v>
      </c>
      <c r="P473" s="137">
        <v>0.0</v>
      </c>
      <c r="Q473" s="137">
        <v>0.0</v>
      </c>
      <c r="R473" s="137">
        <v>0.0</v>
      </c>
      <c r="S473" s="137">
        <v>0.0</v>
      </c>
      <c r="T473" s="137">
        <v>0.0</v>
      </c>
      <c r="U473" s="137">
        <v>0.0</v>
      </c>
      <c r="V473" s="137">
        <v>0.0</v>
      </c>
      <c r="W473" s="137">
        <v>0.0</v>
      </c>
      <c r="X473" s="137">
        <v>0.0</v>
      </c>
      <c r="Y473" s="137">
        <v>2.0</v>
      </c>
      <c r="Z473" s="137">
        <v>0.0</v>
      </c>
      <c r="AA473" s="137">
        <v>0.0</v>
      </c>
      <c r="AB473" s="137">
        <v>0.0</v>
      </c>
      <c r="AC473" s="137">
        <v>0.0</v>
      </c>
      <c r="AD473" s="137">
        <v>0.0</v>
      </c>
      <c r="AE473" s="137">
        <v>0.0</v>
      </c>
      <c r="AF473" s="137">
        <v>0.0</v>
      </c>
      <c r="AG473" s="137">
        <v>0.0</v>
      </c>
      <c r="AH473" s="137">
        <v>0.0</v>
      </c>
      <c r="AI473" s="137">
        <v>0.0</v>
      </c>
      <c r="AJ473" s="137">
        <v>0.0</v>
      </c>
      <c r="AK473" s="137">
        <v>0.0</v>
      </c>
      <c r="AL473" s="137">
        <v>0.0</v>
      </c>
      <c r="AM473" s="137">
        <v>0.0</v>
      </c>
      <c r="AN473" s="137">
        <v>2.0</v>
      </c>
    </row>
    <row r="474">
      <c r="A474" s="104"/>
      <c r="B474" s="136" t="s">
        <v>206</v>
      </c>
      <c r="C474" s="137">
        <v>54.0</v>
      </c>
      <c r="D474" s="137">
        <v>4.0</v>
      </c>
      <c r="E474" s="137">
        <v>50.0</v>
      </c>
      <c r="F474" s="137">
        <v>0.0</v>
      </c>
      <c r="G474" s="137">
        <v>0.0</v>
      </c>
      <c r="H474" s="137">
        <v>0.0</v>
      </c>
      <c r="I474" s="137">
        <v>0.0</v>
      </c>
      <c r="J474" s="137">
        <v>0.0</v>
      </c>
      <c r="K474" s="137">
        <v>2.0</v>
      </c>
      <c r="L474" s="137">
        <v>0.0</v>
      </c>
      <c r="M474" s="137">
        <v>0.0</v>
      </c>
      <c r="N474" s="137">
        <v>0.0</v>
      </c>
      <c r="O474" s="137">
        <v>12.0</v>
      </c>
      <c r="P474" s="137">
        <v>2.0</v>
      </c>
      <c r="Q474" s="137">
        <v>10.0</v>
      </c>
      <c r="R474" s="137">
        <v>0.0</v>
      </c>
      <c r="S474" s="137">
        <v>2.0</v>
      </c>
      <c r="T474" s="137">
        <v>0.0</v>
      </c>
      <c r="U474" s="137">
        <v>22.0</v>
      </c>
      <c r="V474" s="137">
        <v>0.0</v>
      </c>
      <c r="W474" s="137">
        <v>0.0</v>
      </c>
      <c r="X474" s="137">
        <v>0.0</v>
      </c>
      <c r="Y474" s="137">
        <v>0.0</v>
      </c>
      <c r="Z474" s="137">
        <v>2.0</v>
      </c>
      <c r="AA474" s="137">
        <v>0.0</v>
      </c>
      <c r="AB474" s="137">
        <v>0.0</v>
      </c>
      <c r="AC474" s="137">
        <v>0.0</v>
      </c>
      <c r="AD474" s="137">
        <v>0.0</v>
      </c>
      <c r="AE474" s="137">
        <v>0.0</v>
      </c>
      <c r="AF474" s="137">
        <v>0.0</v>
      </c>
      <c r="AG474" s="137">
        <v>0.0</v>
      </c>
      <c r="AH474" s="137">
        <v>0.0</v>
      </c>
      <c r="AI474" s="137">
        <v>0.0</v>
      </c>
      <c r="AJ474" s="137">
        <v>0.0</v>
      </c>
      <c r="AK474" s="137">
        <v>0.0</v>
      </c>
      <c r="AL474" s="137">
        <v>0.0</v>
      </c>
      <c r="AM474" s="137">
        <v>2.0</v>
      </c>
      <c r="AN474" s="137">
        <v>48.0</v>
      </c>
    </row>
    <row r="475">
      <c r="A475" s="132" t="s">
        <v>207</v>
      </c>
      <c r="B475" s="136" t="s">
        <v>198</v>
      </c>
      <c r="C475" s="134">
        <v>11054.0</v>
      </c>
      <c r="D475" s="134">
        <v>4586.0</v>
      </c>
      <c r="E475" s="134">
        <v>6468.0</v>
      </c>
      <c r="F475" s="137">
        <v>26.0</v>
      </c>
      <c r="G475" s="137">
        <v>22.0</v>
      </c>
      <c r="H475" s="137">
        <v>34.0</v>
      </c>
      <c r="I475" s="137">
        <v>20.0</v>
      </c>
      <c r="J475" s="137">
        <v>30.0</v>
      </c>
      <c r="K475" s="137">
        <v>62.0</v>
      </c>
      <c r="L475" s="137">
        <v>50.0</v>
      </c>
      <c r="M475" s="137">
        <v>60.0</v>
      </c>
      <c r="N475" s="137">
        <v>24.0</v>
      </c>
      <c r="O475" s="137">
        <v>92.0</v>
      </c>
      <c r="P475" s="137">
        <v>32.0</v>
      </c>
      <c r="Q475" s="137">
        <v>118.0</v>
      </c>
      <c r="R475" s="137">
        <v>52.0</v>
      </c>
      <c r="S475" s="137">
        <v>202.0</v>
      </c>
      <c r="T475" s="137">
        <v>46.0</v>
      </c>
      <c r="U475" s="137">
        <v>234.0</v>
      </c>
      <c r="V475" s="137">
        <v>66.0</v>
      </c>
      <c r="W475" s="137">
        <v>368.0</v>
      </c>
      <c r="X475" s="137">
        <v>134.0</v>
      </c>
      <c r="Y475" s="137">
        <v>464.0</v>
      </c>
      <c r="Z475" s="137">
        <v>312.0</v>
      </c>
      <c r="AA475" s="137">
        <v>416.0</v>
      </c>
      <c r="AB475" s="137">
        <v>296.0</v>
      </c>
      <c r="AC475" s="137">
        <v>560.0</v>
      </c>
      <c r="AD475" s="137">
        <v>574.0</v>
      </c>
      <c r="AE475" s="137">
        <v>656.0</v>
      </c>
      <c r="AF475" s="137">
        <v>450.0</v>
      </c>
      <c r="AG475" s="137">
        <v>814.0</v>
      </c>
      <c r="AH475" s="137">
        <v>788.0</v>
      </c>
      <c r="AI475" s="137">
        <v>690.0</v>
      </c>
      <c r="AJ475" s="137">
        <v>584.0</v>
      </c>
      <c r="AK475" s="137">
        <v>598.0</v>
      </c>
      <c r="AL475" s="134">
        <v>1088.0</v>
      </c>
      <c r="AM475" s="134">
        <v>1092.0</v>
      </c>
      <c r="AN475" s="134">
        <v>10960.0</v>
      </c>
    </row>
    <row r="476">
      <c r="A476" s="98"/>
      <c r="B476" s="136" t="s">
        <v>199</v>
      </c>
      <c r="C476" s="134">
        <v>1540.0</v>
      </c>
      <c r="D476" s="137">
        <v>686.0</v>
      </c>
      <c r="E476" s="137">
        <v>854.0</v>
      </c>
      <c r="F476" s="137">
        <v>2.0</v>
      </c>
      <c r="G476" s="137">
        <v>2.0</v>
      </c>
      <c r="H476" s="137">
        <v>0.0</v>
      </c>
      <c r="I476" s="137">
        <v>0.0</v>
      </c>
      <c r="J476" s="137">
        <v>2.0</v>
      </c>
      <c r="K476" s="137">
        <v>0.0</v>
      </c>
      <c r="L476" s="137">
        <v>6.0</v>
      </c>
      <c r="M476" s="137">
        <v>6.0</v>
      </c>
      <c r="N476" s="137">
        <v>2.0</v>
      </c>
      <c r="O476" s="137">
        <v>12.0</v>
      </c>
      <c r="P476" s="137">
        <v>2.0</v>
      </c>
      <c r="Q476" s="137">
        <v>10.0</v>
      </c>
      <c r="R476" s="137">
        <v>8.0</v>
      </c>
      <c r="S476" s="137">
        <v>20.0</v>
      </c>
      <c r="T476" s="137">
        <v>2.0</v>
      </c>
      <c r="U476" s="137">
        <v>22.0</v>
      </c>
      <c r="V476" s="137">
        <v>6.0</v>
      </c>
      <c r="W476" s="137">
        <v>34.0</v>
      </c>
      <c r="X476" s="137">
        <v>22.0</v>
      </c>
      <c r="Y476" s="137">
        <v>58.0</v>
      </c>
      <c r="Z476" s="137">
        <v>42.0</v>
      </c>
      <c r="AA476" s="137">
        <v>82.0</v>
      </c>
      <c r="AB476" s="137">
        <v>46.0</v>
      </c>
      <c r="AC476" s="137">
        <v>60.0</v>
      </c>
      <c r="AD476" s="137">
        <v>32.0</v>
      </c>
      <c r="AE476" s="137">
        <v>108.0</v>
      </c>
      <c r="AF476" s="137">
        <v>102.0</v>
      </c>
      <c r="AG476" s="137">
        <v>78.0</v>
      </c>
      <c r="AH476" s="137">
        <v>170.0</v>
      </c>
      <c r="AI476" s="137">
        <v>110.0</v>
      </c>
      <c r="AJ476" s="137">
        <v>102.0</v>
      </c>
      <c r="AK476" s="137">
        <v>104.0</v>
      </c>
      <c r="AL476" s="137">
        <v>140.0</v>
      </c>
      <c r="AM476" s="137">
        <v>148.0</v>
      </c>
      <c r="AN476" s="134">
        <v>1520.0</v>
      </c>
    </row>
    <row r="477">
      <c r="A477" s="98"/>
      <c r="B477" s="136" t="s">
        <v>206</v>
      </c>
      <c r="C477" s="137">
        <v>44.0</v>
      </c>
      <c r="D477" s="137">
        <v>14.0</v>
      </c>
      <c r="E477" s="137">
        <v>30.0</v>
      </c>
      <c r="F477" s="137">
        <v>0.0</v>
      </c>
      <c r="G477" s="137">
        <v>2.0</v>
      </c>
      <c r="H477" s="137">
        <v>2.0</v>
      </c>
      <c r="I477" s="137">
        <v>0.0</v>
      </c>
      <c r="J477" s="137">
        <v>0.0</v>
      </c>
      <c r="K477" s="137">
        <v>0.0</v>
      </c>
      <c r="L477" s="137">
        <v>0.0</v>
      </c>
      <c r="M477" s="137">
        <v>0.0</v>
      </c>
      <c r="N477" s="137">
        <v>2.0</v>
      </c>
      <c r="O477" s="137">
        <v>0.0</v>
      </c>
      <c r="P477" s="137">
        <v>2.0</v>
      </c>
      <c r="Q477" s="137">
        <v>2.0</v>
      </c>
      <c r="R477" s="137">
        <v>2.0</v>
      </c>
      <c r="S477" s="137">
        <v>4.0</v>
      </c>
      <c r="T477" s="137">
        <v>0.0</v>
      </c>
      <c r="U477" s="137">
        <v>2.0</v>
      </c>
      <c r="V477" s="137">
        <v>2.0</v>
      </c>
      <c r="W477" s="137">
        <v>8.0</v>
      </c>
      <c r="X477" s="137">
        <v>0.0</v>
      </c>
      <c r="Y477" s="137">
        <v>2.0</v>
      </c>
      <c r="Z477" s="137">
        <v>0.0</v>
      </c>
      <c r="AA477" s="137">
        <v>2.0</v>
      </c>
      <c r="AB477" s="137">
        <v>0.0</v>
      </c>
      <c r="AC477" s="137">
        <v>4.0</v>
      </c>
      <c r="AD477" s="137">
        <v>2.0</v>
      </c>
      <c r="AE477" s="137">
        <v>0.0</v>
      </c>
      <c r="AF477" s="137">
        <v>0.0</v>
      </c>
      <c r="AG477" s="137">
        <v>2.0</v>
      </c>
      <c r="AH477" s="137">
        <v>2.0</v>
      </c>
      <c r="AI477" s="137">
        <v>2.0</v>
      </c>
      <c r="AJ477" s="137">
        <v>0.0</v>
      </c>
      <c r="AK477" s="137">
        <v>0.0</v>
      </c>
      <c r="AL477" s="137">
        <v>0.0</v>
      </c>
      <c r="AM477" s="137">
        <v>0.0</v>
      </c>
      <c r="AN477" s="137">
        <v>44.0</v>
      </c>
    </row>
    <row r="478">
      <c r="A478" s="98"/>
      <c r="B478" s="136" t="s">
        <v>200</v>
      </c>
      <c r="C478" s="137">
        <v>942.0</v>
      </c>
      <c r="D478" s="137">
        <v>258.0</v>
      </c>
      <c r="E478" s="137">
        <v>684.0</v>
      </c>
      <c r="F478" s="137">
        <v>0.0</v>
      </c>
      <c r="G478" s="137">
        <v>4.0</v>
      </c>
      <c r="H478" s="137">
        <v>2.0</v>
      </c>
      <c r="I478" s="137">
        <v>0.0</v>
      </c>
      <c r="J478" s="137">
        <v>0.0</v>
      </c>
      <c r="K478" s="137">
        <v>6.0</v>
      </c>
      <c r="L478" s="137">
        <v>0.0</v>
      </c>
      <c r="M478" s="137">
        <v>4.0</v>
      </c>
      <c r="N478" s="137">
        <v>20.0</v>
      </c>
      <c r="O478" s="137">
        <v>48.0</v>
      </c>
      <c r="P478" s="137">
        <v>28.0</v>
      </c>
      <c r="Q478" s="137">
        <v>60.0</v>
      </c>
      <c r="R478" s="137">
        <v>22.0</v>
      </c>
      <c r="S478" s="137">
        <v>68.0</v>
      </c>
      <c r="T478" s="137">
        <v>20.0</v>
      </c>
      <c r="U478" s="137">
        <v>48.0</v>
      </c>
      <c r="V478" s="137">
        <v>34.0</v>
      </c>
      <c r="W478" s="137">
        <v>70.0</v>
      </c>
      <c r="X478" s="137">
        <v>18.0</v>
      </c>
      <c r="Y478" s="137">
        <v>98.0</v>
      </c>
      <c r="Z478" s="137">
        <v>30.0</v>
      </c>
      <c r="AA478" s="137">
        <v>82.0</v>
      </c>
      <c r="AB478" s="137">
        <v>28.0</v>
      </c>
      <c r="AC478" s="137">
        <v>44.0</v>
      </c>
      <c r="AD478" s="137">
        <v>14.0</v>
      </c>
      <c r="AE478" s="137">
        <v>54.0</v>
      </c>
      <c r="AF478" s="137">
        <v>22.0</v>
      </c>
      <c r="AG478" s="137">
        <v>32.0</v>
      </c>
      <c r="AH478" s="137">
        <v>8.0</v>
      </c>
      <c r="AI478" s="137">
        <v>24.0</v>
      </c>
      <c r="AJ478" s="137">
        <v>4.0</v>
      </c>
      <c r="AK478" s="137">
        <v>22.0</v>
      </c>
      <c r="AL478" s="137">
        <v>8.0</v>
      </c>
      <c r="AM478" s="137">
        <v>20.0</v>
      </c>
      <c r="AN478" s="137">
        <v>760.0</v>
      </c>
    </row>
    <row r="479">
      <c r="A479" s="104"/>
      <c r="B479" s="136" t="s">
        <v>201</v>
      </c>
      <c r="C479" s="137">
        <v>4.0</v>
      </c>
      <c r="D479" s="137">
        <v>2.0</v>
      </c>
      <c r="E479" s="137">
        <v>2.0</v>
      </c>
      <c r="F479" s="137">
        <v>0.0</v>
      </c>
      <c r="G479" s="137">
        <v>0.0</v>
      </c>
      <c r="H479" s="137">
        <v>0.0</v>
      </c>
      <c r="I479" s="137">
        <v>0.0</v>
      </c>
      <c r="J479" s="137">
        <v>0.0</v>
      </c>
      <c r="K479" s="137">
        <v>0.0</v>
      </c>
      <c r="L479" s="137">
        <v>0.0</v>
      </c>
      <c r="M479" s="137">
        <v>0.0</v>
      </c>
      <c r="N479" s="137">
        <v>0.0</v>
      </c>
      <c r="O479" s="137">
        <v>0.0</v>
      </c>
      <c r="P479" s="137">
        <v>2.0</v>
      </c>
      <c r="Q479" s="137">
        <v>0.0</v>
      </c>
      <c r="R479" s="137">
        <v>0.0</v>
      </c>
      <c r="S479" s="137">
        <v>0.0</v>
      </c>
      <c r="T479" s="137">
        <v>0.0</v>
      </c>
      <c r="U479" s="137">
        <v>0.0</v>
      </c>
      <c r="V479" s="137">
        <v>0.0</v>
      </c>
      <c r="W479" s="137">
        <v>0.0</v>
      </c>
      <c r="X479" s="137">
        <v>0.0</v>
      </c>
      <c r="Y479" s="137">
        <v>0.0</v>
      </c>
      <c r="Z479" s="137">
        <v>0.0</v>
      </c>
      <c r="AA479" s="137">
        <v>0.0</v>
      </c>
      <c r="AB479" s="137">
        <v>0.0</v>
      </c>
      <c r="AC479" s="137">
        <v>0.0</v>
      </c>
      <c r="AD479" s="137">
        <v>0.0</v>
      </c>
      <c r="AE479" s="137">
        <v>0.0</v>
      </c>
      <c r="AF479" s="137">
        <v>0.0</v>
      </c>
      <c r="AG479" s="137">
        <v>0.0</v>
      </c>
      <c r="AH479" s="137">
        <v>0.0</v>
      </c>
      <c r="AI479" s="137">
        <v>2.0</v>
      </c>
      <c r="AJ479" s="137">
        <v>0.0</v>
      </c>
      <c r="AK479" s="137">
        <v>0.0</v>
      </c>
      <c r="AL479" s="137">
        <v>0.0</v>
      </c>
      <c r="AM479" s="137">
        <v>0.0</v>
      </c>
      <c r="AN479" s="137">
        <v>4.0</v>
      </c>
    </row>
    <row r="480">
      <c r="A480" s="132" t="s">
        <v>208</v>
      </c>
      <c r="B480" s="136" t="s">
        <v>198</v>
      </c>
      <c r="C480" s="137">
        <v>38.0</v>
      </c>
      <c r="D480" s="137">
        <v>16.0</v>
      </c>
      <c r="E480" s="137">
        <v>22.0</v>
      </c>
      <c r="F480" s="137">
        <v>14.0</v>
      </c>
      <c r="G480" s="137">
        <v>18.0</v>
      </c>
      <c r="H480" s="137">
        <v>2.0</v>
      </c>
      <c r="I480" s="137">
        <v>4.0</v>
      </c>
      <c r="J480" s="137">
        <v>0.0</v>
      </c>
      <c r="K480" s="137">
        <v>0.0</v>
      </c>
      <c r="L480" s="137">
        <v>0.0</v>
      </c>
      <c r="M480" s="137">
        <v>0.0</v>
      </c>
      <c r="N480" s="137">
        <v>0.0</v>
      </c>
      <c r="O480" s="137">
        <v>0.0</v>
      </c>
      <c r="P480" s="135">
        <v>0.0</v>
      </c>
      <c r="Q480" s="135">
        <v>0.0</v>
      </c>
      <c r="R480" s="135">
        <v>0.0</v>
      </c>
      <c r="S480" s="135">
        <v>0.0</v>
      </c>
      <c r="T480" s="135">
        <v>0.0</v>
      </c>
      <c r="U480" s="135">
        <v>0.0</v>
      </c>
      <c r="V480" s="135">
        <v>0.0</v>
      </c>
      <c r="W480" s="135">
        <v>0.0</v>
      </c>
      <c r="X480" s="135">
        <v>0.0</v>
      </c>
      <c r="Y480" s="135">
        <v>0.0</v>
      </c>
      <c r="Z480" s="135">
        <v>0.0</v>
      </c>
      <c r="AA480" s="135">
        <v>0.0</v>
      </c>
      <c r="AB480" s="135">
        <v>0.0</v>
      </c>
      <c r="AC480" s="135">
        <v>0.0</v>
      </c>
      <c r="AD480" s="135">
        <v>0.0</v>
      </c>
      <c r="AE480" s="135">
        <v>0.0</v>
      </c>
      <c r="AF480" s="135">
        <v>0.0</v>
      </c>
      <c r="AG480" s="135">
        <v>0.0</v>
      </c>
      <c r="AH480" s="135">
        <v>0.0</v>
      </c>
      <c r="AI480" s="135">
        <v>0.0</v>
      </c>
      <c r="AJ480" s="135">
        <v>0.0</v>
      </c>
      <c r="AK480" s="135">
        <v>0.0</v>
      </c>
      <c r="AL480" s="135">
        <v>0.0</v>
      </c>
      <c r="AM480" s="135">
        <v>0.0</v>
      </c>
      <c r="AN480" s="137">
        <v>38.0</v>
      </c>
    </row>
    <row r="481">
      <c r="A481" s="98"/>
      <c r="B481" s="136" t="s">
        <v>199</v>
      </c>
      <c r="C481" s="137">
        <v>0.0</v>
      </c>
      <c r="D481" s="137">
        <v>0.0</v>
      </c>
      <c r="E481" s="137">
        <v>0.0</v>
      </c>
      <c r="F481" s="137">
        <v>0.0</v>
      </c>
      <c r="G481" s="137">
        <v>0.0</v>
      </c>
      <c r="H481" s="137">
        <v>0.0</v>
      </c>
      <c r="I481" s="137">
        <v>0.0</v>
      </c>
      <c r="J481" s="137">
        <v>0.0</v>
      </c>
      <c r="K481" s="137">
        <v>0.0</v>
      </c>
      <c r="L481" s="137">
        <v>0.0</v>
      </c>
      <c r="M481" s="137">
        <v>0.0</v>
      </c>
      <c r="N481" s="137">
        <v>0.0</v>
      </c>
      <c r="O481" s="137">
        <v>0.0</v>
      </c>
      <c r="P481" s="135">
        <v>0.0</v>
      </c>
      <c r="Q481" s="135">
        <v>0.0</v>
      </c>
      <c r="R481" s="135">
        <v>0.0</v>
      </c>
      <c r="S481" s="135">
        <v>0.0</v>
      </c>
      <c r="T481" s="135">
        <v>0.0</v>
      </c>
      <c r="U481" s="135">
        <v>0.0</v>
      </c>
      <c r="V481" s="135">
        <v>0.0</v>
      </c>
      <c r="W481" s="135">
        <v>0.0</v>
      </c>
      <c r="X481" s="135">
        <v>0.0</v>
      </c>
      <c r="Y481" s="135">
        <v>0.0</v>
      </c>
      <c r="Z481" s="135">
        <v>0.0</v>
      </c>
      <c r="AA481" s="135">
        <v>0.0</v>
      </c>
      <c r="AB481" s="135">
        <v>0.0</v>
      </c>
      <c r="AC481" s="135">
        <v>0.0</v>
      </c>
      <c r="AD481" s="135">
        <v>0.0</v>
      </c>
      <c r="AE481" s="135">
        <v>0.0</v>
      </c>
      <c r="AF481" s="135">
        <v>0.0</v>
      </c>
      <c r="AG481" s="135">
        <v>0.0</v>
      </c>
      <c r="AH481" s="135">
        <v>0.0</v>
      </c>
      <c r="AI481" s="135">
        <v>0.0</v>
      </c>
      <c r="AJ481" s="135">
        <v>0.0</v>
      </c>
      <c r="AK481" s="135">
        <v>0.0</v>
      </c>
      <c r="AL481" s="135">
        <v>0.0</v>
      </c>
      <c r="AM481" s="135">
        <v>0.0</v>
      </c>
      <c r="AN481" s="137">
        <v>0.0</v>
      </c>
    </row>
    <row r="482">
      <c r="A482" s="98"/>
      <c r="B482" s="136" t="s">
        <v>206</v>
      </c>
      <c r="C482" s="137">
        <v>2.0</v>
      </c>
      <c r="D482" s="137">
        <v>0.0</v>
      </c>
      <c r="E482" s="137">
        <v>2.0</v>
      </c>
      <c r="F482" s="137">
        <v>0.0</v>
      </c>
      <c r="G482" s="137">
        <v>0.0</v>
      </c>
      <c r="H482" s="137">
        <v>0.0</v>
      </c>
      <c r="I482" s="137">
        <v>2.0</v>
      </c>
      <c r="J482" s="137">
        <v>0.0</v>
      </c>
      <c r="K482" s="137">
        <v>0.0</v>
      </c>
      <c r="L482" s="137">
        <v>0.0</v>
      </c>
      <c r="M482" s="137">
        <v>0.0</v>
      </c>
      <c r="N482" s="137">
        <v>0.0</v>
      </c>
      <c r="O482" s="137">
        <v>0.0</v>
      </c>
      <c r="P482" s="135">
        <v>0.0</v>
      </c>
      <c r="Q482" s="135">
        <v>0.0</v>
      </c>
      <c r="R482" s="135">
        <v>0.0</v>
      </c>
      <c r="S482" s="135">
        <v>0.0</v>
      </c>
      <c r="T482" s="135">
        <v>0.0</v>
      </c>
      <c r="U482" s="135">
        <v>0.0</v>
      </c>
      <c r="V482" s="135">
        <v>0.0</v>
      </c>
      <c r="W482" s="135">
        <v>0.0</v>
      </c>
      <c r="X482" s="135">
        <v>0.0</v>
      </c>
      <c r="Y482" s="135">
        <v>0.0</v>
      </c>
      <c r="Z482" s="135">
        <v>0.0</v>
      </c>
      <c r="AA482" s="135">
        <v>0.0</v>
      </c>
      <c r="AB482" s="135">
        <v>0.0</v>
      </c>
      <c r="AC482" s="135">
        <v>0.0</v>
      </c>
      <c r="AD482" s="135">
        <v>0.0</v>
      </c>
      <c r="AE482" s="135">
        <v>0.0</v>
      </c>
      <c r="AF482" s="135">
        <v>0.0</v>
      </c>
      <c r="AG482" s="135">
        <v>0.0</v>
      </c>
      <c r="AH482" s="135">
        <v>0.0</v>
      </c>
      <c r="AI482" s="135">
        <v>0.0</v>
      </c>
      <c r="AJ482" s="135">
        <v>0.0</v>
      </c>
      <c r="AK482" s="135">
        <v>0.0</v>
      </c>
      <c r="AL482" s="135">
        <v>0.0</v>
      </c>
      <c r="AM482" s="135">
        <v>0.0</v>
      </c>
      <c r="AN482" s="137">
        <v>2.0</v>
      </c>
    </row>
    <row r="483">
      <c r="A483" s="98"/>
      <c r="B483" s="136" t="s">
        <v>200</v>
      </c>
      <c r="C483" s="137">
        <v>6.0</v>
      </c>
      <c r="D483" s="137">
        <v>2.0</v>
      </c>
      <c r="E483" s="137">
        <v>4.0</v>
      </c>
      <c r="F483" s="137">
        <v>0.0</v>
      </c>
      <c r="G483" s="137">
        <v>0.0</v>
      </c>
      <c r="H483" s="137">
        <v>2.0</v>
      </c>
      <c r="I483" s="137">
        <v>0.0</v>
      </c>
      <c r="J483" s="137">
        <v>0.0</v>
      </c>
      <c r="K483" s="137">
        <v>4.0</v>
      </c>
      <c r="L483" s="137">
        <v>0.0</v>
      </c>
      <c r="M483" s="137">
        <v>0.0</v>
      </c>
      <c r="N483" s="137">
        <v>0.0</v>
      </c>
      <c r="O483" s="137">
        <v>0.0</v>
      </c>
      <c r="P483" s="135">
        <v>0.0</v>
      </c>
      <c r="Q483" s="135">
        <v>0.0</v>
      </c>
      <c r="R483" s="135">
        <v>0.0</v>
      </c>
      <c r="S483" s="135">
        <v>0.0</v>
      </c>
      <c r="T483" s="135">
        <v>0.0</v>
      </c>
      <c r="U483" s="135">
        <v>0.0</v>
      </c>
      <c r="V483" s="135">
        <v>0.0</v>
      </c>
      <c r="W483" s="135">
        <v>0.0</v>
      </c>
      <c r="X483" s="135">
        <v>0.0</v>
      </c>
      <c r="Y483" s="135">
        <v>0.0</v>
      </c>
      <c r="Z483" s="135">
        <v>0.0</v>
      </c>
      <c r="AA483" s="135">
        <v>0.0</v>
      </c>
      <c r="AB483" s="135">
        <v>0.0</v>
      </c>
      <c r="AC483" s="135">
        <v>0.0</v>
      </c>
      <c r="AD483" s="135">
        <v>0.0</v>
      </c>
      <c r="AE483" s="135">
        <v>0.0</v>
      </c>
      <c r="AF483" s="135">
        <v>0.0</v>
      </c>
      <c r="AG483" s="135">
        <v>0.0</v>
      </c>
      <c r="AH483" s="135">
        <v>0.0</v>
      </c>
      <c r="AI483" s="135">
        <v>0.0</v>
      </c>
      <c r="AJ483" s="135">
        <v>0.0</v>
      </c>
      <c r="AK483" s="135">
        <v>0.0</v>
      </c>
      <c r="AL483" s="135">
        <v>0.0</v>
      </c>
      <c r="AM483" s="135">
        <v>0.0</v>
      </c>
      <c r="AN483" s="137">
        <v>12.0</v>
      </c>
    </row>
    <row r="484">
      <c r="A484" s="104"/>
      <c r="B484" s="136" t="s">
        <v>201</v>
      </c>
      <c r="C484" s="137">
        <v>0.0</v>
      </c>
      <c r="D484" s="137">
        <v>0.0</v>
      </c>
      <c r="E484" s="137">
        <v>0.0</v>
      </c>
      <c r="F484" s="137">
        <v>0.0</v>
      </c>
      <c r="G484" s="137">
        <v>0.0</v>
      </c>
      <c r="H484" s="137">
        <v>0.0</v>
      </c>
      <c r="I484" s="137">
        <v>0.0</v>
      </c>
      <c r="J484" s="137">
        <v>0.0</v>
      </c>
      <c r="K484" s="137">
        <v>0.0</v>
      </c>
      <c r="L484" s="137">
        <v>0.0</v>
      </c>
      <c r="M484" s="137">
        <v>0.0</v>
      </c>
      <c r="N484" s="137">
        <v>0.0</v>
      </c>
      <c r="O484" s="137">
        <v>0.0</v>
      </c>
      <c r="P484" s="135">
        <v>0.0</v>
      </c>
      <c r="Q484" s="135">
        <v>0.0</v>
      </c>
      <c r="R484" s="135">
        <v>0.0</v>
      </c>
      <c r="S484" s="135">
        <v>0.0</v>
      </c>
      <c r="T484" s="135">
        <v>0.0</v>
      </c>
      <c r="U484" s="135">
        <v>0.0</v>
      </c>
      <c r="V484" s="135">
        <v>0.0</v>
      </c>
      <c r="W484" s="135">
        <v>0.0</v>
      </c>
      <c r="X484" s="135">
        <v>0.0</v>
      </c>
      <c r="Y484" s="135">
        <v>0.0</v>
      </c>
      <c r="Z484" s="135">
        <v>0.0</v>
      </c>
      <c r="AA484" s="135">
        <v>0.0</v>
      </c>
      <c r="AB484" s="135">
        <v>0.0</v>
      </c>
      <c r="AC484" s="135">
        <v>0.0</v>
      </c>
      <c r="AD484" s="135">
        <v>0.0</v>
      </c>
      <c r="AE484" s="135">
        <v>0.0</v>
      </c>
      <c r="AF484" s="135">
        <v>0.0</v>
      </c>
      <c r="AG484" s="135">
        <v>0.0</v>
      </c>
      <c r="AH484" s="135">
        <v>0.0</v>
      </c>
      <c r="AI484" s="135">
        <v>0.0</v>
      </c>
      <c r="AJ484" s="135">
        <v>0.0</v>
      </c>
      <c r="AK484" s="135">
        <v>0.0</v>
      </c>
      <c r="AL484" s="135">
        <v>0.0</v>
      </c>
      <c r="AM484" s="135">
        <v>0.0</v>
      </c>
      <c r="AN484" s="137">
        <v>0.0</v>
      </c>
    </row>
    <row r="485">
      <c r="A485" s="138" t="s">
        <v>259</v>
      </c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</row>
    <row r="486">
      <c r="A486" s="132" t="s">
        <v>197</v>
      </c>
      <c r="B486" s="133" t="s">
        <v>198</v>
      </c>
      <c r="C486" s="134">
        <v>50848.0</v>
      </c>
      <c r="D486" s="134">
        <v>18490.0</v>
      </c>
      <c r="E486" s="134">
        <v>32358.0</v>
      </c>
      <c r="F486" s="135">
        <v>0.0</v>
      </c>
      <c r="G486" s="135">
        <v>0.0</v>
      </c>
      <c r="H486" s="135">
        <v>0.0</v>
      </c>
      <c r="I486" s="135">
        <v>0.0</v>
      </c>
      <c r="J486" s="135">
        <v>0.0</v>
      </c>
      <c r="K486" s="135">
        <v>0.0</v>
      </c>
      <c r="L486" s="137">
        <v>22.0</v>
      </c>
      <c r="M486" s="137">
        <v>12.0</v>
      </c>
      <c r="N486" s="137">
        <v>36.0</v>
      </c>
      <c r="O486" s="137">
        <v>86.0</v>
      </c>
      <c r="P486" s="137">
        <v>82.0</v>
      </c>
      <c r="Q486" s="137">
        <v>146.0</v>
      </c>
      <c r="R486" s="137">
        <v>152.0</v>
      </c>
      <c r="S486" s="137">
        <v>266.0</v>
      </c>
      <c r="T486" s="137">
        <v>238.0</v>
      </c>
      <c r="U486" s="137">
        <v>454.0</v>
      </c>
      <c r="V486" s="137">
        <v>426.0</v>
      </c>
      <c r="W486" s="137">
        <v>892.0</v>
      </c>
      <c r="X486" s="137">
        <v>862.0</v>
      </c>
      <c r="Y486" s="134">
        <v>1650.0</v>
      </c>
      <c r="Z486" s="134">
        <v>1542.0</v>
      </c>
      <c r="AA486" s="134">
        <v>2984.0</v>
      </c>
      <c r="AB486" s="134">
        <v>2314.0</v>
      </c>
      <c r="AC486" s="134">
        <v>4428.0</v>
      </c>
      <c r="AD486" s="134">
        <v>2848.0</v>
      </c>
      <c r="AE486" s="134">
        <v>4578.0</v>
      </c>
      <c r="AF486" s="134">
        <v>2842.0</v>
      </c>
      <c r="AG486" s="134">
        <v>4846.0</v>
      </c>
      <c r="AH486" s="134">
        <v>2860.0</v>
      </c>
      <c r="AI486" s="134">
        <v>4462.0</v>
      </c>
      <c r="AJ486" s="134">
        <v>2168.0</v>
      </c>
      <c r="AK486" s="134">
        <v>3442.0</v>
      </c>
      <c r="AL486" s="134">
        <v>2098.0</v>
      </c>
      <c r="AM486" s="134">
        <v>4112.0</v>
      </c>
      <c r="AN486" s="134">
        <v>50606.0</v>
      </c>
    </row>
    <row r="487">
      <c r="A487" s="98"/>
      <c r="B487" s="136" t="s">
        <v>199</v>
      </c>
      <c r="C487" s="134">
        <v>21384.0</v>
      </c>
      <c r="D487" s="134">
        <v>7956.0</v>
      </c>
      <c r="E487" s="134">
        <v>13428.0</v>
      </c>
      <c r="F487" s="135">
        <v>0.0</v>
      </c>
      <c r="G487" s="135">
        <v>0.0</v>
      </c>
      <c r="H487" s="135">
        <v>0.0</v>
      </c>
      <c r="I487" s="135">
        <v>0.0</v>
      </c>
      <c r="J487" s="135">
        <v>0.0</v>
      </c>
      <c r="K487" s="135">
        <v>0.0</v>
      </c>
      <c r="L487" s="137">
        <v>10.0</v>
      </c>
      <c r="M487" s="137">
        <v>14.0</v>
      </c>
      <c r="N487" s="137">
        <v>30.0</v>
      </c>
      <c r="O487" s="137">
        <v>32.0</v>
      </c>
      <c r="P487" s="137">
        <v>76.0</v>
      </c>
      <c r="Q487" s="137">
        <v>74.0</v>
      </c>
      <c r="R487" s="137">
        <v>78.0</v>
      </c>
      <c r="S487" s="137">
        <v>128.0</v>
      </c>
      <c r="T487" s="137">
        <v>98.0</v>
      </c>
      <c r="U487" s="137">
        <v>186.0</v>
      </c>
      <c r="V487" s="137">
        <v>186.0</v>
      </c>
      <c r="W487" s="137">
        <v>388.0</v>
      </c>
      <c r="X487" s="137">
        <v>404.0</v>
      </c>
      <c r="Y487" s="137">
        <v>670.0</v>
      </c>
      <c r="Z487" s="137">
        <v>676.0</v>
      </c>
      <c r="AA487" s="134">
        <v>1254.0</v>
      </c>
      <c r="AB487" s="137">
        <v>868.0</v>
      </c>
      <c r="AC487" s="134">
        <v>1756.0</v>
      </c>
      <c r="AD487" s="134">
        <v>1092.0</v>
      </c>
      <c r="AE487" s="134">
        <v>1806.0</v>
      </c>
      <c r="AF487" s="134">
        <v>1294.0</v>
      </c>
      <c r="AG487" s="134">
        <v>2148.0</v>
      </c>
      <c r="AH487" s="134">
        <v>1206.0</v>
      </c>
      <c r="AI487" s="134">
        <v>1820.0</v>
      </c>
      <c r="AJ487" s="137">
        <v>914.0</v>
      </c>
      <c r="AK487" s="134">
        <v>1446.0</v>
      </c>
      <c r="AL487" s="134">
        <v>1024.0</v>
      </c>
      <c r="AM487" s="134">
        <v>1706.0</v>
      </c>
      <c r="AN487" s="134">
        <v>21368.0</v>
      </c>
    </row>
    <row r="488">
      <c r="A488" s="98"/>
      <c r="B488" s="136" t="s">
        <v>200</v>
      </c>
      <c r="C488" s="134">
        <v>16872.0</v>
      </c>
      <c r="D488" s="134">
        <v>5904.0</v>
      </c>
      <c r="E488" s="134">
        <v>10968.0</v>
      </c>
      <c r="F488" s="135">
        <v>0.0</v>
      </c>
      <c r="G488" s="135">
        <v>0.0</v>
      </c>
      <c r="H488" s="135">
        <v>0.0</v>
      </c>
      <c r="I488" s="135">
        <v>0.0</v>
      </c>
      <c r="J488" s="135">
        <v>0.0</v>
      </c>
      <c r="K488" s="135">
        <v>0.0</v>
      </c>
      <c r="L488" s="137">
        <v>8.0</v>
      </c>
      <c r="M488" s="137">
        <v>2.0</v>
      </c>
      <c r="N488" s="137">
        <v>18.0</v>
      </c>
      <c r="O488" s="137">
        <v>24.0</v>
      </c>
      <c r="P488" s="137">
        <v>30.0</v>
      </c>
      <c r="Q488" s="137">
        <v>68.0</v>
      </c>
      <c r="R488" s="137">
        <v>92.0</v>
      </c>
      <c r="S488" s="137">
        <v>114.0</v>
      </c>
      <c r="T488" s="137">
        <v>96.0</v>
      </c>
      <c r="U488" s="137">
        <v>168.0</v>
      </c>
      <c r="V488" s="137">
        <v>162.0</v>
      </c>
      <c r="W488" s="137">
        <v>286.0</v>
      </c>
      <c r="X488" s="137">
        <v>388.0</v>
      </c>
      <c r="Y488" s="137">
        <v>672.0</v>
      </c>
      <c r="Z488" s="137">
        <v>478.0</v>
      </c>
      <c r="AA488" s="134">
        <v>1090.0</v>
      </c>
      <c r="AB488" s="137">
        <v>716.0</v>
      </c>
      <c r="AC488" s="134">
        <v>1422.0</v>
      </c>
      <c r="AD488" s="137">
        <v>906.0</v>
      </c>
      <c r="AE488" s="134">
        <v>1708.0</v>
      </c>
      <c r="AF488" s="137">
        <v>912.0</v>
      </c>
      <c r="AG488" s="134">
        <v>1760.0</v>
      </c>
      <c r="AH488" s="137">
        <v>882.0</v>
      </c>
      <c r="AI488" s="134">
        <v>1432.0</v>
      </c>
      <c r="AJ488" s="137">
        <v>658.0</v>
      </c>
      <c r="AK488" s="134">
        <v>1228.0</v>
      </c>
      <c r="AL488" s="137">
        <v>558.0</v>
      </c>
      <c r="AM488" s="137">
        <v>994.0</v>
      </c>
      <c r="AN488" s="134">
        <v>16806.0</v>
      </c>
    </row>
    <row r="489">
      <c r="A489" s="104"/>
      <c r="B489" s="136" t="s">
        <v>201</v>
      </c>
      <c r="C489" s="137">
        <v>0.0</v>
      </c>
      <c r="D489" s="137">
        <v>0.0</v>
      </c>
      <c r="E489" s="137">
        <v>0.0</v>
      </c>
      <c r="F489" s="135">
        <v>0.0</v>
      </c>
      <c r="G489" s="135">
        <v>0.0</v>
      </c>
      <c r="H489" s="135">
        <v>0.0</v>
      </c>
      <c r="I489" s="135">
        <v>0.0</v>
      </c>
      <c r="J489" s="135">
        <v>0.0</v>
      </c>
      <c r="K489" s="135">
        <v>0.0</v>
      </c>
      <c r="L489" s="137">
        <v>0.0</v>
      </c>
      <c r="M489" s="137">
        <v>0.0</v>
      </c>
      <c r="N489" s="137">
        <v>0.0</v>
      </c>
      <c r="O489" s="137">
        <v>0.0</v>
      </c>
      <c r="P489" s="137">
        <v>0.0</v>
      </c>
      <c r="Q489" s="137">
        <v>0.0</v>
      </c>
      <c r="R489" s="137">
        <v>0.0</v>
      </c>
      <c r="S489" s="137">
        <v>0.0</v>
      </c>
      <c r="T489" s="137">
        <v>0.0</v>
      </c>
      <c r="U489" s="137">
        <v>0.0</v>
      </c>
      <c r="V489" s="137">
        <v>0.0</v>
      </c>
      <c r="W489" s="137">
        <v>0.0</v>
      </c>
      <c r="X489" s="137">
        <v>0.0</v>
      </c>
      <c r="Y489" s="137">
        <v>0.0</v>
      </c>
      <c r="Z489" s="137">
        <v>0.0</v>
      </c>
      <c r="AA489" s="137">
        <v>0.0</v>
      </c>
      <c r="AB489" s="137">
        <v>0.0</v>
      </c>
      <c r="AC489" s="137">
        <v>0.0</v>
      </c>
      <c r="AD489" s="137">
        <v>0.0</v>
      </c>
      <c r="AE489" s="137">
        <v>0.0</v>
      </c>
      <c r="AF489" s="137">
        <v>0.0</v>
      </c>
      <c r="AG489" s="137">
        <v>0.0</v>
      </c>
      <c r="AH489" s="137">
        <v>0.0</v>
      </c>
      <c r="AI489" s="137">
        <v>0.0</v>
      </c>
      <c r="AJ489" s="137">
        <v>0.0</v>
      </c>
      <c r="AK489" s="137">
        <v>0.0</v>
      </c>
      <c r="AL489" s="137">
        <v>0.0</v>
      </c>
      <c r="AM489" s="137">
        <v>0.0</v>
      </c>
      <c r="AN489" s="137">
        <v>0.0</v>
      </c>
    </row>
    <row r="490">
      <c r="A490" s="132" t="s">
        <v>202</v>
      </c>
      <c r="B490" s="136" t="s">
        <v>198</v>
      </c>
      <c r="C490" s="137">
        <v>198.0</v>
      </c>
      <c r="D490" s="137">
        <v>114.0</v>
      </c>
      <c r="E490" s="137">
        <v>84.0</v>
      </c>
      <c r="F490" s="137">
        <v>0.0</v>
      </c>
      <c r="G490" s="137">
        <v>0.0</v>
      </c>
      <c r="H490" s="137">
        <v>0.0</v>
      </c>
      <c r="I490" s="137">
        <v>0.0</v>
      </c>
      <c r="J490" s="137">
        <v>0.0</v>
      </c>
      <c r="K490" s="137">
        <v>0.0</v>
      </c>
      <c r="L490" s="137">
        <v>6.0</v>
      </c>
      <c r="M490" s="137">
        <v>0.0</v>
      </c>
      <c r="N490" s="137">
        <v>10.0</v>
      </c>
      <c r="O490" s="137">
        <v>16.0</v>
      </c>
      <c r="P490" s="137">
        <v>0.0</v>
      </c>
      <c r="Q490" s="137">
        <v>4.0</v>
      </c>
      <c r="R490" s="137">
        <v>0.0</v>
      </c>
      <c r="S490" s="137">
        <v>0.0</v>
      </c>
      <c r="T490" s="137">
        <v>16.0</v>
      </c>
      <c r="U490" s="137">
        <v>2.0</v>
      </c>
      <c r="V490" s="137">
        <v>6.0</v>
      </c>
      <c r="W490" s="137">
        <v>0.0</v>
      </c>
      <c r="X490" s="137">
        <v>4.0</v>
      </c>
      <c r="Y490" s="137">
        <v>8.0</v>
      </c>
      <c r="Z490" s="137">
        <v>18.0</v>
      </c>
      <c r="AA490" s="137">
        <v>32.0</v>
      </c>
      <c r="AB490" s="137">
        <v>22.0</v>
      </c>
      <c r="AC490" s="137">
        <v>8.0</v>
      </c>
      <c r="AD490" s="137">
        <v>24.0</v>
      </c>
      <c r="AE490" s="137">
        <v>6.0</v>
      </c>
      <c r="AF490" s="137">
        <v>2.0</v>
      </c>
      <c r="AG490" s="137">
        <v>4.0</v>
      </c>
      <c r="AH490" s="137">
        <v>4.0</v>
      </c>
      <c r="AI490" s="137">
        <v>2.0</v>
      </c>
      <c r="AJ490" s="137">
        <v>2.0</v>
      </c>
      <c r="AK490" s="137">
        <v>2.0</v>
      </c>
      <c r="AL490" s="137">
        <v>0.0</v>
      </c>
      <c r="AM490" s="137">
        <v>0.0</v>
      </c>
      <c r="AN490" s="137">
        <v>190.0</v>
      </c>
    </row>
    <row r="491">
      <c r="A491" s="104"/>
      <c r="B491" s="136" t="s">
        <v>199</v>
      </c>
      <c r="C491" s="137">
        <v>166.0</v>
      </c>
      <c r="D491" s="137">
        <v>110.0</v>
      </c>
      <c r="E491" s="137">
        <v>56.0</v>
      </c>
      <c r="F491" s="137">
        <v>0.0</v>
      </c>
      <c r="G491" s="137">
        <v>0.0</v>
      </c>
      <c r="H491" s="137">
        <v>0.0</v>
      </c>
      <c r="I491" s="137">
        <v>0.0</v>
      </c>
      <c r="J491" s="137">
        <v>0.0</v>
      </c>
      <c r="K491" s="137">
        <v>0.0</v>
      </c>
      <c r="L491" s="137">
        <v>0.0</v>
      </c>
      <c r="M491" s="137">
        <v>0.0</v>
      </c>
      <c r="N491" s="137">
        <v>10.0</v>
      </c>
      <c r="O491" s="137">
        <v>16.0</v>
      </c>
      <c r="P491" s="137">
        <v>0.0</v>
      </c>
      <c r="Q491" s="137">
        <v>2.0</v>
      </c>
      <c r="R491" s="137">
        <v>0.0</v>
      </c>
      <c r="S491" s="137">
        <v>2.0</v>
      </c>
      <c r="T491" s="137">
        <v>6.0</v>
      </c>
      <c r="U491" s="137">
        <v>0.0</v>
      </c>
      <c r="V491" s="137">
        <v>0.0</v>
      </c>
      <c r="W491" s="137">
        <v>0.0</v>
      </c>
      <c r="X491" s="137">
        <v>22.0</v>
      </c>
      <c r="Y491" s="137">
        <v>8.0</v>
      </c>
      <c r="Z491" s="137">
        <v>6.0</v>
      </c>
      <c r="AA491" s="137">
        <v>20.0</v>
      </c>
      <c r="AB491" s="137">
        <v>24.0</v>
      </c>
      <c r="AC491" s="137">
        <v>0.0</v>
      </c>
      <c r="AD491" s="137">
        <v>26.0</v>
      </c>
      <c r="AE491" s="137">
        <v>2.0</v>
      </c>
      <c r="AF491" s="137">
        <v>10.0</v>
      </c>
      <c r="AG491" s="137">
        <v>6.0</v>
      </c>
      <c r="AH491" s="137">
        <v>2.0</v>
      </c>
      <c r="AI491" s="137">
        <v>0.0</v>
      </c>
      <c r="AJ491" s="137">
        <v>4.0</v>
      </c>
      <c r="AK491" s="137">
        <v>0.0</v>
      </c>
      <c r="AL491" s="137">
        <v>0.0</v>
      </c>
      <c r="AM491" s="137">
        <v>0.0</v>
      </c>
      <c r="AN491" s="137">
        <v>158.0</v>
      </c>
    </row>
    <row r="492">
      <c r="A492" s="132" t="s">
        <v>203</v>
      </c>
      <c r="B492" s="136" t="s">
        <v>198</v>
      </c>
      <c r="C492" s="137">
        <v>160.0</v>
      </c>
      <c r="D492" s="137">
        <v>68.0</v>
      </c>
      <c r="E492" s="137">
        <v>92.0</v>
      </c>
      <c r="F492" s="135">
        <v>0.0</v>
      </c>
      <c r="G492" s="135">
        <v>0.0</v>
      </c>
      <c r="H492" s="135">
        <v>0.0</v>
      </c>
      <c r="I492" s="135">
        <v>0.0</v>
      </c>
      <c r="J492" s="135">
        <v>0.0</v>
      </c>
      <c r="K492" s="135">
        <v>0.0</v>
      </c>
      <c r="L492" s="135">
        <v>0.0</v>
      </c>
      <c r="M492" s="135">
        <v>0.0</v>
      </c>
      <c r="N492" s="135">
        <v>0.0</v>
      </c>
      <c r="O492" s="135">
        <v>0.0</v>
      </c>
      <c r="P492" s="135">
        <v>0.0</v>
      </c>
      <c r="Q492" s="135">
        <v>0.0</v>
      </c>
      <c r="R492" s="135">
        <v>0.0</v>
      </c>
      <c r="S492" s="135">
        <v>0.0</v>
      </c>
      <c r="T492" s="135">
        <v>0.0</v>
      </c>
      <c r="U492" s="135">
        <v>0.0</v>
      </c>
      <c r="V492" s="135">
        <v>0.0</v>
      </c>
      <c r="W492" s="135">
        <v>0.0</v>
      </c>
      <c r="X492" s="135">
        <v>0.0</v>
      </c>
      <c r="Y492" s="135">
        <v>0.0</v>
      </c>
      <c r="Z492" s="135">
        <v>0.0</v>
      </c>
      <c r="AA492" s="135">
        <v>0.0</v>
      </c>
      <c r="AB492" s="135">
        <v>0.0</v>
      </c>
      <c r="AC492" s="135">
        <v>0.0</v>
      </c>
      <c r="AD492" s="135">
        <v>0.0</v>
      </c>
      <c r="AE492" s="135">
        <v>0.0</v>
      </c>
      <c r="AF492" s="137">
        <v>18.0</v>
      </c>
      <c r="AG492" s="137">
        <v>28.0</v>
      </c>
      <c r="AH492" s="137">
        <v>24.0</v>
      </c>
      <c r="AI492" s="137">
        <v>22.0</v>
      </c>
      <c r="AJ492" s="137">
        <v>14.0</v>
      </c>
      <c r="AK492" s="137">
        <v>18.0</v>
      </c>
      <c r="AL492" s="137">
        <v>12.0</v>
      </c>
      <c r="AM492" s="137">
        <v>24.0</v>
      </c>
      <c r="AN492" s="137">
        <v>160.0</v>
      </c>
    </row>
    <row r="493">
      <c r="A493" s="104"/>
      <c r="B493" s="136" t="s">
        <v>199</v>
      </c>
      <c r="C493" s="137">
        <v>790.0</v>
      </c>
      <c r="D493" s="137">
        <v>318.0</v>
      </c>
      <c r="E493" s="137">
        <v>472.0</v>
      </c>
      <c r="F493" s="135">
        <v>0.0</v>
      </c>
      <c r="G493" s="135">
        <v>0.0</v>
      </c>
      <c r="H493" s="135">
        <v>0.0</v>
      </c>
      <c r="I493" s="135">
        <v>0.0</v>
      </c>
      <c r="J493" s="135">
        <v>0.0</v>
      </c>
      <c r="K493" s="135">
        <v>0.0</v>
      </c>
      <c r="L493" s="135">
        <v>0.0</v>
      </c>
      <c r="M493" s="135">
        <v>0.0</v>
      </c>
      <c r="N493" s="135">
        <v>0.0</v>
      </c>
      <c r="O493" s="135">
        <v>0.0</v>
      </c>
      <c r="P493" s="135">
        <v>0.0</v>
      </c>
      <c r="Q493" s="135">
        <v>0.0</v>
      </c>
      <c r="R493" s="135">
        <v>0.0</v>
      </c>
      <c r="S493" s="135">
        <v>0.0</v>
      </c>
      <c r="T493" s="135">
        <v>0.0</v>
      </c>
      <c r="U493" s="135">
        <v>0.0</v>
      </c>
      <c r="V493" s="135">
        <v>0.0</v>
      </c>
      <c r="W493" s="135">
        <v>0.0</v>
      </c>
      <c r="X493" s="135">
        <v>0.0</v>
      </c>
      <c r="Y493" s="135">
        <v>0.0</v>
      </c>
      <c r="Z493" s="135">
        <v>0.0</v>
      </c>
      <c r="AA493" s="135">
        <v>0.0</v>
      </c>
      <c r="AB493" s="135">
        <v>0.0</v>
      </c>
      <c r="AC493" s="135">
        <v>0.0</v>
      </c>
      <c r="AD493" s="135">
        <v>0.0</v>
      </c>
      <c r="AE493" s="135">
        <v>0.0</v>
      </c>
      <c r="AF493" s="137">
        <v>76.0</v>
      </c>
      <c r="AG493" s="137">
        <v>116.0</v>
      </c>
      <c r="AH493" s="137">
        <v>84.0</v>
      </c>
      <c r="AI493" s="137">
        <v>136.0</v>
      </c>
      <c r="AJ493" s="137">
        <v>84.0</v>
      </c>
      <c r="AK493" s="137">
        <v>122.0</v>
      </c>
      <c r="AL493" s="137">
        <v>74.0</v>
      </c>
      <c r="AM493" s="137">
        <v>98.0</v>
      </c>
      <c r="AN493" s="137">
        <v>790.0</v>
      </c>
    </row>
    <row r="494">
      <c r="A494" s="132" t="s">
        <v>204</v>
      </c>
      <c r="B494" s="136" t="s">
        <v>198</v>
      </c>
      <c r="C494" s="137">
        <v>4.0</v>
      </c>
      <c r="D494" s="137">
        <v>2.0</v>
      </c>
      <c r="E494" s="137">
        <v>2.0</v>
      </c>
      <c r="F494" s="135">
        <v>0.0</v>
      </c>
      <c r="G494" s="135">
        <v>0.0</v>
      </c>
      <c r="H494" s="135">
        <v>0.0</v>
      </c>
      <c r="I494" s="135">
        <v>0.0</v>
      </c>
      <c r="J494" s="135">
        <v>0.0</v>
      </c>
      <c r="K494" s="135">
        <v>0.0</v>
      </c>
      <c r="L494" s="135">
        <v>0.0</v>
      </c>
      <c r="M494" s="135">
        <v>0.0</v>
      </c>
      <c r="N494" s="135">
        <v>0.0</v>
      </c>
      <c r="O494" s="135">
        <v>0.0</v>
      </c>
      <c r="P494" s="135">
        <v>0.0</v>
      </c>
      <c r="Q494" s="135">
        <v>0.0</v>
      </c>
      <c r="R494" s="135">
        <v>0.0</v>
      </c>
      <c r="S494" s="135">
        <v>0.0</v>
      </c>
      <c r="T494" s="135">
        <v>0.0</v>
      </c>
      <c r="U494" s="135">
        <v>0.0</v>
      </c>
      <c r="V494" s="135">
        <v>0.0</v>
      </c>
      <c r="W494" s="135">
        <v>0.0</v>
      </c>
      <c r="X494" s="135">
        <v>0.0</v>
      </c>
      <c r="Y494" s="135">
        <v>0.0</v>
      </c>
      <c r="Z494" s="135">
        <v>0.0</v>
      </c>
      <c r="AA494" s="135">
        <v>0.0</v>
      </c>
      <c r="AB494" s="135">
        <v>0.0</v>
      </c>
      <c r="AC494" s="135">
        <v>0.0</v>
      </c>
      <c r="AD494" s="135">
        <v>0.0</v>
      </c>
      <c r="AE494" s="135">
        <v>0.0</v>
      </c>
      <c r="AF494" s="137">
        <v>0.0</v>
      </c>
      <c r="AG494" s="137">
        <v>0.0</v>
      </c>
      <c r="AH494" s="137">
        <v>0.0</v>
      </c>
      <c r="AI494" s="137">
        <v>0.0</v>
      </c>
      <c r="AJ494" s="137">
        <v>2.0</v>
      </c>
      <c r="AK494" s="137">
        <v>0.0</v>
      </c>
      <c r="AL494" s="137">
        <v>0.0</v>
      </c>
      <c r="AM494" s="137">
        <v>2.0</v>
      </c>
      <c r="AN494" s="137">
        <v>4.0</v>
      </c>
    </row>
    <row r="495">
      <c r="A495" s="104"/>
      <c r="B495" s="136" t="s">
        <v>199</v>
      </c>
      <c r="C495" s="137">
        <v>280.0</v>
      </c>
      <c r="D495" s="137">
        <v>104.0</v>
      </c>
      <c r="E495" s="137">
        <v>176.0</v>
      </c>
      <c r="F495" s="135">
        <v>0.0</v>
      </c>
      <c r="G495" s="135">
        <v>0.0</v>
      </c>
      <c r="H495" s="135">
        <v>0.0</v>
      </c>
      <c r="I495" s="135">
        <v>0.0</v>
      </c>
      <c r="J495" s="135">
        <v>0.0</v>
      </c>
      <c r="K495" s="135">
        <v>0.0</v>
      </c>
      <c r="L495" s="135">
        <v>0.0</v>
      </c>
      <c r="M495" s="135">
        <v>0.0</v>
      </c>
      <c r="N495" s="135">
        <v>0.0</v>
      </c>
      <c r="O495" s="135">
        <v>0.0</v>
      </c>
      <c r="P495" s="135">
        <v>0.0</v>
      </c>
      <c r="Q495" s="135">
        <v>0.0</v>
      </c>
      <c r="R495" s="135">
        <v>0.0</v>
      </c>
      <c r="S495" s="135">
        <v>0.0</v>
      </c>
      <c r="T495" s="135">
        <v>0.0</v>
      </c>
      <c r="U495" s="135">
        <v>0.0</v>
      </c>
      <c r="V495" s="135">
        <v>0.0</v>
      </c>
      <c r="W495" s="135">
        <v>0.0</v>
      </c>
      <c r="X495" s="135">
        <v>0.0</v>
      </c>
      <c r="Y495" s="135">
        <v>0.0</v>
      </c>
      <c r="Z495" s="135">
        <v>0.0</v>
      </c>
      <c r="AA495" s="135">
        <v>0.0</v>
      </c>
      <c r="AB495" s="135">
        <v>0.0</v>
      </c>
      <c r="AC495" s="135">
        <v>0.0</v>
      </c>
      <c r="AD495" s="135">
        <v>0.0</v>
      </c>
      <c r="AE495" s="135">
        <v>0.0</v>
      </c>
      <c r="AF495" s="137">
        <v>12.0</v>
      </c>
      <c r="AG495" s="137">
        <v>8.0</v>
      </c>
      <c r="AH495" s="137">
        <v>24.0</v>
      </c>
      <c r="AI495" s="137">
        <v>34.0</v>
      </c>
      <c r="AJ495" s="137">
        <v>12.0</v>
      </c>
      <c r="AK495" s="137">
        <v>40.0</v>
      </c>
      <c r="AL495" s="137">
        <v>56.0</v>
      </c>
      <c r="AM495" s="137">
        <v>94.0</v>
      </c>
      <c r="AN495" s="137">
        <v>258.0</v>
      </c>
    </row>
    <row r="496">
      <c r="A496" s="132" t="s">
        <v>205</v>
      </c>
      <c r="B496" s="136" t="s">
        <v>198</v>
      </c>
      <c r="C496" s="137">
        <v>0.0</v>
      </c>
      <c r="D496" s="137">
        <v>0.0</v>
      </c>
      <c r="E496" s="137">
        <v>0.0</v>
      </c>
      <c r="F496" s="137">
        <v>0.0</v>
      </c>
      <c r="G496" s="137">
        <v>0.0</v>
      </c>
      <c r="H496" s="137">
        <v>0.0</v>
      </c>
      <c r="I496" s="137">
        <v>0.0</v>
      </c>
      <c r="J496" s="137">
        <v>0.0</v>
      </c>
      <c r="K496" s="137">
        <v>0.0</v>
      </c>
      <c r="L496" s="137">
        <v>0.0</v>
      </c>
      <c r="M496" s="137">
        <v>0.0</v>
      </c>
      <c r="N496" s="137">
        <v>0.0</v>
      </c>
      <c r="O496" s="137">
        <v>0.0</v>
      </c>
      <c r="P496" s="137">
        <v>0.0</v>
      </c>
      <c r="Q496" s="137">
        <v>0.0</v>
      </c>
      <c r="R496" s="137">
        <v>0.0</v>
      </c>
      <c r="S496" s="137">
        <v>0.0</v>
      </c>
      <c r="T496" s="137">
        <v>0.0</v>
      </c>
      <c r="U496" s="137">
        <v>0.0</v>
      </c>
      <c r="V496" s="137">
        <v>0.0</v>
      </c>
      <c r="W496" s="137">
        <v>0.0</v>
      </c>
      <c r="X496" s="137">
        <v>0.0</v>
      </c>
      <c r="Y496" s="137">
        <v>0.0</v>
      </c>
      <c r="Z496" s="137">
        <v>0.0</v>
      </c>
      <c r="AA496" s="137">
        <v>0.0</v>
      </c>
      <c r="AB496" s="137">
        <v>0.0</v>
      </c>
      <c r="AC496" s="137">
        <v>0.0</v>
      </c>
      <c r="AD496" s="137">
        <v>0.0</v>
      </c>
      <c r="AE496" s="137">
        <v>0.0</v>
      </c>
      <c r="AF496" s="137">
        <v>0.0</v>
      </c>
      <c r="AG496" s="137">
        <v>0.0</v>
      </c>
      <c r="AH496" s="137">
        <v>0.0</v>
      </c>
      <c r="AI496" s="137">
        <v>0.0</v>
      </c>
      <c r="AJ496" s="137">
        <v>0.0</v>
      </c>
      <c r="AK496" s="137">
        <v>0.0</v>
      </c>
      <c r="AL496" s="137">
        <v>0.0</v>
      </c>
      <c r="AM496" s="137">
        <v>0.0</v>
      </c>
      <c r="AN496" s="137">
        <v>0.0</v>
      </c>
    </row>
    <row r="497">
      <c r="A497" s="98"/>
      <c r="B497" s="136" t="s">
        <v>199</v>
      </c>
      <c r="C497" s="137">
        <v>2.0</v>
      </c>
      <c r="D497" s="137">
        <v>0.0</v>
      </c>
      <c r="E497" s="137">
        <v>2.0</v>
      </c>
      <c r="F497" s="137">
        <v>0.0</v>
      </c>
      <c r="G497" s="137">
        <v>0.0</v>
      </c>
      <c r="H497" s="137">
        <v>0.0</v>
      </c>
      <c r="I497" s="137">
        <v>0.0</v>
      </c>
      <c r="J497" s="137">
        <v>0.0</v>
      </c>
      <c r="K497" s="137">
        <v>0.0</v>
      </c>
      <c r="L497" s="137">
        <v>0.0</v>
      </c>
      <c r="M497" s="137">
        <v>2.0</v>
      </c>
      <c r="N497" s="137">
        <v>0.0</v>
      </c>
      <c r="O497" s="137">
        <v>0.0</v>
      </c>
      <c r="P497" s="137">
        <v>0.0</v>
      </c>
      <c r="Q497" s="137">
        <v>0.0</v>
      </c>
      <c r="R497" s="137">
        <v>0.0</v>
      </c>
      <c r="S497" s="137">
        <v>0.0</v>
      </c>
      <c r="T497" s="137">
        <v>0.0</v>
      </c>
      <c r="U497" s="137">
        <v>0.0</v>
      </c>
      <c r="V497" s="137">
        <v>0.0</v>
      </c>
      <c r="W497" s="137">
        <v>0.0</v>
      </c>
      <c r="X497" s="137">
        <v>0.0</v>
      </c>
      <c r="Y497" s="137">
        <v>0.0</v>
      </c>
      <c r="Z497" s="137">
        <v>0.0</v>
      </c>
      <c r="AA497" s="137">
        <v>0.0</v>
      </c>
      <c r="AB497" s="137">
        <v>0.0</v>
      </c>
      <c r="AC497" s="137">
        <v>0.0</v>
      </c>
      <c r="AD497" s="137">
        <v>0.0</v>
      </c>
      <c r="AE497" s="137">
        <v>0.0</v>
      </c>
      <c r="AF497" s="137">
        <v>0.0</v>
      </c>
      <c r="AG497" s="137">
        <v>0.0</v>
      </c>
      <c r="AH497" s="137">
        <v>0.0</v>
      </c>
      <c r="AI497" s="137">
        <v>0.0</v>
      </c>
      <c r="AJ497" s="137">
        <v>0.0</v>
      </c>
      <c r="AK497" s="137">
        <v>0.0</v>
      </c>
      <c r="AL497" s="137">
        <v>0.0</v>
      </c>
      <c r="AM497" s="137">
        <v>0.0</v>
      </c>
      <c r="AN497" s="137">
        <v>2.0</v>
      </c>
    </row>
    <row r="498">
      <c r="A498" s="104"/>
      <c r="B498" s="136" t="s">
        <v>206</v>
      </c>
      <c r="C498" s="137">
        <v>2.0</v>
      </c>
      <c r="D498" s="137">
        <v>0.0</v>
      </c>
      <c r="E498" s="137">
        <v>2.0</v>
      </c>
      <c r="F498" s="137">
        <v>0.0</v>
      </c>
      <c r="G498" s="137">
        <v>0.0</v>
      </c>
      <c r="H498" s="137">
        <v>0.0</v>
      </c>
      <c r="I498" s="137">
        <v>0.0</v>
      </c>
      <c r="J498" s="137">
        <v>0.0</v>
      </c>
      <c r="K498" s="137">
        <v>0.0</v>
      </c>
      <c r="L498" s="137">
        <v>0.0</v>
      </c>
      <c r="M498" s="137">
        <v>0.0</v>
      </c>
      <c r="N498" s="137">
        <v>0.0</v>
      </c>
      <c r="O498" s="137">
        <v>0.0</v>
      </c>
      <c r="P498" s="137">
        <v>0.0</v>
      </c>
      <c r="Q498" s="137">
        <v>0.0</v>
      </c>
      <c r="R498" s="137">
        <v>0.0</v>
      </c>
      <c r="S498" s="137">
        <v>0.0</v>
      </c>
      <c r="T498" s="137">
        <v>0.0</v>
      </c>
      <c r="U498" s="137">
        <v>0.0</v>
      </c>
      <c r="V498" s="137">
        <v>0.0</v>
      </c>
      <c r="W498" s="137">
        <v>0.0</v>
      </c>
      <c r="X498" s="137">
        <v>0.0</v>
      </c>
      <c r="Y498" s="137">
        <v>2.0</v>
      </c>
      <c r="Z498" s="137">
        <v>0.0</v>
      </c>
      <c r="AA498" s="137">
        <v>0.0</v>
      </c>
      <c r="AB498" s="137">
        <v>0.0</v>
      </c>
      <c r="AC498" s="137">
        <v>0.0</v>
      </c>
      <c r="AD498" s="137">
        <v>0.0</v>
      </c>
      <c r="AE498" s="137">
        <v>0.0</v>
      </c>
      <c r="AF498" s="137">
        <v>0.0</v>
      </c>
      <c r="AG498" s="137">
        <v>0.0</v>
      </c>
      <c r="AH498" s="137">
        <v>0.0</v>
      </c>
      <c r="AI498" s="137">
        <v>0.0</v>
      </c>
      <c r="AJ498" s="137">
        <v>0.0</v>
      </c>
      <c r="AK498" s="137">
        <v>0.0</v>
      </c>
      <c r="AL498" s="137">
        <v>0.0</v>
      </c>
      <c r="AM498" s="137">
        <v>0.0</v>
      </c>
      <c r="AN498" s="137">
        <v>2.0</v>
      </c>
    </row>
    <row r="499">
      <c r="A499" s="132" t="s">
        <v>207</v>
      </c>
      <c r="B499" s="136" t="s">
        <v>198</v>
      </c>
      <c r="C499" s="134">
        <v>6332.0</v>
      </c>
      <c r="D499" s="134">
        <v>1422.0</v>
      </c>
      <c r="E499" s="134">
        <v>4910.0</v>
      </c>
      <c r="F499" s="137">
        <v>8.0</v>
      </c>
      <c r="G499" s="137">
        <v>6.0</v>
      </c>
      <c r="H499" s="137">
        <v>2.0</v>
      </c>
      <c r="I499" s="137">
        <v>8.0</v>
      </c>
      <c r="J499" s="137">
        <v>14.0</v>
      </c>
      <c r="K499" s="137">
        <v>16.0</v>
      </c>
      <c r="L499" s="137">
        <v>20.0</v>
      </c>
      <c r="M499" s="137">
        <v>48.0</v>
      </c>
      <c r="N499" s="137">
        <v>28.0</v>
      </c>
      <c r="O499" s="137">
        <v>70.0</v>
      </c>
      <c r="P499" s="137">
        <v>32.0</v>
      </c>
      <c r="Q499" s="137">
        <v>118.0</v>
      </c>
      <c r="R499" s="137">
        <v>32.0</v>
      </c>
      <c r="S499" s="137">
        <v>134.0</v>
      </c>
      <c r="T499" s="137">
        <v>28.0</v>
      </c>
      <c r="U499" s="137">
        <v>128.0</v>
      </c>
      <c r="V499" s="137">
        <v>36.0</v>
      </c>
      <c r="W499" s="137">
        <v>190.0</v>
      </c>
      <c r="X499" s="137">
        <v>62.0</v>
      </c>
      <c r="Y499" s="137">
        <v>340.0</v>
      </c>
      <c r="Z499" s="137">
        <v>102.0</v>
      </c>
      <c r="AA499" s="137">
        <v>440.0</v>
      </c>
      <c r="AB499" s="137">
        <v>140.0</v>
      </c>
      <c r="AC499" s="137">
        <v>576.0</v>
      </c>
      <c r="AD499" s="137">
        <v>194.0</v>
      </c>
      <c r="AE499" s="137">
        <v>688.0</v>
      </c>
      <c r="AF499" s="137">
        <v>206.0</v>
      </c>
      <c r="AG499" s="137">
        <v>642.0</v>
      </c>
      <c r="AH499" s="137">
        <v>206.0</v>
      </c>
      <c r="AI499" s="137">
        <v>582.0</v>
      </c>
      <c r="AJ499" s="137">
        <v>136.0</v>
      </c>
      <c r="AK499" s="137">
        <v>406.0</v>
      </c>
      <c r="AL499" s="137">
        <v>176.0</v>
      </c>
      <c r="AM499" s="137">
        <v>518.0</v>
      </c>
      <c r="AN499" s="134">
        <v>6330.0</v>
      </c>
    </row>
    <row r="500">
      <c r="A500" s="98"/>
      <c r="B500" s="136" t="s">
        <v>199</v>
      </c>
      <c r="C500" s="134">
        <v>1926.0</v>
      </c>
      <c r="D500" s="137">
        <v>508.0</v>
      </c>
      <c r="E500" s="134">
        <v>1418.0</v>
      </c>
      <c r="F500" s="137">
        <v>0.0</v>
      </c>
      <c r="G500" s="137">
        <v>2.0</v>
      </c>
      <c r="H500" s="137">
        <v>2.0</v>
      </c>
      <c r="I500" s="137">
        <v>4.0</v>
      </c>
      <c r="J500" s="137">
        <v>2.0</v>
      </c>
      <c r="K500" s="137">
        <v>0.0</v>
      </c>
      <c r="L500" s="137">
        <v>4.0</v>
      </c>
      <c r="M500" s="137">
        <v>16.0</v>
      </c>
      <c r="N500" s="137">
        <v>10.0</v>
      </c>
      <c r="O500" s="137">
        <v>24.0</v>
      </c>
      <c r="P500" s="137">
        <v>8.0</v>
      </c>
      <c r="Q500" s="137">
        <v>32.0</v>
      </c>
      <c r="R500" s="137">
        <v>14.0</v>
      </c>
      <c r="S500" s="137">
        <v>50.0</v>
      </c>
      <c r="T500" s="137">
        <v>10.0</v>
      </c>
      <c r="U500" s="137">
        <v>56.0</v>
      </c>
      <c r="V500" s="137">
        <v>4.0</v>
      </c>
      <c r="W500" s="137">
        <v>56.0</v>
      </c>
      <c r="X500" s="137">
        <v>14.0</v>
      </c>
      <c r="Y500" s="137">
        <v>100.0</v>
      </c>
      <c r="Z500" s="137">
        <v>34.0</v>
      </c>
      <c r="AA500" s="137">
        <v>124.0</v>
      </c>
      <c r="AB500" s="137">
        <v>46.0</v>
      </c>
      <c r="AC500" s="137">
        <v>178.0</v>
      </c>
      <c r="AD500" s="137">
        <v>76.0</v>
      </c>
      <c r="AE500" s="137">
        <v>212.0</v>
      </c>
      <c r="AF500" s="137">
        <v>92.0</v>
      </c>
      <c r="AG500" s="137">
        <v>176.0</v>
      </c>
      <c r="AH500" s="137">
        <v>86.0</v>
      </c>
      <c r="AI500" s="137">
        <v>170.0</v>
      </c>
      <c r="AJ500" s="137">
        <v>46.0</v>
      </c>
      <c r="AK500" s="137">
        <v>118.0</v>
      </c>
      <c r="AL500" s="137">
        <v>60.0</v>
      </c>
      <c r="AM500" s="137">
        <v>100.0</v>
      </c>
      <c r="AN500" s="134">
        <v>1922.0</v>
      </c>
    </row>
    <row r="501">
      <c r="A501" s="98"/>
      <c r="B501" s="136" t="s">
        <v>206</v>
      </c>
      <c r="C501" s="137">
        <v>22.0</v>
      </c>
      <c r="D501" s="137">
        <v>6.0</v>
      </c>
      <c r="E501" s="137">
        <v>16.0</v>
      </c>
      <c r="F501" s="137">
        <v>6.0</v>
      </c>
      <c r="G501" s="137">
        <v>10.0</v>
      </c>
      <c r="H501" s="137">
        <v>0.0</v>
      </c>
      <c r="I501" s="137">
        <v>0.0</v>
      </c>
      <c r="J501" s="137">
        <v>0.0</v>
      </c>
      <c r="K501" s="137">
        <v>0.0</v>
      </c>
      <c r="L501" s="137">
        <v>0.0</v>
      </c>
      <c r="M501" s="137">
        <v>0.0</v>
      </c>
      <c r="N501" s="137">
        <v>0.0</v>
      </c>
      <c r="O501" s="137">
        <v>0.0</v>
      </c>
      <c r="P501" s="137">
        <v>0.0</v>
      </c>
      <c r="Q501" s="137">
        <v>0.0</v>
      </c>
      <c r="R501" s="137">
        <v>0.0</v>
      </c>
      <c r="S501" s="137">
        <v>0.0</v>
      </c>
      <c r="T501" s="137">
        <v>0.0</v>
      </c>
      <c r="U501" s="137">
        <v>2.0</v>
      </c>
      <c r="V501" s="137">
        <v>0.0</v>
      </c>
      <c r="W501" s="137">
        <v>0.0</v>
      </c>
      <c r="X501" s="137">
        <v>0.0</v>
      </c>
      <c r="Y501" s="137">
        <v>0.0</v>
      </c>
      <c r="Z501" s="137">
        <v>0.0</v>
      </c>
      <c r="AA501" s="137">
        <v>0.0</v>
      </c>
      <c r="AB501" s="137">
        <v>0.0</v>
      </c>
      <c r="AC501" s="137">
        <v>2.0</v>
      </c>
      <c r="AD501" s="137">
        <v>0.0</v>
      </c>
      <c r="AE501" s="137">
        <v>0.0</v>
      </c>
      <c r="AF501" s="137">
        <v>0.0</v>
      </c>
      <c r="AG501" s="137">
        <v>2.0</v>
      </c>
      <c r="AH501" s="137">
        <v>0.0</v>
      </c>
      <c r="AI501" s="137">
        <v>0.0</v>
      </c>
      <c r="AJ501" s="137">
        <v>0.0</v>
      </c>
      <c r="AK501" s="137">
        <v>0.0</v>
      </c>
      <c r="AL501" s="137">
        <v>0.0</v>
      </c>
      <c r="AM501" s="137">
        <v>0.0</v>
      </c>
      <c r="AN501" s="137">
        <v>22.0</v>
      </c>
    </row>
    <row r="502">
      <c r="A502" s="98"/>
      <c r="B502" s="136" t="s">
        <v>200</v>
      </c>
      <c r="C502" s="134">
        <v>2026.0</v>
      </c>
      <c r="D502" s="137">
        <v>674.0</v>
      </c>
      <c r="E502" s="134">
        <v>1352.0</v>
      </c>
      <c r="F502" s="137">
        <v>336.0</v>
      </c>
      <c r="G502" s="137">
        <v>412.0</v>
      </c>
      <c r="H502" s="137">
        <v>0.0</v>
      </c>
      <c r="I502" s="137">
        <v>2.0</v>
      </c>
      <c r="J502" s="137">
        <v>2.0</v>
      </c>
      <c r="K502" s="137">
        <v>4.0</v>
      </c>
      <c r="L502" s="137">
        <v>2.0</v>
      </c>
      <c r="M502" s="137">
        <v>12.0</v>
      </c>
      <c r="N502" s="137">
        <v>16.0</v>
      </c>
      <c r="O502" s="137">
        <v>28.0</v>
      </c>
      <c r="P502" s="137">
        <v>0.0</v>
      </c>
      <c r="Q502" s="137">
        <v>40.0</v>
      </c>
      <c r="R502" s="137">
        <v>8.0</v>
      </c>
      <c r="S502" s="137">
        <v>42.0</v>
      </c>
      <c r="T502" s="137">
        <v>18.0</v>
      </c>
      <c r="U502" s="137">
        <v>68.0</v>
      </c>
      <c r="V502" s="137">
        <v>22.0</v>
      </c>
      <c r="W502" s="137">
        <v>46.0</v>
      </c>
      <c r="X502" s="137">
        <v>22.0</v>
      </c>
      <c r="Y502" s="137">
        <v>72.0</v>
      </c>
      <c r="Z502" s="137">
        <v>20.0</v>
      </c>
      <c r="AA502" s="137">
        <v>94.0</v>
      </c>
      <c r="AB502" s="137">
        <v>30.0</v>
      </c>
      <c r="AC502" s="137">
        <v>100.0</v>
      </c>
      <c r="AD502" s="137">
        <v>42.0</v>
      </c>
      <c r="AE502" s="137">
        <v>140.0</v>
      </c>
      <c r="AF502" s="137">
        <v>50.0</v>
      </c>
      <c r="AG502" s="137">
        <v>94.0</v>
      </c>
      <c r="AH502" s="137">
        <v>32.0</v>
      </c>
      <c r="AI502" s="137">
        <v>86.0</v>
      </c>
      <c r="AJ502" s="137">
        <v>32.0</v>
      </c>
      <c r="AK502" s="137">
        <v>66.0</v>
      </c>
      <c r="AL502" s="137">
        <v>42.0</v>
      </c>
      <c r="AM502" s="137">
        <v>46.0</v>
      </c>
      <c r="AN502" s="134">
        <v>2010.0</v>
      </c>
    </row>
    <row r="503">
      <c r="A503" s="104"/>
      <c r="B503" s="136" t="s">
        <v>201</v>
      </c>
      <c r="C503" s="137">
        <v>0.0</v>
      </c>
      <c r="D503" s="137">
        <v>0.0</v>
      </c>
      <c r="E503" s="137">
        <v>0.0</v>
      </c>
      <c r="F503" s="137">
        <v>0.0</v>
      </c>
      <c r="G503" s="137">
        <v>0.0</v>
      </c>
      <c r="H503" s="137">
        <v>0.0</v>
      </c>
      <c r="I503" s="137">
        <v>0.0</v>
      </c>
      <c r="J503" s="137">
        <v>0.0</v>
      </c>
      <c r="K503" s="137">
        <v>0.0</v>
      </c>
      <c r="L503" s="137">
        <v>0.0</v>
      </c>
      <c r="M503" s="137">
        <v>0.0</v>
      </c>
      <c r="N503" s="137">
        <v>0.0</v>
      </c>
      <c r="O503" s="137">
        <v>0.0</v>
      </c>
      <c r="P503" s="137">
        <v>0.0</v>
      </c>
      <c r="Q503" s="137">
        <v>0.0</v>
      </c>
      <c r="R503" s="137">
        <v>0.0</v>
      </c>
      <c r="S503" s="137">
        <v>0.0</v>
      </c>
      <c r="T503" s="137">
        <v>0.0</v>
      </c>
      <c r="U503" s="137">
        <v>0.0</v>
      </c>
      <c r="V503" s="137">
        <v>0.0</v>
      </c>
      <c r="W503" s="137">
        <v>0.0</v>
      </c>
      <c r="X503" s="137">
        <v>0.0</v>
      </c>
      <c r="Y503" s="137">
        <v>0.0</v>
      </c>
      <c r="Z503" s="137">
        <v>0.0</v>
      </c>
      <c r="AA503" s="137">
        <v>0.0</v>
      </c>
      <c r="AB503" s="137">
        <v>0.0</v>
      </c>
      <c r="AC503" s="137">
        <v>0.0</v>
      </c>
      <c r="AD503" s="137">
        <v>0.0</v>
      </c>
      <c r="AE503" s="137">
        <v>0.0</v>
      </c>
      <c r="AF503" s="137">
        <v>0.0</v>
      </c>
      <c r="AG503" s="137">
        <v>0.0</v>
      </c>
      <c r="AH503" s="137">
        <v>0.0</v>
      </c>
      <c r="AI503" s="137">
        <v>0.0</v>
      </c>
      <c r="AJ503" s="137">
        <v>0.0</v>
      </c>
      <c r="AK503" s="137">
        <v>0.0</v>
      </c>
      <c r="AL503" s="137">
        <v>0.0</v>
      </c>
      <c r="AM503" s="137">
        <v>0.0</v>
      </c>
      <c r="AN503" s="137">
        <v>0.0</v>
      </c>
    </row>
    <row r="504">
      <c r="A504" s="132" t="s">
        <v>208</v>
      </c>
      <c r="B504" s="136" t="s">
        <v>198</v>
      </c>
      <c r="C504" s="137">
        <v>2.0</v>
      </c>
      <c r="D504" s="137">
        <v>2.0</v>
      </c>
      <c r="E504" s="137">
        <v>0.0</v>
      </c>
      <c r="F504" s="137">
        <v>0.0</v>
      </c>
      <c r="G504" s="137">
        <v>0.0</v>
      </c>
      <c r="H504" s="137">
        <v>2.0</v>
      </c>
      <c r="I504" s="137">
        <v>0.0</v>
      </c>
      <c r="J504" s="137">
        <v>0.0</v>
      </c>
      <c r="K504" s="137">
        <v>0.0</v>
      </c>
      <c r="L504" s="137">
        <v>0.0</v>
      </c>
      <c r="M504" s="137">
        <v>0.0</v>
      </c>
      <c r="N504" s="137">
        <v>0.0</v>
      </c>
      <c r="O504" s="137">
        <v>0.0</v>
      </c>
      <c r="P504" s="135">
        <v>0.0</v>
      </c>
      <c r="Q504" s="135">
        <v>0.0</v>
      </c>
      <c r="R504" s="135">
        <v>0.0</v>
      </c>
      <c r="S504" s="135">
        <v>0.0</v>
      </c>
      <c r="T504" s="135">
        <v>0.0</v>
      </c>
      <c r="U504" s="135">
        <v>0.0</v>
      </c>
      <c r="V504" s="135">
        <v>0.0</v>
      </c>
      <c r="W504" s="135">
        <v>0.0</v>
      </c>
      <c r="X504" s="135">
        <v>0.0</v>
      </c>
      <c r="Y504" s="135">
        <v>0.0</v>
      </c>
      <c r="Z504" s="135">
        <v>0.0</v>
      </c>
      <c r="AA504" s="135">
        <v>0.0</v>
      </c>
      <c r="AB504" s="135">
        <v>0.0</v>
      </c>
      <c r="AC504" s="135">
        <v>0.0</v>
      </c>
      <c r="AD504" s="135">
        <v>0.0</v>
      </c>
      <c r="AE504" s="135">
        <v>0.0</v>
      </c>
      <c r="AF504" s="135">
        <v>0.0</v>
      </c>
      <c r="AG504" s="135">
        <v>0.0</v>
      </c>
      <c r="AH504" s="135">
        <v>0.0</v>
      </c>
      <c r="AI504" s="135">
        <v>0.0</v>
      </c>
      <c r="AJ504" s="135">
        <v>0.0</v>
      </c>
      <c r="AK504" s="135">
        <v>0.0</v>
      </c>
      <c r="AL504" s="135">
        <v>0.0</v>
      </c>
      <c r="AM504" s="135">
        <v>0.0</v>
      </c>
      <c r="AN504" s="137">
        <v>2.0</v>
      </c>
    </row>
    <row r="505">
      <c r="A505" s="98"/>
      <c r="B505" s="136" t="s">
        <v>199</v>
      </c>
      <c r="C505" s="137">
        <v>52.0</v>
      </c>
      <c r="D505" s="137">
        <v>28.0</v>
      </c>
      <c r="E505" s="137">
        <v>24.0</v>
      </c>
      <c r="F505" s="137">
        <v>26.0</v>
      </c>
      <c r="G505" s="137">
        <v>24.0</v>
      </c>
      <c r="H505" s="137">
        <v>2.0</v>
      </c>
      <c r="I505" s="137">
        <v>0.0</v>
      </c>
      <c r="J505" s="137">
        <v>0.0</v>
      </c>
      <c r="K505" s="137">
        <v>0.0</v>
      </c>
      <c r="L505" s="137">
        <v>0.0</v>
      </c>
      <c r="M505" s="137">
        <v>0.0</v>
      </c>
      <c r="N505" s="137">
        <v>0.0</v>
      </c>
      <c r="O505" s="137">
        <v>0.0</v>
      </c>
      <c r="P505" s="135">
        <v>0.0</v>
      </c>
      <c r="Q505" s="135">
        <v>0.0</v>
      </c>
      <c r="R505" s="135">
        <v>0.0</v>
      </c>
      <c r="S505" s="135">
        <v>0.0</v>
      </c>
      <c r="T505" s="135">
        <v>0.0</v>
      </c>
      <c r="U505" s="135">
        <v>0.0</v>
      </c>
      <c r="V505" s="135">
        <v>0.0</v>
      </c>
      <c r="W505" s="135">
        <v>0.0</v>
      </c>
      <c r="X505" s="135">
        <v>0.0</v>
      </c>
      <c r="Y505" s="135">
        <v>0.0</v>
      </c>
      <c r="Z505" s="135">
        <v>0.0</v>
      </c>
      <c r="AA505" s="135">
        <v>0.0</v>
      </c>
      <c r="AB505" s="135">
        <v>0.0</v>
      </c>
      <c r="AC505" s="135">
        <v>0.0</v>
      </c>
      <c r="AD505" s="135">
        <v>0.0</v>
      </c>
      <c r="AE505" s="135">
        <v>0.0</v>
      </c>
      <c r="AF505" s="135">
        <v>0.0</v>
      </c>
      <c r="AG505" s="135">
        <v>0.0</v>
      </c>
      <c r="AH505" s="135">
        <v>0.0</v>
      </c>
      <c r="AI505" s="135">
        <v>0.0</v>
      </c>
      <c r="AJ505" s="135">
        <v>0.0</v>
      </c>
      <c r="AK505" s="135">
        <v>0.0</v>
      </c>
      <c r="AL505" s="135">
        <v>0.0</v>
      </c>
      <c r="AM505" s="135">
        <v>0.0</v>
      </c>
      <c r="AN505" s="137">
        <v>52.0</v>
      </c>
    </row>
    <row r="506">
      <c r="A506" s="98"/>
      <c r="B506" s="136" t="s">
        <v>206</v>
      </c>
      <c r="C506" s="137">
        <v>0.0</v>
      </c>
      <c r="D506" s="137">
        <v>0.0</v>
      </c>
      <c r="E506" s="137">
        <v>0.0</v>
      </c>
      <c r="F506" s="137">
        <v>0.0</v>
      </c>
      <c r="G506" s="137">
        <v>0.0</v>
      </c>
      <c r="H506" s="137">
        <v>0.0</v>
      </c>
      <c r="I506" s="137">
        <v>0.0</v>
      </c>
      <c r="J506" s="137">
        <v>0.0</v>
      </c>
      <c r="K506" s="137">
        <v>0.0</v>
      </c>
      <c r="L506" s="137">
        <v>0.0</v>
      </c>
      <c r="M506" s="137">
        <v>0.0</v>
      </c>
      <c r="N506" s="137">
        <v>0.0</v>
      </c>
      <c r="O506" s="137">
        <v>0.0</v>
      </c>
      <c r="P506" s="135">
        <v>0.0</v>
      </c>
      <c r="Q506" s="135">
        <v>0.0</v>
      </c>
      <c r="R506" s="135">
        <v>0.0</v>
      </c>
      <c r="S506" s="135">
        <v>0.0</v>
      </c>
      <c r="T506" s="135">
        <v>0.0</v>
      </c>
      <c r="U506" s="135">
        <v>0.0</v>
      </c>
      <c r="V506" s="135">
        <v>0.0</v>
      </c>
      <c r="W506" s="135">
        <v>0.0</v>
      </c>
      <c r="X506" s="135">
        <v>0.0</v>
      </c>
      <c r="Y506" s="135">
        <v>0.0</v>
      </c>
      <c r="Z506" s="135">
        <v>0.0</v>
      </c>
      <c r="AA506" s="135">
        <v>0.0</v>
      </c>
      <c r="AB506" s="135">
        <v>0.0</v>
      </c>
      <c r="AC506" s="135">
        <v>0.0</v>
      </c>
      <c r="AD506" s="135">
        <v>0.0</v>
      </c>
      <c r="AE506" s="135">
        <v>0.0</v>
      </c>
      <c r="AF506" s="135">
        <v>0.0</v>
      </c>
      <c r="AG506" s="135">
        <v>0.0</v>
      </c>
      <c r="AH506" s="135">
        <v>0.0</v>
      </c>
      <c r="AI506" s="135">
        <v>0.0</v>
      </c>
      <c r="AJ506" s="135">
        <v>0.0</v>
      </c>
      <c r="AK506" s="135">
        <v>0.0</v>
      </c>
      <c r="AL506" s="135">
        <v>0.0</v>
      </c>
      <c r="AM506" s="135">
        <v>0.0</v>
      </c>
      <c r="AN506" s="137">
        <v>0.0</v>
      </c>
    </row>
    <row r="507">
      <c r="A507" s="98"/>
      <c r="B507" s="136" t="s">
        <v>200</v>
      </c>
      <c r="C507" s="137">
        <v>24.0</v>
      </c>
      <c r="D507" s="137">
        <v>12.0</v>
      </c>
      <c r="E507" s="137">
        <v>12.0</v>
      </c>
      <c r="F507" s="137">
        <v>12.0</v>
      </c>
      <c r="G507" s="137">
        <v>12.0</v>
      </c>
      <c r="H507" s="137">
        <v>0.0</v>
      </c>
      <c r="I507" s="137">
        <v>0.0</v>
      </c>
      <c r="J507" s="137">
        <v>0.0</v>
      </c>
      <c r="K507" s="137">
        <v>0.0</v>
      </c>
      <c r="L507" s="137">
        <v>0.0</v>
      </c>
      <c r="M507" s="137">
        <v>0.0</v>
      </c>
      <c r="N507" s="137">
        <v>0.0</v>
      </c>
      <c r="O507" s="137">
        <v>0.0</v>
      </c>
      <c r="P507" s="135">
        <v>0.0</v>
      </c>
      <c r="Q507" s="135">
        <v>0.0</v>
      </c>
      <c r="R507" s="135">
        <v>0.0</v>
      </c>
      <c r="S507" s="135">
        <v>0.0</v>
      </c>
      <c r="T507" s="135">
        <v>0.0</v>
      </c>
      <c r="U507" s="135">
        <v>0.0</v>
      </c>
      <c r="V507" s="135">
        <v>0.0</v>
      </c>
      <c r="W507" s="135">
        <v>0.0</v>
      </c>
      <c r="X507" s="135">
        <v>0.0</v>
      </c>
      <c r="Y507" s="135">
        <v>0.0</v>
      </c>
      <c r="Z507" s="135">
        <v>0.0</v>
      </c>
      <c r="AA507" s="135">
        <v>0.0</v>
      </c>
      <c r="AB507" s="135">
        <v>0.0</v>
      </c>
      <c r="AC507" s="135">
        <v>0.0</v>
      </c>
      <c r="AD507" s="135">
        <v>0.0</v>
      </c>
      <c r="AE507" s="135">
        <v>0.0</v>
      </c>
      <c r="AF507" s="135">
        <v>0.0</v>
      </c>
      <c r="AG507" s="135">
        <v>0.0</v>
      </c>
      <c r="AH507" s="135">
        <v>0.0</v>
      </c>
      <c r="AI507" s="135">
        <v>0.0</v>
      </c>
      <c r="AJ507" s="135">
        <v>0.0</v>
      </c>
      <c r="AK507" s="135">
        <v>0.0</v>
      </c>
      <c r="AL507" s="135">
        <v>0.0</v>
      </c>
      <c r="AM507" s="135">
        <v>0.0</v>
      </c>
      <c r="AN507" s="137">
        <v>8.0</v>
      </c>
    </row>
    <row r="508">
      <c r="A508" s="104"/>
      <c r="B508" s="136" t="s">
        <v>201</v>
      </c>
      <c r="C508" s="137">
        <v>0.0</v>
      </c>
      <c r="D508" s="137">
        <v>0.0</v>
      </c>
      <c r="E508" s="137">
        <v>0.0</v>
      </c>
      <c r="F508" s="137">
        <v>0.0</v>
      </c>
      <c r="G508" s="137">
        <v>0.0</v>
      </c>
      <c r="H508" s="137">
        <v>0.0</v>
      </c>
      <c r="I508" s="137">
        <v>0.0</v>
      </c>
      <c r="J508" s="137">
        <v>0.0</v>
      </c>
      <c r="K508" s="137">
        <v>0.0</v>
      </c>
      <c r="L508" s="137">
        <v>0.0</v>
      </c>
      <c r="M508" s="137">
        <v>0.0</v>
      </c>
      <c r="N508" s="137">
        <v>0.0</v>
      </c>
      <c r="O508" s="137">
        <v>0.0</v>
      </c>
      <c r="P508" s="135">
        <v>0.0</v>
      </c>
      <c r="Q508" s="135">
        <v>0.0</v>
      </c>
      <c r="R508" s="135">
        <v>0.0</v>
      </c>
      <c r="S508" s="135">
        <v>0.0</v>
      </c>
      <c r="T508" s="135">
        <v>0.0</v>
      </c>
      <c r="U508" s="135">
        <v>0.0</v>
      </c>
      <c r="V508" s="135">
        <v>0.0</v>
      </c>
      <c r="W508" s="135">
        <v>0.0</v>
      </c>
      <c r="X508" s="135">
        <v>0.0</v>
      </c>
      <c r="Y508" s="135">
        <v>0.0</v>
      </c>
      <c r="Z508" s="135">
        <v>0.0</v>
      </c>
      <c r="AA508" s="135">
        <v>0.0</v>
      </c>
      <c r="AB508" s="135">
        <v>0.0</v>
      </c>
      <c r="AC508" s="135">
        <v>0.0</v>
      </c>
      <c r="AD508" s="135">
        <v>0.0</v>
      </c>
      <c r="AE508" s="135">
        <v>0.0</v>
      </c>
      <c r="AF508" s="135">
        <v>0.0</v>
      </c>
      <c r="AG508" s="135">
        <v>0.0</v>
      </c>
      <c r="AH508" s="135">
        <v>0.0</v>
      </c>
      <c r="AI508" s="135">
        <v>0.0</v>
      </c>
      <c r="AJ508" s="135">
        <v>0.0</v>
      </c>
      <c r="AK508" s="135">
        <v>0.0</v>
      </c>
      <c r="AL508" s="135">
        <v>0.0</v>
      </c>
      <c r="AM508" s="135">
        <v>0.0</v>
      </c>
      <c r="AN508" s="137">
        <v>0.0</v>
      </c>
    </row>
    <row r="509">
      <c r="A509" s="138" t="s">
        <v>260</v>
      </c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</row>
    <row r="510">
      <c r="A510" s="132" t="s">
        <v>197</v>
      </c>
      <c r="B510" s="133" t="s">
        <v>198</v>
      </c>
      <c r="C510" s="134">
        <v>91818.0</v>
      </c>
      <c r="D510" s="134">
        <v>33156.0</v>
      </c>
      <c r="E510" s="134">
        <v>58662.0</v>
      </c>
      <c r="F510" s="135">
        <v>0.0</v>
      </c>
      <c r="G510" s="135">
        <v>0.0</v>
      </c>
      <c r="H510" s="135">
        <v>0.0</v>
      </c>
      <c r="I510" s="135">
        <v>0.0</v>
      </c>
      <c r="J510" s="135">
        <v>0.0</v>
      </c>
      <c r="K510" s="135">
        <v>0.0</v>
      </c>
      <c r="L510" s="137">
        <v>64.0</v>
      </c>
      <c r="M510" s="137">
        <v>98.0</v>
      </c>
      <c r="N510" s="137">
        <v>58.0</v>
      </c>
      <c r="O510" s="137">
        <v>184.0</v>
      </c>
      <c r="P510" s="137">
        <v>178.0</v>
      </c>
      <c r="Q510" s="137">
        <v>500.0</v>
      </c>
      <c r="R510" s="137">
        <v>324.0</v>
      </c>
      <c r="S510" s="137">
        <v>728.0</v>
      </c>
      <c r="T510" s="137">
        <v>544.0</v>
      </c>
      <c r="U510" s="134">
        <v>1360.0</v>
      </c>
      <c r="V510" s="134">
        <v>1080.0</v>
      </c>
      <c r="W510" s="134">
        <v>2412.0</v>
      </c>
      <c r="X510" s="134">
        <v>1960.0</v>
      </c>
      <c r="Y510" s="134">
        <v>4578.0</v>
      </c>
      <c r="Z510" s="134">
        <v>3252.0</v>
      </c>
      <c r="AA510" s="134">
        <v>6990.0</v>
      </c>
      <c r="AB510" s="134">
        <v>4464.0</v>
      </c>
      <c r="AC510" s="134">
        <v>8202.0</v>
      </c>
      <c r="AD510" s="134">
        <v>4792.0</v>
      </c>
      <c r="AE510" s="134">
        <v>8162.0</v>
      </c>
      <c r="AF510" s="134">
        <v>4800.0</v>
      </c>
      <c r="AG510" s="134">
        <v>7758.0</v>
      </c>
      <c r="AH510" s="134">
        <v>4276.0</v>
      </c>
      <c r="AI510" s="134">
        <v>6796.0</v>
      </c>
      <c r="AJ510" s="134">
        <v>3736.0</v>
      </c>
      <c r="AK510" s="134">
        <v>5228.0</v>
      </c>
      <c r="AL510" s="134">
        <v>3606.0</v>
      </c>
      <c r="AM510" s="134">
        <v>5688.0</v>
      </c>
      <c r="AN510" s="134">
        <v>91638.0</v>
      </c>
    </row>
    <row r="511">
      <c r="A511" s="98"/>
      <c r="B511" s="136" t="s">
        <v>199</v>
      </c>
      <c r="C511" s="134">
        <v>31800.0</v>
      </c>
      <c r="D511" s="134">
        <v>11816.0</v>
      </c>
      <c r="E511" s="134">
        <v>19984.0</v>
      </c>
      <c r="F511" s="135">
        <v>0.0</v>
      </c>
      <c r="G511" s="135">
        <v>0.0</v>
      </c>
      <c r="H511" s="135">
        <v>0.0</v>
      </c>
      <c r="I511" s="135">
        <v>0.0</v>
      </c>
      <c r="J511" s="135">
        <v>0.0</v>
      </c>
      <c r="K511" s="135">
        <v>0.0</v>
      </c>
      <c r="L511" s="137">
        <v>12.0</v>
      </c>
      <c r="M511" s="137">
        <v>16.0</v>
      </c>
      <c r="N511" s="137">
        <v>22.0</v>
      </c>
      <c r="O511" s="137">
        <v>40.0</v>
      </c>
      <c r="P511" s="137">
        <v>56.0</v>
      </c>
      <c r="Q511" s="137">
        <v>126.0</v>
      </c>
      <c r="R511" s="137">
        <v>98.0</v>
      </c>
      <c r="S511" s="137">
        <v>218.0</v>
      </c>
      <c r="T511" s="137">
        <v>202.0</v>
      </c>
      <c r="U511" s="137">
        <v>388.0</v>
      </c>
      <c r="V511" s="137">
        <v>332.0</v>
      </c>
      <c r="W511" s="137">
        <v>836.0</v>
      </c>
      <c r="X511" s="137">
        <v>578.0</v>
      </c>
      <c r="Y511" s="134">
        <v>1468.0</v>
      </c>
      <c r="Z511" s="134">
        <v>1184.0</v>
      </c>
      <c r="AA511" s="134">
        <v>2416.0</v>
      </c>
      <c r="AB511" s="134">
        <v>1624.0</v>
      </c>
      <c r="AC511" s="134">
        <v>2796.0</v>
      </c>
      <c r="AD511" s="134">
        <v>1846.0</v>
      </c>
      <c r="AE511" s="134">
        <v>2996.0</v>
      </c>
      <c r="AF511" s="134">
        <v>1828.0</v>
      </c>
      <c r="AG511" s="134">
        <v>2696.0</v>
      </c>
      <c r="AH511" s="134">
        <v>1580.0</v>
      </c>
      <c r="AI511" s="134">
        <v>2358.0</v>
      </c>
      <c r="AJ511" s="134">
        <v>1274.0</v>
      </c>
      <c r="AK511" s="134">
        <v>1852.0</v>
      </c>
      <c r="AL511" s="134">
        <v>1180.0</v>
      </c>
      <c r="AM511" s="134">
        <v>1778.0</v>
      </c>
      <c r="AN511" s="134">
        <v>31788.0</v>
      </c>
    </row>
    <row r="512">
      <c r="A512" s="98"/>
      <c r="B512" s="136" t="s">
        <v>200</v>
      </c>
      <c r="C512" s="134">
        <v>27632.0</v>
      </c>
      <c r="D512" s="134">
        <v>9688.0</v>
      </c>
      <c r="E512" s="134">
        <v>17944.0</v>
      </c>
      <c r="F512" s="135">
        <v>0.0</v>
      </c>
      <c r="G512" s="135">
        <v>0.0</v>
      </c>
      <c r="H512" s="135">
        <v>0.0</v>
      </c>
      <c r="I512" s="135">
        <v>0.0</v>
      </c>
      <c r="J512" s="135">
        <v>0.0</v>
      </c>
      <c r="K512" s="135">
        <v>0.0</v>
      </c>
      <c r="L512" s="137">
        <v>34.0</v>
      </c>
      <c r="M512" s="137">
        <v>56.0</v>
      </c>
      <c r="N512" s="137">
        <v>28.0</v>
      </c>
      <c r="O512" s="137">
        <v>78.0</v>
      </c>
      <c r="P512" s="137">
        <v>82.0</v>
      </c>
      <c r="Q512" s="137">
        <v>224.0</v>
      </c>
      <c r="R512" s="137">
        <v>138.0</v>
      </c>
      <c r="S512" s="137">
        <v>320.0</v>
      </c>
      <c r="T512" s="137">
        <v>188.0</v>
      </c>
      <c r="U512" s="137">
        <v>576.0</v>
      </c>
      <c r="V512" s="137">
        <v>404.0</v>
      </c>
      <c r="W512" s="137">
        <v>904.0</v>
      </c>
      <c r="X512" s="137">
        <v>624.0</v>
      </c>
      <c r="Y512" s="134">
        <v>1612.0</v>
      </c>
      <c r="Z512" s="137">
        <v>944.0</v>
      </c>
      <c r="AA512" s="134">
        <v>2312.0</v>
      </c>
      <c r="AB512" s="134">
        <v>1290.0</v>
      </c>
      <c r="AC512" s="134">
        <v>2560.0</v>
      </c>
      <c r="AD512" s="134">
        <v>1392.0</v>
      </c>
      <c r="AE512" s="134">
        <v>2300.0</v>
      </c>
      <c r="AF512" s="134">
        <v>1414.0</v>
      </c>
      <c r="AG512" s="134">
        <v>2392.0</v>
      </c>
      <c r="AH512" s="134">
        <v>1200.0</v>
      </c>
      <c r="AI512" s="134">
        <v>1946.0</v>
      </c>
      <c r="AJ512" s="134">
        <v>1000.0</v>
      </c>
      <c r="AK512" s="134">
        <v>1340.0</v>
      </c>
      <c r="AL512" s="137">
        <v>946.0</v>
      </c>
      <c r="AM512" s="134">
        <v>1326.0</v>
      </c>
      <c r="AN512" s="134">
        <v>27624.0</v>
      </c>
    </row>
    <row r="513">
      <c r="A513" s="104"/>
      <c r="B513" s="136" t="s">
        <v>201</v>
      </c>
      <c r="C513" s="137">
        <v>64.0</v>
      </c>
      <c r="D513" s="137">
        <v>54.0</v>
      </c>
      <c r="E513" s="137">
        <v>10.0</v>
      </c>
      <c r="F513" s="135">
        <v>0.0</v>
      </c>
      <c r="G513" s="135">
        <v>0.0</v>
      </c>
      <c r="H513" s="135">
        <v>0.0</v>
      </c>
      <c r="I513" s="135">
        <v>0.0</v>
      </c>
      <c r="J513" s="135">
        <v>0.0</v>
      </c>
      <c r="K513" s="135">
        <v>0.0</v>
      </c>
      <c r="L513" s="137">
        <v>0.0</v>
      </c>
      <c r="M513" s="137">
        <v>0.0</v>
      </c>
      <c r="N513" s="137">
        <v>0.0</v>
      </c>
      <c r="O513" s="137">
        <v>0.0</v>
      </c>
      <c r="P513" s="137">
        <v>0.0</v>
      </c>
      <c r="Q513" s="137">
        <v>0.0</v>
      </c>
      <c r="R513" s="137">
        <v>0.0</v>
      </c>
      <c r="S513" s="137">
        <v>0.0</v>
      </c>
      <c r="T513" s="137">
        <v>0.0</v>
      </c>
      <c r="U513" s="137">
        <v>0.0</v>
      </c>
      <c r="V513" s="137">
        <v>0.0</v>
      </c>
      <c r="W513" s="137">
        <v>0.0</v>
      </c>
      <c r="X513" s="137">
        <v>0.0</v>
      </c>
      <c r="Y513" s="137">
        <v>0.0</v>
      </c>
      <c r="Z513" s="137">
        <v>16.0</v>
      </c>
      <c r="AA513" s="137">
        <v>8.0</v>
      </c>
      <c r="AB513" s="137">
        <v>0.0</v>
      </c>
      <c r="AC513" s="137">
        <v>0.0</v>
      </c>
      <c r="AD513" s="137">
        <v>2.0</v>
      </c>
      <c r="AE513" s="137">
        <v>0.0</v>
      </c>
      <c r="AF513" s="137">
        <v>24.0</v>
      </c>
      <c r="AG513" s="137">
        <v>0.0</v>
      </c>
      <c r="AH513" s="137">
        <v>0.0</v>
      </c>
      <c r="AI513" s="137">
        <v>2.0</v>
      </c>
      <c r="AJ513" s="137">
        <v>12.0</v>
      </c>
      <c r="AK513" s="137">
        <v>0.0</v>
      </c>
      <c r="AL513" s="137">
        <v>0.0</v>
      </c>
      <c r="AM513" s="137">
        <v>0.0</v>
      </c>
      <c r="AN513" s="137">
        <v>64.0</v>
      </c>
    </row>
    <row r="514">
      <c r="A514" s="132" t="s">
        <v>202</v>
      </c>
      <c r="B514" s="136" t="s">
        <v>198</v>
      </c>
      <c r="C514" s="137">
        <v>124.0</v>
      </c>
      <c r="D514" s="137">
        <v>78.0</v>
      </c>
      <c r="E514" s="137">
        <v>46.0</v>
      </c>
      <c r="F514" s="137">
        <v>0.0</v>
      </c>
      <c r="G514" s="137">
        <v>0.0</v>
      </c>
      <c r="H514" s="137">
        <v>0.0</v>
      </c>
      <c r="I514" s="137">
        <v>0.0</v>
      </c>
      <c r="J514" s="137">
        <v>2.0</v>
      </c>
      <c r="K514" s="137">
        <v>0.0</v>
      </c>
      <c r="L514" s="137">
        <v>2.0</v>
      </c>
      <c r="M514" s="137">
        <v>2.0</v>
      </c>
      <c r="N514" s="137">
        <v>0.0</v>
      </c>
      <c r="O514" s="137">
        <v>8.0</v>
      </c>
      <c r="P514" s="137">
        <v>0.0</v>
      </c>
      <c r="Q514" s="137">
        <v>0.0</v>
      </c>
      <c r="R514" s="137">
        <v>14.0</v>
      </c>
      <c r="S514" s="137">
        <v>4.0</v>
      </c>
      <c r="T514" s="137">
        <v>4.0</v>
      </c>
      <c r="U514" s="137">
        <v>0.0</v>
      </c>
      <c r="V514" s="137">
        <v>12.0</v>
      </c>
      <c r="W514" s="137">
        <v>2.0</v>
      </c>
      <c r="X514" s="137">
        <v>6.0</v>
      </c>
      <c r="Y514" s="137">
        <v>2.0</v>
      </c>
      <c r="Z514" s="137">
        <v>8.0</v>
      </c>
      <c r="AA514" s="137">
        <v>4.0</v>
      </c>
      <c r="AB514" s="137">
        <v>4.0</v>
      </c>
      <c r="AC514" s="137">
        <v>8.0</v>
      </c>
      <c r="AD514" s="137">
        <v>16.0</v>
      </c>
      <c r="AE514" s="137">
        <v>6.0</v>
      </c>
      <c r="AF514" s="137">
        <v>8.0</v>
      </c>
      <c r="AG514" s="137">
        <v>0.0</v>
      </c>
      <c r="AH514" s="137">
        <v>0.0</v>
      </c>
      <c r="AI514" s="137">
        <v>0.0</v>
      </c>
      <c r="AJ514" s="137">
        <v>0.0</v>
      </c>
      <c r="AK514" s="137">
        <v>8.0</v>
      </c>
      <c r="AL514" s="137">
        <v>2.0</v>
      </c>
      <c r="AM514" s="137">
        <v>2.0</v>
      </c>
      <c r="AN514" s="137">
        <v>124.0</v>
      </c>
    </row>
    <row r="515">
      <c r="A515" s="104"/>
      <c r="B515" s="136" t="s">
        <v>199</v>
      </c>
      <c r="C515" s="137">
        <v>52.0</v>
      </c>
      <c r="D515" s="137">
        <v>30.0</v>
      </c>
      <c r="E515" s="137">
        <v>22.0</v>
      </c>
      <c r="F515" s="137">
        <v>0.0</v>
      </c>
      <c r="G515" s="137">
        <v>0.0</v>
      </c>
      <c r="H515" s="137">
        <v>0.0</v>
      </c>
      <c r="I515" s="137">
        <v>0.0</v>
      </c>
      <c r="J515" s="137">
        <v>0.0</v>
      </c>
      <c r="K515" s="137">
        <v>0.0</v>
      </c>
      <c r="L515" s="137">
        <v>0.0</v>
      </c>
      <c r="M515" s="137">
        <v>2.0</v>
      </c>
      <c r="N515" s="137">
        <v>0.0</v>
      </c>
      <c r="O515" s="137">
        <v>4.0</v>
      </c>
      <c r="P515" s="137">
        <v>0.0</v>
      </c>
      <c r="Q515" s="137">
        <v>0.0</v>
      </c>
      <c r="R515" s="137">
        <v>8.0</v>
      </c>
      <c r="S515" s="137">
        <v>6.0</v>
      </c>
      <c r="T515" s="137">
        <v>2.0</v>
      </c>
      <c r="U515" s="137">
        <v>4.0</v>
      </c>
      <c r="V515" s="137">
        <v>4.0</v>
      </c>
      <c r="W515" s="137">
        <v>0.0</v>
      </c>
      <c r="X515" s="137">
        <v>4.0</v>
      </c>
      <c r="Y515" s="137">
        <v>0.0</v>
      </c>
      <c r="Z515" s="137">
        <v>0.0</v>
      </c>
      <c r="AA515" s="137">
        <v>0.0</v>
      </c>
      <c r="AB515" s="137">
        <v>0.0</v>
      </c>
      <c r="AC515" s="137">
        <v>4.0</v>
      </c>
      <c r="AD515" s="137">
        <v>6.0</v>
      </c>
      <c r="AE515" s="137">
        <v>0.0</v>
      </c>
      <c r="AF515" s="137">
        <v>6.0</v>
      </c>
      <c r="AG515" s="137">
        <v>0.0</v>
      </c>
      <c r="AH515" s="137">
        <v>0.0</v>
      </c>
      <c r="AI515" s="137">
        <v>0.0</v>
      </c>
      <c r="AJ515" s="137">
        <v>0.0</v>
      </c>
      <c r="AK515" s="137">
        <v>2.0</v>
      </c>
      <c r="AL515" s="137">
        <v>0.0</v>
      </c>
      <c r="AM515" s="137">
        <v>0.0</v>
      </c>
      <c r="AN515" s="137">
        <v>52.0</v>
      </c>
    </row>
    <row r="516">
      <c r="A516" s="132" t="s">
        <v>203</v>
      </c>
      <c r="B516" s="136" t="s">
        <v>198</v>
      </c>
      <c r="C516" s="137">
        <v>14.0</v>
      </c>
      <c r="D516" s="137">
        <v>2.0</v>
      </c>
      <c r="E516" s="137">
        <v>12.0</v>
      </c>
      <c r="F516" s="135">
        <v>0.0</v>
      </c>
      <c r="G516" s="135">
        <v>0.0</v>
      </c>
      <c r="H516" s="135">
        <v>0.0</v>
      </c>
      <c r="I516" s="135">
        <v>0.0</v>
      </c>
      <c r="J516" s="135">
        <v>0.0</v>
      </c>
      <c r="K516" s="135">
        <v>0.0</v>
      </c>
      <c r="L516" s="135">
        <v>0.0</v>
      </c>
      <c r="M516" s="135">
        <v>0.0</v>
      </c>
      <c r="N516" s="135">
        <v>0.0</v>
      </c>
      <c r="O516" s="135">
        <v>0.0</v>
      </c>
      <c r="P516" s="135">
        <v>0.0</v>
      </c>
      <c r="Q516" s="135">
        <v>0.0</v>
      </c>
      <c r="R516" s="135">
        <v>0.0</v>
      </c>
      <c r="S516" s="135">
        <v>0.0</v>
      </c>
      <c r="T516" s="135">
        <v>0.0</v>
      </c>
      <c r="U516" s="135">
        <v>0.0</v>
      </c>
      <c r="V516" s="135">
        <v>0.0</v>
      </c>
      <c r="W516" s="135">
        <v>0.0</v>
      </c>
      <c r="X516" s="135">
        <v>0.0</v>
      </c>
      <c r="Y516" s="135">
        <v>0.0</v>
      </c>
      <c r="Z516" s="135">
        <v>0.0</v>
      </c>
      <c r="AA516" s="135">
        <v>0.0</v>
      </c>
      <c r="AB516" s="135">
        <v>0.0</v>
      </c>
      <c r="AC516" s="135">
        <v>0.0</v>
      </c>
      <c r="AD516" s="135">
        <v>0.0</v>
      </c>
      <c r="AE516" s="135">
        <v>0.0</v>
      </c>
      <c r="AF516" s="137">
        <v>0.0</v>
      </c>
      <c r="AG516" s="137">
        <v>2.0</v>
      </c>
      <c r="AH516" s="137">
        <v>2.0</v>
      </c>
      <c r="AI516" s="137">
        <v>4.0</v>
      </c>
      <c r="AJ516" s="137">
        <v>0.0</v>
      </c>
      <c r="AK516" s="137">
        <v>0.0</v>
      </c>
      <c r="AL516" s="137">
        <v>0.0</v>
      </c>
      <c r="AM516" s="137">
        <v>6.0</v>
      </c>
      <c r="AN516" s="137">
        <v>14.0</v>
      </c>
    </row>
    <row r="517">
      <c r="A517" s="104"/>
      <c r="B517" s="136" t="s">
        <v>199</v>
      </c>
      <c r="C517" s="137">
        <v>506.0</v>
      </c>
      <c r="D517" s="137">
        <v>212.0</v>
      </c>
      <c r="E517" s="137">
        <v>294.0</v>
      </c>
      <c r="F517" s="135">
        <v>0.0</v>
      </c>
      <c r="G517" s="135">
        <v>0.0</v>
      </c>
      <c r="H517" s="135">
        <v>0.0</v>
      </c>
      <c r="I517" s="135">
        <v>0.0</v>
      </c>
      <c r="J517" s="135">
        <v>0.0</v>
      </c>
      <c r="K517" s="135">
        <v>0.0</v>
      </c>
      <c r="L517" s="135">
        <v>0.0</v>
      </c>
      <c r="M517" s="135">
        <v>0.0</v>
      </c>
      <c r="N517" s="135">
        <v>0.0</v>
      </c>
      <c r="O517" s="135">
        <v>0.0</v>
      </c>
      <c r="P517" s="135">
        <v>0.0</v>
      </c>
      <c r="Q517" s="135">
        <v>0.0</v>
      </c>
      <c r="R517" s="135">
        <v>0.0</v>
      </c>
      <c r="S517" s="135">
        <v>0.0</v>
      </c>
      <c r="T517" s="135">
        <v>0.0</v>
      </c>
      <c r="U517" s="135">
        <v>0.0</v>
      </c>
      <c r="V517" s="135">
        <v>0.0</v>
      </c>
      <c r="W517" s="135">
        <v>0.0</v>
      </c>
      <c r="X517" s="135">
        <v>0.0</v>
      </c>
      <c r="Y517" s="135">
        <v>0.0</v>
      </c>
      <c r="Z517" s="135">
        <v>0.0</v>
      </c>
      <c r="AA517" s="135">
        <v>0.0</v>
      </c>
      <c r="AB517" s="135">
        <v>0.0</v>
      </c>
      <c r="AC517" s="135">
        <v>0.0</v>
      </c>
      <c r="AD517" s="135">
        <v>0.0</v>
      </c>
      <c r="AE517" s="135">
        <v>0.0</v>
      </c>
      <c r="AF517" s="137">
        <v>56.0</v>
      </c>
      <c r="AG517" s="137">
        <v>94.0</v>
      </c>
      <c r="AH517" s="137">
        <v>62.0</v>
      </c>
      <c r="AI517" s="137">
        <v>90.0</v>
      </c>
      <c r="AJ517" s="137">
        <v>56.0</v>
      </c>
      <c r="AK517" s="137">
        <v>66.0</v>
      </c>
      <c r="AL517" s="137">
        <v>38.0</v>
      </c>
      <c r="AM517" s="137">
        <v>44.0</v>
      </c>
      <c r="AN517" s="137">
        <v>502.0</v>
      </c>
    </row>
    <row r="518">
      <c r="A518" s="132" t="s">
        <v>204</v>
      </c>
      <c r="B518" s="136" t="s">
        <v>198</v>
      </c>
      <c r="C518" s="137">
        <v>6.0</v>
      </c>
      <c r="D518" s="137">
        <v>2.0</v>
      </c>
      <c r="E518" s="137">
        <v>4.0</v>
      </c>
      <c r="F518" s="135">
        <v>0.0</v>
      </c>
      <c r="G518" s="135">
        <v>0.0</v>
      </c>
      <c r="H518" s="135">
        <v>0.0</v>
      </c>
      <c r="I518" s="135">
        <v>0.0</v>
      </c>
      <c r="J518" s="135">
        <v>0.0</v>
      </c>
      <c r="K518" s="135">
        <v>0.0</v>
      </c>
      <c r="L518" s="135">
        <v>0.0</v>
      </c>
      <c r="M518" s="135">
        <v>0.0</v>
      </c>
      <c r="N518" s="135">
        <v>0.0</v>
      </c>
      <c r="O518" s="135">
        <v>0.0</v>
      </c>
      <c r="P518" s="135">
        <v>0.0</v>
      </c>
      <c r="Q518" s="135">
        <v>0.0</v>
      </c>
      <c r="R518" s="135">
        <v>0.0</v>
      </c>
      <c r="S518" s="135">
        <v>0.0</v>
      </c>
      <c r="T518" s="135">
        <v>0.0</v>
      </c>
      <c r="U518" s="135">
        <v>0.0</v>
      </c>
      <c r="V518" s="135">
        <v>0.0</v>
      </c>
      <c r="W518" s="135">
        <v>0.0</v>
      </c>
      <c r="X518" s="135">
        <v>0.0</v>
      </c>
      <c r="Y518" s="135">
        <v>0.0</v>
      </c>
      <c r="Z518" s="135">
        <v>0.0</v>
      </c>
      <c r="AA518" s="135">
        <v>0.0</v>
      </c>
      <c r="AB518" s="135">
        <v>0.0</v>
      </c>
      <c r="AC518" s="135">
        <v>0.0</v>
      </c>
      <c r="AD518" s="135">
        <v>0.0</v>
      </c>
      <c r="AE518" s="135">
        <v>0.0</v>
      </c>
      <c r="AF518" s="137">
        <v>0.0</v>
      </c>
      <c r="AG518" s="137">
        <v>0.0</v>
      </c>
      <c r="AH518" s="137">
        <v>2.0</v>
      </c>
      <c r="AI518" s="137">
        <v>0.0</v>
      </c>
      <c r="AJ518" s="137">
        <v>0.0</v>
      </c>
      <c r="AK518" s="137">
        <v>0.0</v>
      </c>
      <c r="AL518" s="137">
        <v>0.0</v>
      </c>
      <c r="AM518" s="137">
        <v>4.0</v>
      </c>
      <c r="AN518" s="137">
        <v>6.0</v>
      </c>
    </row>
    <row r="519">
      <c r="A519" s="104"/>
      <c r="B519" s="136" t="s">
        <v>199</v>
      </c>
      <c r="C519" s="137">
        <v>110.0</v>
      </c>
      <c r="D519" s="137">
        <v>38.0</v>
      </c>
      <c r="E519" s="137">
        <v>72.0</v>
      </c>
      <c r="F519" s="135">
        <v>0.0</v>
      </c>
      <c r="G519" s="135">
        <v>0.0</v>
      </c>
      <c r="H519" s="135">
        <v>0.0</v>
      </c>
      <c r="I519" s="135">
        <v>0.0</v>
      </c>
      <c r="J519" s="135">
        <v>0.0</v>
      </c>
      <c r="K519" s="135">
        <v>0.0</v>
      </c>
      <c r="L519" s="135">
        <v>0.0</v>
      </c>
      <c r="M519" s="135">
        <v>0.0</v>
      </c>
      <c r="N519" s="135">
        <v>0.0</v>
      </c>
      <c r="O519" s="135">
        <v>0.0</v>
      </c>
      <c r="P519" s="135">
        <v>0.0</v>
      </c>
      <c r="Q519" s="135">
        <v>0.0</v>
      </c>
      <c r="R519" s="135">
        <v>0.0</v>
      </c>
      <c r="S519" s="135">
        <v>0.0</v>
      </c>
      <c r="T519" s="135">
        <v>0.0</v>
      </c>
      <c r="U519" s="135">
        <v>0.0</v>
      </c>
      <c r="V519" s="135">
        <v>0.0</v>
      </c>
      <c r="W519" s="135">
        <v>0.0</v>
      </c>
      <c r="X519" s="135">
        <v>0.0</v>
      </c>
      <c r="Y519" s="135">
        <v>0.0</v>
      </c>
      <c r="Z519" s="135">
        <v>0.0</v>
      </c>
      <c r="AA519" s="135">
        <v>0.0</v>
      </c>
      <c r="AB519" s="135">
        <v>0.0</v>
      </c>
      <c r="AC519" s="135">
        <v>0.0</v>
      </c>
      <c r="AD519" s="135">
        <v>0.0</v>
      </c>
      <c r="AE519" s="135">
        <v>0.0</v>
      </c>
      <c r="AF519" s="137">
        <v>2.0</v>
      </c>
      <c r="AG519" s="137">
        <v>12.0</v>
      </c>
      <c r="AH519" s="137">
        <v>12.0</v>
      </c>
      <c r="AI519" s="137">
        <v>22.0</v>
      </c>
      <c r="AJ519" s="137">
        <v>14.0</v>
      </c>
      <c r="AK519" s="137">
        <v>16.0</v>
      </c>
      <c r="AL519" s="137">
        <v>10.0</v>
      </c>
      <c r="AM519" s="137">
        <v>22.0</v>
      </c>
      <c r="AN519" s="137">
        <v>110.0</v>
      </c>
    </row>
    <row r="520">
      <c r="A520" s="132" t="s">
        <v>205</v>
      </c>
      <c r="B520" s="136" t="s">
        <v>198</v>
      </c>
      <c r="C520" s="137">
        <v>14.0</v>
      </c>
      <c r="D520" s="137">
        <v>4.0</v>
      </c>
      <c r="E520" s="137">
        <v>10.0</v>
      </c>
      <c r="F520" s="137">
        <v>0.0</v>
      </c>
      <c r="G520" s="137">
        <v>0.0</v>
      </c>
      <c r="H520" s="137">
        <v>0.0</v>
      </c>
      <c r="I520" s="137">
        <v>0.0</v>
      </c>
      <c r="J520" s="137">
        <v>0.0</v>
      </c>
      <c r="K520" s="137">
        <v>0.0</v>
      </c>
      <c r="L520" s="137">
        <v>0.0</v>
      </c>
      <c r="M520" s="137">
        <v>0.0</v>
      </c>
      <c r="N520" s="137">
        <v>0.0</v>
      </c>
      <c r="O520" s="137">
        <v>4.0</v>
      </c>
      <c r="P520" s="137">
        <v>0.0</v>
      </c>
      <c r="Q520" s="137">
        <v>2.0</v>
      </c>
      <c r="R520" s="137">
        <v>0.0</v>
      </c>
      <c r="S520" s="137">
        <v>2.0</v>
      </c>
      <c r="T520" s="137">
        <v>0.0</v>
      </c>
      <c r="U520" s="137">
        <v>0.0</v>
      </c>
      <c r="V520" s="137">
        <v>0.0</v>
      </c>
      <c r="W520" s="137">
        <v>0.0</v>
      </c>
      <c r="X520" s="137">
        <v>0.0</v>
      </c>
      <c r="Y520" s="137">
        <v>0.0</v>
      </c>
      <c r="Z520" s="137">
        <v>4.0</v>
      </c>
      <c r="AA520" s="137">
        <v>0.0</v>
      </c>
      <c r="AB520" s="137">
        <v>0.0</v>
      </c>
      <c r="AC520" s="137">
        <v>0.0</v>
      </c>
      <c r="AD520" s="137">
        <v>0.0</v>
      </c>
      <c r="AE520" s="137">
        <v>2.0</v>
      </c>
      <c r="AF520" s="137">
        <v>0.0</v>
      </c>
      <c r="AG520" s="137">
        <v>0.0</v>
      </c>
      <c r="AH520" s="137">
        <v>0.0</v>
      </c>
      <c r="AI520" s="137">
        <v>0.0</v>
      </c>
      <c r="AJ520" s="137">
        <v>0.0</v>
      </c>
      <c r="AK520" s="137">
        <v>0.0</v>
      </c>
      <c r="AL520" s="137">
        <v>0.0</v>
      </c>
      <c r="AM520" s="137">
        <v>0.0</v>
      </c>
      <c r="AN520" s="137">
        <v>14.0</v>
      </c>
    </row>
    <row r="521">
      <c r="A521" s="98"/>
      <c r="B521" s="136" t="s">
        <v>199</v>
      </c>
      <c r="C521" s="137">
        <v>4.0</v>
      </c>
      <c r="D521" s="137">
        <v>0.0</v>
      </c>
      <c r="E521" s="137">
        <v>4.0</v>
      </c>
      <c r="F521" s="137">
        <v>0.0</v>
      </c>
      <c r="G521" s="137">
        <v>0.0</v>
      </c>
      <c r="H521" s="137">
        <v>0.0</v>
      </c>
      <c r="I521" s="137">
        <v>0.0</v>
      </c>
      <c r="J521" s="137">
        <v>0.0</v>
      </c>
      <c r="K521" s="137">
        <v>0.0</v>
      </c>
      <c r="L521" s="137">
        <v>0.0</v>
      </c>
      <c r="M521" s="137">
        <v>0.0</v>
      </c>
      <c r="N521" s="137">
        <v>0.0</v>
      </c>
      <c r="O521" s="137">
        <v>0.0</v>
      </c>
      <c r="P521" s="137">
        <v>0.0</v>
      </c>
      <c r="Q521" s="137">
        <v>0.0</v>
      </c>
      <c r="R521" s="137">
        <v>0.0</v>
      </c>
      <c r="S521" s="137">
        <v>4.0</v>
      </c>
      <c r="T521" s="137">
        <v>0.0</v>
      </c>
      <c r="U521" s="137">
        <v>0.0</v>
      </c>
      <c r="V521" s="137">
        <v>0.0</v>
      </c>
      <c r="W521" s="137">
        <v>0.0</v>
      </c>
      <c r="X521" s="137">
        <v>0.0</v>
      </c>
      <c r="Y521" s="137">
        <v>0.0</v>
      </c>
      <c r="Z521" s="137">
        <v>0.0</v>
      </c>
      <c r="AA521" s="137">
        <v>0.0</v>
      </c>
      <c r="AB521" s="137">
        <v>0.0</v>
      </c>
      <c r="AC521" s="137">
        <v>0.0</v>
      </c>
      <c r="AD521" s="137">
        <v>0.0</v>
      </c>
      <c r="AE521" s="137">
        <v>0.0</v>
      </c>
      <c r="AF521" s="137">
        <v>0.0</v>
      </c>
      <c r="AG521" s="137">
        <v>0.0</v>
      </c>
      <c r="AH521" s="137">
        <v>0.0</v>
      </c>
      <c r="AI521" s="137">
        <v>0.0</v>
      </c>
      <c r="AJ521" s="137">
        <v>0.0</v>
      </c>
      <c r="AK521" s="137">
        <v>0.0</v>
      </c>
      <c r="AL521" s="137">
        <v>0.0</v>
      </c>
      <c r="AM521" s="137">
        <v>0.0</v>
      </c>
      <c r="AN521" s="137">
        <v>4.0</v>
      </c>
    </row>
    <row r="522">
      <c r="A522" s="104"/>
      <c r="B522" s="136" t="s">
        <v>206</v>
      </c>
      <c r="C522" s="137">
        <v>108.0</v>
      </c>
      <c r="D522" s="137">
        <v>8.0</v>
      </c>
      <c r="E522" s="137">
        <v>100.0</v>
      </c>
      <c r="F522" s="137">
        <v>0.0</v>
      </c>
      <c r="G522" s="137">
        <v>0.0</v>
      </c>
      <c r="H522" s="137">
        <v>0.0</v>
      </c>
      <c r="I522" s="137">
        <v>0.0</v>
      </c>
      <c r="J522" s="137">
        <v>0.0</v>
      </c>
      <c r="K522" s="137">
        <v>0.0</v>
      </c>
      <c r="L522" s="137">
        <v>0.0</v>
      </c>
      <c r="M522" s="137">
        <v>6.0</v>
      </c>
      <c r="N522" s="137">
        <v>4.0</v>
      </c>
      <c r="O522" s="137">
        <v>12.0</v>
      </c>
      <c r="P522" s="137">
        <v>0.0</v>
      </c>
      <c r="Q522" s="137">
        <v>38.0</v>
      </c>
      <c r="R522" s="137">
        <v>0.0</v>
      </c>
      <c r="S522" s="137">
        <v>6.0</v>
      </c>
      <c r="T522" s="137">
        <v>0.0</v>
      </c>
      <c r="U522" s="137">
        <v>16.0</v>
      </c>
      <c r="V522" s="137">
        <v>0.0</v>
      </c>
      <c r="W522" s="137">
        <v>8.0</v>
      </c>
      <c r="X522" s="137">
        <v>0.0</v>
      </c>
      <c r="Y522" s="137">
        <v>2.0</v>
      </c>
      <c r="Z522" s="137">
        <v>0.0</v>
      </c>
      <c r="AA522" s="137">
        <v>10.0</v>
      </c>
      <c r="AB522" s="137">
        <v>0.0</v>
      </c>
      <c r="AC522" s="137">
        <v>2.0</v>
      </c>
      <c r="AD522" s="137">
        <v>4.0</v>
      </c>
      <c r="AE522" s="137">
        <v>0.0</v>
      </c>
      <c r="AF522" s="137">
        <v>0.0</v>
      </c>
      <c r="AG522" s="137">
        <v>0.0</v>
      </c>
      <c r="AH522" s="137">
        <v>0.0</v>
      </c>
      <c r="AI522" s="137">
        <v>0.0</v>
      </c>
      <c r="AJ522" s="137">
        <v>0.0</v>
      </c>
      <c r="AK522" s="137">
        <v>0.0</v>
      </c>
      <c r="AL522" s="137">
        <v>0.0</v>
      </c>
      <c r="AM522" s="137">
        <v>0.0</v>
      </c>
      <c r="AN522" s="137">
        <v>108.0</v>
      </c>
    </row>
    <row r="523">
      <c r="A523" s="132" t="s">
        <v>207</v>
      </c>
      <c r="B523" s="136" t="s">
        <v>198</v>
      </c>
      <c r="C523" s="134">
        <v>4996.0</v>
      </c>
      <c r="D523" s="134">
        <v>1332.0</v>
      </c>
      <c r="E523" s="134">
        <v>3664.0</v>
      </c>
      <c r="F523" s="137">
        <v>46.0</v>
      </c>
      <c r="G523" s="137">
        <v>34.0</v>
      </c>
      <c r="H523" s="137">
        <v>48.0</v>
      </c>
      <c r="I523" s="137">
        <v>52.0</v>
      </c>
      <c r="J523" s="137">
        <v>34.0</v>
      </c>
      <c r="K523" s="137">
        <v>48.0</v>
      </c>
      <c r="L523" s="137">
        <v>46.0</v>
      </c>
      <c r="M523" s="137">
        <v>46.0</v>
      </c>
      <c r="N523" s="137">
        <v>24.0</v>
      </c>
      <c r="O523" s="137">
        <v>100.0</v>
      </c>
      <c r="P523" s="137">
        <v>46.0</v>
      </c>
      <c r="Q523" s="137">
        <v>196.0</v>
      </c>
      <c r="R523" s="137">
        <v>66.0</v>
      </c>
      <c r="S523" s="137">
        <v>260.0</v>
      </c>
      <c r="T523" s="137">
        <v>68.0</v>
      </c>
      <c r="U523" s="137">
        <v>222.0</v>
      </c>
      <c r="V523" s="137">
        <v>82.0</v>
      </c>
      <c r="W523" s="137">
        <v>250.0</v>
      </c>
      <c r="X523" s="137">
        <v>92.0</v>
      </c>
      <c r="Y523" s="137">
        <v>400.0</v>
      </c>
      <c r="Z523" s="137">
        <v>128.0</v>
      </c>
      <c r="AA523" s="137">
        <v>464.0</v>
      </c>
      <c r="AB523" s="137">
        <v>90.0</v>
      </c>
      <c r="AC523" s="137">
        <v>428.0</v>
      </c>
      <c r="AD523" s="137">
        <v>142.0</v>
      </c>
      <c r="AE523" s="137">
        <v>336.0</v>
      </c>
      <c r="AF523" s="137">
        <v>118.0</v>
      </c>
      <c r="AG523" s="137">
        <v>266.0</v>
      </c>
      <c r="AH523" s="137">
        <v>106.0</v>
      </c>
      <c r="AI523" s="137">
        <v>260.0</v>
      </c>
      <c r="AJ523" s="137">
        <v>82.0</v>
      </c>
      <c r="AK523" s="137">
        <v>148.0</v>
      </c>
      <c r="AL523" s="137">
        <v>108.0</v>
      </c>
      <c r="AM523" s="137">
        <v>160.0</v>
      </c>
      <c r="AN523" s="134">
        <v>4984.0</v>
      </c>
    </row>
    <row r="524">
      <c r="A524" s="98"/>
      <c r="B524" s="136" t="s">
        <v>199</v>
      </c>
      <c r="C524" s="137">
        <v>416.0</v>
      </c>
      <c r="D524" s="137">
        <v>120.0</v>
      </c>
      <c r="E524" s="137">
        <v>296.0</v>
      </c>
      <c r="F524" s="137">
        <v>4.0</v>
      </c>
      <c r="G524" s="137">
        <v>0.0</v>
      </c>
      <c r="H524" s="137">
        <v>0.0</v>
      </c>
      <c r="I524" s="137">
        <v>4.0</v>
      </c>
      <c r="J524" s="137">
        <v>2.0</v>
      </c>
      <c r="K524" s="137">
        <v>0.0</v>
      </c>
      <c r="L524" s="137">
        <v>2.0</v>
      </c>
      <c r="M524" s="137">
        <v>10.0</v>
      </c>
      <c r="N524" s="137">
        <v>2.0</v>
      </c>
      <c r="O524" s="137">
        <v>12.0</v>
      </c>
      <c r="P524" s="137">
        <v>2.0</v>
      </c>
      <c r="Q524" s="137">
        <v>2.0</v>
      </c>
      <c r="R524" s="137">
        <v>2.0</v>
      </c>
      <c r="S524" s="137">
        <v>4.0</v>
      </c>
      <c r="T524" s="137">
        <v>6.0</v>
      </c>
      <c r="U524" s="137">
        <v>10.0</v>
      </c>
      <c r="V524" s="137">
        <v>0.0</v>
      </c>
      <c r="W524" s="137">
        <v>8.0</v>
      </c>
      <c r="X524" s="137">
        <v>14.0</v>
      </c>
      <c r="Y524" s="137">
        <v>8.0</v>
      </c>
      <c r="Z524" s="137">
        <v>4.0</v>
      </c>
      <c r="AA524" s="137">
        <v>36.0</v>
      </c>
      <c r="AB524" s="137">
        <v>8.0</v>
      </c>
      <c r="AC524" s="137">
        <v>14.0</v>
      </c>
      <c r="AD524" s="137">
        <v>16.0</v>
      </c>
      <c r="AE524" s="137">
        <v>20.0</v>
      </c>
      <c r="AF524" s="137">
        <v>8.0</v>
      </c>
      <c r="AG524" s="137">
        <v>72.0</v>
      </c>
      <c r="AH524" s="137">
        <v>14.0</v>
      </c>
      <c r="AI524" s="137">
        <v>26.0</v>
      </c>
      <c r="AJ524" s="137">
        <v>26.0</v>
      </c>
      <c r="AK524" s="137">
        <v>34.0</v>
      </c>
      <c r="AL524" s="137">
        <v>10.0</v>
      </c>
      <c r="AM524" s="137">
        <v>36.0</v>
      </c>
      <c r="AN524" s="137">
        <v>416.0</v>
      </c>
    </row>
    <row r="525">
      <c r="A525" s="98"/>
      <c r="B525" s="136" t="s">
        <v>206</v>
      </c>
      <c r="C525" s="137">
        <v>82.0</v>
      </c>
      <c r="D525" s="137">
        <v>0.0</v>
      </c>
      <c r="E525" s="137">
        <v>82.0</v>
      </c>
      <c r="F525" s="137">
        <v>0.0</v>
      </c>
      <c r="G525" s="137">
        <v>0.0</v>
      </c>
      <c r="H525" s="137">
        <v>0.0</v>
      </c>
      <c r="I525" s="137">
        <v>0.0</v>
      </c>
      <c r="J525" s="137">
        <v>0.0</v>
      </c>
      <c r="K525" s="137">
        <v>2.0</v>
      </c>
      <c r="L525" s="137">
        <v>0.0</v>
      </c>
      <c r="M525" s="137">
        <v>4.0</v>
      </c>
      <c r="N525" s="137">
        <v>0.0</v>
      </c>
      <c r="O525" s="137">
        <v>18.0</v>
      </c>
      <c r="P525" s="137">
        <v>0.0</v>
      </c>
      <c r="Q525" s="137">
        <v>18.0</v>
      </c>
      <c r="R525" s="137">
        <v>0.0</v>
      </c>
      <c r="S525" s="137">
        <v>10.0</v>
      </c>
      <c r="T525" s="137">
        <v>0.0</v>
      </c>
      <c r="U525" s="137">
        <v>4.0</v>
      </c>
      <c r="V525" s="137">
        <v>0.0</v>
      </c>
      <c r="W525" s="137">
        <v>6.0</v>
      </c>
      <c r="X525" s="137">
        <v>0.0</v>
      </c>
      <c r="Y525" s="137">
        <v>6.0</v>
      </c>
      <c r="Z525" s="137">
        <v>0.0</v>
      </c>
      <c r="AA525" s="137">
        <v>4.0</v>
      </c>
      <c r="AB525" s="137">
        <v>0.0</v>
      </c>
      <c r="AC525" s="137">
        <v>0.0</v>
      </c>
      <c r="AD525" s="137">
        <v>0.0</v>
      </c>
      <c r="AE525" s="137">
        <v>6.0</v>
      </c>
      <c r="AF525" s="137">
        <v>0.0</v>
      </c>
      <c r="AG525" s="137">
        <v>2.0</v>
      </c>
      <c r="AH525" s="137">
        <v>0.0</v>
      </c>
      <c r="AI525" s="137">
        <v>2.0</v>
      </c>
      <c r="AJ525" s="137">
        <v>0.0</v>
      </c>
      <c r="AK525" s="137">
        <v>0.0</v>
      </c>
      <c r="AL525" s="137">
        <v>0.0</v>
      </c>
      <c r="AM525" s="137">
        <v>0.0</v>
      </c>
      <c r="AN525" s="137">
        <v>82.0</v>
      </c>
    </row>
    <row r="526">
      <c r="A526" s="98"/>
      <c r="B526" s="136" t="s">
        <v>200</v>
      </c>
      <c r="C526" s="134">
        <v>1732.0</v>
      </c>
      <c r="D526" s="137">
        <v>496.0</v>
      </c>
      <c r="E526" s="134">
        <v>1236.0</v>
      </c>
      <c r="F526" s="137">
        <v>190.0</v>
      </c>
      <c r="G526" s="137">
        <v>216.0</v>
      </c>
      <c r="H526" s="137">
        <v>68.0</v>
      </c>
      <c r="I526" s="137">
        <v>34.0</v>
      </c>
      <c r="J526" s="137">
        <v>12.0</v>
      </c>
      <c r="K526" s="137">
        <v>12.0</v>
      </c>
      <c r="L526" s="137">
        <v>16.0</v>
      </c>
      <c r="M526" s="137">
        <v>22.0</v>
      </c>
      <c r="N526" s="137">
        <v>0.0</v>
      </c>
      <c r="O526" s="137">
        <v>50.0</v>
      </c>
      <c r="P526" s="137">
        <v>16.0</v>
      </c>
      <c r="Q526" s="137">
        <v>114.0</v>
      </c>
      <c r="R526" s="137">
        <v>8.0</v>
      </c>
      <c r="S526" s="137">
        <v>118.0</v>
      </c>
      <c r="T526" s="137">
        <v>14.0</v>
      </c>
      <c r="U526" s="137">
        <v>84.0</v>
      </c>
      <c r="V526" s="137">
        <v>10.0</v>
      </c>
      <c r="W526" s="137">
        <v>50.0</v>
      </c>
      <c r="X526" s="137">
        <v>18.0</v>
      </c>
      <c r="Y526" s="137">
        <v>64.0</v>
      </c>
      <c r="Z526" s="137">
        <v>12.0</v>
      </c>
      <c r="AA526" s="137">
        <v>78.0</v>
      </c>
      <c r="AB526" s="137">
        <v>6.0</v>
      </c>
      <c r="AC526" s="137">
        <v>68.0</v>
      </c>
      <c r="AD526" s="137">
        <v>16.0</v>
      </c>
      <c r="AE526" s="137">
        <v>76.0</v>
      </c>
      <c r="AF526" s="137">
        <v>18.0</v>
      </c>
      <c r="AG526" s="137">
        <v>76.0</v>
      </c>
      <c r="AH526" s="137">
        <v>28.0</v>
      </c>
      <c r="AI526" s="137">
        <v>70.0</v>
      </c>
      <c r="AJ526" s="137">
        <v>18.0</v>
      </c>
      <c r="AK526" s="137">
        <v>42.0</v>
      </c>
      <c r="AL526" s="137">
        <v>46.0</v>
      </c>
      <c r="AM526" s="137">
        <v>62.0</v>
      </c>
      <c r="AN526" s="134">
        <v>1712.0</v>
      </c>
    </row>
    <row r="527">
      <c r="A527" s="104"/>
      <c r="B527" s="136" t="s">
        <v>201</v>
      </c>
      <c r="C527" s="137">
        <v>62.0</v>
      </c>
      <c r="D527" s="137">
        <v>54.0</v>
      </c>
      <c r="E527" s="137">
        <v>8.0</v>
      </c>
      <c r="F527" s="137">
        <v>0.0</v>
      </c>
      <c r="G527" s="137">
        <v>0.0</v>
      </c>
      <c r="H527" s="137">
        <v>0.0</v>
      </c>
      <c r="I527" s="137">
        <v>0.0</v>
      </c>
      <c r="J527" s="137">
        <v>0.0</v>
      </c>
      <c r="K527" s="137">
        <v>0.0</v>
      </c>
      <c r="L527" s="137">
        <v>0.0</v>
      </c>
      <c r="M527" s="137">
        <v>0.0</v>
      </c>
      <c r="N527" s="137">
        <v>0.0</v>
      </c>
      <c r="O527" s="137">
        <v>0.0</v>
      </c>
      <c r="P527" s="137">
        <v>0.0</v>
      </c>
      <c r="Q527" s="137">
        <v>2.0</v>
      </c>
      <c r="R527" s="137">
        <v>0.0</v>
      </c>
      <c r="S527" s="137">
        <v>0.0</v>
      </c>
      <c r="T527" s="137">
        <v>0.0</v>
      </c>
      <c r="U527" s="137">
        <v>0.0</v>
      </c>
      <c r="V527" s="137">
        <v>0.0</v>
      </c>
      <c r="W527" s="137">
        <v>0.0</v>
      </c>
      <c r="X527" s="137">
        <v>10.0</v>
      </c>
      <c r="Y527" s="137">
        <v>0.0</v>
      </c>
      <c r="Z527" s="137">
        <v>0.0</v>
      </c>
      <c r="AA527" s="137">
        <v>0.0</v>
      </c>
      <c r="AB527" s="137">
        <v>20.0</v>
      </c>
      <c r="AC527" s="137">
        <v>0.0</v>
      </c>
      <c r="AD527" s="137">
        <v>0.0</v>
      </c>
      <c r="AE527" s="137">
        <v>0.0</v>
      </c>
      <c r="AF527" s="137">
        <v>0.0</v>
      </c>
      <c r="AG527" s="137">
        <v>0.0</v>
      </c>
      <c r="AH527" s="137">
        <v>12.0</v>
      </c>
      <c r="AI527" s="137">
        <v>4.0</v>
      </c>
      <c r="AJ527" s="137">
        <v>10.0</v>
      </c>
      <c r="AK527" s="137">
        <v>2.0</v>
      </c>
      <c r="AL527" s="137">
        <v>2.0</v>
      </c>
      <c r="AM527" s="137">
        <v>0.0</v>
      </c>
      <c r="AN527" s="137">
        <v>62.0</v>
      </c>
    </row>
    <row r="528">
      <c r="A528" s="132" t="s">
        <v>208</v>
      </c>
      <c r="B528" s="136" t="s">
        <v>198</v>
      </c>
      <c r="C528" s="137">
        <v>36.0</v>
      </c>
      <c r="D528" s="137">
        <v>24.0</v>
      </c>
      <c r="E528" s="137">
        <v>12.0</v>
      </c>
      <c r="F528" s="137">
        <v>22.0</v>
      </c>
      <c r="G528" s="137">
        <v>10.0</v>
      </c>
      <c r="H528" s="137">
        <v>0.0</v>
      </c>
      <c r="I528" s="137">
        <v>2.0</v>
      </c>
      <c r="J528" s="137">
        <v>0.0</v>
      </c>
      <c r="K528" s="137">
        <v>0.0</v>
      </c>
      <c r="L528" s="137">
        <v>2.0</v>
      </c>
      <c r="M528" s="137">
        <v>0.0</v>
      </c>
      <c r="N528" s="137">
        <v>0.0</v>
      </c>
      <c r="O528" s="137">
        <v>0.0</v>
      </c>
      <c r="P528" s="135">
        <v>0.0</v>
      </c>
      <c r="Q528" s="135">
        <v>0.0</v>
      </c>
      <c r="R528" s="135">
        <v>0.0</v>
      </c>
      <c r="S528" s="135">
        <v>0.0</v>
      </c>
      <c r="T528" s="135">
        <v>0.0</v>
      </c>
      <c r="U528" s="135">
        <v>0.0</v>
      </c>
      <c r="V528" s="135">
        <v>0.0</v>
      </c>
      <c r="W528" s="135">
        <v>0.0</v>
      </c>
      <c r="X528" s="135">
        <v>0.0</v>
      </c>
      <c r="Y528" s="135">
        <v>0.0</v>
      </c>
      <c r="Z528" s="135">
        <v>0.0</v>
      </c>
      <c r="AA528" s="135">
        <v>0.0</v>
      </c>
      <c r="AB528" s="135">
        <v>0.0</v>
      </c>
      <c r="AC528" s="135">
        <v>0.0</v>
      </c>
      <c r="AD528" s="135">
        <v>0.0</v>
      </c>
      <c r="AE528" s="135">
        <v>0.0</v>
      </c>
      <c r="AF528" s="135">
        <v>0.0</v>
      </c>
      <c r="AG528" s="135">
        <v>0.0</v>
      </c>
      <c r="AH528" s="135">
        <v>0.0</v>
      </c>
      <c r="AI528" s="135">
        <v>0.0</v>
      </c>
      <c r="AJ528" s="135">
        <v>0.0</v>
      </c>
      <c r="AK528" s="135">
        <v>0.0</v>
      </c>
      <c r="AL528" s="135">
        <v>0.0</v>
      </c>
      <c r="AM528" s="135">
        <v>0.0</v>
      </c>
      <c r="AN528" s="137">
        <v>36.0</v>
      </c>
    </row>
    <row r="529">
      <c r="A529" s="98"/>
      <c r="B529" s="136" t="s">
        <v>199</v>
      </c>
      <c r="C529" s="137">
        <v>78.0</v>
      </c>
      <c r="D529" s="137">
        <v>40.0</v>
      </c>
      <c r="E529" s="137">
        <v>38.0</v>
      </c>
      <c r="F529" s="137">
        <v>30.0</v>
      </c>
      <c r="G529" s="137">
        <v>34.0</v>
      </c>
      <c r="H529" s="137">
        <v>10.0</v>
      </c>
      <c r="I529" s="137">
        <v>4.0</v>
      </c>
      <c r="J529" s="137">
        <v>0.0</v>
      </c>
      <c r="K529" s="137">
        <v>0.0</v>
      </c>
      <c r="L529" s="137">
        <v>0.0</v>
      </c>
      <c r="M529" s="137">
        <v>0.0</v>
      </c>
      <c r="N529" s="137">
        <v>0.0</v>
      </c>
      <c r="O529" s="137">
        <v>0.0</v>
      </c>
      <c r="P529" s="135">
        <v>0.0</v>
      </c>
      <c r="Q529" s="135">
        <v>0.0</v>
      </c>
      <c r="R529" s="135">
        <v>0.0</v>
      </c>
      <c r="S529" s="135">
        <v>0.0</v>
      </c>
      <c r="T529" s="135">
        <v>0.0</v>
      </c>
      <c r="U529" s="135">
        <v>0.0</v>
      </c>
      <c r="V529" s="135">
        <v>0.0</v>
      </c>
      <c r="W529" s="135">
        <v>0.0</v>
      </c>
      <c r="X529" s="135">
        <v>0.0</v>
      </c>
      <c r="Y529" s="135">
        <v>0.0</v>
      </c>
      <c r="Z529" s="135">
        <v>0.0</v>
      </c>
      <c r="AA529" s="135">
        <v>0.0</v>
      </c>
      <c r="AB529" s="135">
        <v>0.0</v>
      </c>
      <c r="AC529" s="135">
        <v>0.0</v>
      </c>
      <c r="AD529" s="135">
        <v>0.0</v>
      </c>
      <c r="AE529" s="135">
        <v>0.0</v>
      </c>
      <c r="AF529" s="135">
        <v>0.0</v>
      </c>
      <c r="AG529" s="135">
        <v>0.0</v>
      </c>
      <c r="AH529" s="135">
        <v>0.0</v>
      </c>
      <c r="AI529" s="135">
        <v>0.0</v>
      </c>
      <c r="AJ529" s="135">
        <v>0.0</v>
      </c>
      <c r="AK529" s="135">
        <v>0.0</v>
      </c>
      <c r="AL529" s="135">
        <v>0.0</v>
      </c>
      <c r="AM529" s="135">
        <v>0.0</v>
      </c>
      <c r="AN529" s="137">
        <v>78.0</v>
      </c>
    </row>
    <row r="530">
      <c r="A530" s="98"/>
      <c r="B530" s="136" t="s">
        <v>206</v>
      </c>
      <c r="C530" s="137">
        <v>6.0</v>
      </c>
      <c r="D530" s="137">
        <v>6.0</v>
      </c>
      <c r="E530" s="137">
        <v>0.0</v>
      </c>
      <c r="F530" s="137">
        <v>6.0</v>
      </c>
      <c r="G530" s="137">
        <v>0.0</v>
      </c>
      <c r="H530" s="137">
        <v>0.0</v>
      </c>
      <c r="I530" s="137">
        <v>0.0</v>
      </c>
      <c r="J530" s="137">
        <v>0.0</v>
      </c>
      <c r="K530" s="137">
        <v>0.0</v>
      </c>
      <c r="L530" s="137">
        <v>0.0</v>
      </c>
      <c r="M530" s="137">
        <v>0.0</v>
      </c>
      <c r="N530" s="137">
        <v>0.0</v>
      </c>
      <c r="O530" s="137">
        <v>0.0</v>
      </c>
      <c r="P530" s="135">
        <v>0.0</v>
      </c>
      <c r="Q530" s="135">
        <v>0.0</v>
      </c>
      <c r="R530" s="135">
        <v>0.0</v>
      </c>
      <c r="S530" s="135">
        <v>0.0</v>
      </c>
      <c r="T530" s="135">
        <v>0.0</v>
      </c>
      <c r="U530" s="135">
        <v>0.0</v>
      </c>
      <c r="V530" s="135">
        <v>0.0</v>
      </c>
      <c r="W530" s="135">
        <v>0.0</v>
      </c>
      <c r="X530" s="135">
        <v>0.0</v>
      </c>
      <c r="Y530" s="135">
        <v>0.0</v>
      </c>
      <c r="Z530" s="135">
        <v>0.0</v>
      </c>
      <c r="AA530" s="135">
        <v>0.0</v>
      </c>
      <c r="AB530" s="135">
        <v>0.0</v>
      </c>
      <c r="AC530" s="135">
        <v>0.0</v>
      </c>
      <c r="AD530" s="135">
        <v>0.0</v>
      </c>
      <c r="AE530" s="135">
        <v>0.0</v>
      </c>
      <c r="AF530" s="135">
        <v>0.0</v>
      </c>
      <c r="AG530" s="135">
        <v>0.0</v>
      </c>
      <c r="AH530" s="135">
        <v>0.0</v>
      </c>
      <c r="AI530" s="135">
        <v>0.0</v>
      </c>
      <c r="AJ530" s="135">
        <v>0.0</v>
      </c>
      <c r="AK530" s="135">
        <v>0.0</v>
      </c>
      <c r="AL530" s="135">
        <v>0.0</v>
      </c>
      <c r="AM530" s="135">
        <v>0.0</v>
      </c>
      <c r="AN530" s="137">
        <v>6.0</v>
      </c>
    </row>
    <row r="531">
      <c r="A531" s="98"/>
      <c r="B531" s="136" t="s">
        <v>200</v>
      </c>
      <c r="C531" s="137">
        <v>16.0</v>
      </c>
      <c r="D531" s="137">
        <v>12.0</v>
      </c>
      <c r="E531" s="137">
        <v>4.0</v>
      </c>
      <c r="F531" s="137">
        <v>12.0</v>
      </c>
      <c r="G531" s="137">
        <v>4.0</v>
      </c>
      <c r="H531" s="137">
        <v>0.0</v>
      </c>
      <c r="I531" s="137">
        <v>0.0</v>
      </c>
      <c r="J531" s="137">
        <v>0.0</v>
      </c>
      <c r="K531" s="137">
        <v>0.0</v>
      </c>
      <c r="L531" s="137">
        <v>0.0</v>
      </c>
      <c r="M531" s="137">
        <v>0.0</v>
      </c>
      <c r="N531" s="137">
        <v>0.0</v>
      </c>
      <c r="O531" s="137">
        <v>0.0</v>
      </c>
      <c r="P531" s="135">
        <v>0.0</v>
      </c>
      <c r="Q531" s="135">
        <v>0.0</v>
      </c>
      <c r="R531" s="135">
        <v>0.0</v>
      </c>
      <c r="S531" s="135">
        <v>0.0</v>
      </c>
      <c r="T531" s="135">
        <v>0.0</v>
      </c>
      <c r="U531" s="135">
        <v>0.0</v>
      </c>
      <c r="V531" s="135">
        <v>0.0</v>
      </c>
      <c r="W531" s="135">
        <v>0.0</v>
      </c>
      <c r="X531" s="135">
        <v>0.0</v>
      </c>
      <c r="Y531" s="135">
        <v>0.0</v>
      </c>
      <c r="Z531" s="135">
        <v>0.0</v>
      </c>
      <c r="AA531" s="135">
        <v>0.0</v>
      </c>
      <c r="AB531" s="135">
        <v>0.0</v>
      </c>
      <c r="AC531" s="135">
        <v>0.0</v>
      </c>
      <c r="AD531" s="135">
        <v>0.0</v>
      </c>
      <c r="AE531" s="135">
        <v>0.0</v>
      </c>
      <c r="AF531" s="135">
        <v>0.0</v>
      </c>
      <c r="AG531" s="135">
        <v>0.0</v>
      </c>
      <c r="AH531" s="135">
        <v>0.0</v>
      </c>
      <c r="AI531" s="135">
        <v>0.0</v>
      </c>
      <c r="AJ531" s="135">
        <v>0.0</v>
      </c>
      <c r="AK531" s="135">
        <v>0.0</v>
      </c>
      <c r="AL531" s="135">
        <v>0.0</v>
      </c>
      <c r="AM531" s="135">
        <v>0.0</v>
      </c>
      <c r="AN531" s="137">
        <v>16.0</v>
      </c>
    </row>
    <row r="532">
      <c r="A532" s="104"/>
      <c r="B532" s="136" t="s">
        <v>201</v>
      </c>
      <c r="C532" s="137">
        <v>0.0</v>
      </c>
      <c r="D532" s="137">
        <v>0.0</v>
      </c>
      <c r="E532" s="137">
        <v>0.0</v>
      </c>
      <c r="F532" s="137">
        <v>0.0</v>
      </c>
      <c r="G532" s="137">
        <v>0.0</v>
      </c>
      <c r="H532" s="137">
        <v>0.0</v>
      </c>
      <c r="I532" s="137">
        <v>0.0</v>
      </c>
      <c r="J532" s="137">
        <v>0.0</v>
      </c>
      <c r="K532" s="137">
        <v>0.0</v>
      </c>
      <c r="L532" s="137">
        <v>0.0</v>
      </c>
      <c r="M532" s="137">
        <v>0.0</v>
      </c>
      <c r="N532" s="137">
        <v>0.0</v>
      </c>
      <c r="O532" s="137">
        <v>0.0</v>
      </c>
      <c r="P532" s="135">
        <v>0.0</v>
      </c>
      <c r="Q532" s="135">
        <v>0.0</v>
      </c>
      <c r="R532" s="135">
        <v>0.0</v>
      </c>
      <c r="S532" s="135">
        <v>0.0</v>
      </c>
      <c r="T532" s="135">
        <v>0.0</v>
      </c>
      <c r="U532" s="135">
        <v>0.0</v>
      </c>
      <c r="V532" s="135">
        <v>0.0</v>
      </c>
      <c r="W532" s="135">
        <v>0.0</v>
      </c>
      <c r="X532" s="135">
        <v>0.0</v>
      </c>
      <c r="Y532" s="135">
        <v>0.0</v>
      </c>
      <c r="Z532" s="135">
        <v>0.0</v>
      </c>
      <c r="AA532" s="135">
        <v>0.0</v>
      </c>
      <c r="AB532" s="135">
        <v>0.0</v>
      </c>
      <c r="AC532" s="135">
        <v>0.0</v>
      </c>
      <c r="AD532" s="135">
        <v>0.0</v>
      </c>
      <c r="AE532" s="135">
        <v>0.0</v>
      </c>
      <c r="AF532" s="135">
        <v>0.0</v>
      </c>
      <c r="AG532" s="135">
        <v>0.0</v>
      </c>
      <c r="AH532" s="135">
        <v>0.0</v>
      </c>
      <c r="AI532" s="135">
        <v>0.0</v>
      </c>
      <c r="AJ532" s="135">
        <v>0.0</v>
      </c>
      <c r="AK532" s="135">
        <v>0.0</v>
      </c>
      <c r="AL532" s="135">
        <v>0.0</v>
      </c>
      <c r="AM532" s="135">
        <v>0.0</v>
      </c>
      <c r="AN532" s="137">
        <v>0.0</v>
      </c>
    </row>
    <row r="533">
      <c r="A533" s="138" t="s">
        <v>261</v>
      </c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</row>
    <row r="534">
      <c r="A534" s="132" t="s">
        <v>197</v>
      </c>
      <c r="B534" s="133" t="s">
        <v>198</v>
      </c>
      <c r="C534" s="134">
        <v>39886.0</v>
      </c>
      <c r="D534" s="134">
        <v>14572.0</v>
      </c>
      <c r="E534" s="134">
        <v>25314.0</v>
      </c>
      <c r="F534" s="135">
        <v>0.0</v>
      </c>
      <c r="G534" s="135">
        <v>0.0</v>
      </c>
      <c r="H534" s="135">
        <v>0.0</v>
      </c>
      <c r="I534" s="135">
        <v>0.0</v>
      </c>
      <c r="J534" s="135">
        <v>0.0</v>
      </c>
      <c r="K534" s="135">
        <v>0.0</v>
      </c>
      <c r="L534" s="137">
        <v>14.0</v>
      </c>
      <c r="M534" s="137">
        <v>16.0</v>
      </c>
      <c r="N534" s="137">
        <v>22.0</v>
      </c>
      <c r="O534" s="137">
        <v>76.0</v>
      </c>
      <c r="P534" s="137">
        <v>66.0</v>
      </c>
      <c r="Q534" s="137">
        <v>142.0</v>
      </c>
      <c r="R534" s="137">
        <v>154.0</v>
      </c>
      <c r="S534" s="137">
        <v>334.0</v>
      </c>
      <c r="T534" s="137">
        <v>238.0</v>
      </c>
      <c r="U534" s="137">
        <v>558.0</v>
      </c>
      <c r="V534" s="137">
        <v>460.0</v>
      </c>
      <c r="W534" s="137">
        <v>964.0</v>
      </c>
      <c r="X534" s="137">
        <v>674.0</v>
      </c>
      <c r="Y534" s="134">
        <v>1774.0</v>
      </c>
      <c r="Z534" s="134">
        <v>1242.0</v>
      </c>
      <c r="AA534" s="134">
        <v>2566.0</v>
      </c>
      <c r="AB534" s="134">
        <v>1710.0</v>
      </c>
      <c r="AC534" s="134">
        <v>3332.0</v>
      </c>
      <c r="AD534" s="134">
        <v>1940.0</v>
      </c>
      <c r="AE534" s="134">
        <v>3564.0</v>
      </c>
      <c r="AF534" s="134">
        <v>2276.0</v>
      </c>
      <c r="AG534" s="134">
        <v>3528.0</v>
      </c>
      <c r="AH534" s="134">
        <v>1988.0</v>
      </c>
      <c r="AI534" s="134">
        <v>2948.0</v>
      </c>
      <c r="AJ534" s="134">
        <v>1746.0</v>
      </c>
      <c r="AK534" s="134">
        <v>2494.0</v>
      </c>
      <c r="AL534" s="134">
        <v>2042.0</v>
      </c>
      <c r="AM534" s="134">
        <v>3018.0</v>
      </c>
      <c r="AN534" s="134">
        <v>36214.0</v>
      </c>
    </row>
    <row r="535">
      <c r="A535" s="98"/>
      <c r="B535" s="136" t="s">
        <v>199</v>
      </c>
      <c r="C535" s="134">
        <v>15866.0</v>
      </c>
      <c r="D535" s="134">
        <v>6012.0</v>
      </c>
      <c r="E535" s="134">
        <v>9854.0</v>
      </c>
      <c r="F535" s="135">
        <v>0.0</v>
      </c>
      <c r="G535" s="135">
        <v>0.0</v>
      </c>
      <c r="H535" s="135">
        <v>0.0</v>
      </c>
      <c r="I535" s="135">
        <v>0.0</v>
      </c>
      <c r="J535" s="135">
        <v>0.0</v>
      </c>
      <c r="K535" s="135">
        <v>0.0</v>
      </c>
      <c r="L535" s="137">
        <v>2.0</v>
      </c>
      <c r="M535" s="137">
        <v>2.0</v>
      </c>
      <c r="N535" s="137">
        <v>6.0</v>
      </c>
      <c r="O535" s="137">
        <v>12.0</v>
      </c>
      <c r="P535" s="137">
        <v>22.0</v>
      </c>
      <c r="Q535" s="137">
        <v>32.0</v>
      </c>
      <c r="R535" s="137">
        <v>26.0</v>
      </c>
      <c r="S535" s="137">
        <v>68.0</v>
      </c>
      <c r="T535" s="137">
        <v>84.0</v>
      </c>
      <c r="U535" s="137">
        <v>170.0</v>
      </c>
      <c r="V535" s="137">
        <v>138.0</v>
      </c>
      <c r="W535" s="137">
        <v>330.0</v>
      </c>
      <c r="X535" s="137">
        <v>212.0</v>
      </c>
      <c r="Y535" s="137">
        <v>580.0</v>
      </c>
      <c r="Z535" s="137">
        <v>470.0</v>
      </c>
      <c r="AA535" s="134">
        <v>1008.0</v>
      </c>
      <c r="AB535" s="137">
        <v>638.0</v>
      </c>
      <c r="AC535" s="134">
        <v>1202.0</v>
      </c>
      <c r="AD535" s="137">
        <v>818.0</v>
      </c>
      <c r="AE535" s="134">
        <v>1310.0</v>
      </c>
      <c r="AF535" s="137">
        <v>922.0</v>
      </c>
      <c r="AG535" s="134">
        <v>1394.0</v>
      </c>
      <c r="AH535" s="137">
        <v>944.0</v>
      </c>
      <c r="AI535" s="134">
        <v>1362.0</v>
      </c>
      <c r="AJ535" s="137">
        <v>750.0</v>
      </c>
      <c r="AK535" s="134">
        <v>1008.0</v>
      </c>
      <c r="AL535" s="137">
        <v>978.0</v>
      </c>
      <c r="AM535" s="134">
        <v>1374.0</v>
      </c>
      <c r="AN535" s="134">
        <v>14836.0</v>
      </c>
    </row>
    <row r="536">
      <c r="A536" s="98"/>
      <c r="B536" s="136" t="s">
        <v>200</v>
      </c>
      <c r="C536" s="134">
        <v>8232.0</v>
      </c>
      <c r="D536" s="134">
        <v>2608.0</v>
      </c>
      <c r="E536" s="134">
        <v>5624.0</v>
      </c>
      <c r="F536" s="135">
        <v>0.0</v>
      </c>
      <c r="G536" s="135">
        <v>0.0</v>
      </c>
      <c r="H536" s="135">
        <v>0.0</v>
      </c>
      <c r="I536" s="135">
        <v>0.0</v>
      </c>
      <c r="J536" s="135">
        <v>0.0</v>
      </c>
      <c r="K536" s="135">
        <v>0.0</v>
      </c>
      <c r="L536" s="137">
        <v>2.0</v>
      </c>
      <c r="M536" s="137">
        <v>8.0</v>
      </c>
      <c r="N536" s="137">
        <v>6.0</v>
      </c>
      <c r="O536" s="137">
        <v>20.0</v>
      </c>
      <c r="P536" s="137">
        <v>16.0</v>
      </c>
      <c r="Q536" s="137">
        <v>66.0</v>
      </c>
      <c r="R536" s="137">
        <v>26.0</v>
      </c>
      <c r="S536" s="137">
        <v>132.0</v>
      </c>
      <c r="T536" s="137">
        <v>50.0</v>
      </c>
      <c r="U536" s="137">
        <v>174.0</v>
      </c>
      <c r="V536" s="137">
        <v>82.0</v>
      </c>
      <c r="W536" s="137">
        <v>224.0</v>
      </c>
      <c r="X536" s="137">
        <v>120.0</v>
      </c>
      <c r="Y536" s="137">
        <v>454.0</v>
      </c>
      <c r="Z536" s="137">
        <v>216.0</v>
      </c>
      <c r="AA536" s="137">
        <v>624.0</v>
      </c>
      <c r="AB536" s="137">
        <v>272.0</v>
      </c>
      <c r="AC536" s="137">
        <v>768.0</v>
      </c>
      <c r="AD536" s="137">
        <v>348.0</v>
      </c>
      <c r="AE536" s="137">
        <v>810.0</v>
      </c>
      <c r="AF536" s="137">
        <v>412.0</v>
      </c>
      <c r="AG536" s="137">
        <v>656.0</v>
      </c>
      <c r="AH536" s="137">
        <v>386.0</v>
      </c>
      <c r="AI536" s="137">
        <v>596.0</v>
      </c>
      <c r="AJ536" s="137">
        <v>304.0</v>
      </c>
      <c r="AK536" s="137">
        <v>514.0</v>
      </c>
      <c r="AL536" s="137">
        <v>368.0</v>
      </c>
      <c r="AM536" s="137">
        <v>576.0</v>
      </c>
      <c r="AN536" s="134">
        <v>7488.0</v>
      </c>
    </row>
    <row r="537">
      <c r="A537" s="104"/>
      <c r="B537" s="136" t="s">
        <v>201</v>
      </c>
      <c r="C537" s="134">
        <v>1136.0</v>
      </c>
      <c r="D537" s="137">
        <v>464.0</v>
      </c>
      <c r="E537" s="137">
        <v>672.0</v>
      </c>
      <c r="F537" s="135">
        <v>0.0</v>
      </c>
      <c r="G537" s="135">
        <v>0.0</v>
      </c>
      <c r="H537" s="135">
        <v>0.0</v>
      </c>
      <c r="I537" s="135">
        <v>0.0</v>
      </c>
      <c r="J537" s="135">
        <v>0.0</v>
      </c>
      <c r="K537" s="135">
        <v>0.0</v>
      </c>
      <c r="L537" s="137">
        <v>0.0</v>
      </c>
      <c r="M537" s="137">
        <v>0.0</v>
      </c>
      <c r="N537" s="137">
        <v>0.0</v>
      </c>
      <c r="O537" s="137">
        <v>0.0</v>
      </c>
      <c r="P537" s="137">
        <v>0.0</v>
      </c>
      <c r="Q537" s="137">
        <v>6.0</v>
      </c>
      <c r="R537" s="137">
        <v>6.0</v>
      </c>
      <c r="S537" s="137">
        <v>6.0</v>
      </c>
      <c r="T537" s="137">
        <v>20.0</v>
      </c>
      <c r="U537" s="137">
        <v>26.0</v>
      </c>
      <c r="V537" s="137">
        <v>34.0</v>
      </c>
      <c r="W537" s="137">
        <v>24.0</v>
      </c>
      <c r="X537" s="137">
        <v>20.0</v>
      </c>
      <c r="Y537" s="137">
        <v>46.0</v>
      </c>
      <c r="Z537" s="137">
        <v>52.0</v>
      </c>
      <c r="AA537" s="137">
        <v>82.0</v>
      </c>
      <c r="AB537" s="137">
        <v>48.0</v>
      </c>
      <c r="AC537" s="137">
        <v>86.0</v>
      </c>
      <c r="AD537" s="137">
        <v>42.0</v>
      </c>
      <c r="AE537" s="137">
        <v>102.0</v>
      </c>
      <c r="AF537" s="137">
        <v>96.0</v>
      </c>
      <c r="AG537" s="137">
        <v>84.0</v>
      </c>
      <c r="AH537" s="137">
        <v>58.0</v>
      </c>
      <c r="AI537" s="137">
        <v>86.0</v>
      </c>
      <c r="AJ537" s="137">
        <v>32.0</v>
      </c>
      <c r="AK537" s="137">
        <v>52.0</v>
      </c>
      <c r="AL537" s="137">
        <v>56.0</v>
      </c>
      <c r="AM537" s="137">
        <v>72.0</v>
      </c>
      <c r="AN537" s="134">
        <v>1130.0</v>
      </c>
    </row>
    <row r="538">
      <c r="A538" s="132" t="s">
        <v>202</v>
      </c>
      <c r="B538" s="136" t="s">
        <v>198</v>
      </c>
      <c r="C538" s="137">
        <v>100.0</v>
      </c>
      <c r="D538" s="137">
        <v>38.0</v>
      </c>
      <c r="E538" s="137">
        <v>62.0</v>
      </c>
      <c r="F538" s="137">
        <v>2.0</v>
      </c>
      <c r="G538" s="137">
        <v>0.0</v>
      </c>
      <c r="H538" s="137">
        <v>0.0</v>
      </c>
      <c r="I538" s="137">
        <v>0.0</v>
      </c>
      <c r="J538" s="137">
        <v>2.0</v>
      </c>
      <c r="K538" s="137">
        <v>2.0</v>
      </c>
      <c r="L538" s="137">
        <v>0.0</v>
      </c>
      <c r="M538" s="137">
        <v>0.0</v>
      </c>
      <c r="N538" s="137">
        <v>0.0</v>
      </c>
      <c r="O538" s="137">
        <v>12.0</v>
      </c>
      <c r="P538" s="137">
        <v>6.0</v>
      </c>
      <c r="Q538" s="137">
        <v>0.0</v>
      </c>
      <c r="R538" s="137">
        <v>0.0</v>
      </c>
      <c r="S538" s="137">
        <v>6.0</v>
      </c>
      <c r="T538" s="137">
        <v>2.0</v>
      </c>
      <c r="U538" s="137">
        <v>0.0</v>
      </c>
      <c r="V538" s="137">
        <v>12.0</v>
      </c>
      <c r="W538" s="137">
        <v>0.0</v>
      </c>
      <c r="X538" s="137">
        <v>4.0</v>
      </c>
      <c r="Y538" s="137">
        <v>0.0</v>
      </c>
      <c r="Z538" s="137">
        <v>2.0</v>
      </c>
      <c r="AA538" s="137">
        <v>2.0</v>
      </c>
      <c r="AB538" s="137">
        <v>4.0</v>
      </c>
      <c r="AC538" s="137">
        <v>4.0</v>
      </c>
      <c r="AD538" s="137">
        <v>2.0</v>
      </c>
      <c r="AE538" s="137">
        <v>12.0</v>
      </c>
      <c r="AF538" s="137">
        <v>2.0</v>
      </c>
      <c r="AG538" s="137">
        <v>8.0</v>
      </c>
      <c r="AH538" s="137">
        <v>0.0</v>
      </c>
      <c r="AI538" s="137">
        <v>4.0</v>
      </c>
      <c r="AJ538" s="137">
        <v>0.0</v>
      </c>
      <c r="AK538" s="137">
        <v>12.0</v>
      </c>
      <c r="AL538" s="137">
        <v>0.0</v>
      </c>
      <c r="AM538" s="137">
        <v>0.0</v>
      </c>
      <c r="AN538" s="137">
        <v>88.0</v>
      </c>
    </row>
    <row r="539">
      <c r="A539" s="104"/>
      <c r="B539" s="136" t="s">
        <v>199</v>
      </c>
      <c r="C539" s="137">
        <v>8.0</v>
      </c>
      <c r="D539" s="137">
        <v>6.0</v>
      </c>
      <c r="E539" s="137">
        <v>2.0</v>
      </c>
      <c r="F539" s="137">
        <v>0.0</v>
      </c>
      <c r="G539" s="137">
        <v>0.0</v>
      </c>
      <c r="H539" s="137">
        <v>0.0</v>
      </c>
      <c r="I539" s="137">
        <v>0.0</v>
      </c>
      <c r="J539" s="137">
        <v>0.0</v>
      </c>
      <c r="K539" s="137">
        <v>0.0</v>
      </c>
      <c r="L539" s="137">
        <v>0.0</v>
      </c>
      <c r="M539" s="137">
        <v>0.0</v>
      </c>
      <c r="N539" s="137">
        <v>0.0</v>
      </c>
      <c r="O539" s="137">
        <v>0.0</v>
      </c>
      <c r="P539" s="137">
        <v>0.0</v>
      </c>
      <c r="Q539" s="137">
        <v>0.0</v>
      </c>
      <c r="R539" s="137">
        <v>0.0</v>
      </c>
      <c r="S539" s="137">
        <v>0.0</v>
      </c>
      <c r="T539" s="137">
        <v>0.0</v>
      </c>
      <c r="U539" s="137">
        <v>0.0</v>
      </c>
      <c r="V539" s="137">
        <v>2.0</v>
      </c>
      <c r="W539" s="137">
        <v>0.0</v>
      </c>
      <c r="X539" s="137">
        <v>2.0</v>
      </c>
      <c r="Y539" s="137">
        <v>0.0</v>
      </c>
      <c r="Z539" s="137">
        <v>0.0</v>
      </c>
      <c r="AA539" s="137">
        <v>0.0</v>
      </c>
      <c r="AB539" s="137">
        <v>2.0</v>
      </c>
      <c r="AC539" s="137">
        <v>0.0</v>
      </c>
      <c r="AD539" s="137">
        <v>0.0</v>
      </c>
      <c r="AE539" s="137">
        <v>0.0</v>
      </c>
      <c r="AF539" s="137">
        <v>0.0</v>
      </c>
      <c r="AG539" s="137">
        <v>0.0</v>
      </c>
      <c r="AH539" s="137">
        <v>0.0</v>
      </c>
      <c r="AI539" s="137">
        <v>0.0</v>
      </c>
      <c r="AJ539" s="137">
        <v>0.0</v>
      </c>
      <c r="AK539" s="137">
        <v>2.0</v>
      </c>
      <c r="AL539" s="137">
        <v>0.0</v>
      </c>
      <c r="AM539" s="137">
        <v>0.0</v>
      </c>
      <c r="AN539" s="137">
        <v>8.0</v>
      </c>
    </row>
    <row r="540">
      <c r="A540" s="132" t="s">
        <v>203</v>
      </c>
      <c r="B540" s="136" t="s">
        <v>198</v>
      </c>
      <c r="C540" s="137">
        <v>0.0</v>
      </c>
      <c r="D540" s="137">
        <v>0.0</v>
      </c>
      <c r="E540" s="137">
        <v>0.0</v>
      </c>
      <c r="F540" s="135">
        <v>0.0</v>
      </c>
      <c r="G540" s="135">
        <v>0.0</v>
      </c>
      <c r="H540" s="135">
        <v>0.0</v>
      </c>
      <c r="I540" s="135">
        <v>0.0</v>
      </c>
      <c r="J540" s="135">
        <v>0.0</v>
      </c>
      <c r="K540" s="135">
        <v>0.0</v>
      </c>
      <c r="L540" s="135">
        <v>0.0</v>
      </c>
      <c r="M540" s="135">
        <v>0.0</v>
      </c>
      <c r="N540" s="135">
        <v>0.0</v>
      </c>
      <c r="O540" s="135">
        <v>0.0</v>
      </c>
      <c r="P540" s="135">
        <v>0.0</v>
      </c>
      <c r="Q540" s="135">
        <v>0.0</v>
      </c>
      <c r="R540" s="135">
        <v>0.0</v>
      </c>
      <c r="S540" s="135">
        <v>0.0</v>
      </c>
      <c r="T540" s="135">
        <v>0.0</v>
      </c>
      <c r="U540" s="135">
        <v>0.0</v>
      </c>
      <c r="V540" s="135">
        <v>0.0</v>
      </c>
      <c r="W540" s="135">
        <v>0.0</v>
      </c>
      <c r="X540" s="135">
        <v>0.0</v>
      </c>
      <c r="Y540" s="135">
        <v>0.0</v>
      </c>
      <c r="Z540" s="135">
        <v>0.0</v>
      </c>
      <c r="AA540" s="135">
        <v>0.0</v>
      </c>
      <c r="AB540" s="135">
        <v>0.0</v>
      </c>
      <c r="AC540" s="135">
        <v>0.0</v>
      </c>
      <c r="AD540" s="135">
        <v>0.0</v>
      </c>
      <c r="AE540" s="135">
        <v>0.0</v>
      </c>
      <c r="AF540" s="137">
        <v>0.0</v>
      </c>
      <c r="AG540" s="137">
        <v>0.0</v>
      </c>
      <c r="AH540" s="137">
        <v>0.0</v>
      </c>
      <c r="AI540" s="137">
        <v>0.0</v>
      </c>
      <c r="AJ540" s="137">
        <v>0.0</v>
      </c>
      <c r="AK540" s="137">
        <v>0.0</v>
      </c>
      <c r="AL540" s="137">
        <v>0.0</v>
      </c>
      <c r="AM540" s="137">
        <v>0.0</v>
      </c>
      <c r="AN540" s="137">
        <v>0.0</v>
      </c>
    </row>
    <row r="541">
      <c r="A541" s="104"/>
      <c r="B541" s="136" t="s">
        <v>199</v>
      </c>
      <c r="C541" s="137">
        <v>44.0</v>
      </c>
      <c r="D541" s="137">
        <v>28.0</v>
      </c>
      <c r="E541" s="137">
        <v>16.0</v>
      </c>
      <c r="F541" s="135">
        <v>0.0</v>
      </c>
      <c r="G541" s="135">
        <v>0.0</v>
      </c>
      <c r="H541" s="135">
        <v>0.0</v>
      </c>
      <c r="I541" s="135">
        <v>0.0</v>
      </c>
      <c r="J541" s="135">
        <v>0.0</v>
      </c>
      <c r="K541" s="135">
        <v>0.0</v>
      </c>
      <c r="L541" s="135">
        <v>0.0</v>
      </c>
      <c r="M541" s="135">
        <v>0.0</v>
      </c>
      <c r="N541" s="135">
        <v>0.0</v>
      </c>
      <c r="O541" s="135">
        <v>0.0</v>
      </c>
      <c r="P541" s="135">
        <v>0.0</v>
      </c>
      <c r="Q541" s="135">
        <v>0.0</v>
      </c>
      <c r="R541" s="135">
        <v>0.0</v>
      </c>
      <c r="S541" s="135">
        <v>0.0</v>
      </c>
      <c r="T541" s="135">
        <v>0.0</v>
      </c>
      <c r="U541" s="135">
        <v>0.0</v>
      </c>
      <c r="V541" s="135">
        <v>0.0</v>
      </c>
      <c r="W541" s="135">
        <v>0.0</v>
      </c>
      <c r="X541" s="135">
        <v>0.0</v>
      </c>
      <c r="Y541" s="135">
        <v>0.0</v>
      </c>
      <c r="Z541" s="135">
        <v>0.0</v>
      </c>
      <c r="AA541" s="135">
        <v>0.0</v>
      </c>
      <c r="AB541" s="135">
        <v>0.0</v>
      </c>
      <c r="AC541" s="135">
        <v>0.0</v>
      </c>
      <c r="AD541" s="135">
        <v>0.0</v>
      </c>
      <c r="AE541" s="135">
        <v>0.0</v>
      </c>
      <c r="AF541" s="137">
        <v>6.0</v>
      </c>
      <c r="AG541" s="137">
        <v>4.0</v>
      </c>
      <c r="AH541" s="137">
        <v>10.0</v>
      </c>
      <c r="AI541" s="137">
        <v>8.0</v>
      </c>
      <c r="AJ541" s="137">
        <v>6.0</v>
      </c>
      <c r="AK541" s="137">
        <v>2.0</v>
      </c>
      <c r="AL541" s="137">
        <v>6.0</v>
      </c>
      <c r="AM541" s="137">
        <v>2.0</v>
      </c>
      <c r="AN541" s="137">
        <v>44.0</v>
      </c>
    </row>
    <row r="542">
      <c r="A542" s="132" t="s">
        <v>204</v>
      </c>
      <c r="B542" s="136" t="s">
        <v>198</v>
      </c>
      <c r="C542" s="137">
        <v>14.0</v>
      </c>
      <c r="D542" s="137">
        <v>10.0</v>
      </c>
      <c r="E542" s="137">
        <v>4.0</v>
      </c>
      <c r="F542" s="135">
        <v>0.0</v>
      </c>
      <c r="G542" s="135">
        <v>0.0</v>
      </c>
      <c r="H542" s="135">
        <v>0.0</v>
      </c>
      <c r="I542" s="135">
        <v>0.0</v>
      </c>
      <c r="J542" s="135">
        <v>0.0</v>
      </c>
      <c r="K542" s="135">
        <v>0.0</v>
      </c>
      <c r="L542" s="135">
        <v>0.0</v>
      </c>
      <c r="M542" s="135">
        <v>0.0</v>
      </c>
      <c r="N542" s="135">
        <v>0.0</v>
      </c>
      <c r="O542" s="135">
        <v>0.0</v>
      </c>
      <c r="P542" s="135">
        <v>0.0</v>
      </c>
      <c r="Q542" s="135">
        <v>0.0</v>
      </c>
      <c r="R542" s="135">
        <v>0.0</v>
      </c>
      <c r="S542" s="135">
        <v>0.0</v>
      </c>
      <c r="T542" s="135">
        <v>0.0</v>
      </c>
      <c r="U542" s="135">
        <v>0.0</v>
      </c>
      <c r="V542" s="135">
        <v>0.0</v>
      </c>
      <c r="W542" s="135">
        <v>0.0</v>
      </c>
      <c r="X542" s="135">
        <v>0.0</v>
      </c>
      <c r="Y542" s="135">
        <v>0.0</v>
      </c>
      <c r="Z542" s="135">
        <v>0.0</v>
      </c>
      <c r="AA542" s="135">
        <v>0.0</v>
      </c>
      <c r="AB542" s="135">
        <v>0.0</v>
      </c>
      <c r="AC542" s="135">
        <v>0.0</v>
      </c>
      <c r="AD542" s="135">
        <v>0.0</v>
      </c>
      <c r="AE542" s="135">
        <v>0.0</v>
      </c>
      <c r="AF542" s="137">
        <v>0.0</v>
      </c>
      <c r="AG542" s="137">
        <v>0.0</v>
      </c>
      <c r="AH542" s="137">
        <v>4.0</v>
      </c>
      <c r="AI542" s="137">
        <v>0.0</v>
      </c>
      <c r="AJ542" s="137">
        <v>4.0</v>
      </c>
      <c r="AK542" s="137">
        <v>0.0</v>
      </c>
      <c r="AL542" s="137">
        <v>2.0</v>
      </c>
      <c r="AM542" s="137">
        <v>4.0</v>
      </c>
      <c r="AN542" s="137">
        <v>14.0</v>
      </c>
    </row>
    <row r="543">
      <c r="A543" s="104"/>
      <c r="B543" s="136" t="s">
        <v>199</v>
      </c>
      <c r="C543" s="137">
        <v>58.0</v>
      </c>
      <c r="D543" s="137">
        <v>16.0</v>
      </c>
      <c r="E543" s="137">
        <v>42.0</v>
      </c>
      <c r="F543" s="135">
        <v>0.0</v>
      </c>
      <c r="G543" s="135">
        <v>0.0</v>
      </c>
      <c r="H543" s="135">
        <v>0.0</v>
      </c>
      <c r="I543" s="135">
        <v>0.0</v>
      </c>
      <c r="J543" s="135">
        <v>0.0</v>
      </c>
      <c r="K543" s="135">
        <v>0.0</v>
      </c>
      <c r="L543" s="135">
        <v>0.0</v>
      </c>
      <c r="M543" s="135">
        <v>0.0</v>
      </c>
      <c r="N543" s="135">
        <v>0.0</v>
      </c>
      <c r="O543" s="135">
        <v>0.0</v>
      </c>
      <c r="P543" s="135">
        <v>0.0</v>
      </c>
      <c r="Q543" s="135">
        <v>0.0</v>
      </c>
      <c r="R543" s="135">
        <v>0.0</v>
      </c>
      <c r="S543" s="135">
        <v>0.0</v>
      </c>
      <c r="T543" s="135">
        <v>0.0</v>
      </c>
      <c r="U543" s="135">
        <v>0.0</v>
      </c>
      <c r="V543" s="135">
        <v>0.0</v>
      </c>
      <c r="W543" s="135">
        <v>0.0</v>
      </c>
      <c r="X543" s="135">
        <v>0.0</v>
      </c>
      <c r="Y543" s="135">
        <v>0.0</v>
      </c>
      <c r="Z543" s="135">
        <v>0.0</v>
      </c>
      <c r="AA543" s="135">
        <v>0.0</v>
      </c>
      <c r="AB543" s="135">
        <v>0.0</v>
      </c>
      <c r="AC543" s="135">
        <v>0.0</v>
      </c>
      <c r="AD543" s="135">
        <v>0.0</v>
      </c>
      <c r="AE543" s="135">
        <v>0.0</v>
      </c>
      <c r="AF543" s="137">
        <v>0.0</v>
      </c>
      <c r="AG543" s="137">
        <v>6.0</v>
      </c>
      <c r="AH543" s="137">
        <v>6.0</v>
      </c>
      <c r="AI543" s="137">
        <v>16.0</v>
      </c>
      <c r="AJ543" s="137">
        <v>4.0</v>
      </c>
      <c r="AK543" s="137">
        <v>2.0</v>
      </c>
      <c r="AL543" s="137">
        <v>6.0</v>
      </c>
      <c r="AM543" s="137">
        <v>18.0</v>
      </c>
      <c r="AN543" s="137">
        <v>56.0</v>
      </c>
    </row>
    <row r="544">
      <c r="A544" s="132" t="s">
        <v>205</v>
      </c>
      <c r="B544" s="136" t="s">
        <v>198</v>
      </c>
      <c r="C544" s="137">
        <v>20.0</v>
      </c>
      <c r="D544" s="137">
        <v>8.0</v>
      </c>
      <c r="E544" s="137">
        <v>12.0</v>
      </c>
      <c r="F544" s="137">
        <v>0.0</v>
      </c>
      <c r="G544" s="137">
        <v>0.0</v>
      </c>
      <c r="H544" s="137">
        <v>0.0</v>
      </c>
      <c r="I544" s="137">
        <v>0.0</v>
      </c>
      <c r="J544" s="137">
        <v>0.0</v>
      </c>
      <c r="K544" s="137">
        <v>0.0</v>
      </c>
      <c r="L544" s="137">
        <v>0.0</v>
      </c>
      <c r="M544" s="137">
        <v>0.0</v>
      </c>
      <c r="N544" s="137">
        <v>0.0</v>
      </c>
      <c r="O544" s="137">
        <v>0.0</v>
      </c>
      <c r="P544" s="137">
        <v>0.0</v>
      </c>
      <c r="Q544" s="137">
        <v>0.0</v>
      </c>
      <c r="R544" s="137">
        <v>0.0</v>
      </c>
      <c r="S544" s="137">
        <v>0.0</v>
      </c>
      <c r="T544" s="137">
        <v>0.0</v>
      </c>
      <c r="U544" s="137">
        <v>0.0</v>
      </c>
      <c r="V544" s="137">
        <v>0.0</v>
      </c>
      <c r="W544" s="137">
        <v>2.0</v>
      </c>
      <c r="X544" s="137">
        <v>0.0</v>
      </c>
      <c r="Y544" s="137">
        <v>2.0</v>
      </c>
      <c r="Z544" s="137">
        <v>0.0</v>
      </c>
      <c r="AA544" s="137">
        <v>0.0</v>
      </c>
      <c r="AB544" s="137">
        <v>0.0</v>
      </c>
      <c r="AC544" s="137">
        <v>0.0</v>
      </c>
      <c r="AD544" s="137">
        <v>0.0</v>
      </c>
      <c r="AE544" s="137">
        <v>0.0</v>
      </c>
      <c r="AF544" s="137">
        <v>0.0</v>
      </c>
      <c r="AG544" s="137">
        <v>2.0</v>
      </c>
      <c r="AH544" s="137">
        <v>2.0</v>
      </c>
      <c r="AI544" s="137">
        <v>2.0</v>
      </c>
      <c r="AJ544" s="137">
        <v>0.0</v>
      </c>
      <c r="AK544" s="137">
        <v>4.0</v>
      </c>
      <c r="AL544" s="137">
        <v>6.0</v>
      </c>
      <c r="AM544" s="137">
        <v>0.0</v>
      </c>
      <c r="AN544" s="137">
        <v>20.0</v>
      </c>
    </row>
    <row r="545">
      <c r="A545" s="98"/>
      <c r="B545" s="136" t="s">
        <v>199</v>
      </c>
      <c r="C545" s="137">
        <v>0.0</v>
      </c>
      <c r="D545" s="137">
        <v>0.0</v>
      </c>
      <c r="E545" s="137">
        <v>0.0</v>
      </c>
      <c r="F545" s="137">
        <v>0.0</v>
      </c>
      <c r="G545" s="137">
        <v>0.0</v>
      </c>
      <c r="H545" s="137">
        <v>0.0</v>
      </c>
      <c r="I545" s="137">
        <v>0.0</v>
      </c>
      <c r="J545" s="137">
        <v>0.0</v>
      </c>
      <c r="K545" s="137">
        <v>0.0</v>
      </c>
      <c r="L545" s="137">
        <v>0.0</v>
      </c>
      <c r="M545" s="137">
        <v>0.0</v>
      </c>
      <c r="N545" s="137">
        <v>0.0</v>
      </c>
      <c r="O545" s="137">
        <v>0.0</v>
      </c>
      <c r="P545" s="137">
        <v>0.0</v>
      </c>
      <c r="Q545" s="137">
        <v>0.0</v>
      </c>
      <c r="R545" s="137">
        <v>0.0</v>
      </c>
      <c r="S545" s="137">
        <v>0.0</v>
      </c>
      <c r="T545" s="137">
        <v>0.0</v>
      </c>
      <c r="U545" s="137">
        <v>0.0</v>
      </c>
      <c r="V545" s="137">
        <v>0.0</v>
      </c>
      <c r="W545" s="137">
        <v>0.0</v>
      </c>
      <c r="X545" s="137">
        <v>0.0</v>
      </c>
      <c r="Y545" s="137">
        <v>0.0</v>
      </c>
      <c r="Z545" s="137">
        <v>0.0</v>
      </c>
      <c r="AA545" s="137">
        <v>0.0</v>
      </c>
      <c r="AB545" s="137">
        <v>0.0</v>
      </c>
      <c r="AC545" s="137">
        <v>0.0</v>
      </c>
      <c r="AD545" s="137">
        <v>0.0</v>
      </c>
      <c r="AE545" s="137">
        <v>0.0</v>
      </c>
      <c r="AF545" s="137">
        <v>0.0</v>
      </c>
      <c r="AG545" s="137">
        <v>0.0</v>
      </c>
      <c r="AH545" s="137">
        <v>0.0</v>
      </c>
      <c r="AI545" s="137">
        <v>0.0</v>
      </c>
      <c r="AJ545" s="137">
        <v>0.0</v>
      </c>
      <c r="AK545" s="137">
        <v>0.0</v>
      </c>
      <c r="AL545" s="137">
        <v>0.0</v>
      </c>
      <c r="AM545" s="137">
        <v>0.0</v>
      </c>
      <c r="AN545" s="137">
        <v>0.0</v>
      </c>
    </row>
    <row r="546">
      <c r="A546" s="104"/>
      <c r="B546" s="136" t="s">
        <v>206</v>
      </c>
      <c r="C546" s="137">
        <v>122.0</v>
      </c>
      <c r="D546" s="137">
        <v>20.0</v>
      </c>
      <c r="E546" s="137">
        <v>102.0</v>
      </c>
      <c r="F546" s="137">
        <v>0.0</v>
      </c>
      <c r="G546" s="137">
        <v>0.0</v>
      </c>
      <c r="H546" s="137">
        <v>0.0</v>
      </c>
      <c r="I546" s="137">
        <v>0.0</v>
      </c>
      <c r="J546" s="137">
        <v>0.0</v>
      </c>
      <c r="K546" s="137">
        <v>0.0</v>
      </c>
      <c r="L546" s="137">
        <v>2.0</v>
      </c>
      <c r="M546" s="137">
        <v>10.0</v>
      </c>
      <c r="N546" s="137">
        <v>2.0</v>
      </c>
      <c r="O546" s="137">
        <v>52.0</v>
      </c>
      <c r="P546" s="137">
        <v>0.0</v>
      </c>
      <c r="Q546" s="137">
        <v>8.0</v>
      </c>
      <c r="R546" s="137">
        <v>2.0</v>
      </c>
      <c r="S546" s="137">
        <v>10.0</v>
      </c>
      <c r="T546" s="137">
        <v>2.0</v>
      </c>
      <c r="U546" s="137">
        <v>10.0</v>
      </c>
      <c r="V546" s="137">
        <v>0.0</v>
      </c>
      <c r="W546" s="137">
        <v>4.0</v>
      </c>
      <c r="X546" s="137">
        <v>6.0</v>
      </c>
      <c r="Y546" s="137">
        <v>0.0</v>
      </c>
      <c r="Z546" s="137">
        <v>4.0</v>
      </c>
      <c r="AA546" s="137">
        <v>8.0</v>
      </c>
      <c r="AB546" s="137">
        <v>0.0</v>
      </c>
      <c r="AC546" s="137">
        <v>0.0</v>
      </c>
      <c r="AD546" s="137">
        <v>2.0</v>
      </c>
      <c r="AE546" s="137">
        <v>0.0</v>
      </c>
      <c r="AF546" s="137">
        <v>0.0</v>
      </c>
      <c r="AG546" s="137">
        <v>0.0</v>
      </c>
      <c r="AH546" s="137">
        <v>0.0</v>
      </c>
      <c r="AI546" s="137">
        <v>0.0</v>
      </c>
      <c r="AJ546" s="137">
        <v>0.0</v>
      </c>
      <c r="AK546" s="137">
        <v>0.0</v>
      </c>
      <c r="AL546" s="137">
        <v>0.0</v>
      </c>
      <c r="AM546" s="137">
        <v>0.0</v>
      </c>
      <c r="AN546" s="137">
        <v>92.0</v>
      </c>
    </row>
    <row r="547">
      <c r="A547" s="132" t="s">
        <v>207</v>
      </c>
      <c r="B547" s="136" t="s">
        <v>198</v>
      </c>
      <c r="C547" s="134">
        <v>10036.0</v>
      </c>
      <c r="D547" s="134">
        <v>3512.0</v>
      </c>
      <c r="E547" s="134">
        <v>6524.0</v>
      </c>
      <c r="F547" s="137">
        <v>160.0</v>
      </c>
      <c r="G547" s="137">
        <v>136.0</v>
      </c>
      <c r="H547" s="137">
        <v>92.0</v>
      </c>
      <c r="I547" s="137">
        <v>90.0</v>
      </c>
      <c r="J547" s="137">
        <v>96.0</v>
      </c>
      <c r="K547" s="137">
        <v>68.0</v>
      </c>
      <c r="L547" s="137">
        <v>110.0</v>
      </c>
      <c r="M547" s="137">
        <v>110.0</v>
      </c>
      <c r="N547" s="137">
        <v>62.0</v>
      </c>
      <c r="O547" s="137">
        <v>142.0</v>
      </c>
      <c r="P547" s="137">
        <v>96.0</v>
      </c>
      <c r="Q547" s="137">
        <v>194.0</v>
      </c>
      <c r="R547" s="137">
        <v>66.0</v>
      </c>
      <c r="S547" s="137">
        <v>242.0</v>
      </c>
      <c r="T547" s="137">
        <v>140.0</v>
      </c>
      <c r="U547" s="137">
        <v>242.0</v>
      </c>
      <c r="V547" s="137">
        <v>150.0</v>
      </c>
      <c r="W547" s="137">
        <v>322.0</v>
      </c>
      <c r="X547" s="137">
        <v>208.0</v>
      </c>
      <c r="Y547" s="137">
        <v>506.0</v>
      </c>
      <c r="Z547" s="137">
        <v>250.0</v>
      </c>
      <c r="AA547" s="137">
        <v>630.0</v>
      </c>
      <c r="AB547" s="137">
        <v>338.0</v>
      </c>
      <c r="AC547" s="137">
        <v>782.0</v>
      </c>
      <c r="AD547" s="137">
        <v>298.0</v>
      </c>
      <c r="AE547" s="137">
        <v>672.0</v>
      </c>
      <c r="AF547" s="137">
        <v>318.0</v>
      </c>
      <c r="AG547" s="137">
        <v>546.0</v>
      </c>
      <c r="AH547" s="137">
        <v>308.0</v>
      </c>
      <c r="AI547" s="137">
        <v>606.0</v>
      </c>
      <c r="AJ547" s="137">
        <v>316.0</v>
      </c>
      <c r="AK547" s="137">
        <v>478.0</v>
      </c>
      <c r="AL547" s="137">
        <v>490.0</v>
      </c>
      <c r="AM547" s="137">
        <v>772.0</v>
      </c>
      <c r="AN547" s="134">
        <v>9486.0</v>
      </c>
    </row>
    <row r="548">
      <c r="A548" s="98"/>
      <c r="B548" s="136" t="s">
        <v>199</v>
      </c>
      <c r="C548" s="137">
        <v>832.0</v>
      </c>
      <c r="D548" s="137">
        <v>258.0</v>
      </c>
      <c r="E548" s="137">
        <v>574.0</v>
      </c>
      <c r="F548" s="137">
        <v>4.0</v>
      </c>
      <c r="G548" s="137">
        <v>2.0</v>
      </c>
      <c r="H548" s="137">
        <v>2.0</v>
      </c>
      <c r="I548" s="137">
        <v>4.0</v>
      </c>
      <c r="J548" s="137">
        <v>8.0</v>
      </c>
      <c r="K548" s="137">
        <v>4.0</v>
      </c>
      <c r="L548" s="137">
        <v>0.0</v>
      </c>
      <c r="M548" s="137">
        <v>0.0</v>
      </c>
      <c r="N548" s="137">
        <v>2.0</v>
      </c>
      <c r="O548" s="137">
        <v>8.0</v>
      </c>
      <c r="P548" s="137">
        <v>0.0</v>
      </c>
      <c r="Q548" s="137">
        <v>4.0</v>
      </c>
      <c r="R548" s="137">
        <v>0.0</v>
      </c>
      <c r="S548" s="137">
        <v>22.0</v>
      </c>
      <c r="T548" s="137">
        <v>4.0</v>
      </c>
      <c r="U548" s="137">
        <v>4.0</v>
      </c>
      <c r="V548" s="137">
        <v>4.0</v>
      </c>
      <c r="W548" s="137">
        <v>30.0</v>
      </c>
      <c r="X548" s="137">
        <v>4.0</v>
      </c>
      <c r="Y548" s="137">
        <v>48.0</v>
      </c>
      <c r="Z548" s="137">
        <v>8.0</v>
      </c>
      <c r="AA548" s="137">
        <v>30.0</v>
      </c>
      <c r="AB548" s="137">
        <v>16.0</v>
      </c>
      <c r="AC548" s="137">
        <v>62.0</v>
      </c>
      <c r="AD548" s="137">
        <v>24.0</v>
      </c>
      <c r="AE548" s="137">
        <v>56.0</v>
      </c>
      <c r="AF548" s="137">
        <v>46.0</v>
      </c>
      <c r="AG548" s="137">
        <v>86.0</v>
      </c>
      <c r="AH548" s="137">
        <v>46.0</v>
      </c>
      <c r="AI548" s="137">
        <v>80.0</v>
      </c>
      <c r="AJ548" s="137">
        <v>50.0</v>
      </c>
      <c r="AK548" s="137">
        <v>60.0</v>
      </c>
      <c r="AL548" s="137">
        <v>40.0</v>
      </c>
      <c r="AM548" s="137">
        <v>74.0</v>
      </c>
      <c r="AN548" s="137">
        <v>808.0</v>
      </c>
    </row>
    <row r="549">
      <c r="A549" s="98"/>
      <c r="B549" s="136" t="s">
        <v>206</v>
      </c>
      <c r="C549" s="137">
        <v>406.0</v>
      </c>
      <c r="D549" s="137">
        <v>58.0</v>
      </c>
      <c r="E549" s="137">
        <v>348.0</v>
      </c>
      <c r="F549" s="137">
        <v>18.0</v>
      </c>
      <c r="G549" s="137">
        <v>38.0</v>
      </c>
      <c r="H549" s="137">
        <v>2.0</v>
      </c>
      <c r="I549" s="137">
        <v>8.0</v>
      </c>
      <c r="J549" s="137">
        <v>4.0</v>
      </c>
      <c r="K549" s="137">
        <v>4.0</v>
      </c>
      <c r="L549" s="137">
        <v>4.0</v>
      </c>
      <c r="M549" s="137">
        <v>20.0</v>
      </c>
      <c r="N549" s="137">
        <v>2.0</v>
      </c>
      <c r="O549" s="137">
        <v>18.0</v>
      </c>
      <c r="P549" s="137">
        <v>10.0</v>
      </c>
      <c r="Q549" s="137">
        <v>66.0</v>
      </c>
      <c r="R549" s="137">
        <v>2.0</v>
      </c>
      <c r="S549" s="137">
        <v>16.0</v>
      </c>
      <c r="T549" s="137">
        <v>0.0</v>
      </c>
      <c r="U549" s="137">
        <v>28.0</v>
      </c>
      <c r="V549" s="137">
        <v>4.0</v>
      </c>
      <c r="W549" s="137">
        <v>16.0</v>
      </c>
      <c r="X549" s="137">
        <v>0.0</v>
      </c>
      <c r="Y549" s="137">
        <v>24.0</v>
      </c>
      <c r="Z549" s="137">
        <v>2.0</v>
      </c>
      <c r="AA549" s="137">
        <v>38.0</v>
      </c>
      <c r="AB549" s="137">
        <v>0.0</v>
      </c>
      <c r="AC549" s="137">
        <v>22.0</v>
      </c>
      <c r="AD549" s="137">
        <v>0.0</v>
      </c>
      <c r="AE549" s="137">
        <v>10.0</v>
      </c>
      <c r="AF549" s="137">
        <v>0.0</v>
      </c>
      <c r="AG549" s="137">
        <v>12.0</v>
      </c>
      <c r="AH549" s="137">
        <v>2.0</v>
      </c>
      <c r="AI549" s="137">
        <v>6.0</v>
      </c>
      <c r="AJ549" s="137">
        <v>0.0</v>
      </c>
      <c r="AK549" s="137">
        <v>0.0</v>
      </c>
      <c r="AL549" s="137">
        <v>8.0</v>
      </c>
      <c r="AM549" s="137">
        <v>22.0</v>
      </c>
      <c r="AN549" s="137">
        <v>364.0</v>
      </c>
    </row>
    <row r="550">
      <c r="A550" s="98"/>
      <c r="B550" s="136" t="s">
        <v>200</v>
      </c>
      <c r="C550" s="137">
        <v>374.0</v>
      </c>
      <c r="D550" s="137">
        <v>116.0</v>
      </c>
      <c r="E550" s="137">
        <v>258.0</v>
      </c>
      <c r="F550" s="137">
        <v>64.0</v>
      </c>
      <c r="G550" s="137">
        <v>70.0</v>
      </c>
      <c r="H550" s="137">
        <v>2.0</v>
      </c>
      <c r="I550" s="137">
        <v>2.0</v>
      </c>
      <c r="J550" s="137">
        <v>4.0</v>
      </c>
      <c r="K550" s="137">
        <v>0.0</v>
      </c>
      <c r="L550" s="137">
        <v>0.0</v>
      </c>
      <c r="M550" s="137">
        <v>8.0</v>
      </c>
      <c r="N550" s="137">
        <v>0.0</v>
      </c>
      <c r="O550" s="137">
        <v>22.0</v>
      </c>
      <c r="P550" s="137">
        <v>2.0</v>
      </c>
      <c r="Q550" s="137">
        <v>22.0</v>
      </c>
      <c r="R550" s="137">
        <v>0.0</v>
      </c>
      <c r="S550" s="137">
        <v>12.0</v>
      </c>
      <c r="T550" s="137">
        <v>2.0</v>
      </c>
      <c r="U550" s="137">
        <v>16.0</v>
      </c>
      <c r="V550" s="137">
        <v>6.0</v>
      </c>
      <c r="W550" s="137">
        <v>10.0</v>
      </c>
      <c r="X550" s="137">
        <v>0.0</v>
      </c>
      <c r="Y550" s="137">
        <v>16.0</v>
      </c>
      <c r="Z550" s="137">
        <v>6.0</v>
      </c>
      <c r="AA550" s="137">
        <v>16.0</v>
      </c>
      <c r="AB550" s="137">
        <v>2.0</v>
      </c>
      <c r="AC550" s="137">
        <v>8.0</v>
      </c>
      <c r="AD550" s="137">
        <v>12.0</v>
      </c>
      <c r="AE550" s="137">
        <v>16.0</v>
      </c>
      <c r="AF550" s="137">
        <v>2.0</v>
      </c>
      <c r="AG550" s="137">
        <v>18.0</v>
      </c>
      <c r="AH550" s="137">
        <v>8.0</v>
      </c>
      <c r="AI550" s="137">
        <v>12.0</v>
      </c>
      <c r="AJ550" s="137">
        <v>2.0</v>
      </c>
      <c r="AK550" s="137">
        <v>4.0</v>
      </c>
      <c r="AL550" s="137">
        <v>4.0</v>
      </c>
      <c r="AM550" s="137">
        <v>6.0</v>
      </c>
      <c r="AN550" s="137">
        <v>370.0</v>
      </c>
    </row>
    <row r="551">
      <c r="A551" s="104"/>
      <c r="B551" s="136" t="s">
        <v>201</v>
      </c>
      <c r="C551" s="134">
        <v>11870.0</v>
      </c>
      <c r="D551" s="134">
        <v>4044.0</v>
      </c>
      <c r="E551" s="134">
        <v>7826.0</v>
      </c>
      <c r="F551" s="137">
        <v>84.0</v>
      </c>
      <c r="G551" s="137">
        <v>72.0</v>
      </c>
      <c r="H551" s="137">
        <v>54.0</v>
      </c>
      <c r="I551" s="137">
        <v>72.0</v>
      </c>
      <c r="J551" s="137">
        <v>130.0</v>
      </c>
      <c r="K551" s="137">
        <v>98.0</v>
      </c>
      <c r="L551" s="137">
        <v>290.0</v>
      </c>
      <c r="M551" s="134">
        <v>1120.0</v>
      </c>
      <c r="N551" s="137">
        <v>212.0</v>
      </c>
      <c r="O551" s="134">
        <v>1006.0</v>
      </c>
      <c r="P551" s="137">
        <v>176.0</v>
      </c>
      <c r="Q551" s="134">
        <v>1218.0</v>
      </c>
      <c r="R551" s="137">
        <v>228.0</v>
      </c>
      <c r="S551" s="137">
        <v>868.0</v>
      </c>
      <c r="T551" s="137">
        <v>246.0</v>
      </c>
      <c r="U551" s="137">
        <v>764.0</v>
      </c>
      <c r="V551" s="137">
        <v>190.0</v>
      </c>
      <c r="W551" s="137">
        <v>512.0</v>
      </c>
      <c r="X551" s="137">
        <v>176.0</v>
      </c>
      <c r="Y551" s="137">
        <v>326.0</v>
      </c>
      <c r="Z551" s="137">
        <v>236.0</v>
      </c>
      <c r="AA551" s="137">
        <v>250.0</v>
      </c>
      <c r="AB551" s="137">
        <v>346.0</v>
      </c>
      <c r="AC551" s="137">
        <v>256.0</v>
      </c>
      <c r="AD551" s="137">
        <v>288.0</v>
      </c>
      <c r="AE551" s="137">
        <v>228.0</v>
      </c>
      <c r="AF551" s="137">
        <v>424.0</v>
      </c>
      <c r="AG551" s="137">
        <v>212.0</v>
      </c>
      <c r="AH551" s="137">
        <v>432.0</v>
      </c>
      <c r="AI551" s="137">
        <v>348.0</v>
      </c>
      <c r="AJ551" s="137">
        <v>262.0</v>
      </c>
      <c r="AK551" s="137">
        <v>192.0</v>
      </c>
      <c r="AL551" s="137">
        <v>270.0</v>
      </c>
      <c r="AM551" s="137">
        <v>284.0</v>
      </c>
      <c r="AN551" s="134">
        <v>10634.0</v>
      </c>
    </row>
    <row r="552">
      <c r="A552" s="132" t="s">
        <v>208</v>
      </c>
      <c r="B552" s="136" t="s">
        <v>198</v>
      </c>
      <c r="C552" s="137">
        <v>4.0</v>
      </c>
      <c r="D552" s="137">
        <v>2.0</v>
      </c>
      <c r="E552" s="137">
        <v>2.0</v>
      </c>
      <c r="F552" s="137">
        <v>2.0</v>
      </c>
      <c r="G552" s="137">
        <v>2.0</v>
      </c>
      <c r="H552" s="137">
        <v>0.0</v>
      </c>
      <c r="I552" s="137">
        <v>0.0</v>
      </c>
      <c r="J552" s="137">
        <v>0.0</v>
      </c>
      <c r="K552" s="137">
        <v>0.0</v>
      </c>
      <c r="L552" s="137">
        <v>0.0</v>
      </c>
      <c r="M552" s="137">
        <v>0.0</v>
      </c>
      <c r="N552" s="137">
        <v>0.0</v>
      </c>
      <c r="O552" s="137">
        <v>0.0</v>
      </c>
      <c r="P552" s="135">
        <v>0.0</v>
      </c>
      <c r="Q552" s="135">
        <v>0.0</v>
      </c>
      <c r="R552" s="135">
        <v>0.0</v>
      </c>
      <c r="S552" s="135">
        <v>0.0</v>
      </c>
      <c r="T552" s="135">
        <v>0.0</v>
      </c>
      <c r="U552" s="135">
        <v>0.0</v>
      </c>
      <c r="V552" s="135">
        <v>0.0</v>
      </c>
      <c r="W552" s="135">
        <v>0.0</v>
      </c>
      <c r="X552" s="135">
        <v>0.0</v>
      </c>
      <c r="Y552" s="135">
        <v>0.0</v>
      </c>
      <c r="Z552" s="135">
        <v>0.0</v>
      </c>
      <c r="AA552" s="135">
        <v>0.0</v>
      </c>
      <c r="AB552" s="135">
        <v>0.0</v>
      </c>
      <c r="AC552" s="135">
        <v>0.0</v>
      </c>
      <c r="AD552" s="135">
        <v>0.0</v>
      </c>
      <c r="AE552" s="135">
        <v>0.0</v>
      </c>
      <c r="AF552" s="135">
        <v>0.0</v>
      </c>
      <c r="AG552" s="135">
        <v>0.0</v>
      </c>
      <c r="AH552" s="135">
        <v>0.0</v>
      </c>
      <c r="AI552" s="135">
        <v>0.0</v>
      </c>
      <c r="AJ552" s="135">
        <v>0.0</v>
      </c>
      <c r="AK552" s="135">
        <v>0.0</v>
      </c>
      <c r="AL552" s="135">
        <v>0.0</v>
      </c>
      <c r="AM552" s="135">
        <v>0.0</v>
      </c>
      <c r="AN552" s="137">
        <v>4.0</v>
      </c>
    </row>
    <row r="553">
      <c r="A553" s="98"/>
      <c r="B553" s="136" t="s">
        <v>199</v>
      </c>
      <c r="C553" s="137">
        <v>10.0</v>
      </c>
      <c r="D553" s="137">
        <v>4.0</v>
      </c>
      <c r="E553" s="137">
        <v>6.0</v>
      </c>
      <c r="F553" s="137">
        <v>2.0</v>
      </c>
      <c r="G553" s="137">
        <v>4.0</v>
      </c>
      <c r="H553" s="137">
        <v>2.0</v>
      </c>
      <c r="I553" s="137">
        <v>2.0</v>
      </c>
      <c r="J553" s="137">
        <v>0.0</v>
      </c>
      <c r="K553" s="137">
        <v>0.0</v>
      </c>
      <c r="L553" s="137">
        <v>0.0</v>
      </c>
      <c r="M553" s="137">
        <v>0.0</v>
      </c>
      <c r="N553" s="137">
        <v>0.0</v>
      </c>
      <c r="O553" s="137">
        <v>0.0</v>
      </c>
      <c r="P553" s="135">
        <v>0.0</v>
      </c>
      <c r="Q553" s="135">
        <v>0.0</v>
      </c>
      <c r="R553" s="135">
        <v>0.0</v>
      </c>
      <c r="S553" s="135">
        <v>0.0</v>
      </c>
      <c r="T553" s="135">
        <v>0.0</v>
      </c>
      <c r="U553" s="135">
        <v>0.0</v>
      </c>
      <c r="V553" s="135">
        <v>0.0</v>
      </c>
      <c r="W553" s="135">
        <v>0.0</v>
      </c>
      <c r="X553" s="135">
        <v>0.0</v>
      </c>
      <c r="Y553" s="135">
        <v>0.0</v>
      </c>
      <c r="Z553" s="135">
        <v>0.0</v>
      </c>
      <c r="AA553" s="135">
        <v>0.0</v>
      </c>
      <c r="AB553" s="135">
        <v>0.0</v>
      </c>
      <c r="AC553" s="135">
        <v>0.0</v>
      </c>
      <c r="AD553" s="135">
        <v>0.0</v>
      </c>
      <c r="AE553" s="135">
        <v>0.0</v>
      </c>
      <c r="AF553" s="135">
        <v>0.0</v>
      </c>
      <c r="AG553" s="135">
        <v>0.0</v>
      </c>
      <c r="AH553" s="135">
        <v>0.0</v>
      </c>
      <c r="AI553" s="135">
        <v>0.0</v>
      </c>
      <c r="AJ553" s="135">
        <v>0.0</v>
      </c>
      <c r="AK553" s="135">
        <v>0.0</v>
      </c>
      <c r="AL553" s="135">
        <v>0.0</v>
      </c>
      <c r="AM553" s="135">
        <v>0.0</v>
      </c>
      <c r="AN553" s="137">
        <v>6.0</v>
      </c>
    </row>
    <row r="554">
      <c r="A554" s="98"/>
      <c r="B554" s="136" t="s">
        <v>206</v>
      </c>
      <c r="C554" s="137">
        <v>0.0</v>
      </c>
      <c r="D554" s="137">
        <v>0.0</v>
      </c>
      <c r="E554" s="137">
        <v>0.0</v>
      </c>
      <c r="F554" s="137">
        <v>0.0</v>
      </c>
      <c r="G554" s="137">
        <v>0.0</v>
      </c>
      <c r="H554" s="137">
        <v>0.0</v>
      </c>
      <c r="I554" s="137">
        <v>0.0</v>
      </c>
      <c r="J554" s="137">
        <v>0.0</v>
      </c>
      <c r="K554" s="137">
        <v>0.0</v>
      </c>
      <c r="L554" s="137">
        <v>0.0</v>
      </c>
      <c r="M554" s="137">
        <v>0.0</v>
      </c>
      <c r="N554" s="137">
        <v>0.0</v>
      </c>
      <c r="O554" s="137">
        <v>0.0</v>
      </c>
      <c r="P554" s="135">
        <v>0.0</v>
      </c>
      <c r="Q554" s="135">
        <v>0.0</v>
      </c>
      <c r="R554" s="135">
        <v>0.0</v>
      </c>
      <c r="S554" s="135">
        <v>0.0</v>
      </c>
      <c r="T554" s="135">
        <v>0.0</v>
      </c>
      <c r="U554" s="135">
        <v>0.0</v>
      </c>
      <c r="V554" s="135">
        <v>0.0</v>
      </c>
      <c r="W554" s="135">
        <v>0.0</v>
      </c>
      <c r="X554" s="135">
        <v>0.0</v>
      </c>
      <c r="Y554" s="135">
        <v>0.0</v>
      </c>
      <c r="Z554" s="135">
        <v>0.0</v>
      </c>
      <c r="AA554" s="135">
        <v>0.0</v>
      </c>
      <c r="AB554" s="135">
        <v>0.0</v>
      </c>
      <c r="AC554" s="135">
        <v>0.0</v>
      </c>
      <c r="AD554" s="135">
        <v>0.0</v>
      </c>
      <c r="AE554" s="135">
        <v>0.0</v>
      </c>
      <c r="AF554" s="135">
        <v>0.0</v>
      </c>
      <c r="AG554" s="135">
        <v>0.0</v>
      </c>
      <c r="AH554" s="135">
        <v>0.0</v>
      </c>
      <c r="AI554" s="135">
        <v>0.0</v>
      </c>
      <c r="AJ554" s="135">
        <v>0.0</v>
      </c>
      <c r="AK554" s="135">
        <v>0.0</v>
      </c>
      <c r="AL554" s="135">
        <v>0.0</v>
      </c>
      <c r="AM554" s="135">
        <v>0.0</v>
      </c>
      <c r="AN554" s="137">
        <v>0.0</v>
      </c>
    </row>
    <row r="555">
      <c r="A555" s="98"/>
      <c r="B555" s="136" t="s">
        <v>200</v>
      </c>
      <c r="C555" s="137">
        <v>0.0</v>
      </c>
      <c r="D555" s="137">
        <v>0.0</v>
      </c>
      <c r="E555" s="137">
        <v>0.0</v>
      </c>
      <c r="F555" s="137">
        <v>0.0</v>
      </c>
      <c r="G555" s="137">
        <v>0.0</v>
      </c>
      <c r="H555" s="137">
        <v>0.0</v>
      </c>
      <c r="I555" s="137">
        <v>0.0</v>
      </c>
      <c r="J555" s="137">
        <v>0.0</v>
      </c>
      <c r="K555" s="137">
        <v>0.0</v>
      </c>
      <c r="L555" s="137">
        <v>0.0</v>
      </c>
      <c r="M555" s="137">
        <v>0.0</v>
      </c>
      <c r="N555" s="137">
        <v>0.0</v>
      </c>
      <c r="O555" s="137">
        <v>0.0</v>
      </c>
      <c r="P555" s="135">
        <v>0.0</v>
      </c>
      <c r="Q555" s="135">
        <v>0.0</v>
      </c>
      <c r="R555" s="135">
        <v>0.0</v>
      </c>
      <c r="S555" s="135">
        <v>0.0</v>
      </c>
      <c r="T555" s="135">
        <v>0.0</v>
      </c>
      <c r="U555" s="135">
        <v>0.0</v>
      </c>
      <c r="V555" s="135">
        <v>0.0</v>
      </c>
      <c r="W555" s="135">
        <v>0.0</v>
      </c>
      <c r="X555" s="135">
        <v>0.0</v>
      </c>
      <c r="Y555" s="135">
        <v>0.0</v>
      </c>
      <c r="Z555" s="135">
        <v>0.0</v>
      </c>
      <c r="AA555" s="135">
        <v>0.0</v>
      </c>
      <c r="AB555" s="135">
        <v>0.0</v>
      </c>
      <c r="AC555" s="135">
        <v>0.0</v>
      </c>
      <c r="AD555" s="135">
        <v>0.0</v>
      </c>
      <c r="AE555" s="135">
        <v>0.0</v>
      </c>
      <c r="AF555" s="135">
        <v>0.0</v>
      </c>
      <c r="AG555" s="135">
        <v>0.0</v>
      </c>
      <c r="AH555" s="135">
        <v>0.0</v>
      </c>
      <c r="AI555" s="135">
        <v>0.0</v>
      </c>
      <c r="AJ555" s="135">
        <v>0.0</v>
      </c>
      <c r="AK555" s="135">
        <v>0.0</v>
      </c>
      <c r="AL555" s="135">
        <v>0.0</v>
      </c>
      <c r="AM555" s="135">
        <v>0.0</v>
      </c>
      <c r="AN555" s="137">
        <v>0.0</v>
      </c>
    </row>
    <row r="556">
      <c r="A556" s="104"/>
      <c r="B556" s="136" t="s">
        <v>201</v>
      </c>
      <c r="C556" s="137">
        <v>0.0</v>
      </c>
      <c r="D556" s="137">
        <v>0.0</v>
      </c>
      <c r="E556" s="137">
        <v>0.0</v>
      </c>
      <c r="F556" s="137">
        <v>0.0</v>
      </c>
      <c r="G556" s="137">
        <v>0.0</v>
      </c>
      <c r="H556" s="137">
        <v>0.0</v>
      </c>
      <c r="I556" s="137">
        <v>0.0</v>
      </c>
      <c r="J556" s="137">
        <v>0.0</v>
      </c>
      <c r="K556" s="137">
        <v>0.0</v>
      </c>
      <c r="L556" s="137">
        <v>0.0</v>
      </c>
      <c r="M556" s="137">
        <v>0.0</v>
      </c>
      <c r="N556" s="137">
        <v>0.0</v>
      </c>
      <c r="O556" s="137">
        <v>0.0</v>
      </c>
      <c r="P556" s="135">
        <v>0.0</v>
      </c>
      <c r="Q556" s="135">
        <v>0.0</v>
      </c>
      <c r="R556" s="135">
        <v>0.0</v>
      </c>
      <c r="S556" s="135">
        <v>0.0</v>
      </c>
      <c r="T556" s="135">
        <v>0.0</v>
      </c>
      <c r="U556" s="135">
        <v>0.0</v>
      </c>
      <c r="V556" s="135">
        <v>0.0</v>
      </c>
      <c r="W556" s="135">
        <v>0.0</v>
      </c>
      <c r="X556" s="135">
        <v>0.0</v>
      </c>
      <c r="Y556" s="135">
        <v>0.0</v>
      </c>
      <c r="Z556" s="135">
        <v>0.0</v>
      </c>
      <c r="AA556" s="135">
        <v>0.0</v>
      </c>
      <c r="AB556" s="135">
        <v>0.0</v>
      </c>
      <c r="AC556" s="135">
        <v>0.0</v>
      </c>
      <c r="AD556" s="135">
        <v>0.0</v>
      </c>
      <c r="AE556" s="135">
        <v>0.0</v>
      </c>
      <c r="AF556" s="135">
        <v>0.0</v>
      </c>
      <c r="AG556" s="135">
        <v>0.0</v>
      </c>
      <c r="AH556" s="135">
        <v>0.0</v>
      </c>
      <c r="AI556" s="135">
        <v>0.0</v>
      </c>
      <c r="AJ556" s="135">
        <v>0.0</v>
      </c>
      <c r="AK556" s="135">
        <v>0.0</v>
      </c>
      <c r="AL556" s="135">
        <v>0.0</v>
      </c>
      <c r="AM556" s="135">
        <v>0.0</v>
      </c>
      <c r="AN556" s="137">
        <v>0.0</v>
      </c>
    </row>
    <row r="557">
      <c r="A557" s="138" t="s">
        <v>262</v>
      </c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</row>
    <row r="558">
      <c r="A558" s="132" t="s">
        <v>197</v>
      </c>
      <c r="B558" s="133" t="s">
        <v>198</v>
      </c>
      <c r="C558" s="134">
        <v>122202.0</v>
      </c>
      <c r="D558" s="134">
        <v>46168.0</v>
      </c>
      <c r="E558" s="134">
        <v>76034.0</v>
      </c>
      <c r="F558" s="135">
        <v>0.0</v>
      </c>
      <c r="G558" s="135">
        <v>0.0</v>
      </c>
      <c r="H558" s="135">
        <v>0.0</v>
      </c>
      <c r="I558" s="135">
        <v>0.0</v>
      </c>
      <c r="J558" s="135">
        <v>0.0</v>
      </c>
      <c r="K558" s="135">
        <v>0.0</v>
      </c>
      <c r="L558" s="137">
        <v>82.0</v>
      </c>
      <c r="M558" s="137">
        <v>170.0</v>
      </c>
      <c r="N558" s="137">
        <v>118.0</v>
      </c>
      <c r="O558" s="137">
        <v>250.0</v>
      </c>
      <c r="P558" s="137">
        <v>178.0</v>
      </c>
      <c r="Q558" s="137">
        <v>488.0</v>
      </c>
      <c r="R558" s="137">
        <v>460.0</v>
      </c>
      <c r="S558" s="137">
        <v>956.0</v>
      </c>
      <c r="T558" s="137">
        <v>774.0</v>
      </c>
      <c r="U558" s="134">
        <v>1642.0</v>
      </c>
      <c r="V558" s="134">
        <v>1392.0</v>
      </c>
      <c r="W558" s="134">
        <v>3048.0</v>
      </c>
      <c r="X558" s="134">
        <v>2658.0</v>
      </c>
      <c r="Y558" s="134">
        <v>5122.0</v>
      </c>
      <c r="Z558" s="134">
        <v>4058.0</v>
      </c>
      <c r="AA558" s="134">
        <v>7988.0</v>
      </c>
      <c r="AB558" s="134">
        <v>5430.0</v>
      </c>
      <c r="AC558" s="134">
        <v>9798.0</v>
      </c>
      <c r="AD558" s="134">
        <v>6514.0</v>
      </c>
      <c r="AE558" s="134">
        <v>10352.0</v>
      </c>
      <c r="AF558" s="134">
        <v>6634.0</v>
      </c>
      <c r="AG558" s="134">
        <v>9998.0</v>
      </c>
      <c r="AH558" s="134">
        <v>6414.0</v>
      </c>
      <c r="AI558" s="134">
        <v>9158.0</v>
      </c>
      <c r="AJ558" s="134">
        <v>5138.0</v>
      </c>
      <c r="AK558" s="134">
        <v>7562.0</v>
      </c>
      <c r="AL558" s="134">
        <v>6368.0</v>
      </c>
      <c r="AM558" s="134">
        <v>9568.0</v>
      </c>
      <c r="AN558" s="134">
        <v>121884.0</v>
      </c>
    </row>
    <row r="559">
      <c r="A559" s="98"/>
      <c r="B559" s="136" t="s">
        <v>199</v>
      </c>
      <c r="C559" s="134">
        <v>62294.0</v>
      </c>
      <c r="D559" s="134">
        <v>22716.0</v>
      </c>
      <c r="E559" s="134">
        <v>39578.0</v>
      </c>
      <c r="F559" s="135">
        <v>0.0</v>
      </c>
      <c r="G559" s="135">
        <v>0.0</v>
      </c>
      <c r="H559" s="135">
        <v>0.0</v>
      </c>
      <c r="I559" s="135">
        <v>0.0</v>
      </c>
      <c r="J559" s="135">
        <v>0.0</v>
      </c>
      <c r="K559" s="135">
        <v>0.0</v>
      </c>
      <c r="L559" s="137">
        <v>18.0</v>
      </c>
      <c r="M559" s="137">
        <v>36.0</v>
      </c>
      <c r="N559" s="137">
        <v>34.0</v>
      </c>
      <c r="O559" s="137">
        <v>72.0</v>
      </c>
      <c r="P559" s="137">
        <v>72.0</v>
      </c>
      <c r="Q559" s="137">
        <v>192.0</v>
      </c>
      <c r="R559" s="137">
        <v>186.0</v>
      </c>
      <c r="S559" s="137">
        <v>368.0</v>
      </c>
      <c r="T559" s="137">
        <v>266.0</v>
      </c>
      <c r="U559" s="137">
        <v>670.0</v>
      </c>
      <c r="V559" s="137">
        <v>604.0</v>
      </c>
      <c r="W559" s="134">
        <v>1318.0</v>
      </c>
      <c r="X559" s="134">
        <v>1008.0</v>
      </c>
      <c r="Y559" s="134">
        <v>2428.0</v>
      </c>
      <c r="Z559" s="134">
        <v>1796.0</v>
      </c>
      <c r="AA559" s="134">
        <v>3852.0</v>
      </c>
      <c r="AB559" s="134">
        <v>2726.0</v>
      </c>
      <c r="AC559" s="134">
        <v>4948.0</v>
      </c>
      <c r="AD559" s="134">
        <v>2882.0</v>
      </c>
      <c r="AE559" s="134">
        <v>5244.0</v>
      </c>
      <c r="AF559" s="134">
        <v>3654.0</v>
      </c>
      <c r="AG559" s="134">
        <v>5458.0</v>
      </c>
      <c r="AH559" s="134">
        <v>3474.0</v>
      </c>
      <c r="AI559" s="134">
        <v>5196.0</v>
      </c>
      <c r="AJ559" s="134">
        <v>2872.0</v>
      </c>
      <c r="AK559" s="134">
        <v>4388.0</v>
      </c>
      <c r="AL559" s="134">
        <v>3124.0</v>
      </c>
      <c r="AM559" s="134">
        <v>5408.0</v>
      </c>
      <c r="AN559" s="134">
        <v>62086.0</v>
      </c>
    </row>
    <row r="560">
      <c r="A560" s="98"/>
      <c r="B560" s="136" t="s">
        <v>200</v>
      </c>
      <c r="C560" s="134">
        <v>35160.0</v>
      </c>
      <c r="D560" s="134">
        <v>12106.0</v>
      </c>
      <c r="E560" s="134">
        <v>23054.0</v>
      </c>
      <c r="F560" s="135">
        <v>0.0</v>
      </c>
      <c r="G560" s="135">
        <v>0.0</v>
      </c>
      <c r="H560" s="135">
        <v>0.0</v>
      </c>
      <c r="I560" s="135">
        <v>0.0</v>
      </c>
      <c r="J560" s="135">
        <v>0.0</v>
      </c>
      <c r="K560" s="135">
        <v>0.0</v>
      </c>
      <c r="L560" s="137">
        <v>20.0</v>
      </c>
      <c r="M560" s="137">
        <v>78.0</v>
      </c>
      <c r="N560" s="137">
        <v>58.0</v>
      </c>
      <c r="O560" s="137">
        <v>102.0</v>
      </c>
      <c r="P560" s="137">
        <v>74.0</v>
      </c>
      <c r="Q560" s="137">
        <v>222.0</v>
      </c>
      <c r="R560" s="137">
        <v>150.0</v>
      </c>
      <c r="S560" s="137">
        <v>358.0</v>
      </c>
      <c r="T560" s="137">
        <v>230.0</v>
      </c>
      <c r="U560" s="137">
        <v>642.0</v>
      </c>
      <c r="V560" s="137">
        <v>378.0</v>
      </c>
      <c r="W560" s="134">
        <v>1120.0</v>
      </c>
      <c r="X560" s="137">
        <v>724.0</v>
      </c>
      <c r="Y560" s="134">
        <v>1626.0</v>
      </c>
      <c r="Z560" s="134">
        <v>1100.0</v>
      </c>
      <c r="AA560" s="134">
        <v>2494.0</v>
      </c>
      <c r="AB560" s="134">
        <v>1508.0</v>
      </c>
      <c r="AC560" s="134">
        <v>3096.0</v>
      </c>
      <c r="AD560" s="134">
        <v>1744.0</v>
      </c>
      <c r="AE560" s="134">
        <v>3174.0</v>
      </c>
      <c r="AF560" s="134">
        <v>1776.0</v>
      </c>
      <c r="AG560" s="134">
        <v>3014.0</v>
      </c>
      <c r="AH560" s="134">
        <v>1788.0</v>
      </c>
      <c r="AI560" s="134">
        <v>2780.0</v>
      </c>
      <c r="AJ560" s="134">
        <v>1240.0</v>
      </c>
      <c r="AK560" s="134">
        <v>2104.0</v>
      </c>
      <c r="AL560" s="134">
        <v>1324.0</v>
      </c>
      <c r="AM560" s="134">
        <v>2256.0</v>
      </c>
      <c r="AN560" s="134">
        <v>34842.0</v>
      </c>
    </row>
    <row r="561">
      <c r="A561" s="104"/>
      <c r="B561" s="136" t="s">
        <v>201</v>
      </c>
      <c r="C561" s="134">
        <v>4536.0</v>
      </c>
      <c r="D561" s="134">
        <v>1938.0</v>
      </c>
      <c r="E561" s="134">
        <v>2598.0</v>
      </c>
      <c r="F561" s="135">
        <v>0.0</v>
      </c>
      <c r="G561" s="135">
        <v>0.0</v>
      </c>
      <c r="H561" s="135">
        <v>0.0</v>
      </c>
      <c r="I561" s="135">
        <v>0.0</v>
      </c>
      <c r="J561" s="135">
        <v>0.0</v>
      </c>
      <c r="K561" s="135">
        <v>0.0</v>
      </c>
      <c r="L561" s="137">
        <v>22.0</v>
      </c>
      <c r="M561" s="137">
        <v>16.0</v>
      </c>
      <c r="N561" s="137">
        <v>22.0</v>
      </c>
      <c r="O561" s="137">
        <v>16.0</v>
      </c>
      <c r="P561" s="137">
        <v>26.0</v>
      </c>
      <c r="Q561" s="137">
        <v>42.0</v>
      </c>
      <c r="R561" s="137">
        <v>50.0</v>
      </c>
      <c r="S561" s="137">
        <v>62.0</v>
      </c>
      <c r="T561" s="137">
        <v>52.0</v>
      </c>
      <c r="U561" s="137">
        <v>76.0</v>
      </c>
      <c r="V561" s="137">
        <v>62.0</v>
      </c>
      <c r="W561" s="137">
        <v>92.0</v>
      </c>
      <c r="X561" s="137">
        <v>98.0</v>
      </c>
      <c r="Y561" s="137">
        <v>184.0</v>
      </c>
      <c r="Z561" s="137">
        <v>130.0</v>
      </c>
      <c r="AA561" s="137">
        <v>252.0</v>
      </c>
      <c r="AB561" s="137">
        <v>202.0</v>
      </c>
      <c r="AC561" s="137">
        <v>240.0</v>
      </c>
      <c r="AD561" s="137">
        <v>218.0</v>
      </c>
      <c r="AE561" s="137">
        <v>298.0</v>
      </c>
      <c r="AF561" s="137">
        <v>252.0</v>
      </c>
      <c r="AG561" s="137">
        <v>288.0</v>
      </c>
      <c r="AH561" s="137">
        <v>282.0</v>
      </c>
      <c r="AI561" s="137">
        <v>268.0</v>
      </c>
      <c r="AJ561" s="137">
        <v>236.0</v>
      </c>
      <c r="AK561" s="137">
        <v>272.0</v>
      </c>
      <c r="AL561" s="137">
        <v>294.0</v>
      </c>
      <c r="AM561" s="137">
        <v>496.0</v>
      </c>
      <c r="AN561" s="134">
        <v>4546.0</v>
      </c>
    </row>
    <row r="562">
      <c r="A562" s="132" t="s">
        <v>202</v>
      </c>
      <c r="B562" s="136" t="s">
        <v>198</v>
      </c>
      <c r="C562" s="137">
        <v>282.0</v>
      </c>
      <c r="D562" s="137">
        <v>162.0</v>
      </c>
      <c r="E562" s="137">
        <v>120.0</v>
      </c>
      <c r="F562" s="137">
        <v>0.0</v>
      </c>
      <c r="G562" s="137">
        <v>0.0</v>
      </c>
      <c r="H562" s="137">
        <v>0.0</v>
      </c>
      <c r="I562" s="137">
        <v>0.0</v>
      </c>
      <c r="J562" s="137">
        <v>2.0</v>
      </c>
      <c r="K562" s="137">
        <v>4.0</v>
      </c>
      <c r="L562" s="137">
        <v>2.0</v>
      </c>
      <c r="M562" s="137">
        <v>2.0</v>
      </c>
      <c r="N562" s="137">
        <v>14.0</v>
      </c>
      <c r="O562" s="137">
        <v>6.0</v>
      </c>
      <c r="P562" s="137">
        <v>2.0</v>
      </c>
      <c r="Q562" s="137">
        <v>4.0</v>
      </c>
      <c r="R562" s="137">
        <v>4.0</v>
      </c>
      <c r="S562" s="137">
        <v>6.0</v>
      </c>
      <c r="T562" s="137">
        <v>10.0</v>
      </c>
      <c r="U562" s="137">
        <v>8.0</v>
      </c>
      <c r="V562" s="137">
        <v>4.0</v>
      </c>
      <c r="W562" s="137">
        <v>4.0</v>
      </c>
      <c r="X562" s="137">
        <v>16.0</v>
      </c>
      <c r="Y562" s="137">
        <v>14.0</v>
      </c>
      <c r="Z562" s="137">
        <v>18.0</v>
      </c>
      <c r="AA562" s="137">
        <v>12.0</v>
      </c>
      <c r="AB562" s="137">
        <v>16.0</v>
      </c>
      <c r="AC562" s="137">
        <v>6.0</v>
      </c>
      <c r="AD562" s="137">
        <v>26.0</v>
      </c>
      <c r="AE562" s="137">
        <v>24.0</v>
      </c>
      <c r="AF562" s="137">
        <v>10.0</v>
      </c>
      <c r="AG562" s="137">
        <v>14.0</v>
      </c>
      <c r="AH562" s="137">
        <v>18.0</v>
      </c>
      <c r="AI562" s="137">
        <v>2.0</v>
      </c>
      <c r="AJ562" s="137">
        <v>6.0</v>
      </c>
      <c r="AK562" s="137">
        <v>6.0</v>
      </c>
      <c r="AL562" s="137">
        <v>14.0</v>
      </c>
      <c r="AM562" s="137">
        <v>8.0</v>
      </c>
      <c r="AN562" s="137">
        <v>280.0</v>
      </c>
    </row>
    <row r="563">
      <c r="A563" s="104"/>
      <c r="B563" s="136" t="s">
        <v>199</v>
      </c>
      <c r="C563" s="137">
        <v>430.0</v>
      </c>
      <c r="D563" s="137">
        <v>122.0</v>
      </c>
      <c r="E563" s="137">
        <v>308.0</v>
      </c>
      <c r="F563" s="137">
        <v>2.0</v>
      </c>
      <c r="G563" s="137">
        <v>0.0</v>
      </c>
      <c r="H563" s="137">
        <v>2.0</v>
      </c>
      <c r="I563" s="137">
        <v>6.0</v>
      </c>
      <c r="J563" s="137">
        <v>6.0</v>
      </c>
      <c r="K563" s="137">
        <v>0.0</v>
      </c>
      <c r="L563" s="137">
        <v>6.0</v>
      </c>
      <c r="M563" s="137">
        <v>12.0</v>
      </c>
      <c r="N563" s="137">
        <v>10.0</v>
      </c>
      <c r="O563" s="137">
        <v>94.0</v>
      </c>
      <c r="P563" s="137">
        <v>8.0</v>
      </c>
      <c r="Q563" s="137">
        <v>2.0</v>
      </c>
      <c r="R563" s="137">
        <v>6.0</v>
      </c>
      <c r="S563" s="137">
        <v>0.0</v>
      </c>
      <c r="T563" s="137">
        <v>4.0</v>
      </c>
      <c r="U563" s="137">
        <v>6.0</v>
      </c>
      <c r="V563" s="137">
        <v>6.0</v>
      </c>
      <c r="W563" s="137">
        <v>0.0</v>
      </c>
      <c r="X563" s="137">
        <v>22.0</v>
      </c>
      <c r="Y563" s="137">
        <v>6.0</v>
      </c>
      <c r="Z563" s="137">
        <v>18.0</v>
      </c>
      <c r="AA563" s="137">
        <v>12.0</v>
      </c>
      <c r="AB563" s="137">
        <v>8.0</v>
      </c>
      <c r="AC563" s="137">
        <v>32.0</v>
      </c>
      <c r="AD563" s="137">
        <v>4.0</v>
      </c>
      <c r="AE563" s="137">
        <v>12.0</v>
      </c>
      <c r="AF563" s="137">
        <v>16.0</v>
      </c>
      <c r="AG563" s="137">
        <v>0.0</v>
      </c>
      <c r="AH563" s="137">
        <v>2.0</v>
      </c>
      <c r="AI563" s="137">
        <v>2.0</v>
      </c>
      <c r="AJ563" s="137">
        <v>0.0</v>
      </c>
      <c r="AK563" s="137">
        <v>10.0</v>
      </c>
      <c r="AL563" s="137">
        <v>2.0</v>
      </c>
      <c r="AM563" s="137">
        <v>114.0</v>
      </c>
      <c r="AN563" s="137">
        <v>428.0</v>
      </c>
    </row>
    <row r="564">
      <c r="A564" s="132" t="s">
        <v>203</v>
      </c>
      <c r="B564" s="136" t="s">
        <v>198</v>
      </c>
      <c r="C564" s="137">
        <v>648.0</v>
      </c>
      <c r="D564" s="137">
        <v>392.0</v>
      </c>
      <c r="E564" s="137">
        <v>256.0</v>
      </c>
      <c r="F564" s="135">
        <v>0.0</v>
      </c>
      <c r="G564" s="135">
        <v>0.0</v>
      </c>
      <c r="H564" s="135">
        <v>0.0</v>
      </c>
      <c r="I564" s="135">
        <v>0.0</v>
      </c>
      <c r="J564" s="135">
        <v>0.0</v>
      </c>
      <c r="K564" s="135">
        <v>0.0</v>
      </c>
      <c r="L564" s="135">
        <v>0.0</v>
      </c>
      <c r="M564" s="135">
        <v>0.0</v>
      </c>
      <c r="N564" s="135">
        <v>0.0</v>
      </c>
      <c r="O564" s="135">
        <v>0.0</v>
      </c>
      <c r="P564" s="135">
        <v>0.0</v>
      </c>
      <c r="Q564" s="135">
        <v>0.0</v>
      </c>
      <c r="R564" s="135">
        <v>0.0</v>
      </c>
      <c r="S564" s="135">
        <v>0.0</v>
      </c>
      <c r="T564" s="135">
        <v>0.0</v>
      </c>
      <c r="U564" s="135">
        <v>0.0</v>
      </c>
      <c r="V564" s="135">
        <v>0.0</v>
      </c>
      <c r="W564" s="135">
        <v>0.0</v>
      </c>
      <c r="X564" s="135">
        <v>0.0</v>
      </c>
      <c r="Y564" s="135">
        <v>0.0</v>
      </c>
      <c r="Z564" s="135">
        <v>0.0</v>
      </c>
      <c r="AA564" s="135">
        <v>0.0</v>
      </c>
      <c r="AB564" s="135">
        <v>0.0</v>
      </c>
      <c r="AC564" s="135">
        <v>0.0</v>
      </c>
      <c r="AD564" s="135">
        <v>0.0</v>
      </c>
      <c r="AE564" s="135">
        <v>0.0</v>
      </c>
      <c r="AF564" s="137">
        <v>54.0</v>
      </c>
      <c r="AG564" s="137">
        <v>48.0</v>
      </c>
      <c r="AH564" s="137">
        <v>102.0</v>
      </c>
      <c r="AI564" s="137">
        <v>60.0</v>
      </c>
      <c r="AJ564" s="137">
        <v>96.0</v>
      </c>
      <c r="AK564" s="137">
        <v>42.0</v>
      </c>
      <c r="AL564" s="137">
        <v>140.0</v>
      </c>
      <c r="AM564" s="137">
        <v>106.0</v>
      </c>
      <c r="AN564" s="137">
        <v>648.0</v>
      </c>
    </row>
    <row r="565">
      <c r="A565" s="104"/>
      <c r="B565" s="136" t="s">
        <v>199</v>
      </c>
      <c r="C565" s="137">
        <v>270.0</v>
      </c>
      <c r="D565" s="137">
        <v>98.0</v>
      </c>
      <c r="E565" s="137">
        <v>172.0</v>
      </c>
      <c r="F565" s="135">
        <v>0.0</v>
      </c>
      <c r="G565" s="135">
        <v>0.0</v>
      </c>
      <c r="H565" s="135">
        <v>0.0</v>
      </c>
      <c r="I565" s="135">
        <v>0.0</v>
      </c>
      <c r="J565" s="135">
        <v>0.0</v>
      </c>
      <c r="K565" s="135">
        <v>0.0</v>
      </c>
      <c r="L565" s="135">
        <v>0.0</v>
      </c>
      <c r="M565" s="135">
        <v>0.0</v>
      </c>
      <c r="N565" s="135">
        <v>0.0</v>
      </c>
      <c r="O565" s="135">
        <v>0.0</v>
      </c>
      <c r="P565" s="135">
        <v>0.0</v>
      </c>
      <c r="Q565" s="135">
        <v>0.0</v>
      </c>
      <c r="R565" s="135">
        <v>0.0</v>
      </c>
      <c r="S565" s="135">
        <v>0.0</v>
      </c>
      <c r="T565" s="135">
        <v>0.0</v>
      </c>
      <c r="U565" s="135">
        <v>0.0</v>
      </c>
      <c r="V565" s="135">
        <v>0.0</v>
      </c>
      <c r="W565" s="135">
        <v>0.0</v>
      </c>
      <c r="X565" s="135">
        <v>0.0</v>
      </c>
      <c r="Y565" s="135">
        <v>0.0</v>
      </c>
      <c r="Z565" s="135">
        <v>0.0</v>
      </c>
      <c r="AA565" s="135">
        <v>0.0</v>
      </c>
      <c r="AB565" s="135">
        <v>0.0</v>
      </c>
      <c r="AC565" s="135">
        <v>0.0</v>
      </c>
      <c r="AD565" s="135">
        <v>0.0</v>
      </c>
      <c r="AE565" s="135">
        <v>0.0</v>
      </c>
      <c r="AF565" s="137">
        <v>32.0</v>
      </c>
      <c r="AG565" s="137">
        <v>36.0</v>
      </c>
      <c r="AH565" s="137">
        <v>26.0</v>
      </c>
      <c r="AI565" s="137">
        <v>62.0</v>
      </c>
      <c r="AJ565" s="137">
        <v>16.0</v>
      </c>
      <c r="AK565" s="137">
        <v>44.0</v>
      </c>
      <c r="AL565" s="137">
        <v>24.0</v>
      </c>
      <c r="AM565" s="137">
        <v>30.0</v>
      </c>
      <c r="AN565" s="137">
        <v>270.0</v>
      </c>
    </row>
    <row r="566">
      <c r="A566" s="132" t="s">
        <v>204</v>
      </c>
      <c r="B566" s="136" t="s">
        <v>198</v>
      </c>
      <c r="C566" s="137">
        <v>88.0</v>
      </c>
      <c r="D566" s="137">
        <v>44.0</v>
      </c>
      <c r="E566" s="137">
        <v>44.0</v>
      </c>
      <c r="F566" s="135">
        <v>0.0</v>
      </c>
      <c r="G566" s="135">
        <v>0.0</v>
      </c>
      <c r="H566" s="135">
        <v>0.0</v>
      </c>
      <c r="I566" s="135">
        <v>0.0</v>
      </c>
      <c r="J566" s="135">
        <v>0.0</v>
      </c>
      <c r="K566" s="135">
        <v>0.0</v>
      </c>
      <c r="L566" s="135">
        <v>0.0</v>
      </c>
      <c r="M566" s="135">
        <v>0.0</v>
      </c>
      <c r="N566" s="135">
        <v>0.0</v>
      </c>
      <c r="O566" s="135">
        <v>0.0</v>
      </c>
      <c r="P566" s="135">
        <v>0.0</v>
      </c>
      <c r="Q566" s="135">
        <v>0.0</v>
      </c>
      <c r="R566" s="135">
        <v>0.0</v>
      </c>
      <c r="S566" s="135">
        <v>0.0</v>
      </c>
      <c r="T566" s="135">
        <v>0.0</v>
      </c>
      <c r="U566" s="135">
        <v>0.0</v>
      </c>
      <c r="V566" s="135">
        <v>0.0</v>
      </c>
      <c r="W566" s="135">
        <v>0.0</v>
      </c>
      <c r="X566" s="135">
        <v>0.0</v>
      </c>
      <c r="Y566" s="135">
        <v>0.0</v>
      </c>
      <c r="Z566" s="135">
        <v>0.0</v>
      </c>
      <c r="AA566" s="135">
        <v>0.0</v>
      </c>
      <c r="AB566" s="135">
        <v>0.0</v>
      </c>
      <c r="AC566" s="135">
        <v>0.0</v>
      </c>
      <c r="AD566" s="135">
        <v>0.0</v>
      </c>
      <c r="AE566" s="135">
        <v>0.0</v>
      </c>
      <c r="AF566" s="137">
        <v>10.0</v>
      </c>
      <c r="AG566" s="137">
        <v>2.0</v>
      </c>
      <c r="AH566" s="137">
        <v>4.0</v>
      </c>
      <c r="AI566" s="137">
        <v>10.0</v>
      </c>
      <c r="AJ566" s="137">
        <v>12.0</v>
      </c>
      <c r="AK566" s="137">
        <v>4.0</v>
      </c>
      <c r="AL566" s="137">
        <v>18.0</v>
      </c>
      <c r="AM566" s="137">
        <v>28.0</v>
      </c>
      <c r="AN566" s="137">
        <v>88.0</v>
      </c>
    </row>
    <row r="567">
      <c r="A567" s="104"/>
      <c r="B567" s="136" t="s">
        <v>199</v>
      </c>
      <c r="C567" s="137">
        <v>166.0</v>
      </c>
      <c r="D567" s="137">
        <v>62.0</v>
      </c>
      <c r="E567" s="137">
        <v>104.0</v>
      </c>
      <c r="F567" s="135">
        <v>0.0</v>
      </c>
      <c r="G567" s="135">
        <v>0.0</v>
      </c>
      <c r="H567" s="135">
        <v>0.0</v>
      </c>
      <c r="I567" s="135">
        <v>0.0</v>
      </c>
      <c r="J567" s="135">
        <v>0.0</v>
      </c>
      <c r="K567" s="135">
        <v>0.0</v>
      </c>
      <c r="L567" s="135">
        <v>0.0</v>
      </c>
      <c r="M567" s="135">
        <v>0.0</v>
      </c>
      <c r="N567" s="135">
        <v>0.0</v>
      </c>
      <c r="O567" s="135">
        <v>0.0</v>
      </c>
      <c r="P567" s="135">
        <v>0.0</v>
      </c>
      <c r="Q567" s="135">
        <v>0.0</v>
      </c>
      <c r="R567" s="135">
        <v>0.0</v>
      </c>
      <c r="S567" s="135">
        <v>0.0</v>
      </c>
      <c r="T567" s="135">
        <v>0.0</v>
      </c>
      <c r="U567" s="135">
        <v>0.0</v>
      </c>
      <c r="V567" s="135">
        <v>0.0</v>
      </c>
      <c r="W567" s="135">
        <v>0.0</v>
      </c>
      <c r="X567" s="135">
        <v>0.0</v>
      </c>
      <c r="Y567" s="135">
        <v>0.0</v>
      </c>
      <c r="Z567" s="135">
        <v>0.0</v>
      </c>
      <c r="AA567" s="135">
        <v>0.0</v>
      </c>
      <c r="AB567" s="135">
        <v>0.0</v>
      </c>
      <c r="AC567" s="135">
        <v>0.0</v>
      </c>
      <c r="AD567" s="135">
        <v>0.0</v>
      </c>
      <c r="AE567" s="135">
        <v>0.0</v>
      </c>
      <c r="AF567" s="137">
        <v>14.0</v>
      </c>
      <c r="AG567" s="137">
        <v>22.0</v>
      </c>
      <c r="AH567" s="137">
        <v>16.0</v>
      </c>
      <c r="AI567" s="137">
        <v>12.0</v>
      </c>
      <c r="AJ567" s="137">
        <v>12.0</v>
      </c>
      <c r="AK567" s="137">
        <v>24.0</v>
      </c>
      <c r="AL567" s="137">
        <v>20.0</v>
      </c>
      <c r="AM567" s="137">
        <v>46.0</v>
      </c>
      <c r="AN567" s="137">
        <v>166.0</v>
      </c>
    </row>
    <row r="568">
      <c r="A568" s="132" t="s">
        <v>205</v>
      </c>
      <c r="B568" s="136" t="s">
        <v>198</v>
      </c>
      <c r="C568" s="137">
        <v>166.0</v>
      </c>
      <c r="D568" s="137">
        <v>46.0</v>
      </c>
      <c r="E568" s="137">
        <v>120.0</v>
      </c>
      <c r="F568" s="137">
        <v>2.0</v>
      </c>
      <c r="G568" s="137">
        <v>6.0</v>
      </c>
      <c r="H568" s="137">
        <v>0.0</v>
      </c>
      <c r="I568" s="137">
        <v>0.0</v>
      </c>
      <c r="J568" s="137">
        <v>2.0</v>
      </c>
      <c r="K568" s="137">
        <v>0.0</v>
      </c>
      <c r="L568" s="137">
        <v>0.0</v>
      </c>
      <c r="M568" s="137">
        <v>0.0</v>
      </c>
      <c r="N568" s="137">
        <v>2.0</v>
      </c>
      <c r="O568" s="137">
        <v>0.0</v>
      </c>
      <c r="P568" s="137">
        <v>2.0</v>
      </c>
      <c r="Q568" s="137">
        <v>0.0</v>
      </c>
      <c r="R568" s="137">
        <v>2.0</v>
      </c>
      <c r="S568" s="137">
        <v>2.0</v>
      </c>
      <c r="T568" s="137">
        <v>0.0</v>
      </c>
      <c r="U568" s="137">
        <v>4.0</v>
      </c>
      <c r="V568" s="137">
        <v>0.0</v>
      </c>
      <c r="W568" s="137">
        <v>4.0</v>
      </c>
      <c r="X568" s="137">
        <v>2.0</v>
      </c>
      <c r="Y568" s="137">
        <v>8.0</v>
      </c>
      <c r="Z568" s="137">
        <v>4.0</v>
      </c>
      <c r="AA568" s="137">
        <v>22.0</v>
      </c>
      <c r="AB568" s="137">
        <v>4.0</v>
      </c>
      <c r="AC568" s="137">
        <v>20.0</v>
      </c>
      <c r="AD568" s="137">
        <v>2.0</v>
      </c>
      <c r="AE568" s="137">
        <v>12.0</v>
      </c>
      <c r="AF568" s="137">
        <v>2.0</v>
      </c>
      <c r="AG568" s="137">
        <v>10.0</v>
      </c>
      <c r="AH568" s="137">
        <v>6.0</v>
      </c>
      <c r="AI568" s="137">
        <v>8.0</v>
      </c>
      <c r="AJ568" s="137">
        <v>8.0</v>
      </c>
      <c r="AK568" s="137">
        <v>8.0</v>
      </c>
      <c r="AL568" s="137">
        <v>8.0</v>
      </c>
      <c r="AM568" s="137">
        <v>16.0</v>
      </c>
      <c r="AN568" s="137">
        <v>166.0</v>
      </c>
    </row>
    <row r="569">
      <c r="A569" s="98"/>
      <c r="B569" s="136" t="s">
        <v>199</v>
      </c>
      <c r="C569" s="137">
        <v>366.0</v>
      </c>
      <c r="D569" s="137">
        <v>158.0</v>
      </c>
      <c r="E569" s="137">
        <v>208.0</v>
      </c>
      <c r="F569" s="137">
        <v>0.0</v>
      </c>
      <c r="G569" s="137">
        <v>0.0</v>
      </c>
      <c r="H569" s="137">
        <v>0.0</v>
      </c>
      <c r="I569" s="137">
        <v>0.0</v>
      </c>
      <c r="J569" s="137">
        <v>0.0</v>
      </c>
      <c r="K569" s="137">
        <v>0.0</v>
      </c>
      <c r="L569" s="137">
        <v>14.0</v>
      </c>
      <c r="M569" s="137">
        <v>14.0</v>
      </c>
      <c r="N569" s="137">
        <v>28.0</v>
      </c>
      <c r="O569" s="137">
        <v>30.0</v>
      </c>
      <c r="P569" s="137">
        <v>34.0</v>
      </c>
      <c r="Q569" s="137">
        <v>42.0</v>
      </c>
      <c r="R569" s="137">
        <v>8.0</v>
      </c>
      <c r="S569" s="137">
        <v>8.0</v>
      </c>
      <c r="T569" s="137">
        <v>14.0</v>
      </c>
      <c r="U569" s="137">
        <v>18.0</v>
      </c>
      <c r="V569" s="137">
        <v>14.0</v>
      </c>
      <c r="W569" s="137">
        <v>14.0</v>
      </c>
      <c r="X569" s="137">
        <v>8.0</v>
      </c>
      <c r="Y569" s="137">
        <v>16.0</v>
      </c>
      <c r="Z569" s="137">
        <v>10.0</v>
      </c>
      <c r="AA569" s="137">
        <v>14.0</v>
      </c>
      <c r="AB569" s="137">
        <v>6.0</v>
      </c>
      <c r="AC569" s="137">
        <v>10.0</v>
      </c>
      <c r="AD569" s="137">
        <v>6.0</v>
      </c>
      <c r="AE569" s="137">
        <v>12.0</v>
      </c>
      <c r="AF569" s="137">
        <v>6.0</v>
      </c>
      <c r="AG569" s="137">
        <v>8.0</v>
      </c>
      <c r="AH569" s="137">
        <v>0.0</v>
      </c>
      <c r="AI569" s="137">
        <v>2.0</v>
      </c>
      <c r="AJ569" s="137">
        <v>6.0</v>
      </c>
      <c r="AK569" s="137">
        <v>6.0</v>
      </c>
      <c r="AL569" s="137">
        <v>4.0</v>
      </c>
      <c r="AM569" s="137">
        <v>14.0</v>
      </c>
      <c r="AN569" s="137">
        <v>366.0</v>
      </c>
    </row>
    <row r="570">
      <c r="A570" s="104"/>
      <c r="B570" s="136" t="s">
        <v>206</v>
      </c>
      <c r="C570" s="137">
        <v>172.0</v>
      </c>
      <c r="D570" s="137">
        <v>50.0</v>
      </c>
      <c r="E570" s="137">
        <v>122.0</v>
      </c>
      <c r="F570" s="137">
        <v>0.0</v>
      </c>
      <c r="G570" s="137">
        <v>0.0</v>
      </c>
      <c r="H570" s="137">
        <v>0.0</v>
      </c>
      <c r="I570" s="137">
        <v>0.0</v>
      </c>
      <c r="J570" s="137">
        <v>0.0</v>
      </c>
      <c r="K570" s="137">
        <v>0.0</v>
      </c>
      <c r="L570" s="137">
        <v>6.0</v>
      </c>
      <c r="M570" s="137">
        <v>6.0</v>
      </c>
      <c r="N570" s="137">
        <v>18.0</v>
      </c>
      <c r="O570" s="137">
        <v>48.0</v>
      </c>
      <c r="P570" s="137">
        <v>12.0</v>
      </c>
      <c r="Q570" s="137">
        <v>18.0</v>
      </c>
      <c r="R570" s="137">
        <v>4.0</v>
      </c>
      <c r="S570" s="137">
        <v>16.0</v>
      </c>
      <c r="T570" s="137">
        <v>0.0</v>
      </c>
      <c r="U570" s="137">
        <v>14.0</v>
      </c>
      <c r="V570" s="137">
        <v>0.0</v>
      </c>
      <c r="W570" s="137">
        <v>10.0</v>
      </c>
      <c r="X570" s="137">
        <v>6.0</v>
      </c>
      <c r="Y570" s="137">
        <v>0.0</v>
      </c>
      <c r="Z570" s="137">
        <v>0.0</v>
      </c>
      <c r="AA570" s="137">
        <v>2.0</v>
      </c>
      <c r="AB570" s="137">
        <v>4.0</v>
      </c>
      <c r="AC570" s="137">
        <v>0.0</v>
      </c>
      <c r="AD570" s="137">
        <v>0.0</v>
      </c>
      <c r="AE570" s="137">
        <v>0.0</v>
      </c>
      <c r="AF570" s="137">
        <v>0.0</v>
      </c>
      <c r="AG570" s="137">
        <v>8.0</v>
      </c>
      <c r="AH570" s="137">
        <v>0.0</v>
      </c>
      <c r="AI570" s="137">
        <v>0.0</v>
      </c>
      <c r="AJ570" s="137">
        <v>0.0</v>
      </c>
      <c r="AK570" s="137">
        <v>0.0</v>
      </c>
      <c r="AL570" s="137">
        <v>0.0</v>
      </c>
      <c r="AM570" s="137">
        <v>0.0</v>
      </c>
      <c r="AN570" s="137">
        <v>172.0</v>
      </c>
    </row>
    <row r="571">
      <c r="A571" s="132" t="s">
        <v>207</v>
      </c>
      <c r="B571" s="136" t="s">
        <v>198</v>
      </c>
      <c r="C571" s="134">
        <v>54874.0</v>
      </c>
      <c r="D571" s="134">
        <v>22196.0</v>
      </c>
      <c r="E571" s="134">
        <v>32678.0</v>
      </c>
      <c r="F571" s="137">
        <v>424.0</v>
      </c>
      <c r="G571" s="137">
        <v>350.0</v>
      </c>
      <c r="H571" s="137">
        <v>206.0</v>
      </c>
      <c r="I571" s="137">
        <v>238.0</v>
      </c>
      <c r="J571" s="137">
        <v>232.0</v>
      </c>
      <c r="K571" s="137">
        <v>302.0</v>
      </c>
      <c r="L571" s="137">
        <v>252.0</v>
      </c>
      <c r="M571" s="137">
        <v>602.0</v>
      </c>
      <c r="N571" s="137">
        <v>358.0</v>
      </c>
      <c r="O571" s="137">
        <v>688.0</v>
      </c>
      <c r="P571" s="137">
        <v>420.0</v>
      </c>
      <c r="Q571" s="137">
        <v>906.0</v>
      </c>
      <c r="R571" s="137">
        <v>490.0</v>
      </c>
      <c r="S571" s="134">
        <v>1132.0</v>
      </c>
      <c r="T571" s="137">
        <v>586.0</v>
      </c>
      <c r="U571" s="134">
        <v>1378.0</v>
      </c>
      <c r="V571" s="137">
        <v>674.0</v>
      </c>
      <c r="W571" s="134">
        <v>1640.0</v>
      </c>
      <c r="X571" s="137">
        <v>742.0</v>
      </c>
      <c r="Y571" s="134">
        <v>2292.0</v>
      </c>
      <c r="Z571" s="134">
        <v>1536.0</v>
      </c>
      <c r="AA571" s="134">
        <v>2718.0</v>
      </c>
      <c r="AB571" s="134">
        <v>1886.0</v>
      </c>
      <c r="AC571" s="134">
        <v>2916.0</v>
      </c>
      <c r="AD571" s="134">
        <v>2452.0</v>
      </c>
      <c r="AE571" s="134">
        <v>3014.0</v>
      </c>
      <c r="AF571" s="134">
        <v>2366.0</v>
      </c>
      <c r="AG571" s="134">
        <v>3026.0</v>
      </c>
      <c r="AH571" s="134">
        <v>2968.0</v>
      </c>
      <c r="AI571" s="134">
        <v>3076.0</v>
      </c>
      <c r="AJ571" s="134">
        <v>2666.0</v>
      </c>
      <c r="AK571" s="134">
        <v>2890.0</v>
      </c>
      <c r="AL571" s="134">
        <v>3952.0</v>
      </c>
      <c r="AM571" s="134">
        <v>5532.0</v>
      </c>
      <c r="AN571" s="134">
        <v>54432.0</v>
      </c>
    </row>
    <row r="572">
      <c r="A572" s="98"/>
      <c r="B572" s="136" t="s">
        <v>199</v>
      </c>
      <c r="C572" s="134">
        <v>8234.0</v>
      </c>
      <c r="D572" s="134">
        <v>3894.0</v>
      </c>
      <c r="E572" s="134">
        <v>4340.0</v>
      </c>
      <c r="F572" s="137">
        <v>38.0</v>
      </c>
      <c r="G572" s="137">
        <v>40.0</v>
      </c>
      <c r="H572" s="137">
        <v>20.0</v>
      </c>
      <c r="I572" s="137">
        <v>20.0</v>
      </c>
      <c r="J572" s="137">
        <v>20.0</v>
      </c>
      <c r="K572" s="137">
        <v>14.0</v>
      </c>
      <c r="L572" s="137">
        <v>12.0</v>
      </c>
      <c r="M572" s="137">
        <v>26.0</v>
      </c>
      <c r="N572" s="137">
        <v>40.0</v>
      </c>
      <c r="O572" s="137">
        <v>46.0</v>
      </c>
      <c r="P572" s="137">
        <v>30.0</v>
      </c>
      <c r="Q572" s="137">
        <v>54.0</v>
      </c>
      <c r="R572" s="137">
        <v>66.0</v>
      </c>
      <c r="S572" s="137">
        <v>66.0</v>
      </c>
      <c r="T572" s="137">
        <v>84.0</v>
      </c>
      <c r="U572" s="137">
        <v>52.0</v>
      </c>
      <c r="V572" s="137">
        <v>114.0</v>
      </c>
      <c r="W572" s="137">
        <v>110.0</v>
      </c>
      <c r="X572" s="137">
        <v>106.0</v>
      </c>
      <c r="Y572" s="137">
        <v>232.0</v>
      </c>
      <c r="Z572" s="137">
        <v>128.0</v>
      </c>
      <c r="AA572" s="137">
        <v>284.0</v>
      </c>
      <c r="AB572" s="137">
        <v>410.0</v>
      </c>
      <c r="AC572" s="137">
        <v>388.0</v>
      </c>
      <c r="AD572" s="137">
        <v>466.0</v>
      </c>
      <c r="AE572" s="137">
        <v>468.0</v>
      </c>
      <c r="AF572" s="137">
        <v>386.0</v>
      </c>
      <c r="AG572" s="137">
        <v>510.0</v>
      </c>
      <c r="AH572" s="137">
        <v>634.0</v>
      </c>
      <c r="AI572" s="137">
        <v>638.0</v>
      </c>
      <c r="AJ572" s="137">
        <v>548.0</v>
      </c>
      <c r="AK572" s="137">
        <v>536.0</v>
      </c>
      <c r="AL572" s="137">
        <v>792.0</v>
      </c>
      <c r="AM572" s="137">
        <v>856.0</v>
      </c>
      <c r="AN572" s="134">
        <v>8198.0</v>
      </c>
    </row>
    <row r="573">
      <c r="A573" s="98"/>
      <c r="B573" s="136" t="s">
        <v>206</v>
      </c>
      <c r="C573" s="137">
        <v>588.0</v>
      </c>
      <c r="D573" s="137">
        <v>8.0</v>
      </c>
      <c r="E573" s="137">
        <v>580.0</v>
      </c>
      <c r="F573" s="137">
        <v>8.0</v>
      </c>
      <c r="G573" s="137">
        <v>24.0</v>
      </c>
      <c r="H573" s="137">
        <v>0.0</v>
      </c>
      <c r="I573" s="137">
        <v>6.0</v>
      </c>
      <c r="J573" s="137">
        <v>0.0</v>
      </c>
      <c r="K573" s="137">
        <v>26.0</v>
      </c>
      <c r="L573" s="137">
        <v>0.0</v>
      </c>
      <c r="M573" s="137">
        <v>44.0</v>
      </c>
      <c r="N573" s="137">
        <v>0.0</v>
      </c>
      <c r="O573" s="137">
        <v>144.0</v>
      </c>
      <c r="P573" s="137">
        <v>0.0</v>
      </c>
      <c r="Q573" s="137">
        <v>100.0</v>
      </c>
      <c r="R573" s="137">
        <v>0.0</v>
      </c>
      <c r="S573" s="137">
        <v>58.0</v>
      </c>
      <c r="T573" s="137">
        <v>0.0</v>
      </c>
      <c r="U573" s="137">
        <v>68.0</v>
      </c>
      <c r="V573" s="137">
        <v>0.0</v>
      </c>
      <c r="W573" s="137">
        <v>32.0</v>
      </c>
      <c r="X573" s="137">
        <v>0.0</v>
      </c>
      <c r="Y573" s="137">
        <v>34.0</v>
      </c>
      <c r="Z573" s="137">
        <v>0.0</v>
      </c>
      <c r="AA573" s="137">
        <v>8.0</v>
      </c>
      <c r="AB573" s="137">
        <v>0.0</v>
      </c>
      <c r="AC573" s="137">
        <v>6.0</v>
      </c>
      <c r="AD573" s="137">
        <v>0.0</v>
      </c>
      <c r="AE573" s="137">
        <v>12.0</v>
      </c>
      <c r="AF573" s="137">
        <v>0.0</v>
      </c>
      <c r="AG573" s="137">
        <v>4.0</v>
      </c>
      <c r="AH573" s="137">
        <v>0.0</v>
      </c>
      <c r="AI573" s="137">
        <v>4.0</v>
      </c>
      <c r="AJ573" s="137">
        <v>0.0</v>
      </c>
      <c r="AK573" s="137">
        <v>2.0</v>
      </c>
      <c r="AL573" s="137">
        <v>0.0</v>
      </c>
      <c r="AM573" s="137">
        <v>8.0</v>
      </c>
      <c r="AN573" s="137">
        <v>584.0</v>
      </c>
    </row>
    <row r="574">
      <c r="A574" s="98"/>
      <c r="B574" s="136" t="s">
        <v>200</v>
      </c>
      <c r="C574" s="134">
        <v>3402.0</v>
      </c>
      <c r="D574" s="134">
        <v>1070.0</v>
      </c>
      <c r="E574" s="134">
        <v>2332.0</v>
      </c>
      <c r="F574" s="137">
        <v>390.0</v>
      </c>
      <c r="G574" s="137">
        <v>478.0</v>
      </c>
      <c r="H574" s="137">
        <v>140.0</v>
      </c>
      <c r="I574" s="137">
        <v>150.0</v>
      </c>
      <c r="J574" s="137">
        <v>68.0</v>
      </c>
      <c r="K574" s="137">
        <v>82.0</v>
      </c>
      <c r="L574" s="137">
        <v>18.0</v>
      </c>
      <c r="M574" s="137">
        <v>120.0</v>
      </c>
      <c r="N574" s="137">
        <v>26.0</v>
      </c>
      <c r="O574" s="137">
        <v>122.0</v>
      </c>
      <c r="P574" s="137">
        <v>20.0</v>
      </c>
      <c r="Q574" s="137">
        <v>142.0</v>
      </c>
      <c r="R574" s="137">
        <v>22.0</v>
      </c>
      <c r="S574" s="137">
        <v>138.0</v>
      </c>
      <c r="T574" s="137">
        <v>12.0</v>
      </c>
      <c r="U574" s="137">
        <v>122.0</v>
      </c>
      <c r="V574" s="137">
        <v>16.0</v>
      </c>
      <c r="W574" s="137">
        <v>132.0</v>
      </c>
      <c r="X574" s="137">
        <v>10.0</v>
      </c>
      <c r="Y574" s="137">
        <v>102.0</v>
      </c>
      <c r="Z574" s="137">
        <v>56.0</v>
      </c>
      <c r="AA574" s="137">
        <v>140.0</v>
      </c>
      <c r="AB574" s="137">
        <v>54.0</v>
      </c>
      <c r="AC574" s="137">
        <v>128.0</v>
      </c>
      <c r="AD574" s="137">
        <v>34.0</v>
      </c>
      <c r="AE574" s="137">
        <v>92.0</v>
      </c>
      <c r="AF574" s="137">
        <v>46.0</v>
      </c>
      <c r="AG574" s="137">
        <v>96.0</v>
      </c>
      <c r="AH574" s="137">
        <v>30.0</v>
      </c>
      <c r="AI574" s="137">
        <v>98.0</v>
      </c>
      <c r="AJ574" s="137">
        <v>52.0</v>
      </c>
      <c r="AK574" s="137">
        <v>76.0</v>
      </c>
      <c r="AL574" s="137">
        <v>76.0</v>
      </c>
      <c r="AM574" s="137">
        <v>114.0</v>
      </c>
      <c r="AN574" s="134">
        <v>3348.0</v>
      </c>
    </row>
    <row r="575">
      <c r="A575" s="104"/>
      <c r="B575" s="136" t="s">
        <v>201</v>
      </c>
      <c r="C575" s="134">
        <v>11648.0</v>
      </c>
      <c r="D575" s="134">
        <v>4796.0</v>
      </c>
      <c r="E575" s="134">
        <v>6852.0</v>
      </c>
      <c r="F575" s="137">
        <v>96.0</v>
      </c>
      <c r="G575" s="137">
        <v>82.0</v>
      </c>
      <c r="H575" s="137">
        <v>70.0</v>
      </c>
      <c r="I575" s="137">
        <v>108.0</v>
      </c>
      <c r="J575" s="137">
        <v>94.0</v>
      </c>
      <c r="K575" s="137">
        <v>80.0</v>
      </c>
      <c r="L575" s="137">
        <v>64.0</v>
      </c>
      <c r="M575" s="137">
        <v>140.0</v>
      </c>
      <c r="N575" s="137">
        <v>136.0</v>
      </c>
      <c r="O575" s="137">
        <v>192.0</v>
      </c>
      <c r="P575" s="137">
        <v>160.0</v>
      </c>
      <c r="Q575" s="137">
        <v>266.0</v>
      </c>
      <c r="R575" s="137">
        <v>186.0</v>
      </c>
      <c r="S575" s="137">
        <v>334.0</v>
      </c>
      <c r="T575" s="137">
        <v>168.0</v>
      </c>
      <c r="U575" s="137">
        <v>352.0</v>
      </c>
      <c r="V575" s="137">
        <v>238.0</v>
      </c>
      <c r="W575" s="137">
        <v>350.0</v>
      </c>
      <c r="X575" s="137">
        <v>408.0</v>
      </c>
      <c r="Y575" s="137">
        <v>558.0</v>
      </c>
      <c r="Z575" s="137">
        <v>286.0</v>
      </c>
      <c r="AA575" s="137">
        <v>538.0</v>
      </c>
      <c r="AB575" s="137">
        <v>422.0</v>
      </c>
      <c r="AC575" s="137">
        <v>550.0</v>
      </c>
      <c r="AD575" s="137">
        <v>474.0</v>
      </c>
      <c r="AE575" s="137">
        <v>678.0</v>
      </c>
      <c r="AF575" s="137">
        <v>498.0</v>
      </c>
      <c r="AG575" s="137">
        <v>608.0</v>
      </c>
      <c r="AH575" s="137">
        <v>592.0</v>
      </c>
      <c r="AI575" s="137">
        <v>684.0</v>
      </c>
      <c r="AJ575" s="137">
        <v>426.0</v>
      </c>
      <c r="AK575" s="137">
        <v>620.0</v>
      </c>
      <c r="AL575" s="137">
        <v>478.0</v>
      </c>
      <c r="AM575" s="137">
        <v>712.0</v>
      </c>
      <c r="AN575" s="134">
        <v>11322.0</v>
      </c>
    </row>
    <row r="576">
      <c r="A576" s="132" t="s">
        <v>208</v>
      </c>
      <c r="B576" s="136" t="s">
        <v>198</v>
      </c>
      <c r="C576" s="137">
        <v>180.0</v>
      </c>
      <c r="D576" s="137">
        <v>130.0</v>
      </c>
      <c r="E576" s="137">
        <v>50.0</v>
      </c>
      <c r="F576" s="137">
        <v>114.0</v>
      </c>
      <c r="G576" s="137">
        <v>40.0</v>
      </c>
      <c r="H576" s="137">
        <v>12.0</v>
      </c>
      <c r="I576" s="137">
        <v>0.0</v>
      </c>
      <c r="J576" s="137">
        <v>2.0</v>
      </c>
      <c r="K576" s="137">
        <v>2.0</v>
      </c>
      <c r="L576" s="137">
        <v>2.0</v>
      </c>
      <c r="M576" s="137">
        <v>8.0</v>
      </c>
      <c r="N576" s="137">
        <v>0.0</v>
      </c>
      <c r="O576" s="137">
        <v>0.0</v>
      </c>
      <c r="P576" s="135">
        <v>0.0</v>
      </c>
      <c r="Q576" s="135">
        <v>0.0</v>
      </c>
      <c r="R576" s="135">
        <v>0.0</v>
      </c>
      <c r="S576" s="135">
        <v>0.0</v>
      </c>
      <c r="T576" s="135">
        <v>0.0</v>
      </c>
      <c r="U576" s="135">
        <v>0.0</v>
      </c>
      <c r="V576" s="135">
        <v>0.0</v>
      </c>
      <c r="W576" s="135">
        <v>0.0</v>
      </c>
      <c r="X576" s="135">
        <v>0.0</v>
      </c>
      <c r="Y576" s="135">
        <v>0.0</v>
      </c>
      <c r="Z576" s="135">
        <v>0.0</v>
      </c>
      <c r="AA576" s="135">
        <v>0.0</v>
      </c>
      <c r="AB576" s="135">
        <v>0.0</v>
      </c>
      <c r="AC576" s="135">
        <v>0.0</v>
      </c>
      <c r="AD576" s="135">
        <v>0.0</v>
      </c>
      <c r="AE576" s="135">
        <v>0.0</v>
      </c>
      <c r="AF576" s="135">
        <v>0.0</v>
      </c>
      <c r="AG576" s="135">
        <v>0.0</v>
      </c>
      <c r="AH576" s="135">
        <v>0.0</v>
      </c>
      <c r="AI576" s="135">
        <v>0.0</v>
      </c>
      <c r="AJ576" s="135">
        <v>0.0</v>
      </c>
      <c r="AK576" s="135">
        <v>0.0</v>
      </c>
      <c r="AL576" s="135">
        <v>0.0</v>
      </c>
      <c r="AM576" s="135">
        <v>0.0</v>
      </c>
      <c r="AN576" s="137">
        <v>168.0</v>
      </c>
    </row>
    <row r="577">
      <c r="A577" s="98"/>
      <c r="B577" s="136" t="s">
        <v>199</v>
      </c>
      <c r="C577" s="137">
        <v>938.0</v>
      </c>
      <c r="D577" s="137">
        <v>544.0</v>
      </c>
      <c r="E577" s="137">
        <v>394.0</v>
      </c>
      <c r="F577" s="137">
        <v>476.0</v>
      </c>
      <c r="G577" s="137">
        <v>340.0</v>
      </c>
      <c r="H577" s="137">
        <v>62.0</v>
      </c>
      <c r="I577" s="137">
        <v>44.0</v>
      </c>
      <c r="J577" s="137">
        <v>6.0</v>
      </c>
      <c r="K577" s="137">
        <v>4.0</v>
      </c>
      <c r="L577" s="137">
        <v>0.0</v>
      </c>
      <c r="M577" s="137">
        <v>6.0</v>
      </c>
      <c r="N577" s="137">
        <v>0.0</v>
      </c>
      <c r="O577" s="137">
        <v>0.0</v>
      </c>
      <c r="P577" s="135">
        <v>0.0</v>
      </c>
      <c r="Q577" s="135">
        <v>0.0</v>
      </c>
      <c r="R577" s="135">
        <v>0.0</v>
      </c>
      <c r="S577" s="135">
        <v>0.0</v>
      </c>
      <c r="T577" s="135">
        <v>0.0</v>
      </c>
      <c r="U577" s="135">
        <v>0.0</v>
      </c>
      <c r="V577" s="135">
        <v>0.0</v>
      </c>
      <c r="W577" s="135">
        <v>0.0</v>
      </c>
      <c r="X577" s="135">
        <v>0.0</v>
      </c>
      <c r="Y577" s="135">
        <v>0.0</v>
      </c>
      <c r="Z577" s="135">
        <v>0.0</v>
      </c>
      <c r="AA577" s="135">
        <v>0.0</v>
      </c>
      <c r="AB577" s="135">
        <v>0.0</v>
      </c>
      <c r="AC577" s="135">
        <v>0.0</v>
      </c>
      <c r="AD577" s="135">
        <v>0.0</v>
      </c>
      <c r="AE577" s="135">
        <v>0.0</v>
      </c>
      <c r="AF577" s="135">
        <v>0.0</v>
      </c>
      <c r="AG577" s="135">
        <v>0.0</v>
      </c>
      <c r="AH577" s="135">
        <v>0.0</v>
      </c>
      <c r="AI577" s="135">
        <v>0.0</v>
      </c>
      <c r="AJ577" s="135">
        <v>0.0</v>
      </c>
      <c r="AK577" s="135">
        <v>0.0</v>
      </c>
      <c r="AL577" s="135">
        <v>0.0</v>
      </c>
      <c r="AM577" s="135">
        <v>0.0</v>
      </c>
      <c r="AN577" s="137">
        <v>916.0</v>
      </c>
    </row>
    <row r="578">
      <c r="A578" s="98"/>
      <c r="B578" s="136" t="s">
        <v>206</v>
      </c>
      <c r="C578" s="137">
        <v>12.0</v>
      </c>
      <c r="D578" s="137">
        <v>4.0</v>
      </c>
      <c r="E578" s="137">
        <v>8.0</v>
      </c>
      <c r="F578" s="137">
        <v>4.0</v>
      </c>
      <c r="G578" s="137">
        <v>6.0</v>
      </c>
      <c r="H578" s="137">
        <v>0.0</v>
      </c>
      <c r="I578" s="137">
        <v>0.0</v>
      </c>
      <c r="J578" s="137">
        <v>0.0</v>
      </c>
      <c r="K578" s="137">
        <v>2.0</v>
      </c>
      <c r="L578" s="137">
        <v>0.0</v>
      </c>
      <c r="M578" s="137">
        <v>0.0</v>
      </c>
      <c r="N578" s="137">
        <v>0.0</v>
      </c>
      <c r="O578" s="137">
        <v>0.0</v>
      </c>
      <c r="P578" s="135">
        <v>0.0</v>
      </c>
      <c r="Q578" s="135">
        <v>0.0</v>
      </c>
      <c r="R578" s="135">
        <v>0.0</v>
      </c>
      <c r="S578" s="135">
        <v>0.0</v>
      </c>
      <c r="T578" s="135">
        <v>0.0</v>
      </c>
      <c r="U578" s="135">
        <v>0.0</v>
      </c>
      <c r="V578" s="135">
        <v>0.0</v>
      </c>
      <c r="W578" s="135">
        <v>0.0</v>
      </c>
      <c r="X578" s="135">
        <v>0.0</v>
      </c>
      <c r="Y578" s="135">
        <v>0.0</v>
      </c>
      <c r="Z578" s="135">
        <v>0.0</v>
      </c>
      <c r="AA578" s="135">
        <v>0.0</v>
      </c>
      <c r="AB578" s="135">
        <v>0.0</v>
      </c>
      <c r="AC578" s="135">
        <v>0.0</v>
      </c>
      <c r="AD578" s="135">
        <v>0.0</v>
      </c>
      <c r="AE578" s="135">
        <v>0.0</v>
      </c>
      <c r="AF578" s="135">
        <v>0.0</v>
      </c>
      <c r="AG578" s="135">
        <v>0.0</v>
      </c>
      <c r="AH578" s="135">
        <v>0.0</v>
      </c>
      <c r="AI578" s="135">
        <v>0.0</v>
      </c>
      <c r="AJ578" s="135">
        <v>0.0</v>
      </c>
      <c r="AK578" s="135">
        <v>0.0</v>
      </c>
      <c r="AL578" s="135">
        <v>0.0</v>
      </c>
      <c r="AM578" s="135">
        <v>0.0</v>
      </c>
      <c r="AN578" s="137">
        <v>12.0</v>
      </c>
    </row>
    <row r="579">
      <c r="A579" s="98"/>
      <c r="B579" s="136" t="s">
        <v>200</v>
      </c>
      <c r="C579" s="137">
        <v>538.0</v>
      </c>
      <c r="D579" s="137">
        <v>296.0</v>
      </c>
      <c r="E579" s="137">
        <v>242.0</v>
      </c>
      <c r="F579" s="137">
        <v>226.0</v>
      </c>
      <c r="G579" s="137">
        <v>198.0</v>
      </c>
      <c r="H579" s="137">
        <v>56.0</v>
      </c>
      <c r="I579" s="137">
        <v>22.0</v>
      </c>
      <c r="J579" s="137">
        <v>12.0</v>
      </c>
      <c r="K579" s="137">
        <v>6.0</v>
      </c>
      <c r="L579" s="137">
        <v>0.0</v>
      </c>
      <c r="M579" s="137">
        <v>2.0</v>
      </c>
      <c r="N579" s="137">
        <v>2.0</v>
      </c>
      <c r="O579" s="137">
        <v>14.0</v>
      </c>
      <c r="P579" s="135">
        <v>0.0</v>
      </c>
      <c r="Q579" s="135">
        <v>0.0</v>
      </c>
      <c r="R579" s="135">
        <v>0.0</v>
      </c>
      <c r="S579" s="135">
        <v>0.0</v>
      </c>
      <c r="T579" s="135">
        <v>0.0</v>
      </c>
      <c r="U579" s="135">
        <v>0.0</v>
      </c>
      <c r="V579" s="135">
        <v>0.0</v>
      </c>
      <c r="W579" s="135">
        <v>0.0</v>
      </c>
      <c r="X579" s="135">
        <v>0.0</v>
      </c>
      <c r="Y579" s="135">
        <v>0.0</v>
      </c>
      <c r="Z579" s="135">
        <v>0.0</v>
      </c>
      <c r="AA579" s="135">
        <v>0.0</v>
      </c>
      <c r="AB579" s="135">
        <v>0.0</v>
      </c>
      <c r="AC579" s="135">
        <v>0.0</v>
      </c>
      <c r="AD579" s="135">
        <v>0.0</v>
      </c>
      <c r="AE579" s="135">
        <v>0.0</v>
      </c>
      <c r="AF579" s="135">
        <v>0.0</v>
      </c>
      <c r="AG579" s="135">
        <v>0.0</v>
      </c>
      <c r="AH579" s="135">
        <v>0.0</v>
      </c>
      <c r="AI579" s="135">
        <v>0.0</v>
      </c>
      <c r="AJ579" s="135">
        <v>0.0</v>
      </c>
      <c r="AK579" s="135">
        <v>0.0</v>
      </c>
      <c r="AL579" s="135">
        <v>0.0</v>
      </c>
      <c r="AM579" s="135">
        <v>0.0</v>
      </c>
      <c r="AN579" s="137">
        <v>502.0</v>
      </c>
    </row>
    <row r="580">
      <c r="A580" s="104"/>
      <c r="B580" s="136" t="s">
        <v>201</v>
      </c>
      <c r="C580" s="137">
        <v>2.0</v>
      </c>
      <c r="D580" s="137">
        <v>2.0</v>
      </c>
      <c r="E580" s="137">
        <v>0.0</v>
      </c>
      <c r="F580" s="137">
        <v>2.0</v>
      </c>
      <c r="G580" s="137">
        <v>0.0</v>
      </c>
      <c r="H580" s="137">
        <v>0.0</v>
      </c>
      <c r="I580" s="137">
        <v>0.0</v>
      </c>
      <c r="J580" s="137">
        <v>0.0</v>
      </c>
      <c r="K580" s="137">
        <v>0.0</v>
      </c>
      <c r="L580" s="137">
        <v>0.0</v>
      </c>
      <c r="M580" s="137">
        <v>0.0</v>
      </c>
      <c r="N580" s="137">
        <v>0.0</v>
      </c>
      <c r="O580" s="137">
        <v>0.0</v>
      </c>
      <c r="P580" s="135">
        <v>0.0</v>
      </c>
      <c r="Q580" s="135">
        <v>0.0</v>
      </c>
      <c r="R580" s="135">
        <v>0.0</v>
      </c>
      <c r="S580" s="135">
        <v>0.0</v>
      </c>
      <c r="T580" s="135">
        <v>0.0</v>
      </c>
      <c r="U580" s="135">
        <v>0.0</v>
      </c>
      <c r="V580" s="135">
        <v>0.0</v>
      </c>
      <c r="W580" s="135">
        <v>0.0</v>
      </c>
      <c r="X580" s="135">
        <v>0.0</v>
      </c>
      <c r="Y580" s="135">
        <v>0.0</v>
      </c>
      <c r="Z580" s="135">
        <v>0.0</v>
      </c>
      <c r="AA580" s="135">
        <v>0.0</v>
      </c>
      <c r="AB580" s="135">
        <v>0.0</v>
      </c>
      <c r="AC580" s="135">
        <v>0.0</v>
      </c>
      <c r="AD580" s="135">
        <v>0.0</v>
      </c>
      <c r="AE580" s="135">
        <v>0.0</v>
      </c>
      <c r="AF580" s="135">
        <v>0.0</v>
      </c>
      <c r="AG580" s="135">
        <v>0.0</v>
      </c>
      <c r="AH580" s="135">
        <v>0.0</v>
      </c>
      <c r="AI580" s="135">
        <v>0.0</v>
      </c>
      <c r="AJ580" s="135">
        <v>0.0</v>
      </c>
      <c r="AK580" s="135">
        <v>0.0</v>
      </c>
      <c r="AL580" s="135">
        <v>0.0</v>
      </c>
      <c r="AM580" s="135">
        <v>0.0</v>
      </c>
      <c r="AN580" s="137">
        <v>2.0</v>
      </c>
    </row>
    <row r="581">
      <c r="A581" s="138" t="s">
        <v>263</v>
      </c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</row>
    <row r="582">
      <c r="A582" s="132" t="s">
        <v>197</v>
      </c>
      <c r="B582" s="133" t="s">
        <v>198</v>
      </c>
      <c r="C582" s="134">
        <v>78262.0</v>
      </c>
      <c r="D582" s="134">
        <v>30540.0</v>
      </c>
      <c r="E582" s="134">
        <v>47722.0</v>
      </c>
      <c r="F582" s="135">
        <v>0.0</v>
      </c>
      <c r="G582" s="135">
        <v>0.0</v>
      </c>
      <c r="H582" s="135">
        <v>0.0</v>
      </c>
      <c r="I582" s="135">
        <v>0.0</v>
      </c>
      <c r="J582" s="135">
        <v>0.0</v>
      </c>
      <c r="K582" s="135">
        <v>0.0</v>
      </c>
      <c r="L582" s="137">
        <v>62.0</v>
      </c>
      <c r="M582" s="137">
        <v>78.0</v>
      </c>
      <c r="N582" s="137">
        <v>92.0</v>
      </c>
      <c r="O582" s="137">
        <v>160.0</v>
      </c>
      <c r="P582" s="137">
        <v>156.0</v>
      </c>
      <c r="Q582" s="137">
        <v>318.0</v>
      </c>
      <c r="R582" s="137">
        <v>344.0</v>
      </c>
      <c r="S582" s="137">
        <v>628.0</v>
      </c>
      <c r="T582" s="137">
        <v>498.0</v>
      </c>
      <c r="U582" s="134">
        <v>1006.0</v>
      </c>
      <c r="V582" s="137">
        <v>890.0</v>
      </c>
      <c r="W582" s="134">
        <v>1690.0</v>
      </c>
      <c r="X582" s="134">
        <v>1540.0</v>
      </c>
      <c r="Y582" s="134">
        <v>3104.0</v>
      </c>
      <c r="Z582" s="134">
        <v>2788.0</v>
      </c>
      <c r="AA582" s="134">
        <v>4956.0</v>
      </c>
      <c r="AB582" s="134">
        <v>4084.0</v>
      </c>
      <c r="AC582" s="134">
        <v>6274.0</v>
      </c>
      <c r="AD582" s="134">
        <v>4286.0</v>
      </c>
      <c r="AE582" s="134">
        <v>6654.0</v>
      </c>
      <c r="AF582" s="134">
        <v>4542.0</v>
      </c>
      <c r="AG582" s="134">
        <v>6434.0</v>
      </c>
      <c r="AH582" s="134">
        <v>4250.0</v>
      </c>
      <c r="AI582" s="134">
        <v>5778.0</v>
      </c>
      <c r="AJ582" s="134">
        <v>3326.0</v>
      </c>
      <c r="AK582" s="134">
        <v>4692.0</v>
      </c>
      <c r="AL582" s="134">
        <v>3680.0</v>
      </c>
      <c r="AM582" s="134">
        <v>5946.0</v>
      </c>
      <c r="AN582" s="134">
        <v>77476.0</v>
      </c>
    </row>
    <row r="583">
      <c r="A583" s="98"/>
      <c r="B583" s="136" t="s">
        <v>199</v>
      </c>
      <c r="C583" s="134">
        <v>23530.0</v>
      </c>
      <c r="D583" s="134">
        <v>8792.0</v>
      </c>
      <c r="E583" s="134">
        <v>14738.0</v>
      </c>
      <c r="F583" s="135">
        <v>0.0</v>
      </c>
      <c r="G583" s="135">
        <v>0.0</v>
      </c>
      <c r="H583" s="135">
        <v>0.0</v>
      </c>
      <c r="I583" s="135">
        <v>0.0</v>
      </c>
      <c r="J583" s="135">
        <v>0.0</v>
      </c>
      <c r="K583" s="135">
        <v>0.0</v>
      </c>
      <c r="L583" s="137">
        <v>10.0</v>
      </c>
      <c r="M583" s="137">
        <v>2.0</v>
      </c>
      <c r="N583" s="137">
        <v>12.0</v>
      </c>
      <c r="O583" s="137">
        <v>14.0</v>
      </c>
      <c r="P583" s="137">
        <v>30.0</v>
      </c>
      <c r="Q583" s="137">
        <v>44.0</v>
      </c>
      <c r="R583" s="137">
        <v>82.0</v>
      </c>
      <c r="S583" s="137">
        <v>164.0</v>
      </c>
      <c r="T583" s="137">
        <v>128.0</v>
      </c>
      <c r="U583" s="137">
        <v>224.0</v>
      </c>
      <c r="V583" s="137">
        <v>232.0</v>
      </c>
      <c r="W583" s="137">
        <v>384.0</v>
      </c>
      <c r="X583" s="137">
        <v>328.0</v>
      </c>
      <c r="Y583" s="137">
        <v>754.0</v>
      </c>
      <c r="Z583" s="137">
        <v>690.0</v>
      </c>
      <c r="AA583" s="134">
        <v>1328.0</v>
      </c>
      <c r="AB583" s="137">
        <v>946.0</v>
      </c>
      <c r="AC583" s="134">
        <v>1856.0</v>
      </c>
      <c r="AD583" s="134">
        <v>1204.0</v>
      </c>
      <c r="AE583" s="134">
        <v>2170.0</v>
      </c>
      <c r="AF583" s="134">
        <v>1490.0</v>
      </c>
      <c r="AG583" s="134">
        <v>2312.0</v>
      </c>
      <c r="AH583" s="134">
        <v>1388.0</v>
      </c>
      <c r="AI583" s="134">
        <v>2046.0</v>
      </c>
      <c r="AJ583" s="134">
        <v>1074.0</v>
      </c>
      <c r="AK583" s="134">
        <v>1488.0</v>
      </c>
      <c r="AL583" s="134">
        <v>1174.0</v>
      </c>
      <c r="AM583" s="134">
        <v>1952.0</v>
      </c>
      <c r="AN583" s="134">
        <v>23254.0</v>
      </c>
    </row>
    <row r="584">
      <c r="A584" s="98"/>
      <c r="B584" s="136" t="s">
        <v>200</v>
      </c>
      <c r="C584" s="134">
        <v>8038.0</v>
      </c>
      <c r="D584" s="134">
        <v>2612.0</v>
      </c>
      <c r="E584" s="134">
        <v>5426.0</v>
      </c>
      <c r="F584" s="135">
        <v>0.0</v>
      </c>
      <c r="G584" s="135">
        <v>0.0</v>
      </c>
      <c r="H584" s="135">
        <v>0.0</v>
      </c>
      <c r="I584" s="135">
        <v>0.0</v>
      </c>
      <c r="J584" s="135">
        <v>0.0</v>
      </c>
      <c r="K584" s="135">
        <v>0.0</v>
      </c>
      <c r="L584" s="137">
        <v>6.0</v>
      </c>
      <c r="M584" s="137">
        <v>20.0</v>
      </c>
      <c r="N584" s="137">
        <v>12.0</v>
      </c>
      <c r="O584" s="137">
        <v>26.0</v>
      </c>
      <c r="P584" s="137">
        <v>34.0</v>
      </c>
      <c r="Q584" s="137">
        <v>70.0</v>
      </c>
      <c r="R584" s="137">
        <v>56.0</v>
      </c>
      <c r="S584" s="137">
        <v>110.0</v>
      </c>
      <c r="T584" s="137">
        <v>64.0</v>
      </c>
      <c r="U584" s="137">
        <v>186.0</v>
      </c>
      <c r="V584" s="137">
        <v>120.0</v>
      </c>
      <c r="W584" s="137">
        <v>254.0</v>
      </c>
      <c r="X584" s="137">
        <v>176.0</v>
      </c>
      <c r="Y584" s="137">
        <v>456.0</v>
      </c>
      <c r="Z584" s="137">
        <v>284.0</v>
      </c>
      <c r="AA584" s="137">
        <v>684.0</v>
      </c>
      <c r="AB584" s="137">
        <v>364.0</v>
      </c>
      <c r="AC584" s="137">
        <v>812.0</v>
      </c>
      <c r="AD584" s="137">
        <v>380.0</v>
      </c>
      <c r="AE584" s="137">
        <v>694.0</v>
      </c>
      <c r="AF584" s="137">
        <v>356.0</v>
      </c>
      <c r="AG584" s="137">
        <v>710.0</v>
      </c>
      <c r="AH584" s="137">
        <v>276.0</v>
      </c>
      <c r="AI584" s="137">
        <v>536.0</v>
      </c>
      <c r="AJ584" s="137">
        <v>258.0</v>
      </c>
      <c r="AK584" s="137">
        <v>422.0</v>
      </c>
      <c r="AL584" s="137">
        <v>256.0</v>
      </c>
      <c r="AM584" s="137">
        <v>414.0</v>
      </c>
      <c r="AN584" s="134">
        <v>7854.0</v>
      </c>
    </row>
    <row r="585">
      <c r="A585" s="104"/>
      <c r="B585" s="136" t="s">
        <v>201</v>
      </c>
      <c r="C585" s="137">
        <v>0.0</v>
      </c>
      <c r="D585" s="137">
        <v>0.0</v>
      </c>
      <c r="E585" s="137">
        <v>0.0</v>
      </c>
      <c r="F585" s="135">
        <v>0.0</v>
      </c>
      <c r="G585" s="135">
        <v>0.0</v>
      </c>
      <c r="H585" s="135">
        <v>0.0</v>
      </c>
      <c r="I585" s="135">
        <v>0.0</v>
      </c>
      <c r="J585" s="135">
        <v>0.0</v>
      </c>
      <c r="K585" s="135">
        <v>0.0</v>
      </c>
      <c r="L585" s="137">
        <v>0.0</v>
      </c>
      <c r="M585" s="137">
        <v>0.0</v>
      </c>
      <c r="N585" s="137">
        <v>0.0</v>
      </c>
      <c r="O585" s="137">
        <v>0.0</v>
      </c>
      <c r="P585" s="137">
        <v>0.0</v>
      </c>
      <c r="Q585" s="137">
        <v>0.0</v>
      </c>
      <c r="R585" s="137">
        <v>0.0</v>
      </c>
      <c r="S585" s="137">
        <v>0.0</v>
      </c>
      <c r="T585" s="137">
        <v>0.0</v>
      </c>
      <c r="U585" s="137">
        <v>0.0</v>
      </c>
      <c r="V585" s="137">
        <v>0.0</v>
      </c>
      <c r="W585" s="137">
        <v>0.0</v>
      </c>
      <c r="X585" s="137">
        <v>0.0</v>
      </c>
      <c r="Y585" s="137">
        <v>0.0</v>
      </c>
      <c r="Z585" s="137">
        <v>0.0</v>
      </c>
      <c r="AA585" s="137">
        <v>0.0</v>
      </c>
      <c r="AB585" s="137">
        <v>0.0</v>
      </c>
      <c r="AC585" s="137">
        <v>0.0</v>
      </c>
      <c r="AD585" s="137">
        <v>0.0</v>
      </c>
      <c r="AE585" s="137">
        <v>0.0</v>
      </c>
      <c r="AF585" s="137">
        <v>0.0</v>
      </c>
      <c r="AG585" s="137">
        <v>0.0</v>
      </c>
      <c r="AH585" s="137">
        <v>0.0</v>
      </c>
      <c r="AI585" s="137">
        <v>0.0</v>
      </c>
      <c r="AJ585" s="137">
        <v>0.0</v>
      </c>
      <c r="AK585" s="137">
        <v>0.0</v>
      </c>
      <c r="AL585" s="137">
        <v>0.0</v>
      </c>
      <c r="AM585" s="137">
        <v>0.0</v>
      </c>
      <c r="AN585" s="137">
        <v>0.0</v>
      </c>
    </row>
    <row r="586">
      <c r="A586" s="132" t="s">
        <v>202</v>
      </c>
      <c r="B586" s="136" t="s">
        <v>198</v>
      </c>
      <c r="C586" s="137">
        <v>242.0</v>
      </c>
      <c r="D586" s="137">
        <v>144.0</v>
      </c>
      <c r="E586" s="137">
        <v>98.0</v>
      </c>
      <c r="F586" s="137">
        <v>16.0</v>
      </c>
      <c r="G586" s="137">
        <v>20.0</v>
      </c>
      <c r="H586" s="137">
        <v>12.0</v>
      </c>
      <c r="I586" s="137">
        <v>0.0</v>
      </c>
      <c r="J586" s="137">
        <v>4.0</v>
      </c>
      <c r="K586" s="137">
        <v>0.0</v>
      </c>
      <c r="L586" s="137">
        <v>2.0</v>
      </c>
      <c r="M586" s="137">
        <v>10.0</v>
      </c>
      <c r="N586" s="137">
        <v>0.0</v>
      </c>
      <c r="O586" s="137">
        <v>8.0</v>
      </c>
      <c r="P586" s="137">
        <v>0.0</v>
      </c>
      <c r="Q586" s="137">
        <v>4.0</v>
      </c>
      <c r="R586" s="137">
        <v>16.0</v>
      </c>
      <c r="S586" s="137">
        <v>8.0</v>
      </c>
      <c r="T586" s="137">
        <v>2.0</v>
      </c>
      <c r="U586" s="137">
        <v>0.0</v>
      </c>
      <c r="V586" s="137">
        <v>12.0</v>
      </c>
      <c r="W586" s="137">
        <v>6.0</v>
      </c>
      <c r="X586" s="137">
        <v>6.0</v>
      </c>
      <c r="Y586" s="137">
        <v>2.0</v>
      </c>
      <c r="Z586" s="137">
        <v>30.0</v>
      </c>
      <c r="AA586" s="137">
        <v>0.0</v>
      </c>
      <c r="AB586" s="137">
        <v>8.0</v>
      </c>
      <c r="AC586" s="137">
        <v>2.0</v>
      </c>
      <c r="AD586" s="137">
        <v>6.0</v>
      </c>
      <c r="AE586" s="137">
        <v>14.0</v>
      </c>
      <c r="AF586" s="137">
        <v>4.0</v>
      </c>
      <c r="AG586" s="137">
        <v>14.0</v>
      </c>
      <c r="AH586" s="137">
        <v>4.0</v>
      </c>
      <c r="AI586" s="137">
        <v>0.0</v>
      </c>
      <c r="AJ586" s="137">
        <v>22.0</v>
      </c>
      <c r="AK586" s="137">
        <v>6.0</v>
      </c>
      <c r="AL586" s="137">
        <v>0.0</v>
      </c>
      <c r="AM586" s="137">
        <v>4.0</v>
      </c>
      <c r="AN586" s="137">
        <v>206.0</v>
      </c>
    </row>
    <row r="587">
      <c r="A587" s="104"/>
      <c r="B587" s="136" t="s">
        <v>199</v>
      </c>
      <c r="C587" s="137">
        <v>210.0</v>
      </c>
      <c r="D587" s="137">
        <v>68.0</v>
      </c>
      <c r="E587" s="137">
        <v>142.0</v>
      </c>
      <c r="F587" s="137">
        <v>0.0</v>
      </c>
      <c r="G587" s="137">
        <v>2.0</v>
      </c>
      <c r="H587" s="137">
        <v>12.0</v>
      </c>
      <c r="I587" s="137">
        <v>0.0</v>
      </c>
      <c r="J587" s="137">
        <v>0.0</v>
      </c>
      <c r="K587" s="137">
        <v>0.0</v>
      </c>
      <c r="L587" s="137">
        <v>0.0</v>
      </c>
      <c r="M587" s="137">
        <v>110.0</v>
      </c>
      <c r="N587" s="137">
        <v>2.0</v>
      </c>
      <c r="O587" s="137">
        <v>2.0</v>
      </c>
      <c r="P587" s="137">
        <v>2.0</v>
      </c>
      <c r="Q587" s="137">
        <v>10.0</v>
      </c>
      <c r="R587" s="137">
        <v>10.0</v>
      </c>
      <c r="S587" s="137">
        <v>4.0</v>
      </c>
      <c r="T587" s="137">
        <v>0.0</v>
      </c>
      <c r="U587" s="137">
        <v>0.0</v>
      </c>
      <c r="V587" s="137">
        <v>2.0</v>
      </c>
      <c r="W587" s="137">
        <v>2.0</v>
      </c>
      <c r="X587" s="137">
        <v>4.0</v>
      </c>
      <c r="Y587" s="137">
        <v>0.0</v>
      </c>
      <c r="Z587" s="137">
        <v>10.0</v>
      </c>
      <c r="AA587" s="137">
        <v>2.0</v>
      </c>
      <c r="AB587" s="137">
        <v>4.0</v>
      </c>
      <c r="AC587" s="137">
        <v>0.0</v>
      </c>
      <c r="AD587" s="137">
        <v>10.0</v>
      </c>
      <c r="AE587" s="137">
        <v>6.0</v>
      </c>
      <c r="AF587" s="137">
        <v>0.0</v>
      </c>
      <c r="AG587" s="137">
        <v>4.0</v>
      </c>
      <c r="AH587" s="137">
        <v>10.0</v>
      </c>
      <c r="AI587" s="137">
        <v>0.0</v>
      </c>
      <c r="AJ587" s="137">
        <v>2.0</v>
      </c>
      <c r="AK587" s="137">
        <v>0.0</v>
      </c>
      <c r="AL587" s="137">
        <v>0.0</v>
      </c>
      <c r="AM587" s="137">
        <v>0.0</v>
      </c>
      <c r="AN587" s="137">
        <v>210.0</v>
      </c>
    </row>
    <row r="588">
      <c r="A588" s="132" t="s">
        <v>203</v>
      </c>
      <c r="B588" s="136" t="s">
        <v>198</v>
      </c>
      <c r="C588" s="137">
        <v>0.0</v>
      </c>
      <c r="D588" s="137">
        <v>0.0</v>
      </c>
      <c r="E588" s="137">
        <v>0.0</v>
      </c>
      <c r="F588" s="135">
        <v>0.0</v>
      </c>
      <c r="G588" s="135">
        <v>0.0</v>
      </c>
      <c r="H588" s="135">
        <v>0.0</v>
      </c>
      <c r="I588" s="135">
        <v>0.0</v>
      </c>
      <c r="J588" s="135">
        <v>0.0</v>
      </c>
      <c r="K588" s="135">
        <v>0.0</v>
      </c>
      <c r="L588" s="135">
        <v>0.0</v>
      </c>
      <c r="M588" s="135">
        <v>0.0</v>
      </c>
      <c r="N588" s="135">
        <v>0.0</v>
      </c>
      <c r="O588" s="135">
        <v>0.0</v>
      </c>
      <c r="P588" s="135">
        <v>0.0</v>
      </c>
      <c r="Q588" s="135">
        <v>0.0</v>
      </c>
      <c r="R588" s="135">
        <v>0.0</v>
      </c>
      <c r="S588" s="135">
        <v>0.0</v>
      </c>
      <c r="T588" s="135">
        <v>0.0</v>
      </c>
      <c r="U588" s="135">
        <v>0.0</v>
      </c>
      <c r="V588" s="135">
        <v>0.0</v>
      </c>
      <c r="W588" s="135">
        <v>0.0</v>
      </c>
      <c r="X588" s="135">
        <v>0.0</v>
      </c>
      <c r="Y588" s="135">
        <v>0.0</v>
      </c>
      <c r="Z588" s="135">
        <v>0.0</v>
      </c>
      <c r="AA588" s="135">
        <v>0.0</v>
      </c>
      <c r="AB588" s="135">
        <v>0.0</v>
      </c>
      <c r="AC588" s="135">
        <v>0.0</v>
      </c>
      <c r="AD588" s="135">
        <v>0.0</v>
      </c>
      <c r="AE588" s="135">
        <v>0.0</v>
      </c>
      <c r="AF588" s="137">
        <v>0.0</v>
      </c>
      <c r="AG588" s="137">
        <v>0.0</v>
      </c>
      <c r="AH588" s="137">
        <v>0.0</v>
      </c>
      <c r="AI588" s="137">
        <v>0.0</v>
      </c>
      <c r="AJ588" s="137">
        <v>0.0</v>
      </c>
      <c r="AK588" s="137">
        <v>0.0</v>
      </c>
      <c r="AL588" s="137">
        <v>0.0</v>
      </c>
      <c r="AM588" s="137">
        <v>0.0</v>
      </c>
      <c r="AN588" s="137">
        <v>0.0</v>
      </c>
    </row>
    <row r="589">
      <c r="A589" s="104"/>
      <c r="B589" s="136" t="s">
        <v>199</v>
      </c>
      <c r="C589" s="137">
        <v>126.0</v>
      </c>
      <c r="D589" s="137">
        <v>48.0</v>
      </c>
      <c r="E589" s="137">
        <v>78.0</v>
      </c>
      <c r="F589" s="135">
        <v>0.0</v>
      </c>
      <c r="G589" s="135">
        <v>0.0</v>
      </c>
      <c r="H589" s="135">
        <v>0.0</v>
      </c>
      <c r="I589" s="135">
        <v>0.0</v>
      </c>
      <c r="J589" s="135">
        <v>0.0</v>
      </c>
      <c r="K589" s="135">
        <v>0.0</v>
      </c>
      <c r="L589" s="135">
        <v>0.0</v>
      </c>
      <c r="M589" s="135">
        <v>0.0</v>
      </c>
      <c r="N589" s="135">
        <v>0.0</v>
      </c>
      <c r="O589" s="135">
        <v>0.0</v>
      </c>
      <c r="P589" s="135">
        <v>0.0</v>
      </c>
      <c r="Q589" s="135">
        <v>0.0</v>
      </c>
      <c r="R589" s="135">
        <v>0.0</v>
      </c>
      <c r="S589" s="135">
        <v>0.0</v>
      </c>
      <c r="T589" s="135">
        <v>0.0</v>
      </c>
      <c r="U589" s="135">
        <v>0.0</v>
      </c>
      <c r="V589" s="135">
        <v>0.0</v>
      </c>
      <c r="W589" s="135">
        <v>0.0</v>
      </c>
      <c r="X589" s="135">
        <v>0.0</v>
      </c>
      <c r="Y589" s="135">
        <v>0.0</v>
      </c>
      <c r="Z589" s="135">
        <v>0.0</v>
      </c>
      <c r="AA589" s="135">
        <v>0.0</v>
      </c>
      <c r="AB589" s="135">
        <v>0.0</v>
      </c>
      <c r="AC589" s="135">
        <v>0.0</v>
      </c>
      <c r="AD589" s="135">
        <v>0.0</v>
      </c>
      <c r="AE589" s="135">
        <v>0.0</v>
      </c>
      <c r="AF589" s="137">
        <v>14.0</v>
      </c>
      <c r="AG589" s="137">
        <v>24.0</v>
      </c>
      <c r="AH589" s="137">
        <v>6.0</v>
      </c>
      <c r="AI589" s="137">
        <v>28.0</v>
      </c>
      <c r="AJ589" s="137">
        <v>14.0</v>
      </c>
      <c r="AK589" s="137">
        <v>12.0</v>
      </c>
      <c r="AL589" s="137">
        <v>14.0</v>
      </c>
      <c r="AM589" s="137">
        <v>14.0</v>
      </c>
      <c r="AN589" s="137">
        <v>120.0</v>
      </c>
    </row>
    <row r="590">
      <c r="A590" s="132" t="s">
        <v>204</v>
      </c>
      <c r="B590" s="136" t="s">
        <v>198</v>
      </c>
      <c r="C590" s="137">
        <v>0.0</v>
      </c>
      <c r="D590" s="137">
        <v>0.0</v>
      </c>
      <c r="E590" s="137">
        <v>0.0</v>
      </c>
      <c r="F590" s="135">
        <v>0.0</v>
      </c>
      <c r="G590" s="135">
        <v>0.0</v>
      </c>
      <c r="H590" s="135">
        <v>0.0</v>
      </c>
      <c r="I590" s="135">
        <v>0.0</v>
      </c>
      <c r="J590" s="135">
        <v>0.0</v>
      </c>
      <c r="K590" s="135">
        <v>0.0</v>
      </c>
      <c r="L590" s="135">
        <v>0.0</v>
      </c>
      <c r="M590" s="135">
        <v>0.0</v>
      </c>
      <c r="N590" s="135">
        <v>0.0</v>
      </c>
      <c r="O590" s="135">
        <v>0.0</v>
      </c>
      <c r="P590" s="135">
        <v>0.0</v>
      </c>
      <c r="Q590" s="135">
        <v>0.0</v>
      </c>
      <c r="R590" s="135">
        <v>0.0</v>
      </c>
      <c r="S590" s="135">
        <v>0.0</v>
      </c>
      <c r="T590" s="135">
        <v>0.0</v>
      </c>
      <c r="U590" s="135">
        <v>0.0</v>
      </c>
      <c r="V590" s="135">
        <v>0.0</v>
      </c>
      <c r="W590" s="135">
        <v>0.0</v>
      </c>
      <c r="X590" s="135">
        <v>0.0</v>
      </c>
      <c r="Y590" s="135">
        <v>0.0</v>
      </c>
      <c r="Z590" s="135">
        <v>0.0</v>
      </c>
      <c r="AA590" s="135">
        <v>0.0</v>
      </c>
      <c r="AB590" s="135">
        <v>0.0</v>
      </c>
      <c r="AC590" s="135">
        <v>0.0</v>
      </c>
      <c r="AD590" s="135">
        <v>0.0</v>
      </c>
      <c r="AE590" s="135">
        <v>0.0</v>
      </c>
      <c r="AF590" s="137">
        <v>0.0</v>
      </c>
      <c r="AG590" s="137">
        <v>0.0</v>
      </c>
      <c r="AH590" s="137">
        <v>0.0</v>
      </c>
      <c r="AI590" s="137">
        <v>0.0</v>
      </c>
      <c r="AJ590" s="137">
        <v>0.0</v>
      </c>
      <c r="AK590" s="137">
        <v>0.0</v>
      </c>
      <c r="AL590" s="137">
        <v>0.0</v>
      </c>
      <c r="AM590" s="137">
        <v>0.0</v>
      </c>
      <c r="AN590" s="137">
        <v>0.0</v>
      </c>
    </row>
    <row r="591">
      <c r="A591" s="104"/>
      <c r="B591" s="136" t="s">
        <v>199</v>
      </c>
      <c r="C591" s="137">
        <v>64.0</v>
      </c>
      <c r="D591" s="137">
        <v>22.0</v>
      </c>
      <c r="E591" s="137">
        <v>42.0</v>
      </c>
      <c r="F591" s="135">
        <v>0.0</v>
      </c>
      <c r="G591" s="135">
        <v>0.0</v>
      </c>
      <c r="H591" s="135">
        <v>0.0</v>
      </c>
      <c r="I591" s="135">
        <v>0.0</v>
      </c>
      <c r="J591" s="135">
        <v>0.0</v>
      </c>
      <c r="K591" s="135">
        <v>0.0</v>
      </c>
      <c r="L591" s="135">
        <v>0.0</v>
      </c>
      <c r="M591" s="135">
        <v>0.0</v>
      </c>
      <c r="N591" s="135">
        <v>0.0</v>
      </c>
      <c r="O591" s="135">
        <v>0.0</v>
      </c>
      <c r="P591" s="135">
        <v>0.0</v>
      </c>
      <c r="Q591" s="135">
        <v>0.0</v>
      </c>
      <c r="R591" s="135">
        <v>0.0</v>
      </c>
      <c r="S591" s="135">
        <v>0.0</v>
      </c>
      <c r="T591" s="135">
        <v>0.0</v>
      </c>
      <c r="U591" s="135">
        <v>0.0</v>
      </c>
      <c r="V591" s="135">
        <v>0.0</v>
      </c>
      <c r="W591" s="135">
        <v>0.0</v>
      </c>
      <c r="X591" s="135">
        <v>0.0</v>
      </c>
      <c r="Y591" s="135">
        <v>0.0</v>
      </c>
      <c r="Z591" s="135">
        <v>0.0</v>
      </c>
      <c r="AA591" s="135">
        <v>0.0</v>
      </c>
      <c r="AB591" s="135">
        <v>0.0</v>
      </c>
      <c r="AC591" s="135">
        <v>0.0</v>
      </c>
      <c r="AD591" s="135">
        <v>0.0</v>
      </c>
      <c r="AE591" s="135">
        <v>0.0</v>
      </c>
      <c r="AF591" s="137">
        <v>4.0</v>
      </c>
      <c r="AG591" s="137">
        <v>8.0</v>
      </c>
      <c r="AH591" s="137">
        <v>6.0</v>
      </c>
      <c r="AI591" s="137">
        <v>16.0</v>
      </c>
      <c r="AJ591" s="137">
        <v>6.0</v>
      </c>
      <c r="AK591" s="137">
        <v>2.0</v>
      </c>
      <c r="AL591" s="137">
        <v>6.0</v>
      </c>
      <c r="AM591" s="137">
        <v>16.0</v>
      </c>
      <c r="AN591" s="137">
        <v>56.0</v>
      </c>
    </row>
    <row r="592">
      <c r="A592" s="132" t="s">
        <v>205</v>
      </c>
      <c r="B592" s="136" t="s">
        <v>198</v>
      </c>
      <c r="C592" s="137">
        <v>6.0</v>
      </c>
      <c r="D592" s="137">
        <v>2.0</v>
      </c>
      <c r="E592" s="137">
        <v>4.0</v>
      </c>
      <c r="F592" s="137">
        <v>0.0</v>
      </c>
      <c r="G592" s="137">
        <v>0.0</v>
      </c>
      <c r="H592" s="137">
        <v>0.0</v>
      </c>
      <c r="I592" s="137">
        <v>0.0</v>
      </c>
      <c r="J592" s="137">
        <v>0.0</v>
      </c>
      <c r="K592" s="137">
        <v>0.0</v>
      </c>
      <c r="L592" s="137">
        <v>0.0</v>
      </c>
      <c r="M592" s="137">
        <v>0.0</v>
      </c>
      <c r="N592" s="137">
        <v>0.0</v>
      </c>
      <c r="O592" s="137">
        <v>2.0</v>
      </c>
      <c r="P592" s="137">
        <v>2.0</v>
      </c>
      <c r="Q592" s="137">
        <v>0.0</v>
      </c>
      <c r="R592" s="137">
        <v>0.0</v>
      </c>
      <c r="S592" s="137">
        <v>0.0</v>
      </c>
      <c r="T592" s="137">
        <v>0.0</v>
      </c>
      <c r="U592" s="137">
        <v>0.0</v>
      </c>
      <c r="V592" s="137">
        <v>0.0</v>
      </c>
      <c r="W592" s="137">
        <v>0.0</v>
      </c>
      <c r="X592" s="137">
        <v>0.0</v>
      </c>
      <c r="Y592" s="137">
        <v>0.0</v>
      </c>
      <c r="Z592" s="137">
        <v>0.0</v>
      </c>
      <c r="AA592" s="137">
        <v>0.0</v>
      </c>
      <c r="AB592" s="137">
        <v>0.0</v>
      </c>
      <c r="AC592" s="137">
        <v>0.0</v>
      </c>
      <c r="AD592" s="137">
        <v>0.0</v>
      </c>
      <c r="AE592" s="137">
        <v>0.0</v>
      </c>
      <c r="AF592" s="137">
        <v>0.0</v>
      </c>
      <c r="AG592" s="137">
        <v>0.0</v>
      </c>
      <c r="AH592" s="137">
        <v>0.0</v>
      </c>
      <c r="AI592" s="137">
        <v>0.0</v>
      </c>
      <c r="AJ592" s="137">
        <v>0.0</v>
      </c>
      <c r="AK592" s="137">
        <v>0.0</v>
      </c>
      <c r="AL592" s="137">
        <v>0.0</v>
      </c>
      <c r="AM592" s="137">
        <v>2.0</v>
      </c>
      <c r="AN592" s="137">
        <v>6.0</v>
      </c>
    </row>
    <row r="593">
      <c r="A593" s="98"/>
      <c r="B593" s="136" t="s">
        <v>199</v>
      </c>
      <c r="C593" s="137">
        <v>0.0</v>
      </c>
      <c r="D593" s="137">
        <v>0.0</v>
      </c>
      <c r="E593" s="137">
        <v>0.0</v>
      </c>
      <c r="F593" s="137">
        <v>0.0</v>
      </c>
      <c r="G593" s="137">
        <v>0.0</v>
      </c>
      <c r="H593" s="137">
        <v>0.0</v>
      </c>
      <c r="I593" s="137">
        <v>0.0</v>
      </c>
      <c r="J593" s="137">
        <v>0.0</v>
      </c>
      <c r="K593" s="137">
        <v>0.0</v>
      </c>
      <c r="L593" s="137">
        <v>0.0</v>
      </c>
      <c r="M593" s="137">
        <v>0.0</v>
      </c>
      <c r="N593" s="137">
        <v>0.0</v>
      </c>
      <c r="O593" s="137">
        <v>0.0</v>
      </c>
      <c r="P593" s="137">
        <v>0.0</v>
      </c>
      <c r="Q593" s="137">
        <v>0.0</v>
      </c>
      <c r="R593" s="137">
        <v>0.0</v>
      </c>
      <c r="S593" s="137">
        <v>0.0</v>
      </c>
      <c r="T593" s="137">
        <v>0.0</v>
      </c>
      <c r="U593" s="137">
        <v>0.0</v>
      </c>
      <c r="V593" s="137">
        <v>0.0</v>
      </c>
      <c r="W593" s="137">
        <v>0.0</v>
      </c>
      <c r="X593" s="137">
        <v>0.0</v>
      </c>
      <c r="Y593" s="137">
        <v>0.0</v>
      </c>
      <c r="Z593" s="137">
        <v>0.0</v>
      </c>
      <c r="AA593" s="137">
        <v>0.0</v>
      </c>
      <c r="AB593" s="137">
        <v>0.0</v>
      </c>
      <c r="AC593" s="137">
        <v>0.0</v>
      </c>
      <c r="AD593" s="137">
        <v>0.0</v>
      </c>
      <c r="AE593" s="137">
        <v>0.0</v>
      </c>
      <c r="AF593" s="137">
        <v>0.0</v>
      </c>
      <c r="AG593" s="137">
        <v>0.0</v>
      </c>
      <c r="AH593" s="137">
        <v>0.0</v>
      </c>
      <c r="AI593" s="137">
        <v>0.0</v>
      </c>
      <c r="AJ593" s="137">
        <v>0.0</v>
      </c>
      <c r="AK593" s="137">
        <v>0.0</v>
      </c>
      <c r="AL593" s="137">
        <v>0.0</v>
      </c>
      <c r="AM593" s="137">
        <v>0.0</v>
      </c>
      <c r="AN593" s="137">
        <v>0.0</v>
      </c>
    </row>
    <row r="594">
      <c r="A594" s="104"/>
      <c r="B594" s="136" t="s">
        <v>206</v>
      </c>
      <c r="C594" s="137">
        <v>4.0</v>
      </c>
      <c r="D594" s="137">
        <v>4.0</v>
      </c>
      <c r="E594" s="137">
        <v>0.0</v>
      </c>
      <c r="F594" s="137">
        <v>0.0</v>
      </c>
      <c r="G594" s="137">
        <v>0.0</v>
      </c>
      <c r="H594" s="137">
        <v>0.0</v>
      </c>
      <c r="I594" s="137">
        <v>0.0</v>
      </c>
      <c r="J594" s="137">
        <v>0.0</v>
      </c>
      <c r="K594" s="137">
        <v>0.0</v>
      </c>
      <c r="L594" s="137">
        <v>0.0</v>
      </c>
      <c r="M594" s="137">
        <v>0.0</v>
      </c>
      <c r="N594" s="137">
        <v>0.0</v>
      </c>
      <c r="O594" s="137">
        <v>0.0</v>
      </c>
      <c r="P594" s="137">
        <v>0.0</v>
      </c>
      <c r="Q594" s="137">
        <v>0.0</v>
      </c>
      <c r="R594" s="137">
        <v>2.0</v>
      </c>
      <c r="S594" s="137">
        <v>0.0</v>
      </c>
      <c r="T594" s="137">
        <v>0.0</v>
      </c>
      <c r="U594" s="137">
        <v>0.0</v>
      </c>
      <c r="V594" s="137">
        <v>0.0</v>
      </c>
      <c r="W594" s="137">
        <v>0.0</v>
      </c>
      <c r="X594" s="137">
        <v>0.0</v>
      </c>
      <c r="Y594" s="137">
        <v>0.0</v>
      </c>
      <c r="Z594" s="137">
        <v>0.0</v>
      </c>
      <c r="AA594" s="137">
        <v>0.0</v>
      </c>
      <c r="AB594" s="137">
        <v>2.0</v>
      </c>
      <c r="AC594" s="137">
        <v>0.0</v>
      </c>
      <c r="AD594" s="137">
        <v>0.0</v>
      </c>
      <c r="AE594" s="137">
        <v>0.0</v>
      </c>
      <c r="AF594" s="137">
        <v>0.0</v>
      </c>
      <c r="AG594" s="137">
        <v>0.0</v>
      </c>
      <c r="AH594" s="137">
        <v>0.0</v>
      </c>
      <c r="AI594" s="137">
        <v>0.0</v>
      </c>
      <c r="AJ594" s="137">
        <v>0.0</v>
      </c>
      <c r="AK594" s="137">
        <v>0.0</v>
      </c>
      <c r="AL594" s="137">
        <v>0.0</v>
      </c>
      <c r="AM594" s="137">
        <v>0.0</v>
      </c>
      <c r="AN594" s="137">
        <v>2.0</v>
      </c>
    </row>
    <row r="595">
      <c r="A595" s="132" t="s">
        <v>207</v>
      </c>
      <c r="B595" s="136" t="s">
        <v>198</v>
      </c>
      <c r="C595" s="134">
        <v>13800.0</v>
      </c>
      <c r="D595" s="134">
        <v>3616.0</v>
      </c>
      <c r="E595" s="134">
        <v>10184.0</v>
      </c>
      <c r="F595" s="137">
        <v>46.0</v>
      </c>
      <c r="G595" s="137">
        <v>46.0</v>
      </c>
      <c r="H595" s="137">
        <v>88.0</v>
      </c>
      <c r="I595" s="137">
        <v>62.0</v>
      </c>
      <c r="J595" s="137">
        <v>110.0</v>
      </c>
      <c r="K595" s="137">
        <v>130.0</v>
      </c>
      <c r="L595" s="137">
        <v>120.0</v>
      </c>
      <c r="M595" s="137">
        <v>236.0</v>
      </c>
      <c r="N595" s="137">
        <v>108.0</v>
      </c>
      <c r="O595" s="137">
        <v>266.0</v>
      </c>
      <c r="P595" s="137">
        <v>88.0</v>
      </c>
      <c r="Q595" s="137">
        <v>316.0</v>
      </c>
      <c r="R595" s="137">
        <v>80.0</v>
      </c>
      <c r="S595" s="137">
        <v>412.0</v>
      </c>
      <c r="T595" s="137">
        <v>98.0</v>
      </c>
      <c r="U595" s="137">
        <v>472.0</v>
      </c>
      <c r="V595" s="137">
        <v>138.0</v>
      </c>
      <c r="W595" s="137">
        <v>516.0</v>
      </c>
      <c r="X595" s="137">
        <v>186.0</v>
      </c>
      <c r="Y595" s="137">
        <v>850.0</v>
      </c>
      <c r="Z595" s="137">
        <v>252.0</v>
      </c>
      <c r="AA595" s="134">
        <v>1086.0</v>
      </c>
      <c r="AB595" s="137">
        <v>346.0</v>
      </c>
      <c r="AC595" s="134">
        <v>1174.0</v>
      </c>
      <c r="AD595" s="137">
        <v>364.0</v>
      </c>
      <c r="AE595" s="134">
        <v>1176.0</v>
      </c>
      <c r="AF595" s="137">
        <v>362.0</v>
      </c>
      <c r="AG595" s="137">
        <v>988.0</v>
      </c>
      <c r="AH595" s="137">
        <v>450.0</v>
      </c>
      <c r="AI595" s="137">
        <v>834.0</v>
      </c>
      <c r="AJ595" s="137">
        <v>332.0</v>
      </c>
      <c r="AK595" s="137">
        <v>696.0</v>
      </c>
      <c r="AL595" s="137">
        <v>448.0</v>
      </c>
      <c r="AM595" s="137">
        <v>924.0</v>
      </c>
      <c r="AN595" s="134">
        <v>13592.0</v>
      </c>
    </row>
    <row r="596">
      <c r="A596" s="98"/>
      <c r="B596" s="136" t="s">
        <v>199</v>
      </c>
      <c r="C596" s="137">
        <v>614.0</v>
      </c>
      <c r="D596" s="137">
        <v>194.0</v>
      </c>
      <c r="E596" s="137">
        <v>420.0</v>
      </c>
      <c r="F596" s="137">
        <v>2.0</v>
      </c>
      <c r="G596" s="137">
        <v>20.0</v>
      </c>
      <c r="H596" s="137">
        <v>0.0</v>
      </c>
      <c r="I596" s="137">
        <v>2.0</v>
      </c>
      <c r="J596" s="137">
        <v>0.0</v>
      </c>
      <c r="K596" s="137">
        <v>0.0</v>
      </c>
      <c r="L596" s="137">
        <v>2.0</v>
      </c>
      <c r="M596" s="137">
        <v>0.0</v>
      </c>
      <c r="N596" s="137">
        <v>6.0</v>
      </c>
      <c r="O596" s="137">
        <v>2.0</v>
      </c>
      <c r="P596" s="137">
        <v>6.0</v>
      </c>
      <c r="Q596" s="137">
        <v>8.0</v>
      </c>
      <c r="R596" s="137">
        <v>0.0</v>
      </c>
      <c r="S596" s="137">
        <v>6.0</v>
      </c>
      <c r="T596" s="137">
        <v>2.0</v>
      </c>
      <c r="U596" s="137">
        <v>8.0</v>
      </c>
      <c r="V596" s="137">
        <v>6.0</v>
      </c>
      <c r="W596" s="137">
        <v>2.0</v>
      </c>
      <c r="X596" s="137">
        <v>6.0</v>
      </c>
      <c r="Y596" s="137">
        <v>26.0</v>
      </c>
      <c r="Z596" s="137">
        <v>4.0</v>
      </c>
      <c r="AA596" s="137">
        <v>34.0</v>
      </c>
      <c r="AB596" s="137">
        <v>14.0</v>
      </c>
      <c r="AC596" s="137">
        <v>56.0</v>
      </c>
      <c r="AD596" s="137">
        <v>16.0</v>
      </c>
      <c r="AE596" s="137">
        <v>58.0</v>
      </c>
      <c r="AF596" s="137">
        <v>22.0</v>
      </c>
      <c r="AG596" s="137">
        <v>62.0</v>
      </c>
      <c r="AH596" s="137">
        <v>36.0</v>
      </c>
      <c r="AI596" s="137">
        <v>34.0</v>
      </c>
      <c r="AJ596" s="137">
        <v>24.0</v>
      </c>
      <c r="AK596" s="137">
        <v>40.0</v>
      </c>
      <c r="AL596" s="137">
        <v>48.0</v>
      </c>
      <c r="AM596" s="137">
        <v>62.0</v>
      </c>
      <c r="AN596" s="137">
        <v>604.0</v>
      </c>
    </row>
    <row r="597">
      <c r="A597" s="98"/>
      <c r="B597" s="136" t="s">
        <v>206</v>
      </c>
      <c r="C597" s="137">
        <v>18.0</v>
      </c>
      <c r="D597" s="137">
        <v>0.0</v>
      </c>
      <c r="E597" s="137">
        <v>18.0</v>
      </c>
      <c r="F597" s="137">
        <v>0.0</v>
      </c>
      <c r="G597" s="137">
        <v>0.0</v>
      </c>
      <c r="H597" s="137">
        <v>0.0</v>
      </c>
      <c r="I597" s="137">
        <v>0.0</v>
      </c>
      <c r="J597" s="137">
        <v>0.0</v>
      </c>
      <c r="K597" s="137">
        <v>0.0</v>
      </c>
      <c r="L597" s="137">
        <v>0.0</v>
      </c>
      <c r="M597" s="137">
        <v>0.0</v>
      </c>
      <c r="N597" s="137">
        <v>0.0</v>
      </c>
      <c r="O597" s="137">
        <v>2.0</v>
      </c>
      <c r="P597" s="137">
        <v>0.0</v>
      </c>
      <c r="Q597" s="137">
        <v>0.0</v>
      </c>
      <c r="R597" s="137">
        <v>0.0</v>
      </c>
      <c r="S597" s="137">
        <v>0.0</v>
      </c>
      <c r="T597" s="137">
        <v>0.0</v>
      </c>
      <c r="U597" s="137">
        <v>2.0</v>
      </c>
      <c r="V597" s="137">
        <v>0.0</v>
      </c>
      <c r="W597" s="137">
        <v>4.0</v>
      </c>
      <c r="X597" s="137">
        <v>0.0</v>
      </c>
      <c r="Y597" s="137">
        <v>0.0</v>
      </c>
      <c r="Z597" s="137">
        <v>0.0</v>
      </c>
      <c r="AA597" s="137">
        <v>4.0</v>
      </c>
      <c r="AB597" s="137">
        <v>0.0</v>
      </c>
      <c r="AC597" s="137">
        <v>2.0</v>
      </c>
      <c r="AD597" s="137">
        <v>0.0</v>
      </c>
      <c r="AE597" s="137">
        <v>2.0</v>
      </c>
      <c r="AF597" s="137">
        <v>0.0</v>
      </c>
      <c r="AG597" s="137">
        <v>0.0</v>
      </c>
      <c r="AH597" s="137">
        <v>0.0</v>
      </c>
      <c r="AI597" s="137">
        <v>2.0</v>
      </c>
      <c r="AJ597" s="137">
        <v>0.0</v>
      </c>
      <c r="AK597" s="137">
        <v>0.0</v>
      </c>
      <c r="AL597" s="137">
        <v>0.0</v>
      </c>
      <c r="AM597" s="137">
        <v>0.0</v>
      </c>
      <c r="AN597" s="137">
        <v>0.0</v>
      </c>
    </row>
    <row r="598">
      <c r="A598" s="98"/>
      <c r="B598" s="136" t="s">
        <v>200</v>
      </c>
      <c r="C598" s="134">
        <v>2336.0</v>
      </c>
      <c r="D598" s="137">
        <v>714.0</v>
      </c>
      <c r="E598" s="134">
        <v>1622.0</v>
      </c>
      <c r="F598" s="137">
        <v>428.0</v>
      </c>
      <c r="G598" s="137">
        <v>412.0</v>
      </c>
      <c r="H598" s="137">
        <v>106.0</v>
      </c>
      <c r="I598" s="137">
        <v>136.0</v>
      </c>
      <c r="J598" s="137">
        <v>60.0</v>
      </c>
      <c r="K598" s="137">
        <v>82.0</v>
      </c>
      <c r="L598" s="137">
        <v>14.0</v>
      </c>
      <c r="M598" s="137">
        <v>90.0</v>
      </c>
      <c r="N598" s="137">
        <v>8.0</v>
      </c>
      <c r="O598" s="137">
        <v>116.0</v>
      </c>
      <c r="P598" s="137">
        <v>20.0</v>
      </c>
      <c r="Q598" s="137">
        <v>176.0</v>
      </c>
      <c r="R598" s="137">
        <v>4.0</v>
      </c>
      <c r="S598" s="137">
        <v>132.0</v>
      </c>
      <c r="T598" s="137">
        <v>12.0</v>
      </c>
      <c r="U598" s="137">
        <v>108.0</v>
      </c>
      <c r="V598" s="137">
        <v>12.0</v>
      </c>
      <c r="W598" s="137">
        <v>68.0</v>
      </c>
      <c r="X598" s="137">
        <v>2.0</v>
      </c>
      <c r="Y598" s="137">
        <v>74.0</v>
      </c>
      <c r="Z598" s="137">
        <v>8.0</v>
      </c>
      <c r="AA598" s="137">
        <v>78.0</v>
      </c>
      <c r="AB598" s="137">
        <v>6.0</v>
      </c>
      <c r="AC598" s="137">
        <v>58.0</v>
      </c>
      <c r="AD598" s="137">
        <v>12.0</v>
      </c>
      <c r="AE598" s="137">
        <v>34.0</v>
      </c>
      <c r="AF598" s="137">
        <v>10.0</v>
      </c>
      <c r="AG598" s="137">
        <v>24.0</v>
      </c>
      <c r="AH598" s="137">
        <v>6.0</v>
      </c>
      <c r="AI598" s="137">
        <v>14.0</v>
      </c>
      <c r="AJ598" s="137">
        <v>4.0</v>
      </c>
      <c r="AK598" s="137">
        <v>6.0</v>
      </c>
      <c r="AL598" s="137">
        <v>2.0</v>
      </c>
      <c r="AM598" s="137">
        <v>14.0</v>
      </c>
      <c r="AN598" s="134">
        <v>2324.0</v>
      </c>
    </row>
    <row r="599">
      <c r="A599" s="104"/>
      <c r="B599" s="136" t="s">
        <v>201</v>
      </c>
      <c r="C599" s="137">
        <v>380.0</v>
      </c>
      <c r="D599" s="137">
        <v>164.0</v>
      </c>
      <c r="E599" s="137">
        <v>216.0</v>
      </c>
      <c r="F599" s="137">
        <v>0.0</v>
      </c>
      <c r="G599" s="137">
        <v>2.0</v>
      </c>
      <c r="H599" s="137">
        <v>4.0</v>
      </c>
      <c r="I599" s="137">
        <v>0.0</v>
      </c>
      <c r="J599" s="137">
        <v>2.0</v>
      </c>
      <c r="K599" s="137">
        <v>4.0</v>
      </c>
      <c r="L599" s="137">
        <v>4.0</v>
      </c>
      <c r="M599" s="137">
        <v>6.0</v>
      </c>
      <c r="N599" s="137">
        <v>2.0</v>
      </c>
      <c r="O599" s="137">
        <v>8.0</v>
      </c>
      <c r="P599" s="137">
        <v>2.0</v>
      </c>
      <c r="Q599" s="137">
        <v>14.0</v>
      </c>
      <c r="R599" s="137">
        <v>2.0</v>
      </c>
      <c r="S599" s="137">
        <v>6.0</v>
      </c>
      <c r="T599" s="137">
        <v>2.0</v>
      </c>
      <c r="U599" s="137">
        <v>8.0</v>
      </c>
      <c r="V599" s="137">
        <v>14.0</v>
      </c>
      <c r="W599" s="137">
        <v>8.0</v>
      </c>
      <c r="X599" s="137">
        <v>12.0</v>
      </c>
      <c r="Y599" s="137">
        <v>24.0</v>
      </c>
      <c r="Z599" s="137">
        <v>18.0</v>
      </c>
      <c r="AA599" s="137">
        <v>22.0</v>
      </c>
      <c r="AB599" s="137">
        <v>20.0</v>
      </c>
      <c r="AC599" s="137">
        <v>14.0</v>
      </c>
      <c r="AD599" s="137">
        <v>18.0</v>
      </c>
      <c r="AE599" s="137">
        <v>26.0</v>
      </c>
      <c r="AF599" s="137">
        <v>18.0</v>
      </c>
      <c r="AG599" s="137">
        <v>18.0</v>
      </c>
      <c r="AH599" s="137">
        <v>16.0</v>
      </c>
      <c r="AI599" s="137">
        <v>30.0</v>
      </c>
      <c r="AJ599" s="137">
        <v>12.0</v>
      </c>
      <c r="AK599" s="137">
        <v>12.0</v>
      </c>
      <c r="AL599" s="137">
        <v>18.0</v>
      </c>
      <c r="AM599" s="137">
        <v>14.0</v>
      </c>
      <c r="AN599" s="137">
        <v>380.0</v>
      </c>
    </row>
    <row r="600">
      <c r="A600" s="132" t="s">
        <v>208</v>
      </c>
      <c r="B600" s="136" t="s">
        <v>198</v>
      </c>
      <c r="C600" s="137">
        <v>28.0</v>
      </c>
      <c r="D600" s="137">
        <v>14.0</v>
      </c>
      <c r="E600" s="137">
        <v>14.0</v>
      </c>
      <c r="F600" s="137">
        <v>6.0</v>
      </c>
      <c r="G600" s="137">
        <v>10.0</v>
      </c>
      <c r="H600" s="137">
        <v>2.0</v>
      </c>
      <c r="I600" s="137">
        <v>2.0</v>
      </c>
      <c r="J600" s="137">
        <v>6.0</v>
      </c>
      <c r="K600" s="137">
        <v>2.0</v>
      </c>
      <c r="L600" s="137">
        <v>0.0</v>
      </c>
      <c r="M600" s="137">
        <v>0.0</v>
      </c>
      <c r="N600" s="137">
        <v>0.0</v>
      </c>
      <c r="O600" s="137">
        <v>0.0</v>
      </c>
      <c r="P600" s="135">
        <v>0.0</v>
      </c>
      <c r="Q600" s="135">
        <v>0.0</v>
      </c>
      <c r="R600" s="135">
        <v>0.0</v>
      </c>
      <c r="S600" s="135">
        <v>0.0</v>
      </c>
      <c r="T600" s="135">
        <v>0.0</v>
      </c>
      <c r="U600" s="135">
        <v>0.0</v>
      </c>
      <c r="V600" s="135">
        <v>0.0</v>
      </c>
      <c r="W600" s="135">
        <v>0.0</v>
      </c>
      <c r="X600" s="135">
        <v>0.0</v>
      </c>
      <c r="Y600" s="135">
        <v>0.0</v>
      </c>
      <c r="Z600" s="135">
        <v>0.0</v>
      </c>
      <c r="AA600" s="135">
        <v>0.0</v>
      </c>
      <c r="AB600" s="135">
        <v>0.0</v>
      </c>
      <c r="AC600" s="135">
        <v>0.0</v>
      </c>
      <c r="AD600" s="135">
        <v>0.0</v>
      </c>
      <c r="AE600" s="135">
        <v>0.0</v>
      </c>
      <c r="AF600" s="135">
        <v>0.0</v>
      </c>
      <c r="AG600" s="135">
        <v>0.0</v>
      </c>
      <c r="AH600" s="135">
        <v>0.0</v>
      </c>
      <c r="AI600" s="135">
        <v>0.0</v>
      </c>
      <c r="AJ600" s="135">
        <v>0.0</v>
      </c>
      <c r="AK600" s="135">
        <v>0.0</v>
      </c>
      <c r="AL600" s="135">
        <v>0.0</v>
      </c>
      <c r="AM600" s="135">
        <v>0.0</v>
      </c>
      <c r="AN600" s="137">
        <v>26.0</v>
      </c>
    </row>
    <row r="601">
      <c r="A601" s="98"/>
      <c r="B601" s="136" t="s">
        <v>199</v>
      </c>
      <c r="C601" s="137">
        <v>118.0</v>
      </c>
      <c r="D601" s="137">
        <v>70.0</v>
      </c>
      <c r="E601" s="137">
        <v>48.0</v>
      </c>
      <c r="F601" s="137">
        <v>54.0</v>
      </c>
      <c r="G601" s="137">
        <v>34.0</v>
      </c>
      <c r="H601" s="137">
        <v>8.0</v>
      </c>
      <c r="I601" s="137">
        <v>8.0</v>
      </c>
      <c r="J601" s="137">
        <v>6.0</v>
      </c>
      <c r="K601" s="137">
        <v>0.0</v>
      </c>
      <c r="L601" s="137">
        <v>2.0</v>
      </c>
      <c r="M601" s="137">
        <v>2.0</v>
      </c>
      <c r="N601" s="137">
        <v>0.0</v>
      </c>
      <c r="O601" s="137">
        <v>4.0</v>
      </c>
      <c r="P601" s="135">
        <v>0.0</v>
      </c>
      <c r="Q601" s="135">
        <v>0.0</v>
      </c>
      <c r="R601" s="135">
        <v>0.0</v>
      </c>
      <c r="S601" s="135">
        <v>0.0</v>
      </c>
      <c r="T601" s="135">
        <v>0.0</v>
      </c>
      <c r="U601" s="135">
        <v>0.0</v>
      </c>
      <c r="V601" s="135">
        <v>0.0</v>
      </c>
      <c r="W601" s="135">
        <v>0.0</v>
      </c>
      <c r="X601" s="135">
        <v>0.0</v>
      </c>
      <c r="Y601" s="135">
        <v>0.0</v>
      </c>
      <c r="Z601" s="135">
        <v>0.0</v>
      </c>
      <c r="AA601" s="135">
        <v>0.0</v>
      </c>
      <c r="AB601" s="135">
        <v>0.0</v>
      </c>
      <c r="AC601" s="135">
        <v>0.0</v>
      </c>
      <c r="AD601" s="135">
        <v>0.0</v>
      </c>
      <c r="AE601" s="135">
        <v>0.0</v>
      </c>
      <c r="AF601" s="135">
        <v>0.0</v>
      </c>
      <c r="AG601" s="135">
        <v>0.0</v>
      </c>
      <c r="AH601" s="135">
        <v>0.0</v>
      </c>
      <c r="AI601" s="135">
        <v>0.0</v>
      </c>
      <c r="AJ601" s="135">
        <v>0.0</v>
      </c>
      <c r="AK601" s="135">
        <v>0.0</v>
      </c>
      <c r="AL601" s="135">
        <v>0.0</v>
      </c>
      <c r="AM601" s="135">
        <v>0.0</v>
      </c>
      <c r="AN601" s="137">
        <v>102.0</v>
      </c>
    </row>
    <row r="602">
      <c r="A602" s="98"/>
      <c r="B602" s="136" t="s">
        <v>206</v>
      </c>
      <c r="C602" s="137">
        <v>0.0</v>
      </c>
      <c r="D602" s="137">
        <v>0.0</v>
      </c>
      <c r="E602" s="137">
        <v>0.0</v>
      </c>
      <c r="F602" s="137">
        <v>0.0</v>
      </c>
      <c r="G602" s="137">
        <v>0.0</v>
      </c>
      <c r="H602" s="137">
        <v>0.0</v>
      </c>
      <c r="I602" s="137">
        <v>0.0</v>
      </c>
      <c r="J602" s="137">
        <v>0.0</v>
      </c>
      <c r="K602" s="137">
        <v>0.0</v>
      </c>
      <c r="L602" s="137">
        <v>0.0</v>
      </c>
      <c r="M602" s="137">
        <v>0.0</v>
      </c>
      <c r="N602" s="137">
        <v>0.0</v>
      </c>
      <c r="O602" s="137">
        <v>0.0</v>
      </c>
      <c r="P602" s="135">
        <v>0.0</v>
      </c>
      <c r="Q602" s="135">
        <v>0.0</v>
      </c>
      <c r="R602" s="135">
        <v>0.0</v>
      </c>
      <c r="S602" s="135">
        <v>0.0</v>
      </c>
      <c r="T602" s="135">
        <v>0.0</v>
      </c>
      <c r="U602" s="135">
        <v>0.0</v>
      </c>
      <c r="V602" s="135">
        <v>0.0</v>
      </c>
      <c r="W602" s="135">
        <v>0.0</v>
      </c>
      <c r="X602" s="135">
        <v>0.0</v>
      </c>
      <c r="Y602" s="135">
        <v>0.0</v>
      </c>
      <c r="Z602" s="135">
        <v>0.0</v>
      </c>
      <c r="AA602" s="135">
        <v>0.0</v>
      </c>
      <c r="AB602" s="135">
        <v>0.0</v>
      </c>
      <c r="AC602" s="135">
        <v>0.0</v>
      </c>
      <c r="AD602" s="135">
        <v>0.0</v>
      </c>
      <c r="AE602" s="135">
        <v>0.0</v>
      </c>
      <c r="AF602" s="135">
        <v>0.0</v>
      </c>
      <c r="AG602" s="135">
        <v>0.0</v>
      </c>
      <c r="AH602" s="135">
        <v>0.0</v>
      </c>
      <c r="AI602" s="135">
        <v>0.0</v>
      </c>
      <c r="AJ602" s="135">
        <v>0.0</v>
      </c>
      <c r="AK602" s="135">
        <v>0.0</v>
      </c>
      <c r="AL602" s="135">
        <v>0.0</v>
      </c>
      <c r="AM602" s="135">
        <v>0.0</v>
      </c>
      <c r="AN602" s="137">
        <v>0.0</v>
      </c>
    </row>
    <row r="603">
      <c r="A603" s="98"/>
      <c r="B603" s="136" t="s">
        <v>200</v>
      </c>
      <c r="C603" s="137">
        <v>48.0</v>
      </c>
      <c r="D603" s="137">
        <v>28.0</v>
      </c>
      <c r="E603" s="137">
        <v>20.0</v>
      </c>
      <c r="F603" s="137">
        <v>26.0</v>
      </c>
      <c r="G603" s="137">
        <v>16.0</v>
      </c>
      <c r="H603" s="137">
        <v>2.0</v>
      </c>
      <c r="I603" s="137">
        <v>4.0</v>
      </c>
      <c r="J603" s="137">
        <v>0.0</v>
      </c>
      <c r="K603" s="137">
        <v>0.0</v>
      </c>
      <c r="L603" s="137">
        <v>0.0</v>
      </c>
      <c r="M603" s="137">
        <v>0.0</v>
      </c>
      <c r="N603" s="137">
        <v>0.0</v>
      </c>
      <c r="O603" s="137">
        <v>0.0</v>
      </c>
      <c r="P603" s="135">
        <v>0.0</v>
      </c>
      <c r="Q603" s="135">
        <v>0.0</v>
      </c>
      <c r="R603" s="135">
        <v>0.0</v>
      </c>
      <c r="S603" s="135">
        <v>0.0</v>
      </c>
      <c r="T603" s="135">
        <v>0.0</v>
      </c>
      <c r="U603" s="135">
        <v>0.0</v>
      </c>
      <c r="V603" s="135">
        <v>0.0</v>
      </c>
      <c r="W603" s="135">
        <v>0.0</v>
      </c>
      <c r="X603" s="135">
        <v>0.0</v>
      </c>
      <c r="Y603" s="135">
        <v>0.0</v>
      </c>
      <c r="Z603" s="135">
        <v>0.0</v>
      </c>
      <c r="AA603" s="135">
        <v>0.0</v>
      </c>
      <c r="AB603" s="135">
        <v>0.0</v>
      </c>
      <c r="AC603" s="135">
        <v>0.0</v>
      </c>
      <c r="AD603" s="135">
        <v>0.0</v>
      </c>
      <c r="AE603" s="135">
        <v>0.0</v>
      </c>
      <c r="AF603" s="135">
        <v>0.0</v>
      </c>
      <c r="AG603" s="135">
        <v>0.0</v>
      </c>
      <c r="AH603" s="135">
        <v>0.0</v>
      </c>
      <c r="AI603" s="135">
        <v>0.0</v>
      </c>
      <c r="AJ603" s="135">
        <v>0.0</v>
      </c>
      <c r="AK603" s="135">
        <v>0.0</v>
      </c>
      <c r="AL603" s="135">
        <v>0.0</v>
      </c>
      <c r="AM603" s="135">
        <v>0.0</v>
      </c>
      <c r="AN603" s="137">
        <v>46.0</v>
      </c>
    </row>
    <row r="604">
      <c r="A604" s="104"/>
      <c r="B604" s="136" t="s">
        <v>201</v>
      </c>
      <c r="C604" s="137">
        <v>0.0</v>
      </c>
      <c r="D604" s="137">
        <v>0.0</v>
      </c>
      <c r="E604" s="137">
        <v>0.0</v>
      </c>
      <c r="F604" s="137">
        <v>0.0</v>
      </c>
      <c r="G604" s="137">
        <v>0.0</v>
      </c>
      <c r="H604" s="137">
        <v>0.0</v>
      </c>
      <c r="I604" s="137">
        <v>0.0</v>
      </c>
      <c r="J604" s="137">
        <v>0.0</v>
      </c>
      <c r="K604" s="137">
        <v>0.0</v>
      </c>
      <c r="L604" s="137">
        <v>0.0</v>
      </c>
      <c r="M604" s="137">
        <v>0.0</v>
      </c>
      <c r="N604" s="137">
        <v>0.0</v>
      </c>
      <c r="O604" s="137">
        <v>0.0</v>
      </c>
      <c r="P604" s="135">
        <v>0.0</v>
      </c>
      <c r="Q604" s="135">
        <v>0.0</v>
      </c>
      <c r="R604" s="135">
        <v>0.0</v>
      </c>
      <c r="S604" s="135">
        <v>0.0</v>
      </c>
      <c r="T604" s="135">
        <v>0.0</v>
      </c>
      <c r="U604" s="135">
        <v>0.0</v>
      </c>
      <c r="V604" s="135">
        <v>0.0</v>
      </c>
      <c r="W604" s="135">
        <v>0.0</v>
      </c>
      <c r="X604" s="135">
        <v>0.0</v>
      </c>
      <c r="Y604" s="135">
        <v>0.0</v>
      </c>
      <c r="Z604" s="135">
        <v>0.0</v>
      </c>
      <c r="AA604" s="135">
        <v>0.0</v>
      </c>
      <c r="AB604" s="135">
        <v>0.0</v>
      </c>
      <c r="AC604" s="135">
        <v>0.0</v>
      </c>
      <c r="AD604" s="135">
        <v>0.0</v>
      </c>
      <c r="AE604" s="135">
        <v>0.0</v>
      </c>
      <c r="AF604" s="135">
        <v>0.0</v>
      </c>
      <c r="AG604" s="135">
        <v>0.0</v>
      </c>
      <c r="AH604" s="135">
        <v>0.0</v>
      </c>
      <c r="AI604" s="135">
        <v>0.0</v>
      </c>
      <c r="AJ604" s="135">
        <v>0.0</v>
      </c>
      <c r="AK604" s="135">
        <v>0.0</v>
      </c>
      <c r="AL604" s="135">
        <v>0.0</v>
      </c>
      <c r="AM604" s="135">
        <v>0.0</v>
      </c>
      <c r="AN604" s="137">
        <v>0.0</v>
      </c>
    </row>
    <row r="605">
      <c r="A605" s="138" t="s">
        <v>264</v>
      </c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</row>
    <row r="606">
      <c r="A606" s="132" t="s">
        <v>197</v>
      </c>
      <c r="B606" s="133" t="s">
        <v>198</v>
      </c>
      <c r="C606" s="134">
        <v>63436.0</v>
      </c>
      <c r="D606" s="134">
        <v>24472.0</v>
      </c>
      <c r="E606" s="134">
        <v>38964.0</v>
      </c>
      <c r="F606" s="135">
        <v>0.0</v>
      </c>
      <c r="G606" s="135">
        <v>0.0</v>
      </c>
      <c r="H606" s="135">
        <v>0.0</v>
      </c>
      <c r="I606" s="135">
        <v>0.0</v>
      </c>
      <c r="J606" s="135">
        <v>0.0</v>
      </c>
      <c r="K606" s="135">
        <v>0.0</v>
      </c>
      <c r="L606" s="137">
        <v>22.0</v>
      </c>
      <c r="M606" s="137">
        <v>26.0</v>
      </c>
      <c r="N606" s="137">
        <v>50.0</v>
      </c>
      <c r="O606" s="137">
        <v>90.0</v>
      </c>
      <c r="P606" s="137">
        <v>168.0</v>
      </c>
      <c r="Q606" s="137">
        <v>290.0</v>
      </c>
      <c r="R606" s="137">
        <v>220.0</v>
      </c>
      <c r="S606" s="137">
        <v>482.0</v>
      </c>
      <c r="T606" s="137">
        <v>422.0</v>
      </c>
      <c r="U606" s="137">
        <v>694.0</v>
      </c>
      <c r="V606" s="137">
        <v>778.0</v>
      </c>
      <c r="W606" s="134">
        <v>1396.0</v>
      </c>
      <c r="X606" s="134">
        <v>1382.0</v>
      </c>
      <c r="Y606" s="134">
        <v>2222.0</v>
      </c>
      <c r="Z606" s="134">
        <v>2154.0</v>
      </c>
      <c r="AA606" s="134">
        <v>4212.0</v>
      </c>
      <c r="AB606" s="134">
        <v>3076.0</v>
      </c>
      <c r="AC606" s="134">
        <v>5458.0</v>
      </c>
      <c r="AD606" s="134">
        <v>3502.0</v>
      </c>
      <c r="AE606" s="134">
        <v>5690.0</v>
      </c>
      <c r="AF606" s="134">
        <v>3578.0</v>
      </c>
      <c r="AG606" s="134">
        <v>5386.0</v>
      </c>
      <c r="AH606" s="134">
        <v>3410.0</v>
      </c>
      <c r="AI606" s="134">
        <v>4816.0</v>
      </c>
      <c r="AJ606" s="134">
        <v>2508.0</v>
      </c>
      <c r="AK606" s="134">
        <v>3452.0</v>
      </c>
      <c r="AL606" s="134">
        <v>3202.0</v>
      </c>
      <c r="AM606" s="134">
        <v>4750.0</v>
      </c>
      <c r="AN606" s="134">
        <v>63206.0</v>
      </c>
    </row>
    <row r="607">
      <c r="A607" s="98"/>
      <c r="B607" s="136" t="s">
        <v>199</v>
      </c>
      <c r="C607" s="134">
        <v>18864.0</v>
      </c>
      <c r="D607" s="134">
        <v>7058.0</v>
      </c>
      <c r="E607" s="134">
        <v>11806.0</v>
      </c>
      <c r="F607" s="135">
        <v>0.0</v>
      </c>
      <c r="G607" s="135">
        <v>0.0</v>
      </c>
      <c r="H607" s="135">
        <v>0.0</v>
      </c>
      <c r="I607" s="135">
        <v>0.0</v>
      </c>
      <c r="J607" s="135">
        <v>0.0</v>
      </c>
      <c r="K607" s="135">
        <v>0.0</v>
      </c>
      <c r="L607" s="137">
        <v>2.0</v>
      </c>
      <c r="M607" s="137">
        <v>6.0</v>
      </c>
      <c r="N607" s="137">
        <v>4.0</v>
      </c>
      <c r="O607" s="137">
        <v>12.0</v>
      </c>
      <c r="P607" s="137">
        <v>40.0</v>
      </c>
      <c r="Q607" s="137">
        <v>88.0</v>
      </c>
      <c r="R607" s="137">
        <v>42.0</v>
      </c>
      <c r="S607" s="137">
        <v>96.0</v>
      </c>
      <c r="T607" s="137">
        <v>90.0</v>
      </c>
      <c r="U607" s="137">
        <v>146.0</v>
      </c>
      <c r="V607" s="137">
        <v>138.0</v>
      </c>
      <c r="W607" s="137">
        <v>294.0</v>
      </c>
      <c r="X607" s="137">
        <v>288.0</v>
      </c>
      <c r="Y607" s="137">
        <v>660.0</v>
      </c>
      <c r="Z607" s="137">
        <v>462.0</v>
      </c>
      <c r="AA607" s="134">
        <v>1100.0</v>
      </c>
      <c r="AB607" s="137">
        <v>860.0</v>
      </c>
      <c r="AC607" s="134">
        <v>1560.0</v>
      </c>
      <c r="AD607" s="137">
        <v>992.0</v>
      </c>
      <c r="AE607" s="134">
        <v>1720.0</v>
      </c>
      <c r="AF607" s="134">
        <v>1100.0</v>
      </c>
      <c r="AG607" s="134">
        <v>1710.0</v>
      </c>
      <c r="AH607" s="134">
        <v>1120.0</v>
      </c>
      <c r="AI607" s="134">
        <v>1580.0</v>
      </c>
      <c r="AJ607" s="137">
        <v>876.0</v>
      </c>
      <c r="AK607" s="134">
        <v>1210.0</v>
      </c>
      <c r="AL607" s="134">
        <v>1044.0</v>
      </c>
      <c r="AM607" s="134">
        <v>1624.0</v>
      </c>
      <c r="AN607" s="134">
        <v>18828.0</v>
      </c>
    </row>
    <row r="608">
      <c r="A608" s="98"/>
      <c r="B608" s="136" t="s">
        <v>200</v>
      </c>
      <c r="C608" s="134">
        <v>14242.0</v>
      </c>
      <c r="D608" s="134">
        <v>5108.0</v>
      </c>
      <c r="E608" s="134">
        <v>9134.0</v>
      </c>
      <c r="F608" s="135">
        <v>0.0</v>
      </c>
      <c r="G608" s="135">
        <v>0.0</v>
      </c>
      <c r="H608" s="135">
        <v>0.0</v>
      </c>
      <c r="I608" s="135">
        <v>0.0</v>
      </c>
      <c r="J608" s="135">
        <v>0.0</v>
      </c>
      <c r="K608" s="135">
        <v>0.0</v>
      </c>
      <c r="L608" s="137">
        <v>2.0</v>
      </c>
      <c r="M608" s="137">
        <v>10.0</v>
      </c>
      <c r="N608" s="137">
        <v>18.0</v>
      </c>
      <c r="O608" s="137">
        <v>18.0</v>
      </c>
      <c r="P608" s="137">
        <v>46.0</v>
      </c>
      <c r="Q608" s="137">
        <v>80.0</v>
      </c>
      <c r="R608" s="137">
        <v>50.0</v>
      </c>
      <c r="S608" s="137">
        <v>158.0</v>
      </c>
      <c r="T608" s="137">
        <v>106.0</v>
      </c>
      <c r="U608" s="137">
        <v>218.0</v>
      </c>
      <c r="V608" s="137">
        <v>180.0</v>
      </c>
      <c r="W608" s="137">
        <v>340.0</v>
      </c>
      <c r="X608" s="137">
        <v>310.0</v>
      </c>
      <c r="Y608" s="137">
        <v>624.0</v>
      </c>
      <c r="Z608" s="137">
        <v>488.0</v>
      </c>
      <c r="AA608" s="134">
        <v>1070.0</v>
      </c>
      <c r="AB608" s="137">
        <v>626.0</v>
      </c>
      <c r="AC608" s="134">
        <v>1376.0</v>
      </c>
      <c r="AD608" s="137">
        <v>704.0</v>
      </c>
      <c r="AE608" s="134">
        <v>1418.0</v>
      </c>
      <c r="AF608" s="137">
        <v>768.0</v>
      </c>
      <c r="AG608" s="134">
        <v>1254.0</v>
      </c>
      <c r="AH608" s="137">
        <v>704.0</v>
      </c>
      <c r="AI608" s="134">
        <v>1014.0</v>
      </c>
      <c r="AJ608" s="137">
        <v>566.0</v>
      </c>
      <c r="AK608" s="137">
        <v>766.0</v>
      </c>
      <c r="AL608" s="137">
        <v>540.0</v>
      </c>
      <c r="AM608" s="137">
        <v>788.0</v>
      </c>
      <c r="AN608" s="134">
        <v>14228.0</v>
      </c>
    </row>
    <row r="609">
      <c r="A609" s="104"/>
      <c r="B609" s="136" t="s">
        <v>201</v>
      </c>
      <c r="C609" s="137">
        <v>240.0</v>
      </c>
      <c r="D609" s="137">
        <v>100.0</v>
      </c>
      <c r="E609" s="137">
        <v>140.0</v>
      </c>
      <c r="F609" s="135">
        <v>0.0</v>
      </c>
      <c r="G609" s="135">
        <v>0.0</v>
      </c>
      <c r="H609" s="135">
        <v>0.0</v>
      </c>
      <c r="I609" s="135">
        <v>0.0</v>
      </c>
      <c r="J609" s="135">
        <v>0.0</v>
      </c>
      <c r="K609" s="135">
        <v>0.0</v>
      </c>
      <c r="L609" s="137">
        <v>0.0</v>
      </c>
      <c r="M609" s="137">
        <v>0.0</v>
      </c>
      <c r="N609" s="137">
        <v>0.0</v>
      </c>
      <c r="O609" s="137">
        <v>2.0</v>
      </c>
      <c r="P609" s="137">
        <v>0.0</v>
      </c>
      <c r="Q609" s="137">
        <v>6.0</v>
      </c>
      <c r="R609" s="137">
        <v>0.0</v>
      </c>
      <c r="S609" s="137">
        <v>2.0</v>
      </c>
      <c r="T609" s="137">
        <v>2.0</v>
      </c>
      <c r="U609" s="137">
        <v>4.0</v>
      </c>
      <c r="V609" s="137">
        <v>4.0</v>
      </c>
      <c r="W609" s="137">
        <v>12.0</v>
      </c>
      <c r="X609" s="137">
        <v>4.0</v>
      </c>
      <c r="Y609" s="137">
        <v>12.0</v>
      </c>
      <c r="Z609" s="137">
        <v>14.0</v>
      </c>
      <c r="AA609" s="137">
        <v>24.0</v>
      </c>
      <c r="AB609" s="137">
        <v>16.0</v>
      </c>
      <c r="AC609" s="137">
        <v>12.0</v>
      </c>
      <c r="AD609" s="137">
        <v>10.0</v>
      </c>
      <c r="AE609" s="137">
        <v>22.0</v>
      </c>
      <c r="AF609" s="137">
        <v>22.0</v>
      </c>
      <c r="AG609" s="137">
        <v>16.0</v>
      </c>
      <c r="AH609" s="137">
        <v>10.0</v>
      </c>
      <c r="AI609" s="137">
        <v>8.0</v>
      </c>
      <c r="AJ609" s="137">
        <v>12.0</v>
      </c>
      <c r="AK609" s="137">
        <v>10.0</v>
      </c>
      <c r="AL609" s="137">
        <v>6.0</v>
      </c>
      <c r="AM609" s="137">
        <v>10.0</v>
      </c>
      <c r="AN609" s="137">
        <v>240.0</v>
      </c>
    </row>
    <row r="610">
      <c r="A610" s="132" t="s">
        <v>202</v>
      </c>
      <c r="B610" s="136" t="s">
        <v>198</v>
      </c>
      <c r="C610" s="137">
        <v>210.0</v>
      </c>
      <c r="D610" s="137">
        <v>98.0</v>
      </c>
      <c r="E610" s="137">
        <v>112.0</v>
      </c>
      <c r="F610" s="137">
        <v>4.0</v>
      </c>
      <c r="G610" s="137">
        <v>0.0</v>
      </c>
      <c r="H610" s="137">
        <v>0.0</v>
      </c>
      <c r="I610" s="137">
        <v>2.0</v>
      </c>
      <c r="J610" s="137">
        <v>2.0</v>
      </c>
      <c r="K610" s="137">
        <v>0.0</v>
      </c>
      <c r="L610" s="137">
        <v>0.0</v>
      </c>
      <c r="M610" s="137">
        <v>0.0</v>
      </c>
      <c r="N610" s="137">
        <v>8.0</v>
      </c>
      <c r="O610" s="137">
        <v>6.0</v>
      </c>
      <c r="P610" s="137">
        <v>4.0</v>
      </c>
      <c r="Q610" s="137">
        <v>4.0</v>
      </c>
      <c r="R610" s="137">
        <v>8.0</v>
      </c>
      <c r="S610" s="137">
        <v>4.0</v>
      </c>
      <c r="T610" s="137">
        <v>22.0</v>
      </c>
      <c r="U610" s="137">
        <v>12.0</v>
      </c>
      <c r="V610" s="137">
        <v>0.0</v>
      </c>
      <c r="W610" s="137">
        <v>8.0</v>
      </c>
      <c r="X610" s="137">
        <v>10.0</v>
      </c>
      <c r="Y610" s="137">
        <v>20.0</v>
      </c>
      <c r="Z610" s="137">
        <v>8.0</v>
      </c>
      <c r="AA610" s="137">
        <v>8.0</v>
      </c>
      <c r="AB610" s="137">
        <v>12.0</v>
      </c>
      <c r="AC610" s="137">
        <v>8.0</v>
      </c>
      <c r="AD610" s="137">
        <v>2.0</v>
      </c>
      <c r="AE610" s="137">
        <v>0.0</v>
      </c>
      <c r="AF610" s="137">
        <v>10.0</v>
      </c>
      <c r="AG610" s="137">
        <v>10.0</v>
      </c>
      <c r="AH610" s="137">
        <v>0.0</v>
      </c>
      <c r="AI610" s="137">
        <v>14.0</v>
      </c>
      <c r="AJ610" s="137">
        <v>6.0</v>
      </c>
      <c r="AK610" s="137">
        <v>6.0</v>
      </c>
      <c r="AL610" s="137">
        <v>2.0</v>
      </c>
      <c r="AM610" s="137">
        <v>10.0</v>
      </c>
      <c r="AN610" s="137">
        <v>204.0</v>
      </c>
    </row>
    <row r="611">
      <c r="A611" s="104"/>
      <c r="B611" s="136" t="s">
        <v>199</v>
      </c>
      <c r="C611" s="137">
        <v>114.0</v>
      </c>
      <c r="D611" s="137">
        <v>76.0</v>
      </c>
      <c r="E611" s="137">
        <v>38.0</v>
      </c>
      <c r="F611" s="137">
        <v>2.0</v>
      </c>
      <c r="G611" s="137">
        <v>0.0</v>
      </c>
      <c r="H611" s="137">
        <v>0.0</v>
      </c>
      <c r="I611" s="137">
        <v>0.0</v>
      </c>
      <c r="J611" s="137">
        <v>4.0</v>
      </c>
      <c r="K611" s="137">
        <v>0.0</v>
      </c>
      <c r="L611" s="137">
        <v>0.0</v>
      </c>
      <c r="M611" s="137">
        <v>0.0</v>
      </c>
      <c r="N611" s="137">
        <v>2.0</v>
      </c>
      <c r="O611" s="137">
        <v>0.0</v>
      </c>
      <c r="P611" s="137">
        <v>14.0</v>
      </c>
      <c r="Q611" s="137">
        <v>6.0</v>
      </c>
      <c r="R611" s="137">
        <v>16.0</v>
      </c>
      <c r="S611" s="137">
        <v>2.0</v>
      </c>
      <c r="T611" s="137">
        <v>14.0</v>
      </c>
      <c r="U611" s="137">
        <v>0.0</v>
      </c>
      <c r="V611" s="137">
        <v>4.0</v>
      </c>
      <c r="W611" s="137">
        <v>8.0</v>
      </c>
      <c r="X611" s="137">
        <v>6.0</v>
      </c>
      <c r="Y611" s="137">
        <v>2.0</v>
      </c>
      <c r="Z611" s="137">
        <v>8.0</v>
      </c>
      <c r="AA611" s="137">
        <v>4.0</v>
      </c>
      <c r="AB611" s="137">
        <v>4.0</v>
      </c>
      <c r="AC611" s="137">
        <v>0.0</v>
      </c>
      <c r="AD611" s="137">
        <v>0.0</v>
      </c>
      <c r="AE611" s="137">
        <v>0.0</v>
      </c>
      <c r="AF611" s="137">
        <v>2.0</v>
      </c>
      <c r="AG611" s="137">
        <v>2.0</v>
      </c>
      <c r="AH611" s="137">
        <v>0.0</v>
      </c>
      <c r="AI611" s="137">
        <v>8.0</v>
      </c>
      <c r="AJ611" s="137">
        <v>0.0</v>
      </c>
      <c r="AK611" s="137">
        <v>0.0</v>
      </c>
      <c r="AL611" s="137">
        <v>0.0</v>
      </c>
      <c r="AM611" s="137">
        <v>6.0</v>
      </c>
      <c r="AN611" s="137">
        <v>114.0</v>
      </c>
    </row>
    <row r="612">
      <c r="A612" s="132" t="s">
        <v>203</v>
      </c>
      <c r="B612" s="136" t="s">
        <v>198</v>
      </c>
      <c r="C612" s="137">
        <v>2.0</v>
      </c>
      <c r="D612" s="137">
        <v>0.0</v>
      </c>
      <c r="E612" s="137">
        <v>2.0</v>
      </c>
      <c r="F612" s="135">
        <v>0.0</v>
      </c>
      <c r="G612" s="135">
        <v>0.0</v>
      </c>
      <c r="H612" s="135">
        <v>0.0</v>
      </c>
      <c r="I612" s="135">
        <v>0.0</v>
      </c>
      <c r="J612" s="135">
        <v>0.0</v>
      </c>
      <c r="K612" s="135">
        <v>0.0</v>
      </c>
      <c r="L612" s="135">
        <v>0.0</v>
      </c>
      <c r="M612" s="135">
        <v>0.0</v>
      </c>
      <c r="N612" s="135">
        <v>0.0</v>
      </c>
      <c r="O612" s="135">
        <v>0.0</v>
      </c>
      <c r="P612" s="135">
        <v>0.0</v>
      </c>
      <c r="Q612" s="135">
        <v>0.0</v>
      </c>
      <c r="R612" s="135">
        <v>0.0</v>
      </c>
      <c r="S612" s="135">
        <v>0.0</v>
      </c>
      <c r="T612" s="135">
        <v>0.0</v>
      </c>
      <c r="U612" s="135">
        <v>0.0</v>
      </c>
      <c r="V612" s="135">
        <v>0.0</v>
      </c>
      <c r="W612" s="135">
        <v>0.0</v>
      </c>
      <c r="X612" s="135">
        <v>0.0</v>
      </c>
      <c r="Y612" s="135">
        <v>0.0</v>
      </c>
      <c r="Z612" s="135">
        <v>0.0</v>
      </c>
      <c r="AA612" s="135">
        <v>0.0</v>
      </c>
      <c r="AB612" s="135">
        <v>0.0</v>
      </c>
      <c r="AC612" s="135">
        <v>0.0</v>
      </c>
      <c r="AD612" s="135">
        <v>0.0</v>
      </c>
      <c r="AE612" s="135">
        <v>0.0</v>
      </c>
      <c r="AF612" s="137">
        <v>0.0</v>
      </c>
      <c r="AG612" s="137">
        <v>2.0</v>
      </c>
      <c r="AH612" s="137">
        <v>0.0</v>
      </c>
      <c r="AI612" s="137">
        <v>0.0</v>
      </c>
      <c r="AJ612" s="137">
        <v>0.0</v>
      </c>
      <c r="AK612" s="137">
        <v>0.0</v>
      </c>
      <c r="AL612" s="137">
        <v>0.0</v>
      </c>
      <c r="AM612" s="137">
        <v>0.0</v>
      </c>
      <c r="AN612" s="137">
        <v>2.0</v>
      </c>
    </row>
    <row r="613">
      <c r="A613" s="104"/>
      <c r="B613" s="136" t="s">
        <v>199</v>
      </c>
      <c r="C613" s="137">
        <v>110.0</v>
      </c>
      <c r="D613" s="137">
        <v>34.0</v>
      </c>
      <c r="E613" s="137">
        <v>76.0</v>
      </c>
      <c r="F613" s="135">
        <v>0.0</v>
      </c>
      <c r="G613" s="135">
        <v>0.0</v>
      </c>
      <c r="H613" s="135">
        <v>0.0</v>
      </c>
      <c r="I613" s="135">
        <v>0.0</v>
      </c>
      <c r="J613" s="135">
        <v>0.0</v>
      </c>
      <c r="K613" s="135">
        <v>0.0</v>
      </c>
      <c r="L613" s="135">
        <v>0.0</v>
      </c>
      <c r="M613" s="135">
        <v>0.0</v>
      </c>
      <c r="N613" s="135">
        <v>0.0</v>
      </c>
      <c r="O613" s="135">
        <v>0.0</v>
      </c>
      <c r="P613" s="135">
        <v>0.0</v>
      </c>
      <c r="Q613" s="135">
        <v>0.0</v>
      </c>
      <c r="R613" s="135">
        <v>0.0</v>
      </c>
      <c r="S613" s="135">
        <v>0.0</v>
      </c>
      <c r="T613" s="135">
        <v>0.0</v>
      </c>
      <c r="U613" s="135">
        <v>0.0</v>
      </c>
      <c r="V613" s="135">
        <v>0.0</v>
      </c>
      <c r="W613" s="135">
        <v>0.0</v>
      </c>
      <c r="X613" s="135">
        <v>0.0</v>
      </c>
      <c r="Y613" s="135">
        <v>0.0</v>
      </c>
      <c r="Z613" s="135">
        <v>0.0</v>
      </c>
      <c r="AA613" s="135">
        <v>0.0</v>
      </c>
      <c r="AB613" s="135">
        <v>0.0</v>
      </c>
      <c r="AC613" s="135">
        <v>0.0</v>
      </c>
      <c r="AD613" s="135">
        <v>0.0</v>
      </c>
      <c r="AE613" s="135">
        <v>0.0</v>
      </c>
      <c r="AF613" s="137">
        <v>10.0</v>
      </c>
      <c r="AG613" s="137">
        <v>24.0</v>
      </c>
      <c r="AH613" s="137">
        <v>12.0</v>
      </c>
      <c r="AI613" s="137">
        <v>16.0</v>
      </c>
      <c r="AJ613" s="137">
        <v>6.0</v>
      </c>
      <c r="AK613" s="137">
        <v>18.0</v>
      </c>
      <c r="AL613" s="137">
        <v>6.0</v>
      </c>
      <c r="AM613" s="137">
        <v>18.0</v>
      </c>
      <c r="AN613" s="137">
        <v>110.0</v>
      </c>
    </row>
    <row r="614">
      <c r="A614" s="132" t="s">
        <v>204</v>
      </c>
      <c r="B614" s="136" t="s">
        <v>198</v>
      </c>
      <c r="C614" s="137">
        <v>0.0</v>
      </c>
      <c r="D614" s="137">
        <v>0.0</v>
      </c>
      <c r="E614" s="137">
        <v>0.0</v>
      </c>
      <c r="F614" s="135">
        <v>0.0</v>
      </c>
      <c r="G614" s="135">
        <v>0.0</v>
      </c>
      <c r="H614" s="135">
        <v>0.0</v>
      </c>
      <c r="I614" s="135">
        <v>0.0</v>
      </c>
      <c r="J614" s="135">
        <v>0.0</v>
      </c>
      <c r="K614" s="135">
        <v>0.0</v>
      </c>
      <c r="L614" s="135">
        <v>0.0</v>
      </c>
      <c r="M614" s="135">
        <v>0.0</v>
      </c>
      <c r="N614" s="135">
        <v>0.0</v>
      </c>
      <c r="O614" s="135">
        <v>0.0</v>
      </c>
      <c r="P614" s="135">
        <v>0.0</v>
      </c>
      <c r="Q614" s="135">
        <v>0.0</v>
      </c>
      <c r="R614" s="135">
        <v>0.0</v>
      </c>
      <c r="S614" s="135">
        <v>0.0</v>
      </c>
      <c r="T614" s="135">
        <v>0.0</v>
      </c>
      <c r="U614" s="135">
        <v>0.0</v>
      </c>
      <c r="V614" s="135">
        <v>0.0</v>
      </c>
      <c r="W614" s="135">
        <v>0.0</v>
      </c>
      <c r="X614" s="135">
        <v>0.0</v>
      </c>
      <c r="Y614" s="135">
        <v>0.0</v>
      </c>
      <c r="Z614" s="135">
        <v>0.0</v>
      </c>
      <c r="AA614" s="135">
        <v>0.0</v>
      </c>
      <c r="AB614" s="135">
        <v>0.0</v>
      </c>
      <c r="AC614" s="135">
        <v>0.0</v>
      </c>
      <c r="AD614" s="135">
        <v>0.0</v>
      </c>
      <c r="AE614" s="135">
        <v>0.0</v>
      </c>
      <c r="AF614" s="137">
        <v>0.0</v>
      </c>
      <c r="AG614" s="137">
        <v>0.0</v>
      </c>
      <c r="AH614" s="137">
        <v>0.0</v>
      </c>
      <c r="AI614" s="137">
        <v>0.0</v>
      </c>
      <c r="AJ614" s="137">
        <v>0.0</v>
      </c>
      <c r="AK614" s="137">
        <v>0.0</v>
      </c>
      <c r="AL614" s="137">
        <v>0.0</v>
      </c>
      <c r="AM614" s="137">
        <v>0.0</v>
      </c>
      <c r="AN614" s="137">
        <v>0.0</v>
      </c>
    </row>
    <row r="615">
      <c r="A615" s="104"/>
      <c r="B615" s="136" t="s">
        <v>199</v>
      </c>
      <c r="C615" s="137">
        <v>154.0</v>
      </c>
      <c r="D615" s="137">
        <v>44.0</v>
      </c>
      <c r="E615" s="137">
        <v>110.0</v>
      </c>
      <c r="F615" s="135">
        <v>0.0</v>
      </c>
      <c r="G615" s="135">
        <v>0.0</v>
      </c>
      <c r="H615" s="135">
        <v>0.0</v>
      </c>
      <c r="I615" s="135">
        <v>0.0</v>
      </c>
      <c r="J615" s="135">
        <v>0.0</v>
      </c>
      <c r="K615" s="135">
        <v>0.0</v>
      </c>
      <c r="L615" s="135">
        <v>0.0</v>
      </c>
      <c r="M615" s="135">
        <v>0.0</v>
      </c>
      <c r="N615" s="135">
        <v>0.0</v>
      </c>
      <c r="O615" s="135">
        <v>0.0</v>
      </c>
      <c r="P615" s="135">
        <v>0.0</v>
      </c>
      <c r="Q615" s="135">
        <v>0.0</v>
      </c>
      <c r="R615" s="135">
        <v>0.0</v>
      </c>
      <c r="S615" s="135">
        <v>0.0</v>
      </c>
      <c r="T615" s="135">
        <v>0.0</v>
      </c>
      <c r="U615" s="135">
        <v>0.0</v>
      </c>
      <c r="V615" s="135">
        <v>0.0</v>
      </c>
      <c r="W615" s="135">
        <v>0.0</v>
      </c>
      <c r="X615" s="135">
        <v>0.0</v>
      </c>
      <c r="Y615" s="135">
        <v>0.0</v>
      </c>
      <c r="Z615" s="135">
        <v>0.0</v>
      </c>
      <c r="AA615" s="135">
        <v>0.0</v>
      </c>
      <c r="AB615" s="135">
        <v>0.0</v>
      </c>
      <c r="AC615" s="135">
        <v>0.0</v>
      </c>
      <c r="AD615" s="135">
        <v>0.0</v>
      </c>
      <c r="AE615" s="135">
        <v>0.0</v>
      </c>
      <c r="AF615" s="137">
        <v>2.0</v>
      </c>
      <c r="AG615" s="137">
        <v>8.0</v>
      </c>
      <c r="AH615" s="137">
        <v>12.0</v>
      </c>
      <c r="AI615" s="137">
        <v>24.0</v>
      </c>
      <c r="AJ615" s="137">
        <v>10.0</v>
      </c>
      <c r="AK615" s="137">
        <v>32.0</v>
      </c>
      <c r="AL615" s="137">
        <v>20.0</v>
      </c>
      <c r="AM615" s="137">
        <v>46.0</v>
      </c>
      <c r="AN615" s="137">
        <v>154.0</v>
      </c>
    </row>
    <row r="616">
      <c r="A616" s="132" t="s">
        <v>205</v>
      </c>
      <c r="B616" s="136" t="s">
        <v>198</v>
      </c>
      <c r="C616" s="137">
        <v>244.0</v>
      </c>
      <c r="D616" s="137">
        <v>54.0</v>
      </c>
      <c r="E616" s="137">
        <v>190.0</v>
      </c>
      <c r="F616" s="137">
        <v>0.0</v>
      </c>
      <c r="G616" s="137">
        <v>0.0</v>
      </c>
      <c r="H616" s="137">
        <v>0.0</v>
      </c>
      <c r="I616" s="137">
        <v>0.0</v>
      </c>
      <c r="J616" s="137">
        <v>0.0</v>
      </c>
      <c r="K616" s="137">
        <v>0.0</v>
      </c>
      <c r="L616" s="137">
        <v>0.0</v>
      </c>
      <c r="M616" s="137">
        <v>0.0</v>
      </c>
      <c r="N616" s="137">
        <v>6.0</v>
      </c>
      <c r="O616" s="137">
        <v>4.0</v>
      </c>
      <c r="P616" s="137">
        <v>2.0</v>
      </c>
      <c r="Q616" s="137">
        <v>4.0</v>
      </c>
      <c r="R616" s="137">
        <v>4.0</v>
      </c>
      <c r="S616" s="137">
        <v>8.0</v>
      </c>
      <c r="T616" s="137">
        <v>0.0</v>
      </c>
      <c r="U616" s="137">
        <v>10.0</v>
      </c>
      <c r="V616" s="137">
        <v>2.0</v>
      </c>
      <c r="W616" s="137">
        <v>24.0</v>
      </c>
      <c r="X616" s="137">
        <v>4.0</v>
      </c>
      <c r="Y616" s="137">
        <v>6.0</v>
      </c>
      <c r="Z616" s="137">
        <v>4.0</v>
      </c>
      <c r="AA616" s="137">
        <v>22.0</v>
      </c>
      <c r="AB616" s="137">
        <v>4.0</v>
      </c>
      <c r="AC616" s="137">
        <v>34.0</v>
      </c>
      <c r="AD616" s="137">
        <v>4.0</v>
      </c>
      <c r="AE616" s="137">
        <v>20.0</v>
      </c>
      <c r="AF616" s="137">
        <v>4.0</v>
      </c>
      <c r="AG616" s="137">
        <v>16.0</v>
      </c>
      <c r="AH616" s="137">
        <v>8.0</v>
      </c>
      <c r="AI616" s="137">
        <v>20.0</v>
      </c>
      <c r="AJ616" s="137">
        <v>4.0</v>
      </c>
      <c r="AK616" s="137">
        <v>8.0</v>
      </c>
      <c r="AL616" s="137">
        <v>8.0</v>
      </c>
      <c r="AM616" s="137">
        <v>14.0</v>
      </c>
      <c r="AN616" s="137">
        <v>244.0</v>
      </c>
    </row>
    <row r="617">
      <c r="A617" s="98"/>
      <c r="B617" s="136" t="s">
        <v>199</v>
      </c>
      <c r="C617" s="137">
        <v>0.0</v>
      </c>
      <c r="D617" s="137">
        <v>0.0</v>
      </c>
      <c r="E617" s="137">
        <v>0.0</v>
      </c>
      <c r="F617" s="137">
        <v>0.0</v>
      </c>
      <c r="G617" s="137">
        <v>0.0</v>
      </c>
      <c r="H617" s="137">
        <v>0.0</v>
      </c>
      <c r="I617" s="137">
        <v>0.0</v>
      </c>
      <c r="J617" s="137">
        <v>0.0</v>
      </c>
      <c r="K617" s="137">
        <v>0.0</v>
      </c>
      <c r="L617" s="137">
        <v>0.0</v>
      </c>
      <c r="M617" s="137">
        <v>0.0</v>
      </c>
      <c r="N617" s="137">
        <v>0.0</v>
      </c>
      <c r="O617" s="137">
        <v>0.0</v>
      </c>
      <c r="P617" s="137">
        <v>0.0</v>
      </c>
      <c r="Q617" s="137">
        <v>0.0</v>
      </c>
      <c r="R617" s="137">
        <v>0.0</v>
      </c>
      <c r="S617" s="137">
        <v>0.0</v>
      </c>
      <c r="T617" s="137">
        <v>0.0</v>
      </c>
      <c r="U617" s="137">
        <v>0.0</v>
      </c>
      <c r="V617" s="137">
        <v>0.0</v>
      </c>
      <c r="W617" s="137">
        <v>0.0</v>
      </c>
      <c r="X617" s="137">
        <v>0.0</v>
      </c>
      <c r="Y617" s="137">
        <v>0.0</v>
      </c>
      <c r="Z617" s="137">
        <v>0.0</v>
      </c>
      <c r="AA617" s="137">
        <v>0.0</v>
      </c>
      <c r="AB617" s="137">
        <v>0.0</v>
      </c>
      <c r="AC617" s="137">
        <v>0.0</v>
      </c>
      <c r="AD617" s="137">
        <v>0.0</v>
      </c>
      <c r="AE617" s="137">
        <v>0.0</v>
      </c>
      <c r="AF617" s="137">
        <v>0.0</v>
      </c>
      <c r="AG617" s="137">
        <v>0.0</v>
      </c>
      <c r="AH617" s="137">
        <v>0.0</v>
      </c>
      <c r="AI617" s="137">
        <v>0.0</v>
      </c>
      <c r="AJ617" s="137">
        <v>0.0</v>
      </c>
      <c r="AK617" s="137">
        <v>0.0</v>
      </c>
      <c r="AL617" s="137">
        <v>0.0</v>
      </c>
      <c r="AM617" s="137">
        <v>0.0</v>
      </c>
      <c r="AN617" s="137">
        <v>0.0</v>
      </c>
    </row>
    <row r="618">
      <c r="A618" s="104"/>
      <c r="B618" s="136" t="s">
        <v>206</v>
      </c>
      <c r="C618" s="137">
        <v>32.0</v>
      </c>
      <c r="D618" s="137">
        <v>10.0</v>
      </c>
      <c r="E618" s="137">
        <v>22.0</v>
      </c>
      <c r="F618" s="137">
        <v>0.0</v>
      </c>
      <c r="G618" s="137">
        <v>0.0</v>
      </c>
      <c r="H618" s="137">
        <v>0.0</v>
      </c>
      <c r="I618" s="137">
        <v>0.0</v>
      </c>
      <c r="J618" s="137">
        <v>0.0</v>
      </c>
      <c r="K618" s="137">
        <v>0.0</v>
      </c>
      <c r="L618" s="137">
        <v>2.0</v>
      </c>
      <c r="M618" s="137">
        <v>2.0</v>
      </c>
      <c r="N618" s="137">
        <v>2.0</v>
      </c>
      <c r="O618" s="137">
        <v>8.0</v>
      </c>
      <c r="P618" s="137">
        <v>0.0</v>
      </c>
      <c r="Q618" s="137">
        <v>0.0</v>
      </c>
      <c r="R618" s="137">
        <v>6.0</v>
      </c>
      <c r="S618" s="137">
        <v>8.0</v>
      </c>
      <c r="T618" s="137">
        <v>0.0</v>
      </c>
      <c r="U618" s="137">
        <v>0.0</v>
      </c>
      <c r="V618" s="137">
        <v>0.0</v>
      </c>
      <c r="W618" s="137">
        <v>0.0</v>
      </c>
      <c r="X618" s="137">
        <v>0.0</v>
      </c>
      <c r="Y618" s="137">
        <v>4.0</v>
      </c>
      <c r="Z618" s="137">
        <v>0.0</v>
      </c>
      <c r="AA618" s="137">
        <v>0.0</v>
      </c>
      <c r="AB618" s="137">
        <v>0.0</v>
      </c>
      <c r="AC618" s="137">
        <v>0.0</v>
      </c>
      <c r="AD618" s="137">
        <v>0.0</v>
      </c>
      <c r="AE618" s="137">
        <v>0.0</v>
      </c>
      <c r="AF618" s="137">
        <v>0.0</v>
      </c>
      <c r="AG618" s="137">
        <v>0.0</v>
      </c>
      <c r="AH618" s="137">
        <v>0.0</v>
      </c>
      <c r="AI618" s="137">
        <v>0.0</v>
      </c>
      <c r="AJ618" s="137">
        <v>0.0</v>
      </c>
      <c r="AK618" s="137">
        <v>0.0</v>
      </c>
      <c r="AL618" s="137">
        <v>0.0</v>
      </c>
      <c r="AM618" s="137">
        <v>0.0</v>
      </c>
      <c r="AN618" s="137">
        <v>32.0</v>
      </c>
    </row>
    <row r="619">
      <c r="A619" s="132" t="s">
        <v>207</v>
      </c>
      <c r="B619" s="136" t="s">
        <v>198</v>
      </c>
      <c r="C619" s="134">
        <v>8682.0</v>
      </c>
      <c r="D619" s="134">
        <v>2144.0</v>
      </c>
      <c r="E619" s="134">
        <v>6538.0</v>
      </c>
      <c r="F619" s="137">
        <v>36.0</v>
      </c>
      <c r="G619" s="137">
        <v>38.0</v>
      </c>
      <c r="H619" s="137">
        <v>38.0</v>
      </c>
      <c r="I619" s="137">
        <v>28.0</v>
      </c>
      <c r="J619" s="137">
        <v>46.0</v>
      </c>
      <c r="K619" s="137">
        <v>36.0</v>
      </c>
      <c r="L619" s="137">
        <v>38.0</v>
      </c>
      <c r="M619" s="137">
        <v>80.0</v>
      </c>
      <c r="N619" s="137">
        <v>38.0</v>
      </c>
      <c r="O619" s="137">
        <v>116.0</v>
      </c>
      <c r="P619" s="137">
        <v>58.0</v>
      </c>
      <c r="Q619" s="137">
        <v>254.0</v>
      </c>
      <c r="R619" s="137">
        <v>56.0</v>
      </c>
      <c r="S619" s="137">
        <v>148.0</v>
      </c>
      <c r="T619" s="137">
        <v>56.0</v>
      </c>
      <c r="U619" s="137">
        <v>282.0</v>
      </c>
      <c r="V619" s="137">
        <v>78.0</v>
      </c>
      <c r="W619" s="137">
        <v>338.0</v>
      </c>
      <c r="X619" s="137">
        <v>134.0</v>
      </c>
      <c r="Y619" s="137">
        <v>480.0</v>
      </c>
      <c r="Z619" s="137">
        <v>202.0</v>
      </c>
      <c r="AA619" s="137">
        <v>784.0</v>
      </c>
      <c r="AB619" s="137">
        <v>196.0</v>
      </c>
      <c r="AC619" s="137">
        <v>852.0</v>
      </c>
      <c r="AD619" s="137">
        <v>236.0</v>
      </c>
      <c r="AE619" s="137">
        <v>810.0</v>
      </c>
      <c r="AF619" s="137">
        <v>202.0</v>
      </c>
      <c r="AG619" s="137">
        <v>704.0</v>
      </c>
      <c r="AH619" s="137">
        <v>262.0</v>
      </c>
      <c r="AI619" s="137">
        <v>606.0</v>
      </c>
      <c r="AJ619" s="137">
        <v>204.0</v>
      </c>
      <c r="AK619" s="137">
        <v>452.0</v>
      </c>
      <c r="AL619" s="137">
        <v>264.0</v>
      </c>
      <c r="AM619" s="137">
        <v>530.0</v>
      </c>
      <c r="AN619" s="134">
        <v>8652.0</v>
      </c>
    </row>
    <row r="620">
      <c r="A620" s="98"/>
      <c r="B620" s="136" t="s">
        <v>199</v>
      </c>
      <c r="C620" s="137">
        <v>612.0</v>
      </c>
      <c r="D620" s="137">
        <v>156.0</v>
      </c>
      <c r="E620" s="137">
        <v>456.0</v>
      </c>
      <c r="F620" s="137">
        <v>8.0</v>
      </c>
      <c r="G620" s="137">
        <v>10.0</v>
      </c>
      <c r="H620" s="137">
        <v>10.0</v>
      </c>
      <c r="I620" s="137">
        <v>16.0</v>
      </c>
      <c r="J620" s="137">
        <v>0.0</v>
      </c>
      <c r="K620" s="137">
        <v>0.0</v>
      </c>
      <c r="L620" s="137">
        <v>0.0</v>
      </c>
      <c r="M620" s="137">
        <v>2.0</v>
      </c>
      <c r="N620" s="137">
        <v>0.0</v>
      </c>
      <c r="O620" s="137">
        <v>4.0</v>
      </c>
      <c r="P620" s="137">
        <v>2.0</v>
      </c>
      <c r="Q620" s="137">
        <v>2.0</v>
      </c>
      <c r="R620" s="137">
        <v>0.0</v>
      </c>
      <c r="S620" s="137">
        <v>4.0</v>
      </c>
      <c r="T620" s="137">
        <v>0.0</v>
      </c>
      <c r="U620" s="137">
        <v>4.0</v>
      </c>
      <c r="V620" s="137">
        <v>0.0</v>
      </c>
      <c r="W620" s="137">
        <v>4.0</v>
      </c>
      <c r="X620" s="137">
        <v>2.0</v>
      </c>
      <c r="Y620" s="137">
        <v>12.0</v>
      </c>
      <c r="Z620" s="137">
        <v>2.0</v>
      </c>
      <c r="AA620" s="137">
        <v>20.0</v>
      </c>
      <c r="AB620" s="137">
        <v>2.0</v>
      </c>
      <c r="AC620" s="137">
        <v>18.0</v>
      </c>
      <c r="AD620" s="137">
        <v>8.0</v>
      </c>
      <c r="AE620" s="137">
        <v>36.0</v>
      </c>
      <c r="AF620" s="137">
        <v>14.0</v>
      </c>
      <c r="AG620" s="137">
        <v>64.0</v>
      </c>
      <c r="AH620" s="137">
        <v>16.0</v>
      </c>
      <c r="AI620" s="137">
        <v>78.0</v>
      </c>
      <c r="AJ620" s="137">
        <v>32.0</v>
      </c>
      <c r="AK620" s="137">
        <v>64.0</v>
      </c>
      <c r="AL620" s="137">
        <v>60.0</v>
      </c>
      <c r="AM620" s="137">
        <v>118.0</v>
      </c>
      <c r="AN620" s="137">
        <v>612.0</v>
      </c>
    </row>
    <row r="621">
      <c r="A621" s="98"/>
      <c r="B621" s="136" t="s">
        <v>206</v>
      </c>
      <c r="C621" s="137">
        <v>4.0</v>
      </c>
      <c r="D621" s="137">
        <v>0.0</v>
      </c>
      <c r="E621" s="137">
        <v>4.0</v>
      </c>
      <c r="F621" s="137">
        <v>0.0</v>
      </c>
      <c r="G621" s="137">
        <v>2.0</v>
      </c>
      <c r="H621" s="137">
        <v>0.0</v>
      </c>
      <c r="I621" s="137">
        <v>0.0</v>
      </c>
      <c r="J621" s="137">
        <v>0.0</v>
      </c>
      <c r="K621" s="137">
        <v>0.0</v>
      </c>
      <c r="L621" s="137">
        <v>0.0</v>
      </c>
      <c r="M621" s="137">
        <v>0.0</v>
      </c>
      <c r="N621" s="137">
        <v>0.0</v>
      </c>
      <c r="O621" s="137">
        <v>0.0</v>
      </c>
      <c r="P621" s="137">
        <v>0.0</v>
      </c>
      <c r="Q621" s="137">
        <v>0.0</v>
      </c>
      <c r="R621" s="137">
        <v>0.0</v>
      </c>
      <c r="S621" s="137">
        <v>2.0</v>
      </c>
      <c r="T621" s="137">
        <v>0.0</v>
      </c>
      <c r="U621" s="137">
        <v>0.0</v>
      </c>
      <c r="V621" s="137">
        <v>0.0</v>
      </c>
      <c r="W621" s="137">
        <v>0.0</v>
      </c>
      <c r="X621" s="137">
        <v>0.0</v>
      </c>
      <c r="Y621" s="137">
        <v>0.0</v>
      </c>
      <c r="Z621" s="137">
        <v>0.0</v>
      </c>
      <c r="AA621" s="137">
        <v>0.0</v>
      </c>
      <c r="AB621" s="137">
        <v>0.0</v>
      </c>
      <c r="AC621" s="137">
        <v>0.0</v>
      </c>
      <c r="AD621" s="137">
        <v>0.0</v>
      </c>
      <c r="AE621" s="137">
        <v>0.0</v>
      </c>
      <c r="AF621" s="137">
        <v>0.0</v>
      </c>
      <c r="AG621" s="137">
        <v>0.0</v>
      </c>
      <c r="AH621" s="137">
        <v>0.0</v>
      </c>
      <c r="AI621" s="137">
        <v>0.0</v>
      </c>
      <c r="AJ621" s="137">
        <v>0.0</v>
      </c>
      <c r="AK621" s="137">
        <v>0.0</v>
      </c>
      <c r="AL621" s="137">
        <v>0.0</v>
      </c>
      <c r="AM621" s="137">
        <v>0.0</v>
      </c>
      <c r="AN621" s="137">
        <v>4.0</v>
      </c>
    </row>
    <row r="622">
      <c r="A622" s="98"/>
      <c r="B622" s="136" t="s">
        <v>200</v>
      </c>
      <c r="C622" s="134">
        <v>3788.0</v>
      </c>
      <c r="D622" s="134">
        <v>1450.0</v>
      </c>
      <c r="E622" s="134">
        <v>2338.0</v>
      </c>
      <c r="F622" s="137">
        <v>814.0</v>
      </c>
      <c r="G622" s="137">
        <v>738.0</v>
      </c>
      <c r="H622" s="137">
        <v>264.0</v>
      </c>
      <c r="I622" s="137">
        <v>226.0</v>
      </c>
      <c r="J622" s="137">
        <v>112.0</v>
      </c>
      <c r="K622" s="137">
        <v>98.0</v>
      </c>
      <c r="L622" s="137">
        <v>34.0</v>
      </c>
      <c r="M622" s="137">
        <v>162.0</v>
      </c>
      <c r="N622" s="137">
        <v>24.0</v>
      </c>
      <c r="O622" s="137">
        <v>196.0</v>
      </c>
      <c r="P622" s="137">
        <v>8.0</v>
      </c>
      <c r="Q622" s="137">
        <v>190.0</v>
      </c>
      <c r="R622" s="137">
        <v>6.0</v>
      </c>
      <c r="S622" s="137">
        <v>178.0</v>
      </c>
      <c r="T622" s="137">
        <v>10.0</v>
      </c>
      <c r="U622" s="137">
        <v>124.0</v>
      </c>
      <c r="V622" s="137">
        <v>6.0</v>
      </c>
      <c r="W622" s="137">
        <v>60.0</v>
      </c>
      <c r="X622" s="137">
        <v>16.0</v>
      </c>
      <c r="Y622" s="137">
        <v>68.0</v>
      </c>
      <c r="Z622" s="137">
        <v>6.0</v>
      </c>
      <c r="AA622" s="137">
        <v>62.0</v>
      </c>
      <c r="AB622" s="137">
        <v>22.0</v>
      </c>
      <c r="AC622" s="137">
        <v>64.0</v>
      </c>
      <c r="AD622" s="137">
        <v>28.0</v>
      </c>
      <c r="AE622" s="137">
        <v>50.0</v>
      </c>
      <c r="AF622" s="137">
        <v>18.0</v>
      </c>
      <c r="AG622" s="137">
        <v>48.0</v>
      </c>
      <c r="AH622" s="137">
        <v>20.0</v>
      </c>
      <c r="AI622" s="137">
        <v>24.0</v>
      </c>
      <c r="AJ622" s="137">
        <v>32.0</v>
      </c>
      <c r="AK622" s="137">
        <v>16.0</v>
      </c>
      <c r="AL622" s="137">
        <v>30.0</v>
      </c>
      <c r="AM622" s="137">
        <v>34.0</v>
      </c>
      <c r="AN622" s="134">
        <v>3784.0</v>
      </c>
    </row>
    <row r="623">
      <c r="A623" s="104"/>
      <c r="B623" s="136" t="s">
        <v>201</v>
      </c>
      <c r="C623" s="137">
        <v>318.0</v>
      </c>
      <c r="D623" s="137">
        <v>82.0</v>
      </c>
      <c r="E623" s="137">
        <v>236.0</v>
      </c>
      <c r="F623" s="137">
        <v>0.0</v>
      </c>
      <c r="G623" s="137">
        <v>0.0</v>
      </c>
      <c r="H623" s="137">
        <v>0.0</v>
      </c>
      <c r="I623" s="137">
        <v>0.0</v>
      </c>
      <c r="J623" s="137">
        <v>0.0</v>
      </c>
      <c r="K623" s="137">
        <v>0.0</v>
      </c>
      <c r="L623" s="137">
        <v>0.0</v>
      </c>
      <c r="M623" s="137">
        <v>0.0</v>
      </c>
      <c r="N623" s="137">
        <v>0.0</v>
      </c>
      <c r="O623" s="137">
        <v>4.0</v>
      </c>
      <c r="P623" s="137">
        <v>0.0</v>
      </c>
      <c r="Q623" s="137">
        <v>6.0</v>
      </c>
      <c r="R623" s="137">
        <v>0.0</v>
      </c>
      <c r="S623" s="137">
        <v>6.0</v>
      </c>
      <c r="T623" s="137">
        <v>0.0</v>
      </c>
      <c r="U623" s="137">
        <v>2.0</v>
      </c>
      <c r="V623" s="137">
        <v>6.0</v>
      </c>
      <c r="W623" s="137">
        <v>54.0</v>
      </c>
      <c r="X623" s="137">
        <v>2.0</v>
      </c>
      <c r="Y623" s="137">
        <v>26.0</v>
      </c>
      <c r="Z623" s="137">
        <v>8.0</v>
      </c>
      <c r="AA623" s="137">
        <v>6.0</v>
      </c>
      <c r="AB623" s="137">
        <v>4.0</v>
      </c>
      <c r="AC623" s="137">
        <v>56.0</v>
      </c>
      <c r="AD623" s="137">
        <v>14.0</v>
      </c>
      <c r="AE623" s="137">
        <v>32.0</v>
      </c>
      <c r="AF623" s="137">
        <v>18.0</v>
      </c>
      <c r="AG623" s="137">
        <v>4.0</v>
      </c>
      <c r="AH623" s="137">
        <v>8.0</v>
      </c>
      <c r="AI623" s="137">
        <v>2.0</v>
      </c>
      <c r="AJ623" s="137">
        <v>8.0</v>
      </c>
      <c r="AK623" s="137">
        <v>4.0</v>
      </c>
      <c r="AL623" s="137">
        <v>14.0</v>
      </c>
      <c r="AM623" s="137">
        <v>34.0</v>
      </c>
      <c r="AN623" s="137">
        <v>318.0</v>
      </c>
    </row>
    <row r="624">
      <c r="A624" s="132" t="s">
        <v>208</v>
      </c>
      <c r="B624" s="136" t="s">
        <v>198</v>
      </c>
      <c r="C624" s="137">
        <v>102.0</v>
      </c>
      <c r="D624" s="137">
        <v>46.0</v>
      </c>
      <c r="E624" s="137">
        <v>56.0</v>
      </c>
      <c r="F624" s="137">
        <v>44.0</v>
      </c>
      <c r="G624" s="137">
        <v>56.0</v>
      </c>
      <c r="H624" s="137">
        <v>0.0</v>
      </c>
      <c r="I624" s="137">
        <v>0.0</v>
      </c>
      <c r="J624" s="137">
        <v>0.0</v>
      </c>
      <c r="K624" s="137">
        <v>0.0</v>
      </c>
      <c r="L624" s="137">
        <v>2.0</v>
      </c>
      <c r="M624" s="137">
        <v>0.0</v>
      </c>
      <c r="N624" s="137">
        <v>0.0</v>
      </c>
      <c r="O624" s="137">
        <v>0.0</v>
      </c>
      <c r="P624" s="135">
        <v>0.0</v>
      </c>
      <c r="Q624" s="135">
        <v>0.0</v>
      </c>
      <c r="R624" s="135">
        <v>0.0</v>
      </c>
      <c r="S624" s="135">
        <v>0.0</v>
      </c>
      <c r="T624" s="135">
        <v>0.0</v>
      </c>
      <c r="U624" s="135">
        <v>0.0</v>
      </c>
      <c r="V624" s="135">
        <v>0.0</v>
      </c>
      <c r="W624" s="135">
        <v>0.0</v>
      </c>
      <c r="X624" s="135">
        <v>0.0</v>
      </c>
      <c r="Y624" s="135">
        <v>0.0</v>
      </c>
      <c r="Z624" s="135">
        <v>0.0</v>
      </c>
      <c r="AA624" s="135">
        <v>0.0</v>
      </c>
      <c r="AB624" s="135">
        <v>0.0</v>
      </c>
      <c r="AC624" s="135">
        <v>0.0</v>
      </c>
      <c r="AD624" s="135">
        <v>0.0</v>
      </c>
      <c r="AE624" s="135">
        <v>0.0</v>
      </c>
      <c r="AF624" s="135">
        <v>0.0</v>
      </c>
      <c r="AG624" s="135">
        <v>0.0</v>
      </c>
      <c r="AH624" s="135">
        <v>0.0</v>
      </c>
      <c r="AI624" s="135">
        <v>0.0</v>
      </c>
      <c r="AJ624" s="135">
        <v>0.0</v>
      </c>
      <c r="AK624" s="135">
        <v>0.0</v>
      </c>
      <c r="AL624" s="135">
        <v>0.0</v>
      </c>
      <c r="AM624" s="135">
        <v>0.0</v>
      </c>
      <c r="AN624" s="137">
        <v>102.0</v>
      </c>
    </row>
    <row r="625">
      <c r="A625" s="98"/>
      <c r="B625" s="136" t="s">
        <v>199</v>
      </c>
      <c r="C625" s="137">
        <v>232.0</v>
      </c>
      <c r="D625" s="137">
        <v>110.0</v>
      </c>
      <c r="E625" s="137">
        <v>122.0</v>
      </c>
      <c r="F625" s="137">
        <v>108.0</v>
      </c>
      <c r="G625" s="137">
        <v>120.0</v>
      </c>
      <c r="H625" s="137">
        <v>2.0</v>
      </c>
      <c r="I625" s="137">
        <v>2.0</v>
      </c>
      <c r="J625" s="137">
        <v>0.0</v>
      </c>
      <c r="K625" s="137">
        <v>0.0</v>
      </c>
      <c r="L625" s="137">
        <v>0.0</v>
      </c>
      <c r="M625" s="137">
        <v>0.0</v>
      </c>
      <c r="N625" s="137">
        <v>0.0</v>
      </c>
      <c r="O625" s="137">
        <v>0.0</v>
      </c>
      <c r="P625" s="135">
        <v>0.0</v>
      </c>
      <c r="Q625" s="135">
        <v>0.0</v>
      </c>
      <c r="R625" s="135">
        <v>0.0</v>
      </c>
      <c r="S625" s="135">
        <v>0.0</v>
      </c>
      <c r="T625" s="135">
        <v>0.0</v>
      </c>
      <c r="U625" s="135">
        <v>0.0</v>
      </c>
      <c r="V625" s="135">
        <v>0.0</v>
      </c>
      <c r="W625" s="135">
        <v>0.0</v>
      </c>
      <c r="X625" s="135">
        <v>0.0</v>
      </c>
      <c r="Y625" s="135">
        <v>0.0</v>
      </c>
      <c r="Z625" s="135">
        <v>0.0</v>
      </c>
      <c r="AA625" s="135">
        <v>0.0</v>
      </c>
      <c r="AB625" s="135">
        <v>0.0</v>
      </c>
      <c r="AC625" s="135">
        <v>0.0</v>
      </c>
      <c r="AD625" s="135">
        <v>0.0</v>
      </c>
      <c r="AE625" s="135">
        <v>0.0</v>
      </c>
      <c r="AF625" s="135">
        <v>0.0</v>
      </c>
      <c r="AG625" s="135">
        <v>0.0</v>
      </c>
      <c r="AH625" s="135">
        <v>0.0</v>
      </c>
      <c r="AI625" s="135">
        <v>0.0</v>
      </c>
      <c r="AJ625" s="135">
        <v>0.0</v>
      </c>
      <c r="AK625" s="135">
        <v>0.0</v>
      </c>
      <c r="AL625" s="135">
        <v>0.0</v>
      </c>
      <c r="AM625" s="135">
        <v>0.0</v>
      </c>
      <c r="AN625" s="137">
        <v>232.0</v>
      </c>
    </row>
    <row r="626">
      <c r="A626" s="98"/>
      <c r="B626" s="136" t="s">
        <v>206</v>
      </c>
      <c r="C626" s="137">
        <v>6.0</v>
      </c>
      <c r="D626" s="137">
        <v>0.0</v>
      </c>
      <c r="E626" s="137">
        <v>6.0</v>
      </c>
      <c r="F626" s="137">
        <v>0.0</v>
      </c>
      <c r="G626" s="137">
        <v>4.0</v>
      </c>
      <c r="H626" s="137">
        <v>0.0</v>
      </c>
      <c r="I626" s="137">
        <v>0.0</v>
      </c>
      <c r="J626" s="137">
        <v>0.0</v>
      </c>
      <c r="K626" s="137">
        <v>0.0</v>
      </c>
      <c r="L626" s="137">
        <v>0.0</v>
      </c>
      <c r="M626" s="137">
        <v>2.0</v>
      </c>
      <c r="N626" s="137">
        <v>0.0</v>
      </c>
      <c r="O626" s="137">
        <v>0.0</v>
      </c>
      <c r="P626" s="135">
        <v>0.0</v>
      </c>
      <c r="Q626" s="135">
        <v>0.0</v>
      </c>
      <c r="R626" s="135">
        <v>0.0</v>
      </c>
      <c r="S626" s="135">
        <v>0.0</v>
      </c>
      <c r="T626" s="135">
        <v>0.0</v>
      </c>
      <c r="U626" s="135">
        <v>0.0</v>
      </c>
      <c r="V626" s="135">
        <v>0.0</v>
      </c>
      <c r="W626" s="135">
        <v>0.0</v>
      </c>
      <c r="X626" s="135">
        <v>0.0</v>
      </c>
      <c r="Y626" s="135">
        <v>0.0</v>
      </c>
      <c r="Z626" s="135">
        <v>0.0</v>
      </c>
      <c r="AA626" s="135">
        <v>0.0</v>
      </c>
      <c r="AB626" s="135">
        <v>0.0</v>
      </c>
      <c r="AC626" s="135">
        <v>0.0</v>
      </c>
      <c r="AD626" s="135">
        <v>0.0</v>
      </c>
      <c r="AE626" s="135">
        <v>0.0</v>
      </c>
      <c r="AF626" s="135">
        <v>0.0</v>
      </c>
      <c r="AG626" s="135">
        <v>0.0</v>
      </c>
      <c r="AH626" s="135">
        <v>0.0</v>
      </c>
      <c r="AI626" s="135">
        <v>0.0</v>
      </c>
      <c r="AJ626" s="135">
        <v>0.0</v>
      </c>
      <c r="AK626" s="135">
        <v>0.0</v>
      </c>
      <c r="AL626" s="135">
        <v>0.0</v>
      </c>
      <c r="AM626" s="135">
        <v>0.0</v>
      </c>
      <c r="AN626" s="137">
        <v>6.0</v>
      </c>
    </row>
    <row r="627">
      <c r="A627" s="98"/>
      <c r="B627" s="136" t="s">
        <v>200</v>
      </c>
      <c r="C627" s="137">
        <v>20.0</v>
      </c>
      <c r="D627" s="137">
        <v>10.0</v>
      </c>
      <c r="E627" s="137">
        <v>10.0</v>
      </c>
      <c r="F627" s="137">
        <v>10.0</v>
      </c>
      <c r="G627" s="137">
        <v>4.0</v>
      </c>
      <c r="H627" s="137">
        <v>0.0</v>
      </c>
      <c r="I627" s="137">
        <v>6.0</v>
      </c>
      <c r="J627" s="137">
        <v>0.0</v>
      </c>
      <c r="K627" s="137">
        <v>0.0</v>
      </c>
      <c r="L627" s="137">
        <v>0.0</v>
      </c>
      <c r="M627" s="137">
        <v>0.0</v>
      </c>
      <c r="N627" s="137">
        <v>0.0</v>
      </c>
      <c r="O627" s="137">
        <v>0.0</v>
      </c>
      <c r="P627" s="135">
        <v>0.0</v>
      </c>
      <c r="Q627" s="135">
        <v>0.0</v>
      </c>
      <c r="R627" s="135">
        <v>0.0</v>
      </c>
      <c r="S627" s="135">
        <v>0.0</v>
      </c>
      <c r="T627" s="135">
        <v>0.0</v>
      </c>
      <c r="U627" s="135">
        <v>0.0</v>
      </c>
      <c r="V627" s="135">
        <v>0.0</v>
      </c>
      <c r="W627" s="135">
        <v>0.0</v>
      </c>
      <c r="X627" s="135">
        <v>0.0</v>
      </c>
      <c r="Y627" s="135">
        <v>0.0</v>
      </c>
      <c r="Z627" s="135">
        <v>0.0</v>
      </c>
      <c r="AA627" s="135">
        <v>0.0</v>
      </c>
      <c r="AB627" s="135">
        <v>0.0</v>
      </c>
      <c r="AC627" s="135">
        <v>0.0</v>
      </c>
      <c r="AD627" s="135">
        <v>0.0</v>
      </c>
      <c r="AE627" s="135">
        <v>0.0</v>
      </c>
      <c r="AF627" s="135">
        <v>0.0</v>
      </c>
      <c r="AG627" s="135">
        <v>0.0</v>
      </c>
      <c r="AH627" s="135">
        <v>0.0</v>
      </c>
      <c r="AI627" s="135">
        <v>0.0</v>
      </c>
      <c r="AJ627" s="135">
        <v>0.0</v>
      </c>
      <c r="AK627" s="135">
        <v>0.0</v>
      </c>
      <c r="AL627" s="135">
        <v>0.0</v>
      </c>
      <c r="AM627" s="135">
        <v>0.0</v>
      </c>
      <c r="AN627" s="137">
        <v>20.0</v>
      </c>
    </row>
    <row r="628">
      <c r="A628" s="104"/>
      <c r="B628" s="136" t="s">
        <v>201</v>
      </c>
      <c r="C628" s="137">
        <v>0.0</v>
      </c>
      <c r="D628" s="137">
        <v>0.0</v>
      </c>
      <c r="E628" s="137">
        <v>0.0</v>
      </c>
      <c r="F628" s="137">
        <v>0.0</v>
      </c>
      <c r="G628" s="137">
        <v>0.0</v>
      </c>
      <c r="H628" s="137">
        <v>0.0</v>
      </c>
      <c r="I628" s="137">
        <v>0.0</v>
      </c>
      <c r="J628" s="137">
        <v>0.0</v>
      </c>
      <c r="K628" s="137">
        <v>0.0</v>
      </c>
      <c r="L628" s="137">
        <v>0.0</v>
      </c>
      <c r="M628" s="137">
        <v>0.0</v>
      </c>
      <c r="N628" s="137">
        <v>0.0</v>
      </c>
      <c r="O628" s="137">
        <v>0.0</v>
      </c>
      <c r="P628" s="135">
        <v>0.0</v>
      </c>
      <c r="Q628" s="135">
        <v>0.0</v>
      </c>
      <c r="R628" s="135">
        <v>0.0</v>
      </c>
      <c r="S628" s="135">
        <v>0.0</v>
      </c>
      <c r="T628" s="135">
        <v>0.0</v>
      </c>
      <c r="U628" s="135">
        <v>0.0</v>
      </c>
      <c r="V628" s="135">
        <v>0.0</v>
      </c>
      <c r="W628" s="135">
        <v>0.0</v>
      </c>
      <c r="X628" s="135">
        <v>0.0</v>
      </c>
      <c r="Y628" s="135">
        <v>0.0</v>
      </c>
      <c r="Z628" s="135">
        <v>0.0</v>
      </c>
      <c r="AA628" s="135">
        <v>0.0</v>
      </c>
      <c r="AB628" s="135">
        <v>0.0</v>
      </c>
      <c r="AC628" s="135">
        <v>0.0</v>
      </c>
      <c r="AD628" s="135">
        <v>0.0</v>
      </c>
      <c r="AE628" s="135">
        <v>0.0</v>
      </c>
      <c r="AF628" s="135">
        <v>0.0</v>
      </c>
      <c r="AG628" s="135">
        <v>0.0</v>
      </c>
      <c r="AH628" s="135">
        <v>0.0</v>
      </c>
      <c r="AI628" s="135">
        <v>0.0</v>
      </c>
      <c r="AJ628" s="135">
        <v>0.0</v>
      </c>
      <c r="AK628" s="135">
        <v>0.0</v>
      </c>
      <c r="AL628" s="135">
        <v>0.0</v>
      </c>
      <c r="AM628" s="135">
        <v>0.0</v>
      </c>
      <c r="AN628" s="137">
        <v>0.0</v>
      </c>
    </row>
    <row r="629">
      <c r="A629" s="138" t="s">
        <v>265</v>
      </c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</row>
    <row r="630">
      <c r="A630" s="132" t="s">
        <v>197</v>
      </c>
      <c r="B630" s="133" t="s">
        <v>198</v>
      </c>
      <c r="C630" s="134">
        <v>48254.0</v>
      </c>
      <c r="D630" s="134">
        <v>18266.0</v>
      </c>
      <c r="E630" s="134">
        <v>29956.0</v>
      </c>
      <c r="F630" s="135">
        <v>0.0</v>
      </c>
      <c r="G630" s="135">
        <v>0.0</v>
      </c>
      <c r="H630" s="135">
        <v>0.0</v>
      </c>
      <c r="I630" s="135">
        <v>0.0</v>
      </c>
      <c r="J630" s="135">
        <v>0.0</v>
      </c>
      <c r="K630" s="135">
        <v>0.0</v>
      </c>
      <c r="L630" s="137">
        <v>34.0</v>
      </c>
      <c r="M630" s="137">
        <v>50.0</v>
      </c>
      <c r="N630" s="137">
        <v>30.0</v>
      </c>
      <c r="O630" s="137">
        <v>90.0</v>
      </c>
      <c r="P630" s="137">
        <v>80.0</v>
      </c>
      <c r="Q630" s="137">
        <v>198.0</v>
      </c>
      <c r="R630" s="137">
        <v>144.0</v>
      </c>
      <c r="S630" s="137">
        <v>388.0</v>
      </c>
      <c r="T630" s="137">
        <v>286.0</v>
      </c>
      <c r="U630" s="137">
        <v>672.0</v>
      </c>
      <c r="V630" s="137">
        <v>592.0</v>
      </c>
      <c r="W630" s="134">
        <v>1072.0</v>
      </c>
      <c r="X630" s="134">
        <v>1062.0</v>
      </c>
      <c r="Y630" s="134">
        <v>2050.0</v>
      </c>
      <c r="Z630" s="134">
        <v>1786.0</v>
      </c>
      <c r="AA630" s="134">
        <v>3410.0</v>
      </c>
      <c r="AB630" s="134">
        <v>2428.0</v>
      </c>
      <c r="AC630" s="134">
        <v>4006.0</v>
      </c>
      <c r="AD630" s="134">
        <v>2700.0</v>
      </c>
      <c r="AE630" s="134">
        <v>4028.0</v>
      </c>
      <c r="AF630" s="134">
        <v>2592.0</v>
      </c>
      <c r="AG630" s="134">
        <v>3864.0</v>
      </c>
      <c r="AH630" s="134">
        <v>2586.0</v>
      </c>
      <c r="AI630" s="134">
        <v>3710.0</v>
      </c>
      <c r="AJ630" s="134">
        <v>1790.0</v>
      </c>
      <c r="AK630" s="134">
        <v>2968.0</v>
      </c>
      <c r="AL630" s="134">
        <v>2166.0</v>
      </c>
      <c r="AM630" s="134">
        <v>3474.0</v>
      </c>
      <c r="AN630" s="134">
        <v>47928.0</v>
      </c>
    </row>
    <row r="631">
      <c r="A631" s="98"/>
      <c r="B631" s="136" t="s">
        <v>199</v>
      </c>
      <c r="C631" s="134">
        <v>16800.0</v>
      </c>
      <c r="D631" s="134">
        <v>6202.0</v>
      </c>
      <c r="E631" s="134">
        <v>10598.0</v>
      </c>
      <c r="F631" s="135">
        <v>0.0</v>
      </c>
      <c r="G631" s="135">
        <v>0.0</v>
      </c>
      <c r="H631" s="135">
        <v>0.0</v>
      </c>
      <c r="I631" s="135">
        <v>0.0</v>
      </c>
      <c r="J631" s="135">
        <v>0.0</v>
      </c>
      <c r="K631" s="135">
        <v>0.0</v>
      </c>
      <c r="L631" s="137">
        <v>2.0</v>
      </c>
      <c r="M631" s="137">
        <v>10.0</v>
      </c>
      <c r="N631" s="137">
        <v>6.0</v>
      </c>
      <c r="O631" s="137">
        <v>14.0</v>
      </c>
      <c r="P631" s="137">
        <v>26.0</v>
      </c>
      <c r="Q631" s="137">
        <v>32.0</v>
      </c>
      <c r="R631" s="137">
        <v>40.0</v>
      </c>
      <c r="S631" s="137">
        <v>88.0</v>
      </c>
      <c r="T631" s="137">
        <v>76.0</v>
      </c>
      <c r="U631" s="137">
        <v>164.0</v>
      </c>
      <c r="V631" s="137">
        <v>120.0</v>
      </c>
      <c r="W631" s="137">
        <v>332.0</v>
      </c>
      <c r="X631" s="137">
        <v>328.0</v>
      </c>
      <c r="Y631" s="137">
        <v>656.0</v>
      </c>
      <c r="Z631" s="137">
        <v>470.0</v>
      </c>
      <c r="AA631" s="134">
        <v>1096.0</v>
      </c>
      <c r="AB631" s="137">
        <v>796.0</v>
      </c>
      <c r="AC631" s="134">
        <v>1380.0</v>
      </c>
      <c r="AD631" s="137">
        <v>872.0</v>
      </c>
      <c r="AE631" s="134">
        <v>1600.0</v>
      </c>
      <c r="AF631" s="137">
        <v>930.0</v>
      </c>
      <c r="AG631" s="134">
        <v>1438.0</v>
      </c>
      <c r="AH631" s="137">
        <v>984.0</v>
      </c>
      <c r="AI631" s="134">
        <v>1368.0</v>
      </c>
      <c r="AJ631" s="137">
        <v>740.0</v>
      </c>
      <c r="AK631" s="134">
        <v>1106.0</v>
      </c>
      <c r="AL631" s="137">
        <v>812.0</v>
      </c>
      <c r="AM631" s="134">
        <v>1314.0</v>
      </c>
      <c r="AN631" s="134">
        <v>16658.0</v>
      </c>
    </row>
    <row r="632">
      <c r="A632" s="98"/>
      <c r="B632" s="136" t="s">
        <v>200</v>
      </c>
      <c r="C632" s="134">
        <v>14692.0</v>
      </c>
      <c r="D632" s="134">
        <v>5174.0</v>
      </c>
      <c r="E632" s="134">
        <v>9518.0</v>
      </c>
      <c r="F632" s="135">
        <v>0.0</v>
      </c>
      <c r="G632" s="135">
        <v>0.0</v>
      </c>
      <c r="H632" s="135">
        <v>0.0</v>
      </c>
      <c r="I632" s="135">
        <v>0.0</v>
      </c>
      <c r="J632" s="135">
        <v>0.0</v>
      </c>
      <c r="K632" s="135">
        <v>0.0</v>
      </c>
      <c r="L632" s="137">
        <v>12.0</v>
      </c>
      <c r="M632" s="137">
        <v>4.0</v>
      </c>
      <c r="N632" s="137">
        <v>10.0</v>
      </c>
      <c r="O632" s="137">
        <v>36.0</v>
      </c>
      <c r="P632" s="137">
        <v>46.0</v>
      </c>
      <c r="Q632" s="137">
        <v>82.0</v>
      </c>
      <c r="R632" s="137">
        <v>56.0</v>
      </c>
      <c r="S632" s="137">
        <v>146.0</v>
      </c>
      <c r="T632" s="137">
        <v>98.0</v>
      </c>
      <c r="U632" s="137">
        <v>246.0</v>
      </c>
      <c r="V632" s="137">
        <v>180.0</v>
      </c>
      <c r="W632" s="137">
        <v>406.0</v>
      </c>
      <c r="X632" s="137">
        <v>314.0</v>
      </c>
      <c r="Y632" s="137">
        <v>770.0</v>
      </c>
      <c r="Z632" s="137">
        <v>508.0</v>
      </c>
      <c r="AA632" s="134">
        <v>1164.0</v>
      </c>
      <c r="AB632" s="137">
        <v>698.0</v>
      </c>
      <c r="AC632" s="134">
        <v>1304.0</v>
      </c>
      <c r="AD632" s="137">
        <v>802.0</v>
      </c>
      <c r="AE632" s="134">
        <v>1272.0</v>
      </c>
      <c r="AF632" s="137">
        <v>726.0</v>
      </c>
      <c r="AG632" s="134">
        <v>1286.0</v>
      </c>
      <c r="AH632" s="137">
        <v>686.0</v>
      </c>
      <c r="AI632" s="134">
        <v>1104.0</v>
      </c>
      <c r="AJ632" s="137">
        <v>504.0</v>
      </c>
      <c r="AK632" s="137">
        <v>776.0</v>
      </c>
      <c r="AL632" s="137">
        <v>534.0</v>
      </c>
      <c r="AM632" s="137">
        <v>922.0</v>
      </c>
      <c r="AN632" s="134">
        <v>14530.0</v>
      </c>
    </row>
    <row r="633">
      <c r="A633" s="104"/>
      <c r="B633" s="136" t="s">
        <v>201</v>
      </c>
      <c r="C633" s="134">
        <v>4862.0</v>
      </c>
      <c r="D633" s="134">
        <v>2174.0</v>
      </c>
      <c r="E633" s="134">
        <v>2692.0</v>
      </c>
      <c r="F633" s="135">
        <v>0.0</v>
      </c>
      <c r="G633" s="135">
        <v>0.0</v>
      </c>
      <c r="H633" s="135">
        <v>0.0</v>
      </c>
      <c r="I633" s="135">
        <v>0.0</v>
      </c>
      <c r="J633" s="135">
        <v>0.0</v>
      </c>
      <c r="K633" s="135">
        <v>0.0</v>
      </c>
      <c r="L633" s="137">
        <v>2.0</v>
      </c>
      <c r="M633" s="137">
        <v>14.0</v>
      </c>
      <c r="N633" s="137">
        <v>16.0</v>
      </c>
      <c r="O633" s="137">
        <v>34.0</v>
      </c>
      <c r="P633" s="137">
        <v>8.0</v>
      </c>
      <c r="Q633" s="137">
        <v>22.0</v>
      </c>
      <c r="R633" s="137">
        <v>12.0</v>
      </c>
      <c r="S633" s="137">
        <v>32.0</v>
      </c>
      <c r="T633" s="137">
        <v>50.0</v>
      </c>
      <c r="U633" s="137">
        <v>46.0</v>
      </c>
      <c r="V633" s="137">
        <v>94.0</v>
      </c>
      <c r="W633" s="137">
        <v>104.0</v>
      </c>
      <c r="X633" s="137">
        <v>130.0</v>
      </c>
      <c r="Y633" s="137">
        <v>190.0</v>
      </c>
      <c r="Z633" s="137">
        <v>124.0</v>
      </c>
      <c r="AA633" s="137">
        <v>274.0</v>
      </c>
      <c r="AB633" s="137">
        <v>250.0</v>
      </c>
      <c r="AC633" s="137">
        <v>224.0</v>
      </c>
      <c r="AD633" s="137">
        <v>298.0</v>
      </c>
      <c r="AE633" s="137">
        <v>238.0</v>
      </c>
      <c r="AF633" s="137">
        <v>274.0</v>
      </c>
      <c r="AG633" s="137">
        <v>372.0</v>
      </c>
      <c r="AH633" s="137">
        <v>224.0</v>
      </c>
      <c r="AI633" s="137">
        <v>360.0</v>
      </c>
      <c r="AJ633" s="137">
        <v>248.0</v>
      </c>
      <c r="AK633" s="137">
        <v>436.0</v>
      </c>
      <c r="AL633" s="137">
        <v>422.0</v>
      </c>
      <c r="AM633" s="137">
        <v>360.0</v>
      </c>
      <c r="AN633" s="134">
        <v>4680.0</v>
      </c>
    </row>
    <row r="634">
      <c r="A634" s="132" t="s">
        <v>202</v>
      </c>
      <c r="B634" s="136" t="s">
        <v>198</v>
      </c>
      <c r="C634" s="137">
        <v>352.0</v>
      </c>
      <c r="D634" s="137">
        <v>192.0</v>
      </c>
      <c r="E634" s="137">
        <v>160.0</v>
      </c>
      <c r="F634" s="137">
        <v>8.0</v>
      </c>
      <c r="G634" s="137">
        <v>2.0</v>
      </c>
      <c r="H634" s="137">
        <v>0.0</v>
      </c>
      <c r="I634" s="137">
        <v>0.0</v>
      </c>
      <c r="J634" s="137">
        <v>4.0</v>
      </c>
      <c r="K634" s="137">
        <v>4.0</v>
      </c>
      <c r="L634" s="137">
        <v>10.0</v>
      </c>
      <c r="M634" s="137">
        <v>2.0</v>
      </c>
      <c r="N634" s="137">
        <v>8.0</v>
      </c>
      <c r="O634" s="137">
        <v>14.0</v>
      </c>
      <c r="P634" s="137">
        <v>26.0</v>
      </c>
      <c r="Q634" s="137">
        <v>10.0</v>
      </c>
      <c r="R634" s="137">
        <v>14.0</v>
      </c>
      <c r="S634" s="137">
        <v>18.0</v>
      </c>
      <c r="T634" s="137">
        <v>24.0</v>
      </c>
      <c r="U634" s="137">
        <v>14.0</v>
      </c>
      <c r="V634" s="137">
        <v>0.0</v>
      </c>
      <c r="W634" s="137">
        <v>8.0</v>
      </c>
      <c r="X634" s="137">
        <v>16.0</v>
      </c>
      <c r="Y634" s="137">
        <v>34.0</v>
      </c>
      <c r="Z634" s="137">
        <v>10.0</v>
      </c>
      <c r="AA634" s="137">
        <v>22.0</v>
      </c>
      <c r="AB634" s="137">
        <v>14.0</v>
      </c>
      <c r="AC634" s="137">
        <v>2.0</v>
      </c>
      <c r="AD634" s="137">
        <v>12.0</v>
      </c>
      <c r="AE634" s="137">
        <v>4.0</v>
      </c>
      <c r="AF634" s="137">
        <v>22.0</v>
      </c>
      <c r="AG634" s="137">
        <v>0.0</v>
      </c>
      <c r="AH634" s="137">
        <v>10.0</v>
      </c>
      <c r="AI634" s="137">
        <v>12.0</v>
      </c>
      <c r="AJ634" s="137">
        <v>4.0</v>
      </c>
      <c r="AK634" s="137">
        <v>2.0</v>
      </c>
      <c r="AL634" s="137">
        <v>10.0</v>
      </c>
      <c r="AM634" s="137">
        <v>12.0</v>
      </c>
      <c r="AN634" s="137">
        <v>344.0</v>
      </c>
    </row>
    <row r="635">
      <c r="A635" s="104"/>
      <c r="B635" s="136" t="s">
        <v>199</v>
      </c>
      <c r="C635" s="137">
        <v>150.0</v>
      </c>
      <c r="D635" s="137">
        <v>100.0</v>
      </c>
      <c r="E635" s="137">
        <v>50.0</v>
      </c>
      <c r="F635" s="137">
        <v>4.0</v>
      </c>
      <c r="G635" s="137">
        <v>6.0</v>
      </c>
      <c r="H635" s="137">
        <v>2.0</v>
      </c>
      <c r="I635" s="137">
        <v>2.0</v>
      </c>
      <c r="J635" s="137">
        <v>2.0</v>
      </c>
      <c r="K635" s="137">
        <v>6.0</v>
      </c>
      <c r="L635" s="137">
        <v>0.0</v>
      </c>
      <c r="M635" s="137">
        <v>0.0</v>
      </c>
      <c r="N635" s="137">
        <v>2.0</v>
      </c>
      <c r="O635" s="137">
        <v>0.0</v>
      </c>
      <c r="P635" s="137">
        <v>10.0</v>
      </c>
      <c r="Q635" s="137">
        <v>2.0</v>
      </c>
      <c r="R635" s="137">
        <v>6.0</v>
      </c>
      <c r="S635" s="137">
        <v>6.0</v>
      </c>
      <c r="T635" s="137">
        <v>46.0</v>
      </c>
      <c r="U635" s="137">
        <v>2.0</v>
      </c>
      <c r="V635" s="137">
        <v>2.0</v>
      </c>
      <c r="W635" s="137">
        <v>2.0</v>
      </c>
      <c r="X635" s="137">
        <v>0.0</v>
      </c>
      <c r="Y635" s="137">
        <v>8.0</v>
      </c>
      <c r="Z635" s="137">
        <v>16.0</v>
      </c>
      <c r="AA635" s="137">
        <v>6.0</v>
      </c>
      <c r="AB635" s="137">
        <v>2.0</v>
      </c>
      <c r="AC635" s="137">
        <v>0.0</v>
      </c>
      <c r="AD635" s="137">
        <v>2.0</v>
      </c>
      <c r="AE635" s="137">
        <v>0.0</v>
      </c>
      <c r="AF635" s="137">
        <v>6.0</v>
      </c>
      <c r="AG635" s="137">
        <v>0.0</v>
      </c>
      <c r="AH635" s="137">
        <v>0.0</v>
      </c>
      <c r="AI635" s="137">
        <v>4.0</v>
      </c>
      <c r="AJ635" s="137">
        <v>0.0</v>
      </c>
      <c r="AK635" s="137">
        <v>0.0</v>
      </c>
      <c r="AL635" s="137">
        <v>0.0</v>
      </c>
      <c r="AM635" s="137">
        <v>6.0</v>
      </c>
      <c r="AN635" s="137">
        <v>150.0</v>
      </c>
    </row>
    <row r="636">
      <c r="A636" s="132" t="s">
        <v>203</v>
      </c>
      <c r="B636" s="136" t="s">
        <v>198</v>
      </c>
      <c r="C636" s="137">
        <v>0.0</v>
      </c>
      <c r="D636" s="137">
        <v>0.0</v>
      </c>
      <c r="E636" s="137">
        <v>0.0</v>
      </c>
      <c r="F636" s="135">
        <v>0.0</v>
      </c>
      <c r="G636" s="135">
        <v>0.0</v>
      </c>
      <c r="H636" s="135">
        <v>0.0</v>
      </c>
      <c r="I636" s="135">
        <v>0.0</v>
      </c>
      <c r="J636" s="135">
        <v>0.0</v>
      </c>
      <c r="K636" s="135">
        <v>0.0</v>
      </c>
      <c r="L636" s="135">
        <v>0.0</v>
      </c>
      <c r="M636" s="135">
        <v>0.0</v>
      </c>
      <c r="N636" s="135">
        <v>0.0</v>
      </c>
      <c r="O636" s="135">
        <v>0.0</v>
      </c>
      <c r="P636" s="135">
        <v>0.0</v>
      </c>
      <c r="Q636" s="135">
        <v>0.0</v>
      </c>
      <c r="R636" s="135">
        <v>0.0</v>
      </c>
      <c r="S636" s="135">
        <v>0.0</v>
      </c>
      <c r="T636" s="135">
        <v>0.0</v>
      </c>
      <c r="U636" s="135">
        <v>0.0</v>
      </c>
      <c r="V636" s="135">
        <v>0.0</v>
      </c>
      <c r="W636" s="135">
        <v>0.0</v>
      </c>
      <c r="X636" s="135">
        <v>0.0</v>
      </c>
      <c r="Y636" s="135">
        <v>0.0</v>
      </c>
      <c r="Z636" s="135">
        <v>0.0</v>
      </c>
      <c r="AA636" s="135">
        <v>0.0</v>
      </c>
      <c r="AB636" s="135">
        <v>0.0</v>
      </c>
      <c r="AC636" s="135">
        <v>0.0</v>
      </c>
      <c r="AD636" s="135">
        <v>0.0</v>
      </c>
      <c r="AE636" s="135">
        <v>0.0</v>
      </c>
      <c r="AF636" s="137">
        <v>0.0</v>
      </c>
      <c r="AG636" s="137">
        <v>0.0</v>
      </c>
      <c r="AH636" s="137">
        <v>0.0</v>
      </c>
      <c r="AI636" s="137">
        <v>0.0</v>
      </c>
      <c r="AJ636" s="137">
        <v>0.0</v>
      </c>
      <c r="AK636" s="137">
        <v>0.0</v>
      </c>
      <c r="AL636" s="137">
        <v>0.0</v>
      </c>
      <c r="AM636" s="137">
        <v>0.0</v>
      </c>
      <c r="AN636" s="137">
        <v>0.0</v>
      </c>
    </row>
    <row r="637">
      <c r="A637" s="104"/>
      <c r="B637" s="136" t="s">
        <v>199</v>
      </c>
      <c r="C637" s="137">
        <v>182.0</v>
      </c>
      <c r="D637" s="137">
        <v>66.0</v>
      </c>
      <c r="E637" s="137">
        <v>116.0</v>
      </c>
      <c r="F637" s="135">
        <v>0.0</v>
      </c>
      <c r="G637" s="135">
        <v>0.0</v>
      </c>
      <c r="H637" s="135">
        <v>0.0</v>
      </c>
      <c r="I637" s="135">
        <v>0.0</v>
      </c>
      <c r="J637" s="135">
        <v>0.0</v>
      </c>
      <c r="K637" s="135">
        <v>0.0</v>
      </c>
      <c r="L637" s="135">
        <v>0.0</v>
      </c>
      <c r="M637" s="135">
        <v>0.0</v>
      </c>
      <c r="N637" s="135">
        <v>0.0</v>
      </c>
      <c r="O637" s="135">
        <v>0.0</v>
      </c>
      <c r="P637" s="135">
        <v>0.0</v>
      </c>
      <c r="Q637" s="135">
        <v>0.0</v>
      </c>
      <c r="R637" s="135">
        <v>0.0</v>
      </c>
      <c r="S637" s="135">
        <v>0.0</v>
      </c>
      <c r="T637" s="135">
        <v>0.0</v>
      </c>
      <c r="U637" s="135">
        <v>0.0</v>
      </c>
      <c r="V637" s="135">
        <v>0.0</v>
      </c>
      <c r="W637" s="135">
        <v>0.0</v>
      </c>
      <c r="X637" s="135">
        <v>0.0</v>
      </c>
      <c r="Y637" s="135">
        <v>0.0</v>
      </c>
      <c r="Z637" s="135">
        <v>0.0</v>
      </c>
      <c r="AA637" s="135">
        <v>0.0</v>
      </c>
      <c r="AB637" s="135">
        <v>0.0</v>
      </c>
      <c r="AC637" s="135">
        <v>0.0</v>
      </c>
      <c r="AD637" s="135">
        <v>0.0</v>
      </c>
      <c r="AE637" s="135">
        <v>0.0</v>
      </c>
      <c r="AF637" s="137">
        <v>16.0</v>
      </c>
      <c r="AG637" s="137">
        <v>28.0</v>
      </c>
      <c r="AH637" s="137">
        <v>26.0</v>
      </c>
      <c r="AI637" s="137">
        <v>32.0</v>
      </c>
      <c r="AJ637" s="137">
        <v>22.0</v>
      </c>
      <c r="AK637" s="137">
        <v>28.0</v>
      </c>
      <c r="AL637" s="137">
        <v>2.0</v>
      </c>
      <c r="AM637" s="137">
        <v>28.0</v>
      </c>
      <c r="AN637" s="137">
        <v>172.0</v>
      </c>
    </row>
    <row r="638">
      <c r="A638" s="132" t="s">
        <v>204</v>
      </c>
      <c r="B638" s="136" t="s">
        <v>198</v>
      </c>
      <c r="C638" s="137">
        <v>0.0</v>
      </c>
      <c r="D638" s="137">
        <v>0.0</v>
      </c>
      <c r="E638" s="137">
        <v>0.0</v>
      </c>
      <c r="F638" s="135">
        <v>0.0</v>
      </c>
      <c r="G638" s="135">
        <v>0.0</v>
      </c>
      <c r="H638" s="135">
        <v>0.0</v>
      </c>
      <c r="I638" s="135">
        <v>0.0</v>
      </c>
      <c r="J638" s="135">
        <v>0.0</v>
      </c>
      <c r="K638" s="135">
        <v>0.0</v>
      </c>
      <c r="L638" s="135">
        <v>0.0</v>
      </c>
      <c r="M638" s="135">
        <v>0.0</v>
      </c>
      <c r="N638" s="135">
        <v>0.0</v>
      </c>
      <c r="O638" s="135">
        <v>0.0</v>
      </c>
      <c r="P638" s="135">
        <v>0.0</v>
      </c>
      <c r="Q638" s="135">
        <v>0.0</v>
      </c>
      <c r="R638" s="135">
        <v>0.0</v>
      </c>
      <c r="S638" s="135">
        <v>0.0</v>
      </c>
      <c r="T638" s="135">
        <v>0.0</v>
      </c>
      <c r="U638" s="135">
        <v>0.0</v>
      </c>
      <c r="V638" s="135">
        <v>0.0</v>
      </c>
      <c r="W638" s="135">
        <v>0.0</v>
      </c>
      <c r="X638" s="135">
        <v>0.0</v>
      </c>
      <c r="Y638" s="135">
        <v>0.0</v>
      </c>
      <c r="Z638" s="135">
        <v>0.0</v>
      </c>
      <c r="AA638" s="135">
        <v>0.0</v>
      </c>
      <c r="AB638" s="135">
        <v>0.0</v>
      </c>
      <c r="AC638" s="135">
        <v>0.0</v>
      </c>
      <c r="AD638" s="135">
        <v>0.0</v>
      </c>
      <c r="AE638" s="135">
        <v>0.0</v>
      </c>
      <c r="AF638" s="137">
        <v>0.0</v>
      </c>
      <c r="AG638" s="137">
        <v>0.0</v>
      </c>
      <c r="AH638" s="137">
        <v>0.0</v>
      </c>
      <c r="AI638" s="137">
        <v>0.0</v>
      </c>
      <c r="AJ638" s="137">
        <v>0.0</v>
      </c>
      <c r="AK638" s="137">
        <v>0.0</v>
      </c>
      <c r="AL638" s="137">
        <v>0.0</v>
      </c>
      <c r="AM638" s="137">
        <v>0.0</v>
      </c>
      <c r="AN638" s="137">
        <v>0.0</v>
      </c>
    </row>
    <row r="639">
      <c r="A639" s="104"/>
      <c r="B639" s="136" t="s">
        <v>199</v>
      </c>
      <c r="C639" s="137">
        <v>130.0</v>
      </c>
      <c r="D639" s="137">
        <v>44.0</v>
      </c>
      <c r="E639" s="137">
        <v>86.0</v>
      </c>
      <c r="F639" s="135">
        <v>0.0</v>
      </c>
      <c r="G639" s="135">
        <v>0.0</v>
      </c>
      <c r="H639" s="135">
        <v>0.0</v>
      </c>
      <c r="I639" s="135">
        <v>0.0</v>
      </c>
      <c r="J639" s="135">
        <v>0.0</v>
      </c>
      <c r="K639" s="135">
        <v>0.0</v>
      </c>
      <c r="L639" s="135">
        <v>0.0</v>
      </c>
      <c r="M639" s="135">
        <v>0.0</v>
      </c>
      <c r="N639" s="135">
        <v>0.0</v>
      </c>
      <c r="O639" s="135">
        <v>0.0</v>
      </c>
      <c r="P639" s="135">
        <v>0.0</v>
      </c>
      <c r="Q639" s="135">
        <v>0.0</v>
      </c>
      <c r="R639" s="135">
        <v>0.0</v>
      </c>
      <c r="S639" s="135">
        <v>0.0</v>
      </c>
      <c r="T639" s="135">
        <v>0.0</v>
      </c>
      <c r="U639" s="135">
        <v>0.0</v>
      </c>
      <c r="V639" s="135">
        <v>0.0</v>
      </c>
      <c r="W639" s="135">
        <v>0.0</v>
      </c>
      <c r="X639" s="135">
        <v>0.0</v>
      </c>
      <c r="Y639" s="135">
        <v>0.0</v>
      </c>
      <c r="Z639" s="135">
        <v>0.0</v>
      </c>
      <c r="AA639" s="135">
        <v>0.0</v>
      </c>
      <c r="AB639" s="135">
        <v>0.0</v>
      </c>
      <c r="AC639" s="135">
        <v>0.0</v>
      </c>
      <c r="AD639" s="135">
        <v>0.0</v>
      </c>
      <c r="AE639" s="135">
        <v>0.0</v>
      </c>
      <c r="AF639" s="137">
        <v>8.0</v>
      </c>
      <c r="AG639" s="137">
        <v>4.0</v>
      </c>
      <c r="AH639" s="137">
        <v>8.0</v>
      </c>
      <c r="AI639" s="137">
        <v>14.0</v>
      </c>
      <c r="AJ639" s="137">
        <v>8.0</v>
      </c>
      <c r="AK639" s="137">
        <v>20.0</v>
      </c>
      <c r="AL639" s="137">
        <v>20.0</v>
      </c>
      <c r="AM639" s="137">
        <v>48.0</v>
      </c>
      <c r="AN639" s="137">
        <v>128.0</v>
      </c>
    </row>
    <row r="640">
      <c r="A640" s="132" t="s">
        <v>205</v>
      </c>
      <c r="B640" s="136" t="s">
        <v>198</v>
      </c>
      <c r="C640" s="137">
        <v>94.0</v>
      </c>
      <c r="D640" s="137">
        <v>40.0</v>
      </c>
      <c r="E640" s="137">
        <v>54.0</v>
      </c>
      <c r="F640" s="137">
        <v>2.0</v>
      </c>
      <c r="G640" s="137">
        <v>0.0</v>
      </c>
      <c r="H640" s="137">
        <v>0.0</v>
      </c>
      <c r="I640" s="137">
        <v>0.0</v>
      </c>
      <c r="J640" s="137">
        <v>0.0</v>
      </c>
      <c r="K640" s="137">
        <v>2.0</v>
      </c>
      <c r="L640" s="137">
        <v>6.0</v>
      </c>
      <c r="M640" s="137">
        <v>12.0</v>
      </c>
      <c r="N640" s="137">
        <v>12.0</v>
      </c>
      <c r="O640" s="137">
        <v>20.0</v>
      </c>
      <c r="P640" s="137">
        <v>2.0</v>
      </c>
      <c r="Q640" s="137">
        <v>12.0</v>
      </c>
      <c r="R640" s="137">
        <v>6.0</v>
      </c>
      <c r="S640" s="137">
        <v>6.0</v>
      </c>
      <c r="T640" s="137">
        <v>6.0</v>
      </c>
      <c r="U640" s="137">
        <v>0.0</v>
      </c>
      <c r="V640" s="137">
        <v>0.0</v>
      </c>
      <c r="W640" s="137">
        <v>0.0</v>
      </c>
      <c r="X640" s="137">
        <v>0.0</v>
      </c>
      <c r="Y640" s="137">
        <v>0.0</v>
      </c>
      <c r="Z640" s="137">
        <v>0.0</v>
      </c>
      <c r="AA640" s="137">
        <v>0.0</v>
      </c>
      <c r="AB640" s="137">
        <v>2.0</v>
      </c>
      <c r="AC640" s="137">
        <v>0.0</v>
      </c>
      <c r="AD640" s="137">
        <v>0.0</v>
      </c>
      <c r="AE640" s="137">
        <v>0.0</v>
      </c>
      <c r="AF640" s="137">
        <v>0.0</v>
      </c>
      <c r="AG640" s="137">
        <v>0.0</v>
      </c>
      <c r="AH640" s="137">
        <v>2.0</v>
      </c>
      <c r="AI640" s="137">
        <v>0.0</v>
      </c>
      <c r="AJ640" s="137">
        <v>2.0</v>
      </c>
      <c r="AK640" s="137">
        <v>2.0</v>
      </c>
      <c r="AL640" s="137">
        <v>0.0</v>
      </c>
      <c r="AM640" s="137">
        <v>0.0</v>
      </c>
      <c r="AN640" s="137">
        <v>94.0</v>
      </c>
    </row>
    <row r="641">
      <c r="A641" s="98"/>
      <c r="B641" s="136" t="s">
        <v>199</v>
      </c>
      <c r="C641" s="137">
        <v>0.0</v>
      </c>
      <c r="D641" s="137">
        <v>0.0</v>
      </c>
      <c r="E641" s="137">
        <v>0.0</v>
      </c>
      <c r="F641" s="137">
        <v>0.0</v>
      </c>
      <c r="G641" s="137">
        <v>0.0</v>
      </c>
      <c r="H641" s="137">
        <v>0.0</v>
      </c>
      <c r="I641" s="137">
        <v>0.0</v>
      </c>
      <c r="J641" s="137">
        <v>0.0</v>
      </c>
      <c r="K641" s="137">
        <v>0.0</v>
      </c>
      <c r="L641" s="137">
        <v>0.0</v>
      </c>
      <c r="M641" s="137">
        <v>0.0</v>
      </c>
      <c r="N641" s="137">
        <v>0.0</v>
      </c>
      <c r="O641" s="137">
        <v>0.0</v>
      </c>
      <c r="P641" s="137">
        <v>0.0</v>
      </c>
      <c r="Q641" s="137">
        <v>0.0</v>
      </c>
      <c r="R641" s="137">
        <v>0.0</v>
      </c>
      <c r="S641" s="137">
        <v>0.0</v>
      </c>
      <c r="T641" s="137">
        <v>0.0</v>
      </c>
      <c r="U641" s="137">
        <v>0.0</v>
      </c>
      <c r="V641" s="137">
        <v>0.0</v>
      </c>
      <c r="W641" s="137">
        <v>0.0</v>
      </c>
      <c r="X641" s="137">
        <v>0.0</v>
      </c>
      <c r="Y641" s="137">
        <v>0.0</v>
      </c>
      <c r="Z641" s="137">
        <v>0.0</v>
      </c>
      <c r="AA641" s="137">
        <v>0.0</v>
      </c>
      <c r="AB641" s="137">
        <v>0.0</v>
      </c>
      <c r="AC641" s="137">
        <v>0.0</v>
      </c>
      <c r="AD641" s="137">
        <v>0.0</v>
      </c>
      <c r="AE641" s="137">
        <v>0.0</v>
      </c>
      <c r="AF641" s="137">
        <v>0.0</v>
      </c>
      <c r="AG641" s="137">
        <v>0.0</v>
      </c>
      <c r="AH641" s="137">
        <v>0.0</v>
      </c>
      <c r="AI641" s="137">
        <v>0.0</v>
      </c>
      <c r="AJ641" s="137">
        <v>0.0</v>
      </c>
      <c r="AK641" s="137">
        <v>0.0</v>
      </c>
      <c r="AL641" s="137">
        <v>0.0</v>
      </c>
      <c r="AM641" s="137">
        <v>0.0</v>
      </c>
      <c r="AN641" s="137">
        <v>0.0</v>
      </c>
    </row>
    <row r="642">
      <c r="A642" s="104"/>
      <c r="B642" s="136" t="s">
        <v>206</v>
      </c>
      <c r="C642" s="137">
        <v>718.0</v>
      </c>
      <c r="D642" s="137">
        <v>196.0</v>
      </c>
      <c r="E642" s="137">
        <v>522.0</v>
      </c>
      <c r="F642" s="137">
        <v>6.0</v>
      </c>
      <c r="G642" s="137">
        <v>6.0</v>
      </c>
      <c r="H642" s="137">
        <v>8.0</v>
      </c>
      <c r="I642" s="137">
        <v>0.0</v>
      </c>
      <c r="J642" s="137">
        <v>0.0</v>
      </c>
      <c r="K642" s="137">
        <v>6.0</v>
      </c>
      <c r="L642" s="137">
        <v>8.0</v>
      </c>
      <c r="M642" s="137">
        <v>70.0</v>
      </c>
      <c r="N642" s="137">
        <v>24.0</v>
      </c>
      <c r="O642" s="137">
        <v>112.0</v>
      </c>
      <c r="P642" s="137">
        <v>72.0</v>
      </c>
      <c r="Q642" s="137">
        <v>100.0</v>
      </c>
      <c r="R642" s="137">
        <v>10.0</v>
      </c>
      <c r="S642" s="137">
        <v>50.0</v>
      </c>
      <c r="T642" s="137">
        <v>2.0</v>
      </c>
      <c r="U642" s="137">
        <v>54.0</v>
      </c>
      <c r="V642" s="137">
        <v>6.0</v>
      </c>
      <c r="W642" s="137">
        <v>36.0</v>
      </c>
      <c r="X642" s="137">
        <v>2.0</v>
      </c>
      <c r="Y642" s="137">
        <v>24.0</v>
      </c>
      <c r="Z642" s="137">
        <v>10.0</v>
      </c>
      <c r="AA642" s="137">
        <v>28.0</v>
      </c>
      <c r="AB642" s="137">
        <v>28.0</v>
      </c>
      <c r="AC642" s="137">
        <v>0.0</v>
      </c>
      <c r="AD642" s="137">
        <v>2.0</v>
      </c>
      <c r="AE642" s="137">
        <v>8.0</v>
      </c>
      <c r="AF642" s="137">
        <v>2.0</v>
      </c>
      <c r="AG642" s="137">
        <v>4.0</v>
      </c>
      <c r="AH642" s="137">
        <v>2.0</v>
      </c>
      <c r="AI642" s="137">
        <v>12.0</v>
      </c>
      <c r="AJ642" s="137">
        <v>14.0</v>
      </c>
      <c r="AK642" s="137">
        <v>2.0</v>
      </c>
      <c r="AL642" s="137">
        <v>0.0</v>
      </c>
      <c r="AM642" s="137">
        <v>10.0</v>
      </c>
      <c r="AN642" s="137">
        <v>718.0</v>
      </c>
    </row>
    <row r="643">
      <c r="A643" s="132" t="s">
        <v>207</v>
      </c>
      <c r="B643" s="136" t="s">
        <v>198</v>
      </c>
      <c r="C643" s="134">
        <v>34786.0</v>
      </c>
      <c r="D643" s="134">
        <v>10698.0</v>
      </c>
      <c r="E643" s="134">
        <v>24068.0</v>
      </c>
      <c r="F643" s="137">
        <v>284.0</v>
      </c>
      <c r="G643" s="137">
        <v>184.0</v>
      </c>
      <c r="H643" s="137">
        <v>190.0</v>
      </c>
      <c r="I643" s="137">
        <v>122.0</v>
      </c>
      <c r="J643" s="137">
        <v>156.0</v>
      </c>
      <c r="K643" s="137">
        <v>150.0</v>
      </c>
      <c r="L643" s="137">
        <v>212.0</v>
      </c>
      <c r="M643" s="137">
        <v>234.0</v>
      </c>
      <c r="N643" s="137">
        <v>468.0</v>
      </c>
      <c r="O643" s="134">
        <v>1048.0</v>
      </c>
      <c r="P643" s="137">
        <v>918.0</v>
      </c>
      <c r="Q643" s="134">
        <v>2670.0</v>
      </c>
      <c r="R643" s="137">
        <v>778.0</v>
      </c>
      <c r="S643" s="134">
        <v>2492.0</v>
      </c>
      <c r="T643" s="137">
        <v>498.0</v>
      </c>
      <c r="U643" s="134">
        <v>1970.0</v>
      </c>
      <c r="V643" s="137">
        <v>502.0</v>
      </c>
      <c r="W643" s="134">
        <v>1966.0</v>
      </c>
      <c r="X643" s="137">
        <v>592.0</v>
      </c>
      <c r="Y643" s="134">
        <v>2068.0</v>
      </c>
      <c r="Z643" s="137">
        <v>676.0</v>
      </c>
      <c r="AA643" s="134">
        <v>1974.0</v>
      </c>
      <c r="AB643" s="137">
        <v>880.0</v>
      </c>
      <c r="AC643" s="134">
        <v>2256.0</v>
      </c>
      <c r="AD643" s="134">
        <v>1092.0</v>
      </c>
      <c r="AE643" s="134">
        <v>1896.0</v>
      </c>
      <c r="AF643" s="134">
        <v>1010.0</v>
      </c>
      <c r="AG643" s="134">
        <v>1574.0</v>
      </c>
      <c r="AH643" s="134">
        <v>1010.0</v>
      </c>
      <c r="AI643" s="134">
        <v>1248.0</v>
      </c>
      <c r="AJ643" s="137">
        <v>688.0</v>
      </c>
      <c r="AK643" s="134">
        <v>1050.0</v>
      </c>
      <c r="AL643" s="137">
        <v>742.0</v>
      </c>
      <c r="AM643" s="134">
        <v>1172.0</v>
      </c>
      <c r="AN643" s="134">
        <v>33346.0</v>
      </c>
    </row>
    <row r="644">
      <c r="A644" s="98"/>
      <c r="B644" s="136" t="s">
        <v>199</v>
      </c>
      <c r="C644" s="134">
        <v>1846.0</v>
      </c>
      <c r="D644" s="137">
        <v>776.0</v>
      </c>
      <c r="E644" s="134">
        <v>1070.0</v>
      </c>
      <c r="F644" s="137">
        <v>8.0</v>
      </c>
      <c r="G644" s="137">
        <v>8.0</v>
      </c>
      <c r="H644" s="137">
        <v>10.0</v>
      </c>
      <c r="I644" s="137">
        <v>8.0</v>
      </c>
      <c r="J644" s="137">
        <v>4.0</v>
      </c>
      <c r="K644" s="137">
        <v>2.0</v>
      </c>
      <c r="L644" s="137">
        <v>8.0</v>
      </c>
      <c r="M644" s="137">
        <v>14.0</v>
      </c>
      <c r="N644" s="137">
        <v>14.0</v>
      </c>
      <c r="O644" s="137">
        <v>36.0</v>
      </c>
      <c r="P644" s="137">
        <v>32.0</v>
      </c>
      <c r="Q644" s="137">
        <v>56.0</v>
      </c>
      <c r="R644" s="137">
        <v>26.0</v>
      </c>
      <c r="S644" s="137">
        <v>42.0</v>
      </c>
      <c r="T644" s="137">
        <v>42.0</v>
      </c>
      <c r="U644" s="137">
        <v>20.0</v>
      </c>
      <c r="V644" s="137">
        <v>24.0</v>
      </c>
      <c r="W644" s="137">
        <v>60.0</v>
      </c>
      <c r="X644" s="137">
        <v>24.0</v>
      </c>
      <c r="Y644" s="137">
        <v>68.0</v>
      </c>
      <c r="Z644" s="137">
        <v>62.0</v>
      </c>
      <c r="AA644" s="137">
        <v>78.0</v>
      </c>
      <c r="AB644" s="137">
        <v>104.0</v>
      </c>
      <c r="AC644" s="137">
        <v>102.0</v>
      </c>
      <c r="AD644" s="137">
        <v>66.0</v>
      </c>
      <c r="AE644" s="137">
        <v>136.0</v>
      </c>
      <c r="AF644" s="137">
        <v>72.0</v>
      </c>
      <c r="AG644" s="137">
        <v>144.0</v>
      </c>
      <c r="AH644" s="137">
        <v>90.0</v>
      </c>
      <c r="AI644" s="137">
        <v>116.0</v>
      </c>
      <c r="AJ644" s="137">
        <v>88.0</v>
      </c>
      <c r="AK644" s="137">
        <v>88.0</v>
      </c>
      <c r="AL644" s="137">
        <v>102.0</v>
      </c>
      <c r="AM644" s="137">
        <v>92.0</v>
      </c>
      <c r="AN644" s="134">
        <v>1828.0</v>
      </c>
    </row>
    <row r="645">
      <c r="A645" s="98"/>
      <c r="B645" s="136" t="s">
        <v>206</v>
      </c>
      <c r="C645" s="137">
        <v>34.0</v>
      </c>
      <c r="D645" s="137">
        <v>0.0</v>
      </c>
      <c r="E645" s="137">
        <v>34.0</v>
      </c>
      <c r="F645" s="137">
        <v>0.0</v>
      </c>
      <c r="G645" s="137">
        <v>0.0</v>
      </c>
      <c r="H645" s="137">
        <v>0.0</v>
      </c>
      <c r="I645" s="137">
        <v>0.0</v>
      </c>
      <c r="J645" s="137">
        <v>0.0</v>
      </c>
      <c r="K645" s="137">
        <v>0.0</v>
      </c>
      <c r="L645" s="137">
        <v>0.0</v>
      </c>
      <c r="M645" s="137">
        <v>2.0</v>
      </c>
      <c r="N645" s="137">
        <v>0.0</v>
      </c>
      <c r="O645" s="137">
        <v>4.0</v>
      </c>
      <c r="P645" s="137">
        <v>0.0</v>
      </c>
      <c r="Q645" s="137">
        <v>8.0</v>
      </c>
      <c r="R645" s="137">
        <v>0.0</v>
      </c>
      <c r="S645" s="137">
        <v>10.0</v>
      </c>
      <c r="T645" s="137">
        <v>0.0</v>
      </c>
      <c r="U645" s="137">
        <v>4.0</v>
      </c>
      <c r="V645" s="137">
        <v>0.0</v>
      </c>
      <c r="W645" s="137">
        <v>2.0</v>
      </c>
      <c r="X645" s="137">
        <v>0.0</v>
      </c>
      <c r="Y645" s="137">
        <v>4.0</v>
      </c>
      <c r="Z645" s="137">
        <v>0.0</v>
      </c>
      <c r="AA645" s="137">
        <v>0.0</v>
      </c>
      <c r="AB645" s="137">
        <v>0.0</v>
      </c>
      <c r="AC645" s="137">
        <v>0.0</v>
      </c>
      <c r="AD645" s="137">
        <v>0.0</v>
      </c>
      <c r="AE645" s="137">
        <v>0.0</v>
      </c>
      <c r="AF645" s="137">
        <v>0.0</v>
      </c>
      <c r="AG645" s="137">
        <v>0.0</v>
      </c>
      <c r="AH645" s="137">
        <v>0.0</v>
      </c>
      <c r="AI645" s="137">
        <v>0.0</v>
      </c>
      <c r="AJ645" s="137">
        <v>0.0</v>
      </c>
      <c r="AK645" s="137">
        <v>0.0</v>
      </c>
      <c r="AL645" s="137">
        <v>0.0</v>
      </c>
      <c r="AM645" s="137">
        <v>0.0</v>
      </c>
      <c r="AN645" s="137">
        <v>34.0</v>
      </c>
    </row>
    <row r="646">
      <c r="A646" s="98"/>
      <c r="B646" s="136" t="s">
        <v>200</v>
      </c>
      <c r="C646" s="134">
        <v>1786.0</v>
      </c>
      <c r="D646" s="137">
        <v>574.0</v>
      </c>
      <c r="E646" s="134">
        <v>1212.0</v>
      </c>
      <c r="F646" s="137">
        <v>236.0</v>
      </c>
      <c r="G646" s="137">
        <v>214.0</v>
      </c>
      <c r="H646" s="137">
        <v>96.0</v>
      </c>
      <c r="I646" s="137">
        <v>116.0</v>
      </c>
      <c r="J646" s="137">
        <v>36.0</v>
      </c>
      <c r="K646" s="137">
        <v>52.0</v>
      </c>
      <c r="L646" s="137">
        <v>4.0</v>
      </c>
      <c r="M646" s="137">
        <v>32.0</v>
      </c>
      <c r="N646" s="137">
        <v>8.0</v>
      </c>
      <c r="O646" s="137">
        <v>60.0</v>
      </c>
      <c r="P646" s="137">
        <v>4.0</v>
      </c>
      <c r="Q646" s="137">
        <v>88.0</v>
      </c>
      <c r="R646" s="137">
        <v>4.0</v>
      </c>
      <c r="S646" s="137">
        <v>64.0</v>
      </c>
      <c r="T646" s="137">
        <v>4.0</v>
      </c>
      <c r="U646" s="137">
        <v>70.0</v>
      </c>
      <c r="V646" s="137">
        <v>20.0</v>
      </c>
      <c r="W646" s="137">
        <v>58.0</v>
      </c>
      <c r="X646" s="137">
        <v>22.0</v>
      </c>
      <c r="Y646" s="137">
        <v>56.0</v>
      </c>
      <c r="Z646" s="137">
        <v>22.0</v>
      </c>
      <c r="AA646" s="137">
        <v>62.0</v>
      </c>
      <c r="AB646" s="137">
        <v>14.0</v>
      </c>
      <c r="AC646" s="137">
        <v>62.0</v>
      </c>
      <c r="AD646" s="137">
        <v>12.0</v>
      </c>
      <c r="AE646" s="137">
        <v>66.0</v>
      </c>
      <c r="AF646" s="137">
        <v>24.0</v>
      </c>
      <c r="AG646" s="137">
        <v>60.0</v>
      </c>
      <c r="AH646" s="137">
        <v>14.0</v>
      </c>
      <c r="AI646" s="137">
        <v>56.0</v>
      </c>
      <c r="AJ646" s="137">
        <v>30.0</v>
      </c>
      <c r="AK646" s="137">
        <v>26.0</v>
      </c>
      <c r="AL646" s="137">
        <v>24.0</v>
      </c>
      <c r="AM646" s="137">
        <v>70.0</v>
      </c>
      <c r="AN646" s="134">
        <v>1744.0</v>
      </c>
    </row>
    <row r="647">
      <c r="A647" s="104"/>
      <c r="B647" s="136" t="s">
        <v>201</v>
      </c>
      <c r="C647" s="134">
        <v>14372.0</v>
      </c>
      <c r="D647" s="134">
        <v>6188.0</v>
      </c>
      <c r="E647" s="134">
        <v>8184.0</v>
      </c>
      <c r="F647" s="137">
        <v>250.0</v>
      </c>
      <c r="G647" s="137">
        <v>320.0</v>
      </c>
      <c r="H647" s="137">
        <v>180.0</v>
      </c>
      <c r="I647" s="137">
        <v>172.0</v>
      </c>
      <c r="J647" s="137">
        <v>192.0</v>
      </c>
      <c r="K647" s="137">
        <v>170.0</v>
      </c>
      <c r="L647" s="137">
        <v>202.0</v>
      </c>
      <c r="M647" s="137">
        <v>268.0</v>
      </c>
      <c r="N647" s="137">
        <v>246.0</v>
      </c>
      <c r="O647" s="137">
        <v>446.0</v>
      </c>
      <c r="P647" s="137">
        <v>204.0</v>
      </c>
      <c r="Q647" s="137">
        <v>492.0</v>
      </c>
      <c r="R647" s="137">
        <v>180.0</v>
      </c>
      <c r="S647" s="137">
        <v>458.0</v>
      </c>
      <c r="T647" s="137">
        <v>348.0</v>
      </c>
      <c r="U647" s="137">
        <v>402.0</v>
      </c>
      <c r="V647" s="137">
        <v>490.0</v>
      </c>
      <c r="W647" s="137">
        <v>600.0</v>
      </c>
      <c r="X647" s="137">
        <v>376.0</v>
      </c>
      <c r="Y647" s="137">
        <v>568.0</v>
      </c>
      <c r="Z647" s="137">
        <v>494.0</v>
      </c>
      <c r="AA647" s="137">
        <v>642.0</v>
      </c>
      <c r="AB647" s="137">
        <v>498.0</v>
      </c>
      <c r="AC647" s="137">
        <v>442.0</v>
      </c>
      <c r="AD647" s="137">
        <v>592.0</v>
      </c>
      <c r="AE647" s="137">
        <v>544.0</v>
      </c>
      <c r="AF647" s="137">
        <v>458.0</v>
      </c>
      <c r="AG647" s="137">
        <v>666.0</v>
      </c>
      <c r="AH647" s="137">
        <v>420.0</v>
      </c>
      <c r="AI647" s="137">
        <v>598.0</v>
      </c>
      <c r="AJ647" s="137">
        <v>472.0</v>
      </c>
      <c r="AK647" s="137">
        <v>614.0</v>
      </c>
      <c r="AL647" s="137">
        <v>596.0</v>
      </c>
      <c r="AM647" s="137">
        <v>774.0</v>
      </c>
      <c r="AN647" s="134">
        <v>14022.0</v>
      </c>
    </row>
    <row r="648">
      <c r="A648" s="132" t="s">
        <v>208</v>
      </c>
      <c r="B648" s="136" t="s">
        <v>198</v>
      </c>
      <c r="C648" s="137">
        <v>6.0</v>
      </c>
      <c r="D648" s="137">
        <v>4.0</v>
      </c>
      <c r="E648" s="137">
        <v>2.0</v>
      </c>
      <c r="F648" s="137">
        <v>0.0</v>
      </c>
      <c r="G648" s="137">
        <v>2.0</v>
      </c>
      <c r="H648" s="137">
        <v>2.0</v>
      </c>
      <c r="I648" s="137">
        <v>0.0</v>
      </c>
      <c r="J648" s="137">
        <v>2.0</v>
      </c>
      <c r="K648" s="137">
        <v>0.0</v>
      </c>
      <c r="L648" s="137">
        <v>0.0</v>
      </c>
      <c r="M648" s="137">
        <v>0.0</v>
      </c>
      <c r="N648" s="137">
        <v>0.0</v>
      </c>
      <c r="O648" s="137">
        <v>0.0</v>
      </c>
      <c r="P648" s="135">
        <v>0.0</v>
      </c>
      <c r="Q648" s="135">
        <v>0.0</v>
      </c>
      <c r="R648" s="135">
        <v>0.0</v>
      </c>
      <c r="S648" s="135">
        <v>0.0</v>
      </c>
      <c r="T648" s="135">
        <v>0.0</v>
      </c>
      <c r="U648" s="135">
        <v>0.0</v>
      </c>
      <c r="V648" s="135">
        <v>0.0</v>
      </c>
      <c r="W648" s="135">
        <v>0.0</v>
      </c>
      <c r="X648" s="135">
        <v>0.0</v>
      </c>
      <c r="Y648" s="135">
        <v>0.0</v>
      </c>
      <c r="Z648" s="135">
        <v>0.0</v>
      </c>
      <c r="AA648" s="135">
        <v>0.0</v>
      </c>
      <c r="AB648" s="135">
        <v>0.0</v>
      </c>
      <c r="AC648" s="135">
        <v>0.0</v>
      </c>
      <c r="AD648" s="135">
        <v>0.0</v>
      </c>
      <c r="AE648" s="135">
        <v>0.0</v>
      </c>
      <c r="AF648" s="135">
        <v>0.0</v>
      </c>
      <c r="AG648" s="135">
        <v>0.0</v>
      </c>
      <c r="AH648" s="135">
        <v>0.0</v>
      </c>
      <c r="AI648" s="135">
        <v>0.0</v>
      </c>
      <c r="AJ648" s="135">
        <v>0.0</v>
      </c>
      <c r="AK648" s="135">
        <v>0.0</v>
      </c>
      <c r="AL648" s="135">
        <v>0.0</v>
      </c>
      <c r="AM648" s="135">
        <v>0.0</v>
      </c>
      <c r="AN648" s="137">
        <v>6.0</v>
      </c>
    </row>
    <row r="649">
      <c r="A649" s="98"/>
      <c r="B649" s="136" t="s">
        <v>199</v>
      </c>
      <c r="C649" s="137">
        <v>136.0</v>
      </c>
      <c r="D649" s="137">
        <v>90.0</v>
      </c>
      <c r="E649" s="137">
        <v>46.0</v>
      </c>
      <c r="F649" s="137">
        <v>78.0</v>
      </c>
      <c r="G649" s="137">
        <v>44.0</v>
      </c>
      <c r="H649" s="137">
        <v>10.0</v>
      </c>
      <c r="I649" s="137">
        <v>2.0</v>
      </c>
      <c r="J649" s="137">
        <v>2.0</v>
      </c>
      <c r="K649" s="137">
        <v>0.0</v>
      </c>
      <c r="L649" s="137">
        <v>0.0</v>
      </c>
      <c r="M649" s="137">
        <v>0.0</v>
      </c>
      <c r="N649" s="137">
        <v>0.0</v>
      </c>
      <c r="O649" s="137">
        <v>0.0</v>
      </c>
      <c r="P649" s="135">
        <v>0.0</v>
      </c>
      <c r="Q649" s="135">
        <v>0.0</v>
      </c>
      <c r="R649" s="135">
        <v>0.0</v>
      </c>
      <c r="S649" s="135">
        <v>0.0</v>
      </c>
      <c r="T649" s="135">
        <v>0.0</v>
      </c>
      <c r="U649" s="135">
        <v>0.0</v>
      </c>
      <c r="V649" s="135">
        <v>0.0</v>
      </c>
      <c r="W649" s="135">
        <v>0.0</v>
      </c>
      <c r="X649" s="135">
        <v>0.0</v>
      </c>
      <c r="Y649" s="135">
        <v>0.0</v>
      </c>
      <c r="Z649" s="135">
        <v>0.0</v>
      </c>
      <c r="AA649" s="135">
        <v>0.0</v>
      </c>
      <c r="AB649" s="135">
        <v>0.0</v>
      </c>
      <c r="AC649" s="135">
        <v>0.0</v>
      </c>
      <c r="AD649" s="135">
        <v>0.0</v>
      </c>
      <c r="AE649" s="135">
        <v>0.0</v>
      </c>
      <c r="AF649" s="135">
        <v>0.0</v>
      </c>
      <c r="AG649" s="135">
        <v>0.0</v>
      </c>
      <c r="AH649" s="135">
        <v>0.0</v>
      </c>
      <c r="AI649" s="135">
        <v>0.0</v>
      </c>
      <c r="AJ649" s="135">
        <v>0.0</v>
      </c>
      <c r="AK649" s="135">
        <v>0.0</v>
      </c>
      <c r="AL649" s="135">
        <v>0.0</v>
      </c>
      <c r="AM649" s="135">
        <v>0.0</v>
      </c>
      <c r="AN649" s="137">
        <v>108.0</v>
      </c>
    </row>
    <row r="650">
      <c r="A650" s="98"/>
      <c r="B650" s="136" t="s">
        <v>206</v>
      </c>
      <c r="C650" s="137">
        <v>0.0</v>
      </c>
      <c r="D650" s="137">
        <v>0.0</v>
      </c>
      <c r="E650" s="137">
        <v>0.0</v>
      </c>
      <c r="F650" s="137">
        <v>0.0</v>
      </c>
      <c r="G650" s="137">
        <v>0.0</v>
      </c>
      <c r="H650" s="137">
        <v>0.0</v>
      </c>
      <c r="I650" s="137">
        <v>0.0</v>
      </c>
      <c r="J650" s="137">
        <v>0.0</v>
      </c>
      <c r="K650" s="137">
        <v>0.0</v>
      </c>
      <c r="L650" s="137">
        <v>0.0</v>
      </c>
      <c r="M650" s="137">
        <v>0.0</v>
      </c>
      <c r="N650" s="137">
        <v>0.0</v>
      </c>
      <c r="O650" s="137">
        <v>0.0</v>
      </c>
      <c r="P650" s="135">
        <v>0.0</v>
      </c>
      <c r="Q650" s="135">
        <v>0.0</v>
      </c>
      <c r="R650" s="135">
        <v>0.0</v>
      </c>
      <c r="S650" s="135">
        <v>0.0</v>
      </c>
      <c r="T650" s="135">
        <v>0.0</v>
      </c>
      <c r="U650" s="135">
        <v>0.0</v>
      </c>
      <c r="V650" s="135">
        <v>0.0</v>
      </c>
      <c r="W650" s="135">
        <v>0.0</v>
      </c>
      <c r="X650" s="135">
        <v>0.0</v>
      </c>
      <c r="Y650" s="135">
        <v>0.0</v>
      </c>
      <c r="Z650" s="135">
        <v>0.0</v>
      </c>
      <c r="AA650" s="135">
        <v>0.0</v>
      </c>
      <c r="AB650" s="135">
        <v>0.0</v>
      </c>
      <c r="AC650" s="135">
        <v>0.0</v>
      </c>
      <c r="AD650" s="135">
        <v>0.0</v>
      </c>
      <c r="AE650" s="135">
        <v>0.0</v>
      </c>
      <c r="AF650" s="135">
        <v>0.0</v>
      </c>
      <c r="AG650" s="135">
        <v>0.0</v>
      </c>
      <c r="AH650" s="135">
        <v>0.0</v>
      </c>
      <c r="AI650" s="135">
        <v>0.0</v>
      </c>
      <c r="AJ650" s="135">
        <v>0.0</v>
      </c>
      <c r="AK650" s="135">
        <v>0.0</v>
      </c>
      <c r="AL650" s="135">
        <v>0.0</v>
      </c>
      <c r="AM650" s="135">
        <v>0.0</v>
      </c>
      <c r="AN650" s="137">
        <v>0.0</v>
      </c>
    </row>
    <row r="651">
      <c r="A651" s="98"/>
      <c r="B651" s="136" t="s">
        <v>200</v>
      </c>
      <c r="C651" s="137">
        <v>30.0</v>
      </c>
      <c r="D651" s="137">
        <v>16.0</v>
      </c>
      <c r="E651" s="137">
        <v>14.0</v>
      </c>
      <c r="F651" s="137">
        <v>8.0</v>
      </c>
      <c r="G651" s="137">
        <v>8.0</v>
      </c>
      <c r="H651" s="137">
        <v>2.0</v>
      </c>
      <c r="I651" s="137">
        <v>0.0</v>
      </c>
      <c r="J651" s="137">
        <v>0.0</v>
      </c>
      <c r="K651" s="137">
        <v>4.0</v>
      </c>
      <c r="L651" s="137">
        <v>6.0</v>
      </c>
      <c r="M651" s="137">
        <v>2.0</v>
      </c>
      <c r="N651" s="137">
        <v>0.0</v>
      </c>
      <c r="O651" s="137">
        <v>0.0</v>
      </c>
      <c r="P651" s="135">
        <v>0.0</v>
      </c>
      <c r="Q651" s="135">
        <v>0.0</v>
      </c>
      <c r="R651" s="135">
        <v>0.0</v>
      </c>
      <c r="S651" s="135">
        <v>0.0</v>
      </c>
      <c r="T651" s="135">
        <v>0.0</v>
      </c>
      <c r="U651" s="135">
        <v>0.0</v>
      </c>
      <c r="V651" s="135">
        <v>0.0</v>
      </c>
      <c r="W651" s="135">
        <v>0.0</v>
      </c>
      <c r="X651" s="135">
        <v>0.0</v>
      </c>
      <c r="Y651" s="135">
        <v>0.0</v>
      </c>
      <c r="Z651" s="135">
        <v>0.0</v>
      </c>
      <c r="AA651" s="135">
        <v>0.0</v>
      </c>
      <c r="AB651" s="135">
        <v>0.0</v>
      </c>
      <c r="AC651" s="135">
        <v>0.0</v>
      </c>
      <c r="AD651" s="135">
        <v>0.0</v>
      </c>
      <c r="AE651" s="135">
        <v>0.0</v>
      </c>
      <c r="AF651" s="135">
        <v>0.0</v>
      </c>
      <c r="AG651" s="135">
        <v>0.0</v>
      </c>
      <c r="AH651" s="135">
        <v>0.0</v>
      </c>
      <c r="AI651" s="135">
        <v>0.0</v>
      </c>
      <c r="AJ651" s="135">
        <v>0.0</v>
      </c>
      <c r="AK651" s="135">
        <v>0.0</v>
      </c>
      <c r="AL651" s="135">
        <v>0.0</v>
      </c>
      <c r="AM651" s="135">
        <v>0.0</v>
      </c>
      <c r="AN651" s="137">
        <v>28.0</v>
      </c>
    </row>
    <row r="652">
      <c r="A652" s="104"/>
      <c r="B652" s="136" t="s">
        <v>201</v>
      </c>
      <c r="C652" s="137">
        <v>0.0</v>
      </c>
      <c r="D652" s="137">
        <v>0.0</v>
      </c>
      <c r="E652" s="137">
        <v>0.0</v>
      </c>
      <c r="F652" s="137">
        <v>0.0</v>
      </c>
      <c r="G652" s="137">
        <v>0.0</v>
      </c>
      <c r="H652" s="137">
        <v>0.0</v>
      </c>
      <c r="I652" s="137">
        <v>0.0</v>
      </c>
      <c r="J652" s="137">
        <v>0.0</v>
      </c>
      <c r="K652" s="137">
        <v>0.0</v>
      </c>
      <c r="L652" s="137">
        <v>0.0</v>
      </c>
      <c r="M652" s="137">
        <v>0.0</v>
      </c>
      <c r="N652" s="137">
        <v>0.0</v>
      </c>
      <c r="O652" s="137">
        <v>0.0</v>
      </c>
      <c r="P652" s="135">
        <v>0.0</v>
      </c>
      <c r="Q652" s="135">
        <v>0.0</v>
      </c>
      <c r="R652" s="135">
        <v>0.0</v>
      </c>
      <c r="S652" s="135">
        <v>0.0</v>
      </c>
      <c r="T652" s="135">
        <v>0.0</v>
      </c>
      <c r="U652" s="135">
        <v>0.0</v>
      </c>
      <c r="V652" s="135">
        <v>0.0</v>
      </c>
      <c r="W652" s="135">
        <v>0.0</v>
      </c>
      <c r="X652" s="135">
        <v>0.0</v>
      </c>
      <c r="Y652" s="135">
        <v>0.0</v>
      </c>
      <c r="Z652" s="135">
        <v>0.0</v>
      </c>
      <c r="AA652" s="135">
        <v>0.0</v>
      </c>
      <c r="AB652" s="135">
        <v>0.0</v>
      </c>
      <c r="AC652" s="135">
        <v>0.0</v>
      </c>
      <c r="AD652" s="135">
        <v>0.0</v>
      </c>
      <c r="AE652" s="135">
        <v>0.0</v>
      </c>
      <c r="AF652" s="135">
        <v>0.0</v>
      </c>
      <c r="AG652" s="135">
        <v>0.0</v>
      </c>
      <c r="AH652" s="135">
        <v>0.0</v>
      </c>
      <c r="AI652" s="135">
        <v>0.0</v>
      </c>
      <c r="AJ652" s="135">
        <v>0.0</v>
      </c>
      <c r="AK652" s="135">
        <v>0.0</v>
      </c>
      <c r="AL652" s="135">
        <v>0.0</v>
      </c>
      <c r="AM652" s="135">
        <v>0.0</v>
      </c>
      <c r="AN652" s="137">
        <v>0.0</v>
      </c>
    </row>
    <row r="653">
      <c r="A653" s="138" t="s">
        <v>266</v>
      </c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</row>
    <row r="654">
      <c r="A654" s="132" t="s">
        <v>197</v>
      </c>
      <c r="B654" s="133" t="s">
        <v>198</v>
      </c>
      <c r="C654" s="134">
        <v>24150.0</v>
      </c>
      <c r="D654" s="134">
        <v>9188.0</v>
      </c>
      <c r="E654" s="134">
        <v>14962.0</v>
      </c>
      <c r="F654" s="135">
        <v>0.0</v>
      </c>
      <c r="G654" s="135">
        <v>0.0</v>
      </c>
      <c r="H654" s="135">
        <v>0.0</v>
      </c>
      <c r="I654" s="135">
        <v>0.0</v>
      </c>
      <c r="J654" s="135">
        <v>0.0</v>
      </c>
      <c r="K654" s="135">
        <v>0.0</v>
      </c>
      <c r="L654" s="137">
        <v>26.0</v>
      </c>
      <c r="M654" s="137">
        <v>28.0</v>
      </c>
      <c r="N654" s="137">
        <v>26.0</v>
      </c>
      <c r="O654" s="137">
        <v>40.0</v>
      </c>
      <c r="P654" s="137">
        <v>34.0</v>
      </c>
      <c r="Q654" s="137">
        <v>108.0</v>
      </c>
      <c r="R654" s="137">
        <v>78.0</v>
      </c>
      <c r="S654" s="137">
        <v>214.0</v>
      </c>
      <c r="T654" s="137">
        <v>188.0</v>
      </c>
      <c r="U654" s="137">
        <v>362.0</v>
      </c>
      <c r="V654" s="137">
        <v>358.0</v>
      </c>
      <c r="W654" s="137">
        <v>616.0</v>
      </c>
      <c r="X654" s="137">
        <v>594.0</v>
      </c>
      <c r="Y654" s="134">
        <v>1102.0</v>
      </c>
      <c r="Z654" s="137">
        <v>972.0</v>
      </c>
      <c r="AA654" s="134">
        <v>1692.0</v>
      </c>
      <c r="AB654" s="134">
        <v>1270.0</v>
      </c>
      <c r="AC654" s="134">
        <v>1988.0</v>
      </c>
      <c r="AD654" s="134">
        <v>1266.0</v>
      </c>
      <c r="AE654" s="134">
        <v>2084.0</v>
      </c>
      <c r="AF654" s="134">
        <v>1294.0</v>
      </c>
      <c r="AG654" s="134">
        <v>1900.0</v>
      </c>
      <c r="AH654" s="134">
        <v>1210.0</v>
      </c>
      <c r="AI654" s="134">
        <v>1606.0</v>
      </c>
      <c r="AJ654" s="137">
        <v>908.0</v>
      </c>
      <c r="AK654" s="134">
        <v>1406.0</v>
      </c>
      <c r="AL654" s="137">
        <v>964.0</v>
      </c>
      <c r="AM654" s="134">
        <v>1816.0</v>
      </c>
      <c r="AN654" s="134">
        <v>23866.0</v>
      </c>
    </row>
    <row r="655">
      <c r="A655" s="98"/>
      <c r="B655" s="136" t="s">
        <v>199</v>
      </c>
      <c r="C655" s="134">
        <v>13120.0</v>
      </c>
      <c r="D655" s="134">
        <v>4944.0</v>
      </c>
      <c r="E655" s="134">
        <v>8176.0</v>
      </c>
      <c r="F655" s="135">
        <v>0.0</v>
      </c>
      <c r="G655" s="135">
        <v>0.0</v>
      </c>
      <c r="H655" s="135">
        <v>0.0</v>
      </c>
      <c r="I655" s="135">
        <v>0.0</v>
      </c>
      <c r="J655" s="135">
        <v>0.0</v>
      </c>
      <c r="K655" s="135">
        <v>0.0</v>
      </c>
      <c r="L655" s="137">
        <v>10.0</v>
      </c>
      <c r="M655" s="137">
        <v>8.0</v>
      </c>
      <c r="N655" s="137">
        <v>0.0</v>
      </c>
      <c r="O655" s="137">
        <v>20.0</v>
      </c>
      <c r="P655" s="137">
        <v>14.0</v>
      </c>
      <c r="Q655" s="137">
        <v>40.0</v>
      </c>
      <c r="R655" s="137">
        <v>32.0</v>
      </c>
      <c r="S655" s="137">
        <v>92.0</v>
      </c>
      <c r="T655" s="137">
        <v>76.0</v>
      </c>
      <c r="U655" s="137">
        <v>172.0</v>
      </c>
      <c r="V655" s="137">
        <v>152.0</v>
      </c>
      <c r="W655" s="137">
        <v>292.0</v>
      </c>
      <c r="X655" s="137">
        <v>264.0</v>
      </c>
      <c r="Y655" s="137">
        <v>518.0</v>
      </c>
      <c r="Z655" s="137">
        <v>474.0</v>
      </c>
      <c r="AA655" s="137">
        <v>872.0</v>
      </c>
      <c r="AB655" s="137">
        <v>588.0</v>
      </c>
      <c r="AC655" s="137">
        <v>926.0</v>
      </c>
      <c r="AD655" s="137">
        <v>614.0</v>
      </c>
      <c r="AE655" s="134">
        <v>1038.0</v>
      </c>
      <c r="AF655" s="137">
        <v>724.0</v>
      </c>
      <c r="AG655" s="134">
        <v>1094.0</v>
      </c>
      <c r="AH655" s="137">
        <v>662.0</v>
      </c>
      <c r="AI655" s="134">
        <v>1052.0</v>
      </c>
      <c r="AJ655" s="137">
        <v>632.0</v>
      </c>
      <c r="AK655" s="137">
        <v>836.0</v>
      </c>
      <c r="AL655" s="137">
        <v>702.0</v>
      </c>
      <c r="AM655" s="134">
        <v>1216.0</v>
      </c>
      <c r="AN655" s="134">
        <v>12746.0</v>
      </c>
    </row>
    <row r="656">
      <c r="A656" s="98"/>
      <c r="B656" s="136" t="s">
        <v>200</v>
      </c>
      <c r="C656" s="134">
        <v>12696.0</v>
      </c>
      <c r="D656" s="134">
        <v>4546.0</v>
      </c>
      <c r="E656" s="134">
        <v>8150.0</v>
      </c>
      <c r="F656" s="135">
        <v>0.0</v>
      </c>
      <c r="G656" s="135">
        <v>0.0</v>
      </c>
      <c r="H656" s="135">
        <v>0.0</v>
      </c>
      <c r="I656" s="135">
        <v>0.0</v>
      </c>
      <c r="J656" s="135">
        <v>0.0</v>
      </c>
      <c r="K656" s="135">
        <v>0.0</v>
      </c>
      <c r="L656" s="137">
        <v>2.0</v>
      </c>
      <c r="M656" s="137">
        <v>10.0</v>
      </c>
      <c r="N656" s="137">
        <v>6.0</v>
      </c>
      <c r="O656" s="137">
        <v>10.0</v>
      </c>
      <c r="P656" s="137">
        <v>34.0</v>
      </c>
      <c r="Q656" s="137">
        <v>62.0</v>
      </c>
      <c r="R656" s="137">
        <v>50.0</v>
      </c>
      <c r="S656" s="137">
        <v>116.0</v>
      </c>
      <c r="T656" s="137">
        <v>74.0</v>
      </c>
      <c r="U656" s="137">
        <v>194.0</v>
      </c>
      <c r="V656" s="137">
        <v>198.0</v>
      </c>
      <c r="W656" s="137">
        <v>382.0</v>
      </c>
      <c r="X656" s="137">
        <v>262.0</v>
      </c>
      <c r="Y656" s="137">
        <v>594.0</v>
      </c>
      <c r="Z656" s="137">
        <v>480.0</v>
      </c>
      <c r="AA656" s="137">
        <v>966.0</v>
      </c>
      <c r="AB656" s="137">
        <v>664.0</v>
      </c>
      <c r="AC656" s="134">
        <v>1060.0</v>
      </c>
      <c r="AD656" s="137">
        <v>632.0</v>
      </c>
      <c r="AE656" s="134">
        <v>1074.0</v>
      </c>
      <c r="AF656" s="137">
        <v>618.0</v>
      </c>
      <c r="AG656" s="134">
        <v>1032.0</v>
      </c>
      <c r="AH656" s="137">
        <v>618.0</v>
      </c>
      <c r="AI656" s="137">
        <v>978.0</v>
      </c>
      <c r="AJ656" s="137">
        <v>432.0</v>
      </c>
      <c r="AK656" s="137">
        <v>738.0</v>
      </c>
      <c r="AL656" s="137">
        <v>476.0</v>
      </c>
      <c r="AM656" s="137">
        <v>932.0</v>
      </c>
      <c r="AN656" s="134">
        <v>12366.0</v>
      </c>
    </row>
    <row r="657">
      <c r="A657" s="104"/>
      <c r="B657" s="136" t="s">
        <v>201</v>
      </c>
      <c r="C657" s="134">
        <v>6766.0</v>
      </c>
      <c r="D657" s="134">
        <v>2934.0</v>
      </c>
      <c r="E657" s="134">
        <v>3832.0</v>
      </c>
      <c r="F657" s="135">
        <v>0.0</v>
      </c>
      <c r="G657" s="135">
        <v>0.0</v>
      </c>
      <c r="H657" s="135">
        <v>0.0</v>
      </c>
      <c r="I657" s="135">
        <v>0.0</v>
      </c>
      <c r="J657" s="135">
        <v>0.0</v>
      </c>
      <c r="K657" s="135">
        <v>0.0</v>
      </c>
      <c r="L657" s="137">
        <v>10.0</v>
      </c>
      <c r="M657" s="137">
        <v>46.0</v>
      </c>
      <c r="N657" s="137">
        <v>6.0</v>
      </c>
      <c r="O657" s="137">
        <v>40.0</v>
      </c>
      <c r="P657" s="137">
        <v>36.0</v>
      </c>
      <c r="Q657" s="137">
        <v>58.0</v>
      </c>
      <c r="R657" s="137">
        <v>66.0</v>
      </c>
      <c r="S657" s="137">
        <v>128.0</v>
      </c>
      <c r="T657" s="137">
        <v>64.0</v>
      </c>
      <c r="U657" s="137">
        <v>102.0</v>
      </c>
      <c r="V657" s="137">
        <v>134.0</v>
      </c>
      <c r="W657" s="137">
        <v>220.0</v>
      </c>
      <c r="X657" s="137">
        <v>170.0</v>
      </c>
      <c r="Y657" s="137">
        <v>308.0</v>
      </c>
      <c r="Z657" s="137">
        <v>316.0</v>
      </c>
      <c r="AA657" s="137">
        <v>330.0</v>
      </c>
      <c r="AB657" s="137">
        <v>320.0</v>
      </c>
      <c r="AC657" s="137">
        <v>376.0</v>
      </c>
      <c r="AD657" s="137">
        <v>352.0</v>
      </c>
      <c r="AE657" s="137">
        <v>432.0</v>
      </c>
      <c r="AF657" s="137">
        <v>338.0</v>
      </c>
      <c r="AG657" s="137">
        <v>392.0</v>
      </c>
      <c r="AH657" s="137">
        <v>402.0</v>
      </c>
      <c r="AI657" s="137">
        <v>470.0</v>
      </c>
      <c r="AJ657" s="137">
        <v>386.0</v>
      </c>
      <c r="AK657" s="137">
        <v>436.0</v>
      </c>
      <c r="AL657" s="137">
        <v>334.0</v>
      </c>
      <c r="AM657" s="137">
        <v>494.0</v>
      </c>
      <c r="AN657" s="134">
        <v>6656.0</v>
      </c>
    </row>
    <row r="658">
      <c r="A658" s="132" t="s">
        <v>202</v>
      </c>
      <c r="B658" s="136" t="s">
        <v>198</v>
      </c>
      <c r="C658" s="137">
        <v>166.0</v>
      </c>
      <c r="D658" s="137">
        <v>112.0</v>
      </c>
      <c r="E658" s="137">
        <v>54.0</v>
      </c>
      <c r="F658" s="137">
        <v>4.0</v>
      </c>
      <c r="G658" s="137">
        <v>4.0</v>
      </c>
      <c r="H658" s="137">
        <v>6.0</v>
      </c>
      <c r="I658" s="137">
        <v>6.0</v>
      </c>
      <c r="J658" s="137">
        <v>12.0</v>
      </c>
      <c r="K658" s="137">
        <v>0.0</v>
      </c>
      <c r="L658" s="137">
        <v>4.0</v>
      </c>
      <c r="M658" s="137">
        <v>2.0</v>
      </c>
      <c r="N658" s="137">
        <v>2.0</v>
      </c>
      <c r="O658" s="137">
        <v>2.0</v>
      </c>
      <c r="P658" s="137">
        <v>8.0</v>
      </c>
      <c r="Q658" s="137">
        <v>0.0</v>
      </c>
      <c r="R658" s="137">
        <v>4.0</v>
      </c>
      <c r="S658" s="137">
        <v>0.0</v>
      </c>
      <c r="T658" s="137">
        <v>16.0</v>
      </c>
      <c r="U658" s="137">
        <v>10.0</v>
      </c>
      <c r="V658" s="137">
        <v>8.0</v>
      </c>
      <c r="W658" s="137">
        <v>10.0</v>
      </c>
      <c r="X658" s="137">
        <v>4.0</v>
      </c>
      <c r="Y658" s="137">
        <v>2.0</v>
      </c>
      <c r="Z658" s="137">
        <v>12.0</v>
      </c>
      <c r="AA658" s="137">
        <v>4.0</v>
      </c>
      <c r="AB658" s="137">
        <v>0.0</v>
      </c>
      <c r="AC658" s="137">
        <v>2.0</v>
      </c>
      <c r="AD658" s="137">
        <v>26.0</v>
      </c>
      <c r="AE658" s="137">
        <v>4.0</v>
      </c>
      <c r="AF658" s="137">
        <v>4.0</v>
      </c>
      <c r="AG658" s="137">
        <v>0.0</v>
      </c>
      <c r="AH658" s="137">
        <v>2.0</v>
      </c>
      <c r="AI658" s="137">
        <v>2.0</v>
      </c>
      <c r="AJ658" s="137">
        <v>0.0</v>
      </c>
      <c r="AK658" s="137">
        <v>0.0</v>
      </c>
      <c r="AL658" s="137">
        <v>0.0</v>
      </c>
      <c r="AM658" s="137">
        <v>6.0</v>
      </c>
      <c r="AN658" s="137">
        <v>130.0</v>
      </c>
    </row>
    <row r="659">
      <c r="A659" s="104"/>
      <c r="B659" s="136" t="s">
        <v>199</v>
      </c>
      <c r="C659" s="137">
        <v>116.0</v>
      </c>
      <c r="D659" s="137">
        <v>78.0</v>
      </c>
      <c r="E659" s="137">
        <v>38.0</v>
      </c>
      <c r="F659" s="137">
        <v>8.0</v>
      </c>
      <c r="G659" s="137">
        <v>0.0</v>
      </c>
      <c r="H659" s="137">
        <v>4.0</v>
      </c>
      <c r="I659" s="137">
        <v>2.0</v>
      </c>
      <c r="J659" s="137">
        <v>4.0</v>
      </c>
      <c r="K659" s="137">
        <v>0.0</v>
      </c>
      <c r="L659" s="137">
        <v>0.0</v>
      </c>
      <c r="M659" s="137">
        <v>0.0</v>
      </c>
      <c r="N659" s="137">
        <v>2.0</v>
      </c>
      <c r="O659" s="137">
        <v>0.0</v>
      </c>
      <c r="P659" s="137">
        <v>10.0</v>
      </c>
      <c r="Q659" s="137">
        <v>4.0</v>
      </c>
      <c r="R659" s="137">
        <v>2.0</v>
      </c>
      <c r="S659" s="137">
        <v>4.0</v>
      </c>
      <c r="T659" s="137">
        <v>10.0</v>
      </c>
      <c r="U659" s="137">
        <v>8.0</v>
      </c>
      <c r="V659" s="137">
        <v>4.0</v>
      </c>
      <c r="W659" s="137">
        <v>2.0</v>
      </c>
      <c r="X659" s="137">
        <v>2.0</v>
      </c>
      <c r="Y659" s="137">
        <v>2.0</v>
      </c>
      <c r="Z659" s="137">
        <v>0.0</v>
      </c>
      <c r="AA659" s="137">
        <v>2.0</v>
      </c>
      <c r="AB659" s="137">
        <v>2.0</v>
      </c>
      <c r="AC659" s="137">
        <v>0.0</v>
      </c>
      <c r="AD659" s="137">
        <v>14.0</v>
      </c>
      <c r="AE659" s="137">
        <v>8.0</v>
      </c>
      <c r="AF659" s="137">
        <v>10.0</v>
      </c>
      <c r="AG659" s="137">
        <v>0.0</v>
      </c>
      <c r="AH659" s="137">
        <v>2.0</v>
      </c>
      <c r="AI659" s="137">
        <v>0.0</v>
      </c>
      <c r="AJ659" s="137">
        <v>2.0</v>
      </c>
      <c r="AK659" s="137">
        <v>4.0</v>
      </c>
      <c r="AL659" s="137">
        <v>2.0</v>
      </c>
      <c r="AM659" s="137">
        <v>2.0</v>
      </c>
      <c r="AN659" s="137">
        <v>114.0</v>
      </c>
    </row>
    <row r="660">
      <c r="A660" s="132" t="s">
        <v>203</v>
      </c>
      <c r="B660" s="136" t="s">
        <v>198</v>
      </c>
      <c r="C660" s="137">
        <v>6.0</v>
      </c>
      <c r="D660" s="137">
        <v>0.0</v>
      </c>
      <c r="E660" s="137">
        <v>6.0</v>
      </c>
      <c r="F660" s="135">
        <v>0.0</v>
      </c>
      <c r="G660" s="135">
        <v>0.0</v>
      </c>
      <c r="H660" s="135">
        <v>0.0</v>
      </c>
      <c r="I660" s="135">
        <v>0.0</v>
      </c>
      <c r="J660" s="135">
        <v>0.0</v>
      </c>
      <c r="K660" s="135">
        <v>0.0</v>
      </c>
      <c r="L660" s="135">
        <v>0.0</v>
      </c>
      <c r="M660" s="135">
        <v>0.0</v>
      </c>
      <c r="N660" s="135">
        <v>0.0</v>
      </c>
      <c r="O660" s="135">
        <v>0.0</v>
      </c>
      <c r="P660" s="135">
        <v>0.0</v>
      </c>
      <c r="Q660" s="135">
        <v>0.0</v>
      </c>
      <c r="R660" s="135">
        <v>0.0</v>
      </c>
      <c r="S660" s="135">
        <v>0.0</v>
      </c>
      <c r="T660" s="135">
        <v>0.0</v>
      </c>
      <c r="U660" s="135">
        <v>0.0</v>
      </c>
      <c r="V660" s="135">
        <v>0.0</v>
      </c>
      <c r="W660" s="135">
        <v>0.0</v>
      </c>
      <c r="X660" s="135">
        <v>0.0</v>
      </c>
      <c r="Y660" s="135">
        <v>0.0</v>
      </c>
      <c r="Z660" s="135">
        <v>0.0</v>
      </c>
      <c r="AA660" s="135">
        <v>0.0</v>
      </c>
      <c r="AB660" s="135">
        <v>0.0</v>
      </c>
      <c r="AC660" s="135">
        <v>0.0</v>
      </c>
      <c r="AD660" s="135">
        <v>0.0</v>
      </c>
      <c r="AE660" s="135">
        <v>0.0</v>
      </c>
      <c r="AF660" s="137">
        <v>0.0</v>
      </c>
      <c r="AG660" s="137">
        <v>0.0</v>
      </c>
      <c r="AH660" s="137">
        <v>0.0</v>
      </c>
      <c r="AI660" s="137">
        <v>0.0</v>
      </c>
      <c r="AJ660" s="137">
        <v>0.0</v>
      </c>
      <c r="AK660" s="137">
        <v>2.0</v>
      </c>
      <c r="AL660" s="137">
        <v>0.0</v>
      </c>
      <c r="AM660" s="137">
        <v>4.0</v>
      </c>
      <c r="AN660" s="137">
        <v>6.0</v>
      </c>
    </row>
    <row r="661">
      <c r="A661" s="104"/>
      <c r="B661" s="136" t="s">
        <v>199</v>
      </c>
      <c r="C661" s="137">
        <v>250.0</v>
      </c>
      <c r="D661" s="137">
        <v>110.0</v>
      </c>
      <c r="E661" s="137">
        <v>140.0</v>
      </c>
      <c r="F661" s="135">
        <v>0.0</v>
      </c>
      <c r="G661" s="135">
        <v>0.0</v>
      </c>
      <c r="H661" s="135">
        <v>0.0</v>
      </c>
      <c r="I661" s="135">
        <v>0.0</v>
      </c>
      <c r="J661" s="135">
        <v>0.0</v>
      </c>
      <c r="K661" s="135">
        <v>0.0</v>
      </c>
      <c r="L661" s="135">
        <v>0.0</v>
      </c>
      <c r="M661" s="135">
        <v>0.0</v>
      </c>
      <c r="N661" s="135">
        <v>0.0</v>
      </c>
      <c r="O661" s="135">
        <v>0.0</v>
      </c>
      <c r="P661" s="135">
        <v>0.0</v>
      </c>
      <c r="Q661" s="135">
        <v>0.0</v>
      </c>
      <c r="R661" s="135">
        <v>0.0</v>
      </c>
      <c r="S661" s="135">
        <v>0.0</v>
      </c>
      <c r="T661" s="135">
        <v>0.0</v>
      </c>
      <c r="U661" s="135">
        <v>0.0</v>
      </c>
      <c r="V661" s="135">
        <v>0.0</v>
      </c>
      <c r="W661" s="135">
        <v>0.0</v>
      </c>
      <c r="X661" s="135">
        <v>0.0</v>
      </c>
      <c r="Y661" s="135">
        <v>0.0</v>
      </c>
      <c r="Z661" s="135">
        <v>0.0</v>
      </c>
      <c r="AA661" s="135">
        <v>0.0</v>
      </c>
      <c r="AB661" s="135">
        <v>0.0</v>
      </c>
      <c r="AC661" s="135">
        <v>0.0</v>
      </c>
      <c r="AD661" s="135">
        <v>0.0</v>
      </c>
      <c r="AE661" s="135">
        <v>0.0</v>
      </c>
      <c r="AF661" s="137">
        <v>30.0</v>
      </c>
      <c r="AG661" s="137">
        <v>40.0</v>
      </c>
      <c r="AH661" s="137">
        <v>22.0</v>
      </c>
      <c r="AI661" s="137">
        <v>50.0</v>
      </c>
      <c r="AJ661" s="137">
        <v>36.0</v>
      </c>
      <c r="AK661" s="137">
        <v>22.0</v>
      </c>
      <c r="AL661" s="137">
        <v>22.0</v>
      </c>
      <c r="AM661" s="137">
        <v>28.0</v>
      </c>
      <c r="AN661" s="137">
        <v>250.0</v>
      </c>
    </row>
    <row r="662">
      <c r="A662" s="132" t="s">
        <v>204</v>
      </c>
      <c r="B662" s="136" t="s">
        <v>198</v>
      </c>
      <c r="C662" s="137">
        <v>2.0</v>
      </c>
      <c r="D662" s="137">
        <v>0.0</v>
      </c>
      <c r="E662" s="137">
        <v>2.0</v>
      </c>
      <c r="F662" s="135">
        <v>0.0</v>
      </c>
      <c r="G662" s="135">
        <v>0.0</v>
      </c>
      <c r="H662" s="135">
        <v>0.0</v>
      </c>
      <c r="I662" s="135">
        <v>0.0</v>
      </c>
      <c r="J662" s="135">
        <v>0.0</v>
      </c>
      <c r="K662" s="135">
        <v>0.0</v>
      </c>
      <c r="L662" s="135">
        <v>0.0</v>
      </c>
      <c r="M662" s="135">
        <v>0.0</v>
      </c>
      <c r="N662" s="135">
        <v>0.0</v>
      </c>
      <c r="O662" s="135">
        <v>0.0</v>
      </c>
      <c r="P662" s="135">
        <v>0.0</v>
      </c>
      <c r="Q662" s="135">
        <v>0.0</v>
      </c>
      <c r="R662" s="135">
        <v>0.0</v>
      </c>
      <c r="S662" s="135">
        <v>0.0</v>
      </c>
      <c r="T662" s="135">
        <v>0.0</v>
      </c>
      <c r="U662" s="135">
        <v>0.0</v>
      </c>
      <c r="V662" s="135">
        <v>0.0</v>
      </c>
      <c r="W662" s="135">
        <v>0.0</v>
      </c>
      <c r="X662" s="135">
        <v>0.0</v>
      </c>
      <c r="Y662" s="135">
        <v>0.0</v>
      </c>
      <c r="Z662" s="135">
        <v>0.0</v>
      </c>
      <c r="AA662" s="135">
        <v>0.0</v>
      </c>
      <c r="AB662" s="135">
        <v>0.0</v>
      </c>
      <c r="AC662" s="135">
        <v>0.0</v>
      </c>
      <c r="AD662" s="135">
        <v>0.0</v>
      </c>
      <c r="AE662" s="135">
        <v>0.0</v>
      </c>
      <c r="AF662" s="137">
        <v>0.0</v>
      </c>
      <c r="AG662" s="137">
        <v>0.0</v>
      </c>
      <c r="AH662" s="137">
        <v>0.0</v>
      </c>
      <c r="AI662" s="137">
        <v>0.0</v>
      </c>
      <c r="AJ662" s="137">
        <v>0.0</v>
      </c>
      <c r="AK662" s="137">
        <v>2.0</v>
      </c>
      <c r="AL662" s="137">
        <v>0.0</v>
      </c>
      <c r="AM662" s="137">
        <v>0.0</v>
      </c>
      <c r="AN662" s="137">
        <v>2.0</v>
      </c>
    </row>
    <row r="663">
      <c r="A663" s="104"/>
      <c r="B663" s="136" t="s">
        <v>199</v>
      </c>
      <c r="C663" s="137">
        <v>278.0</v>
      </c>
      <c r="D663" s="137">
        <v>92.0</v>
      </c>
      <c r="E663" s="137">
        <v>186.0</v>
      </c>
      <c r="F663" s="135">
        <v>0.0</v>
      </c>
      <c r="G663" s="135">
        <v>0.0</v>
      </c>
      <c r="H663" s="135">
        <v>0.0</v>
      </c>
      <c r="I663" s="135">
        <v>0.0</v>
      </c>
      <c r="J663" s="135">
        <v>0.0</v>
      </c>
      <c r="K663" s="135">
        <v>0.0</v>
      </c>
      <c r="L663" s="135">
        <v>0.0</v>
      </c>
      <c r="M663" s="135">
        <v>0.0</v>
      </c>
      <c r="N663" s="135">
        <v>0.0</v>
      </c>
      <c r="O663" s="135">
        <v>0.0</v>
      </c>
      <c r="P663" s="135">
        <v>0.0</v>
      </c>
      <c r="Q663" s="135">
        <v>0.0</v>
      </c>
      <c r="R663" s="135">
        <v>0.0</v>
      </c>
      <c r="S663" s="135">
        <v>0.0</v>
      </c>
      <c r="T663" s="135">
        <v>0.0</v>
      </c>
      <c r="U663" s="135">
        <v>0.0</v>
      </c>
      <c r="V663" s="135">
        <v>0.0</v>
      </c>
      <c r="W663" s="135">
        <v>0.0</v>
      </c>
      <c r="X663" s="135">
        <v>0.0</v>
      </c>
      <c r="Y663" s="135">
        <v>0.0</v>
      </c>
      <c r="Z663" s="135">
        <v>0.0</v>
      </c>
      <c r="AA663" s="135">
        <v>0.0</v>
      </c>
      <c r="AB663" s="135">
        <v>0.0</v>
      </c>
      <c r="AC663" s="135">
        <v>0.0</v>
      </c>
      <c r="AD663" s="135">
        <v>0.0</v>
      </c>
      <c r="AE663" s="135">
        <v>0.0</v>
      </c>
      <c r="AF663" s="137">
        <v>10.0</v>
      </c>
      <c r="AG663" s="137">
        <v>28.0</v>
      </c>
      <c r="AH663" s="137">
        <v>24.0</v>
      </c>
      <c r="AI663" s="137">
        <v>22.0</v>
      </c>
      <c r="AJ663" s="137">
        <v>24.0</v>
      </c>
      <c r="AK663" s="137">
        <v>54.0</v>
      </c>
      <c r="AL663" s="137">
        <v>34.0</v>
      </c>
      <c r="AM663" s="137">
        <v>82.0</v>
      </c>
      <c r="AN663" s="137">
        <v>274.0</v>
      </c>
    </row>
    <row r="664">
      <c r="A664" s="132" t="s">
        <v>205</v>
      </c>
      <c r="B664" s="136" t="s">
        <v>198</v>
      </c>
      <c r="C664" s="137">
        <v>8.0</v>
      </c>
      <c r="D664" s="137">
        <v>4.0</v>
      </c>
      <c r="E664" s="137">
        <v>4.0</v>
      </c>
      <c r="F664" s="137">
        <v>0.0</v>
      </c>
      <c r="G664" s="137">
        <v>0.0</v>
      </c>
      <c r="H664" s="137">
        <v>0.0</v>
      </c>
      <c r="I664" s="137">
        <v>0.0</v>
      </c>
      <c r="J664" s="137">
        <v>0.0</v>
      </c>
      <c r="K664" s="137">
        <v>0.0</v>
      </c>
      <c r="L664" s="137">
        <v>0.0</v>
      </c>
      <c r="M664" s="137">
        <v>2.0</v>
      </c>
      <c r="N664" s="137">
        <v>0.0</v>
      </c>
      <c r="O664" s="137">
        <v>0.0</v>
      </c>
      <c r="P664" s="137">
        <v>2.0</v>
      </c>
      <c r="Q664" s="137">
        <v>0.0</v>
      </c>
      <c r="R664" s="137">
        <v>0.0</v>
      </c>
      <c r="S664" s="137">
        <v>2.0</v>
      </c>
      <c r="T664" s="137">
        <v>0.0</v>
      </c>
      <c r="U664" s="137">
        <v>0.0</v>
      </c>
      <c r="V664" s="137">
        <v>0.0</v>
      </c>
      <c r="W664" s="137">
        <v>0.0</v>
      </c>
      <c r="X664" s="137">
        <v>0.0</v>
      </c>
      <c r="Y664" s="137">
        <v>0.0</v>
      </c>
      <c r="Z664" s="137">
        <v>0.0</v>
      </c>
      <c r="AA664" s="137">
        <v>0.0</v>
      </c>
      <c r="AB664" s="137">
        <v>0.0</v>
      </c>
      <c r="AC664" s="137">
        <v>0.0</v>
      </c>
      <c r="AD664" s="137">
        <v>0.0</v>
      </c>
      <c r="AE664" s="137">
        <v>0.0</v>
      </c>
      <c r="AF664" s="137">
        <v>0.0</v>
      </c>
      <c r="AG664" s="137">
        <v>0.0</v>
      </c>
      <c r="AH664" s="137">
        <v>0.0</v>
      </c>
      <c r="AI664" s="137">
        <v>0.0</v>
      </c>
      <c r="AJ664" s="137">
        <v>2.0</v>
      </c>
      <c r="AK664" s="137">
        <v>0.0</v>
      </c>
      <c r="AL664" s="137">
        <v>0.0</v>
      </c>
      <c r="AM664" s="137">
        <v>0.0</v>
      </c>
      <c r="AN664" s="137">
        <v>8.0</v>
      </c>
    </row>
    <row r="665">
      <c r="A665" s="98"/>
      <c r="B665" s="136" t="s">
        <v>199</v>
      </c>
      <c r="C665" s="137">
        <v>48.0</v>
      </c>
      <c r="D665" s="137">
        <v>28.0</v>
      </c>
      <c r="E665" s="137">
        <v>20.0</v>
      </c>
      <c r="F665" s="137">
        <v>4.0</v>
      </c>
      <c r="G665" s="137">
        <v>8.0</v>
      </c>
      <c r="H665" s="137">
        <v>0.0</v>
      </c>
      <c r="I665" s="137">
        <v>0.0</v>
      </c>
      <c r="J665" s="137">
        <v>0.0</v>
      </c>
      <c r="K665" s="137">
        <v>0.0</v>
      </c>
      <c r="L665" s="137">
        <v>0.0</v>
      </c>
      <c r="M665" s="137">
        <v>0.0</v>
      </c>
      <c r="N665" s="137">
        <v>0.0</v>
      </c>
      <c r="O665" s="137">
        <v>0.0</v>
      </c>
      <c r="P665" s="137">
        <v>2.0</v>
      </c>
      <c r="Q665" s="137">
        <v>0.0</v>
      </c>
      <c r="R665" s="137">
        <v>0.0</v>
      </c>
      <c r="S665" s="137">
        <v>0.0</v>
      </c>
      <c r="T665" s="137">
        <v>0.0</v>
      </c>
      <c r="U665" s="137">
        <v>0.0</v>
      </c>
      <c r="V665" s="137">
        <v>0.0</v>
      </c>
      <c r="W665" s="137">
        <v>0.0</v>
      </c>
      <c r="X665" s="137">
        <v>2.0</v>
      </c>
      <c r="Y665" s="137">
        <v>0.0</v>
      </c>
      <c r="Z665" s="137">
        <v>4.0</v>
      </c>
      <c r="AA665" s="137">
        <v>0.0</v>
      </c>
      <c r="AB665" s="137">
        <v>0.0</v>
      </c>
      <c r="AC665" s="137">
        <v>0.0</v>
      </c>
      <c r="AD665" s="137">
        <v>0.0</v>
      </c>
      <c r="AE665" s="137">
        <v>0.0</v>
      </c>
      <c r="AF665" s="137">
        <v>4.0</v>
      </c>
      <c r="AG665" s="137">
        <v>6.0</v>
      </c>
      <c r="AH665" s="137">
        <v>4.0</v>
      </c>
      <c r="AI665" s="137">
        <v>4.0</v>
      </c>
      <c r="AJ665" s="137">
        <v>6.0</v>
      </c>
      <c r="AK665" s="137">
        <v>0.0</v>
      </c>
      <c r="AL665" s="137">
        <v>2.0</v>
      </c>
      <c r="AM665" s="137">
        <v>2.0</v>
      </c>
      <c r="AN665" s="137">
        <v>48.0</v>
      </c>
    </row>
    <row r="666">
      <c r="A666" s="104"/>
      <c r="B666" s="136" t="s">
        <v>206</v>
      </c>
      <c r="C666" s="137">
        <v>28.0</v>
      </c>
      <c r="D666" s="137">
        <v>20.0</v>
      </c>
      <c r="E666" s="137">
        <v>8.0</v>
      </c>
      <c r="F666" s="137">
        <v>0.0</v>
      </c>
      <c r="G666" s="137">
        <v>0.0</v>
      </c>
      <c r="H666" s="137">
        <v>0.0</v>
      </c>
      <c r="I666" s="137">
        <v>0.0</v>
      </c>
      <c r="J666" s="137">
        <v>0.0</v>
      </c>
      <c r="K666" s="137">
        <v>0.0</v>
      </c>
      <c r="L666" s="137">
        <v>8.0</v>
      </c>
      <c r="M666" s="137">
        <v>2.0</v>
      </c>
      <c r="N666" s="137">
        <v>4.0</v>
      </c>
      <c r="O666" s="137">
        <v>2.0</v>
      </c>
      <c r="P666" s="137">
        <v>4.0</v>
      </c>
      <c r="Q666" s="137">
        <v>0.0</v>
      </c>
      <c r="R666" s="137">
        <v>4.0</v>
      </c>
      <c r="S666" s="137">
        <v>0.0</v>
      </c>
      <c r="T666" s="137">
        <v>0.0</v>
      </c>
      <c r="U666" s="137">
        <v>4.0</v>
      </c>
      <c r="V666" s="137">
        <v>0.0</v>
      </c>
      <c r="W666" s="137">
        <v>0.0</v>
      </c>
      <c r="X666" s="137">
        <v>0.0</v>
      </c>
      <c r="Y666" s="137">
        <v>0.0</v>
      </c>
      <c r="Z666" s="137">
        <v>0.0</v>
      </c>
      <c r="AA666" s="137">
        <v>0.0</v>
      </c>
      <c r="AB666" s="137">
        <v>0.0</v>
      </c>
      <c r="AC666" s="137">
        <v>0.0</v>
      </c>
      <c r="AD666" s="137">
        <v>0.0</v>
      </c>
      <c r="AE666" s="137">
        <v>0.0</v>
      </c>
      <c r="AF666" s="137">
        <v>0.0</v>
      </c>
      <c r="AG666" s="137">
        <v>0.0</v>
      </c>
      <c r="AH666" s="137">
        <v>0.0</v>
      </c>
      <c r="AI666" s="137">
        <v>0.0</v>
      </c>
      <c r="AJ666" s="137">
        <v>0.0</v>
      </c>
      <c r="AK666" s="137">
        <v>0.0</v>
      </c>
      <c r="AL666" s="137">
        <v>0.0</v>
      </c>
      <c r="AM666" s="137">
        <v>0.0</v>
      </c>
      <c r="AN666" s="137">
        <v>28.0</v>
      </c>
    </row>
    <row r="667">
      <c r="A667" s="132" t="s">
        <v>207</v>
      </c>
      <c r="B667" s="136" t="s">
        <v>198</v>
      </c>
      <c r="C667" s="134">
        <v>3748.0</v>
      </c>
      <c r="D667" s="134">
        <v>1202.0</v>
      </c>
      <c r="E667" s="134">
        <v>2546.0</v>
      </c>
      <c r="F667" s="137">
        <v>88.0</v>
      </c>
      <c r="G667" s="137">
        <v>82.0</v>
      </c>
      <c r="H667" s="137">
        <v>46.0</v>
      </c>
      <c r="I667" s="137">
        <v>34.0</v>
      </c>
      <c r="J667" s="137">
        <v>18.0</v>
      </c>
      <c r="K667" s="137">
        <v>34.0</v>
      </c>
      <c r="L667" s="137">
        <v>44.0</v>
      </c>
      <c r="M667" s="137">
        <v>76.0</v>
      </c>
      <c r="N667" s="137">
        <v>64.0</v>
      </c>
      <c r="O667" s="137">
        <v>86.0</v>
      </c>
      <c r="P667" s="137">
        <v>58.0</v>
      </c>
      <c r="Q667" s="137">
        <v>132.0</v>
      </c>
      <c r="R667" s="137">
        <v>52.0</v>
      </c>
      <c r="S667" s="137">
        <v>156.0</v>
      </c>
      <c r="T667" s="137">
        <v>60.0</v>
      </c>
      <c r="U667" s="137">
        <v>162.0</v>
      </c>
      <c r="V667" s="137">
        <v>80.0</v>
      </c>
      <c r="W667" s="137">
        <v>218.0</v>
      </c>
      <c r="X667" s="137">
        <v>82.0</v>
      </c>
      <c r="Y667" s="137">
        <v>190.0</v>
      </c>
      <c r="Z667" s="137">
        <v>82.0</v>
      </c>
      <c r="AA667" s="137">
        <v>248.0</v>
      </c>
      <c r="AB667" s="137">
        <v>114.0</v>
      </c>
      <c r="AC667" s="137">
        <v>222.0</v>
      </c>
      <c r="AD667" s="137">
        <v>80.0</v>
      </c>
      <c r="AE667" s="137">
        <v>244.0</v>
      </c>
      <c r="AF667" s="137">
        <v>84.0</v>
      </c>
      <c r="AG667" s="137">
        <v>186.0</v>
      </c>
      <c r="AH667" s="137">
        <v>94.0</v>
      </c>
      <c r="AI667" s="137">
        <v>156.0</v>
      </c>
      <c r="AJ667" s="137">
        <v>56.0</v>
      </c>
      <c r="AK667" s="137">
        <v>130.0</v>
      </c>
      <c r="AL667" s="137">
        <v>100.0</v>
      </c>
      <c r="AM667" s="137">
        <v>190.0</v>
      </c>
      <c r="AN667" s="134">
        <v>3646.0</v>
      </c>
    </row>
    <row r="668">
      <c r="A668" s="98"/>
      <c r="B668" s="136" t="s">
        <v>199</v>
      </c>
      <c r="C668" s="134">
        <v>2752.0</v>
      </c>
      <c r="D668" s="134">
        <v>1292.0</v>
      </c>
      <c r="E668" s="134">
        <v>1460.0</v>
      </c>
      <c r="F668" s="137">
        <v>44.0</v>
      </c>
      <c r="G668" s="137">
        <v>56.0</v>
      </c>
      <c r="H668" s="137">
        <v>128.0</v>
      </c>
      <c r="I668" s="137">
        <v>168.0</v>
      </c>
      <c r="J668" s="137">
        <v>52.0</v>
      </c>
      <c r="K668" s="137">
        <v>80.0</v>
      </c>
      <c r="L668" s="137">
        <v>28.0</v>
      </c>
      <c r="M668" s="137">
        <v>12.0</v>
      </c>
      <c r="N668" s="137">
        <v>18.0</v>
      </c>
      <c r="O668" s="137">
        <v>28.0</v>
      </c>
      <c r="P668" s="137">
        <v>82.0</v>
      </c>
      <c r="Q668" s="137">
        <v>92.0</v>
      </c>
      <c r="R668" s="137">
        <v>68.0</v>
      </c>
      <c r="S668" s="137">
        <v>88.0</v>
      </c>
      <c r="T668" s="137">
        <v>142.0</v>
      </c>
      <c r="U668" s="137">
        <v>104.0</v>
      </c>
      <c r="V668" s="137">
        <v>124.0</v>
      </c>
      <c r="W668" s="137">
        <v>102.0</v>
      </c>
      <c r="X668" s="137">
        <v>118.0</v>
      </c>
      <c r="Y668" s="137">
        <v>74.0</v>
      </c>
      <c r="Z668" s="137">
        <v>104.0</v>
      </c>
      <c r="AA668" s="137">
        <v>98.0</v>
      </c>
      <c r="AB668" s="137">
        <v>72.0</v>
      </c>
      <c r="AC668" s="137">
        <v>70.0</v>
      </c>
      <c r="AD668" s="137">
        <v>66.0</v>
      </c>
      <c r="AE668" s="137">
        <v>60.0</v>
      </c>
      <c r="AF668" s="137">
        <v>72.0</v>
      </c>
      <c r="AG668" s="137">
        <v>92.0</v>
      </c>
      <c r="AH668" s="137">
        <v>34.0</v>
      </c>
      <c r="AI668" s="137">
        <v>110.0</v>
      </c>
      <c r="AJ668" s="137">
        <v>64.0</v>
      </c>
      <c r="AK668" s="137">
        <v>102.0</v>
      </c>
      <c r="AL668" s="137">
        <v>76.0</v>
      </c>
      <c r="AM668" s="137">
        <v>124.0</v>
      </c>
      <c r="AN668" s="134">
        <v>2610.0</v>
      </c>
    </row>
    <row r="669">
      <c r="A669" s="98"/>
      <c r="B669" s="136" t="s">
        <v>206</v>
      </c>
      <c r="C669" s="137">
        <v>538.0</v>
      </c>
      <c r="D669" s="137">
        <v>18.0</v>
      </c>
      <c r="E669" s="137">
        <v>520.0</v>
      </c>
      <c r="F669" s="137">
        <v>8.0</v>
      </c>
      <c r="G669" s="137">
        <v>2.0</v>
      </c>
      <c r="H669" s="137">
        <v>0.0</v>
      </c>
      <c r="I669" s="137">
        <v>0.0</v>
      </c>
      <c r="J669" s="137">
        <v>2.0</v>
      </c>
      <c r="K669" s="137">
        <v>4.0</v>
      </c>
      <c r="L669" s="137">
        <v>6.0</v>
      </c>
      <c r="M669" s="137">
        <v>14.0</v>
      </c>
      <c r="N669" s="137">
        <v>2.0</v>
      </c>
      <c r="O669" s="137">
        <v>12.0</v>
      </c>
      <c r="P669" s="137">
        <v>0.0</v>
      </c>
      <c r="Q669" s="137">
        <v>22.0</v>
      </c>
      <c r="R669" s="137">
        <v>0.0</v>
      </c>
      <c r="S669" s="137">
        <v>16.0</v>
      </c>
      <c r="T669" s="137">
        <v>0.0</v>
      </c>
      <c r="U669" s="137">
        <v>34.0</v>
      </c>
      <c r="V669" s="137">
        <v>0.0</v>
      </c>
      <c r="W669" s="137">
        <v>62.0</v>
      </c>
      <c r="X669" s="137">
        <v>0.0</v>
      </c>
      <c r="Y669" s="137">
        <v>60.0</v>
      </c>
      <c r="Z669" s="137">
        <v>0.0</v>
      </c>
      <c r="AA669" s="137">
        <v>106.0</v>
      </c>
      <c r="AB669" s="137">
        <v>0.0</v>
      </c>
      <c r="AC669" s="137">
        <v>88.0</v>
      </c>
      <c r="AD669" s="137">
        <v>0.0</v>
      </c>
      <c r="AE669" s="137">
        <v>60.0</v>
      </c>
      <c r="AF669" s="137">
        <v>0.0</v>
      </c>
      <c r="AG669" s="137">
        <v>28.0</v>
      </c>
      <c r="AH669" s="137">
        <v>0.0</v>
      </c>
      <c r="AI669" s="137">
        <v>12.0</v>
      </c>
      <c r="AJ669" s="137">
        <v>0.0</v>
      </c>
      <c r="AK669" s="137">
        <v>0.0</v>
      </c>
      <c r="AL669" s="137">
        <v>0.0</v>
      </c>
      <c r="AM669" s="137">
        <v>0.0</v>
      </c>
      <c r="AN669" s="137">
        <v>536.0</v>
      </c>
    </row>
    <row r="670">
      <c r="A670" s="98"/>
      <c r="B670" s="136" t="s">
        <v>200</v>
      </c>
      <c r="C670" s="134">
        <v>1306.0</v>
      </c>
      <c r="D670" s="137">
        <v>432.0</v>
      </c>
      <c r="E670" s="137">
        <v>874.0</v>
      </c>
      <c r="F670" s="137">
        <v>204.0</v>
      </c>
      <c r="G670" s="137">
        <v>214.0</v>
      </c>
      <c r="H670" s="137">
        <v>46.0</v>
      </c>
      <c r="I670" s="137">
        <v>60.0</v>
      </c>
      <c r="J670" s="137">
        <v>42.0</v>
      </c>
      <c r="K670" s="137">
        <v>24.0</v>
      </c>
      <c r="L670" s="137">
        <v>20.0</v>
      </c>
      <c r="M670" s="137">
        <v>54.0</v>
      </c>
      <c r="N670" s="137">
        <v>4.0</v>
      </c>
      <c r="O670" s="137">
        <v>62.0</v>
      </c>
      <c r="P670" s="137">
        <v>4.0</v>
      </c>
      <c r="Q670" s="137">
        <v>94.0</v>
      </c>
      <c r="R670" s="137">
        <v>2.0</v>
      </c>
      <c r="S670" s="137">
        <v>98.0</v>
      </c>
      <c r="T670" s="137">
        <v>0.0</v>
      </c>
      <c r="U670" s="137">
        <v>70.0</v>
      </c>
      <c r="V670" s="137">
        <v>4.0</v>
      </c>
      <c r="W670" s="137">
        <v>42.0</v>
      </c>
      <c r="X670" s="137">
        <v>10.0</v>
      </c>
      <c r="Y670" s="137">
        <v>26.0</v>
      </c>
      <c r="Z670" s="137">
        <v>6.0</v>
      </c>
      <c r="AA670" s="137">
        <v>30.0</v>
      </c>
      <c r="AB670" s="137">
        <v>20.0</v>
      </c>
      <c r="AC670" s="137">
        <v>20.0</v>
      </c>
      <c r="AD670" s="137">
        <v>12.0</v>
      </c>
      <c r="AE670" s="137">
        <v>24.0</v>
      </c>
      <c r="AF670" s="137">
        <v>12.0</v>
      </c>
      <c r="AG670" s="137">
        <v>14.0</v>
      </c>
      <c r="AH670" s="137">
        <v>12.0</v>
      </c>
      <c r="AI670" s="137">
        <v>8.0</v>
      </c>
      <c r="AJ670" s="137">
        <v>4.0</v>
      </c>
      <c r="AK670" s="137">
        <v>10.0</v>
      </c>
      <c r="AL670" s="137">
        <v>30.0</v>
      </c>
      <c r="AM670" s="137">
        <v>24.0</v>
      </c>
      <c r="AN670" s="134">
        <v>1266.0</v>
      </c>
    </row>
    <row r="671">
      <c r="A671" s="104"/>
      <c r="B671" s="136" t="s">
        <v>201</v>
      </c>
      <c r="C671" s="134">
        <v>5136.0</v>
      </c>
      <c r="D671" s="134">
        <v>2292.0</v>
      </c>
      <c r="E671" s="134">
        <v>2844.0</v>
      </c>
      <c r="F671" s="137">
        <v>48.0</v>
      </c>
      <c r="G671" s="137">
        <v>84.0</v>
      </c>
      <c r="H671" s="137">
        <v>50.0</v>
      </c>
      <c r="I671" s="137">
        <v>80.0</v>
      </c>
      <c r="J671" s="137">
        <v>102.0</v>
      </c>
      <c r="K671" s="137">
        <v>90.0</v>
      </c>
      <c r="L671" s="137">
        <v>50.0</v>
      </c>
      <c r="M671" s="137">
        <v>82.0</v>
      </c>
      <c r="N671" s="137">
        <v>74.0</v>
      </c>
      <c r="O671" s="137">
        <v>98.0</v>
      </c>
      <c r="P671" s="137">
        <v>110.0</v>
      </c>
      <c r="Q671" s="137">
        <v>134.0</v>
      </c>
      <c r="R671" s="137">
        <v>106.0</v>
      </c>
      <c r="S671" s="137">
        <v>126.0</v>
      </c>
      <c r="T671" s="137">
        <v>102.0</v>
      </c>
      <c r="U671" s="137">
        <v>162.0</v>
      </c>
      <c r="V671" s="137">
        <v>112.0</v>
      </c>
      <c r="W671" s="137">
        <v>170.0</v>
      </c>
      <c r="X671" s="137">
        <v>156.0</v>
      </c>
      <c r="Y671" s="137">
        <v>200.0</v>
      </c>
      <c r="Z671" s="137">
        <v>174.0</v>
      </c>
      <c r="AA671" s="137">
        <v>204.0</v>
      </c>
      <c r="AB671" s="137">
        <v>164.0</v>
      </c>
      <c r="AC671" s="137">
        <v>214.0</v>
      </c>
      <c r="AD671" s="137">
        <v>172.0</v>
      </c>
      <c r="AE671" s="137">
        <v>208.0</v>
      </c>
      <c r="AF671" s="137">
        <v>234.0</v>
      </c>
      <c r="AG671" s="137">
        <v>218.0</v>
      </c>
      <c r="AH671" s="137">
        <v>190.0</v>
      </c>
      <c r="AI671" s="137">
        <v>242.0</v>
      </c>
      <c r="AJ671" s="137">
        <v>174.0</v>
      </c>
      <c r="AK671" s="137">
        <v>206.0</v>
      </c>
      <c r="AL671" s="137">
        <v>274.0</v>
      </c>
      <c r="AM671" s="137">
        <v>326.0</v>
      </c>
      <c r="AN671" s="134">
        <v>4844.0</v>
      </c>
    </row>
    <row r="672">
      <c r="A672" s="132" t="s">
        <v>208</v>
      </c>
      <c r="B672" s="136" t="s">
        <v>198</v>
      </c>
      <c r="C672" s="137">
        <v>0.0</v>
      </c>
      <c r="D672" s="137">
        <v>0.0</v>
      </c>
      <c r="E672" s="137">
        <v>0.0</v>
      </c>
      <c r="F672" s="137">
        <v>0.0</v>
      </c>
      <c r="G672" s="137">
        <v>0.0</v>
      </c>
      <c r="H672" s="137">
        <v>0.0</v>
      </c>
      <c r="I672" s="137">
        <v>0.0</v>
      </c>
      <c r="J672" s="137">
        <v>0.0</v>
      </c>
      <c r="K672" s="137">
        <v>0.0</v>
      </c>
      <c r="L672" s="137">
        <v>0.0</v>
      </c>
      <c r="M672" s="137">
        <v>0.0</v>
      </c>
      <c r="N672" s="137">
        <v>0.0</v>
      </c>
      <c r="O672" s="137">
        <v>0.0</v>
      </c>
      <c r="P672" s="135">
        <v>0.0</v>
      </c>
      <c r="Q672" s="135">
        <v>0.0</v>
      </c>
      <c r="R672" s="135">
        <v>0.0</v>
      </c>
      <c r="S672" s="135">
        <v>0.0</v>
      </c>
      <c r="T672" s="135">
        <v>0.0</v>
      </c>
      <c r="U672" s="135">
        <v>0.0</v>
      </c>
      <c r="V672" s="135">
        <v>0.0</v>
      </c>
      <c r="W672" s="135">
        <v>0.0</v>
      </c>
      <c r="X672" s="135">
        <v>0.0</v>
      </c>
      <c r="Y672" s="135">
        <v>0.0</v>
      </c>
      <c r="Z672" s="135">
        <v>0.0</v>
      </c>
      <c r="AA672" s="135">
        <v>0.0</v>
      </c>
      <c r="AB672" s="135">
        <v>0.0</v>
      </c>
      <c r="AC672" s="135">
        <v>0.0</v>
      </c>
      <c r="AD672" s="135">
        <v>0.0</v>
      </c>
      <c r="AE672" s="135">
        <v>0.0</v>
      </c>
      <c r="AF672" s="135">
        <v>0.0</v>
      </c>
      <c r="AG672" s="135">
        <v>0.0</v>
      </c>
      <c r="AH672" s="135">
        <v>0.0</v>
      </c>
      <c r="AI672" s="135">
        <v>0.0</v>
      </c>
      <c r="AJ672" s="135">
        <v>0.0</v>
      </c>
      <c r="AK672" s="135">
        <v>0.0</v>
      </c>
      <c r="AL672" s="135">
        <v>0.0</v>
      </c>
      <c r="AM672" s="135">
        <v>0.0</v>
      </c>
      <c r="AN672" s="137">
        <v>0.0</v>
      </c>
    </row>
    <row r="673">
      <c r="A673" s="98"/>
      <c r="B673" s="136" t="s">
        <v>199</v>
      </c>
      <c r="C673" s="137">
        <v>96.0</v>
      </c>
      <c r="D673" s="137">
        <v>48.0</v>
      </c>
      <c r="E673" s="137">
        <v>48.0</v>
      </c>
      <c r="F673" s="137">
        <v>38.0</v>
      </c>
      <c r="G673" s="137">
        <v>34.0</v>
      </c>
      <c r="H673" s="137">
        <v>10.0</v>
      </c>
      <c r="I673" s="137">
        <v>6.0</v>
      </c>
      <c r="J673" s="137">
        <v>0.0</v>
      </c>
      <c r="K673" s="137">
        <v>0.0</v>
      </c>
      <c r="L673" s="137">
        <v>0.0</v>
      </c>
      <c r="M673" s="137">
        <v>0.0</v>
      </c>
      <c r="N673" s="137">
        <v>0.0</v>
      </c>
      <c r="O673" s="137">
        <v>8.0</v>
      </c>
      <c r="P673" s="135">
        <v>0.0</v>
      </c>
      <c r="Q673" s="135">
        <v>0.0</v>
      </c>
      <c r="R673" s="135">
        <v>0.0</v>
      </c>
      <c r="S673" s="135">
        <v>0.0</v>
      </c>
      <c r="T673" s="135">
        <v>0.0</v>
      </c>
      <c r="U673" s="135">
        <v>0.0</v>
      </c>
      <c r="V673" s="135">
        <v>0.0</v>
      </c>
      <c r="W673" s="135">
        <v>0.0</v>
      </c>
      <c r="X673" s="135">
        <v>0.0</v>
      </c>
      <c r="Y673" s="135">
        <v>0.0</v>
      </c>
      <c r="Z673" s="135">
        <v>0.0</v>
      </c>
      <c r="AA673" s="135">
        <v>0.0</v>
      </c>
      <c r="AB673" s="135">
        <v>0.0</v>
      </c>
      <c r="AC673" s="135">
        <v>0.0</v>
      </c>
      <c r="AD673" s="135">
        <v>0.0</v>
      </c>
      <c r="AE673" s="135">
        <v>0.0</v>
      </c>
      <c r="AF673" s="135">
        <v>0.0</v>
      </c>
      <c r="AG673" s="135">
        <v>0.0</v>
      </c>
      <c r="AH673" s="135">
        <v>0.0</v>
      </c>
      <c r="AI673" s="135">
        <v>0.0</v>
      </c>
      <c r="AJ673" s="135">
        <v>0.0</v>
      </c>
      <c r="AK673" s="135">
        <v>0.0</v>
      </c>
      <c r="AL673" s="135">
        <v>0.0</v>
      </c>
      <c r="AM673" s="135">
        <v>0.0</v>
      </c>
      <c r="AN673" s="137">
        <v>88.0</v>
      </c>
    </row>
    <row r="674">
      <c r="A674" s="98"/>
      <c r="B674" s="136" t="s">
        <v>206</v>
      </c>
      <c r="C674" s="137">
        <v>0.0</v>
      </c>
      <c r="D674" s="137">
        <v>0.0</v>
      </c>
      <c r="E674" s="137">
        <v>0.0</v>
      </c>
      <c r="F674" s="137">
        <v>0.0</v>
      </c>
      <c r="G674" s="137">
        <v>0.0</v>
      </c>
      <c r="H674" s="137">
        <v>0.0</v>
      </c>
      <c r="I674" s="137">
        <v>0.0</v>
      </c>
      <c r="J674" s="137">
        <v>0.0</v>
      </c>
      <c r="K674" s="137">
        <v>0.0</v>
      </c>
      <c r="L674" s="137">
        <v>0.0</v>
      </c>
      <c r="M674" s="137">
        <v>0.0</v>
      </c>
      <c r="N674" s="137">
        <v>0.0</v>
      </c>
      <c r="O674" s="137">
        <v>0.0</v>
      </c>
      <c r="P674" s="135">
        <v>0.0</v>
      </c>
      <c r="Q674" s="135">
        <v>0.0</v>
      </c>
      <c r="R674" s="135">
        <v>0.0</v>
      </c>
      <c r="S674" s="135">
        <v>0.0</v>
      </c>
      <c r="T674" s="135">
        <v>0.0</v>
      </c>
      <c r="U674" s="135">
        <v>0.0</v>
      </c>
      <c r="V674" s="135">
        <v>0.0</v>
      </c>
      <c r="W674" s="135">
        <v>0.0</v>
      </c>
      <c r="X674" s="135">
        <v>0.0</v>
      </c>
      <c r="Y674" s="135">
        <v>0.0</v>
      </c>
      <c r="Z674" s="135">
        <v>0.0</v>
      </c>
      <c r="AA674" s="135">
        <v>0.0</v>
      </c>
      <c r="AB674" s="135">
        <v>0.0</v>
      </c>
      <c r="AC674" s="135">
        <v>0.0</v>
      </c>
      <c r="AD674" s="135">
        <v>0.0</v>
      </c>
      <c r="AE674" s="135">
        <v>0.0</v>
      </c>
      <c r="AF674" s="135">
        <v>0.0</v>
      </c>
      <c r="AG674" s="135">
        <v>0.0</v>
      </c>
      <c r="AH674" s="135">
        <v>0.0</v>
      </c>
      <c r="AI674" s="135">
        <v>0.0</v>
      </c>
      <c r="AJ674" s="135">
        <v>0.0</v>
      </c>
      <c r="AK674" s="135">
        <v>0.0</v>
      </c>
      <c r="AL674" s="135">
        <v>0.0</v>
      </c>
      <c r="AM674" s="135">
        <v>0.0</v>
      </c>
      <c r="AN674" s="137">
        <v>0.0</v>
      </c>
    </row>
    <row r="675">
      <c r="A675" s="98"/>
      <c r="B675" s="136" t="s">
        <v>200</v>
      </c>
      <c r="C675" s="137">
        <v>18.0</v>
      </c>
      <c r="D675" s="137">
        <v>6.0</v>
      </c>
      <c r="E675" s="137">
        <v>12.0</v>
      </c>
      <c r="F675" s="137">
        <v>6.0</v>
      </c>
      <c r="G675" s="137">
        <v>12.0</v>
      </c>
      <c r="H675" s="137">
        <v>0.0</v>
      </c>
      <c r="I675" s="137">
        <v>0.0</v>
      </c>
      <c r="J675" s="137">
        <v>0.0</v>
      </c>
      <c r="K675" s="137">
        <v>0.0</v>
      </c>
      <c r="L675" s="137">
        <v>0.0</v>
      </c>
      <c r="M675" s="137">
        <v>0.0</v>
      </c>
      <c r="N675" s="137">
        <v>0.0</v>
      </c>
      <c r="O675" s="137">
        <v>0.0</v>
      </c>
      <c r="P675" s="135">
        <v>0.0</v>
      </c>
      <c r="Q675" s="135">
        <v>0.0</v>
      </c>
      <c r="R675" s="135">
        <v>0.0</v>
      </c>
      <c r="S675" s="135">
        <v>0.0</v>
      </c>
      <c r="T675" s="135">
        <v>0.0</v>
      </c>
      <c r="U675" s="135">
        <v>0.0</v>
      </c>
      <c r="V675" s="135">
        <v>0.0</v>
      </c>
      <c r="W675" s="135">
        <v>0.0</v>
      </c>
      <c r="X675" s="135">
        <v>0.0</v>
      </c>
      <c r="Y675" s="135">
        <v>0.0</v>
      </c>
      <c r="Z675" s="135">
        <v>0.0</v>
      </c>
      <c r="AA675" s="135">
        <v>0.0</v>
      </c>
      <c r="AB675" s="135">
        <v>0.0</v>
      </c>
      <c r="AC675" s="135">
        <v>0.0</v>
      </c>
      <c r="AD675" s="135">
        <v>0.0</v>
      </c>
      <c r="AE675" s="135">
        <v>0.0</v>
      </c>
      <c r="AF675" s="135">
        <v>0.0</v>
      </c>
      <c r="AG675" s="135">
        <v>0.0</v>
      </c>
      <c r="AH675" s="135">
        <v>0.0</v>
      </c>
      <c r="AI675" s="135">
        <v>0.0</v>
      </c>
      <c r="AJ675" s="135">
        <v>0.0</v>
      </c>
      <c r="AK675" s="135">
        <v>0.0</v>
      </c>
      <c r="AL675" s="135">
        <v>0.0</v>
      </c>
      <c r="AM675" s="135">
        <v>0.0</v>
      </c>
      <c r="AN675" s="137">
        <v>16.0</v>
      </c>
    </row>
    <row r="676">
      <c r="A676" s="104"/>
      <c r="B676" s="136" t="s">
        <v>201</v>
      </c>
      <c r="C676" s="137">
        <v>0.0</v>
      </c>
      <c r="D676" s="137">
        <v>0.0</v>
      </c>
      <c r="E676" s="137">
        <v>0.0</v>
      </c>
      <c r="F676" s="137">
        <v>0.0</v>
      </c>
      <c r="G676" s="137">
        <v>0.0</v>
      </c>
      <c r="H676" s="137">
        <v>0.0</v>
      </c>
      <c r="I676" s="137">
        <v>0.0</v>
      </c>
      <c r="J676" s="137">
        <v>0.0</v>
      </c>
      <c r="K676" s="137">
        <v>0.0</v>
      </c>
      <c r="L676" s="137">
        <v>0.0</v>
      </c>
      <c r="M676" s="137">
        <v>0.0</v>
      </c>
      <c r="N676" s="137">
        <v>0.0</v>
      </c>
      <c r="O676" s="137">
        <v>0.0</v>
      </c>
      <c r="P676" s="135">
        <v>0.0</v>
      </c>
      <c r="Q676" s="135">
        <v>0.0</v>
      </c>
      <c r="R676" s="135">
        <v>0.0</v>
      </c>
      <c r="S676" s="135">
        <v>0.0</v>
      </c>
      <c r="T676" s="135">
        <v>0.0</v>
      </c>
      <c r="U676" s="135">
        <v>0.0</v>
      </c>
      <c r="V676" s="135">
        <v>0.0</v>
      </c>
      <c r="W676" s="135">
        <v>0.0</v>
      </c>
      <c r="X676" s="135">
        <v>0.0</v>
      </c>
      <c r="Y676" s="135">
        <v>0.0</v>
      </c>
      <c r="Z676" s="135">
        <v>0.0</v>
      </c>
      <c r="AA676" s="135">
        <v>0.0</v>
      </c>
      <c r="AB676" s="135">
        <v>0.0</v>
      </c>
      <c r="AC676" s="135">
        <v>0.0</v>
      </c>
      <c r="AD676" s="135">
        <v>0.0</v>
      </c>
      <c r="AE676" s="135">
        <v>0.0</v>
      </c>
      <c r="AF676" s="135">
        <v>0.0</v>
      </c>
      <c r="AG676" s="135">
        <v>0.0</v>
      </c>
      <c r="AH676" s="135">
        <v>0.0</v>
      </c>
      <c r="AI676" s="135">
        <v>0.0</v>
      </c>
      <c r="AJ676" s="135">
        <v>0.0</v>
      </c>
      <c r="AK676" s="135">
        <v>0.0</v>
      </c>
      <c r="AL676" s="135">
        <v>0.0</v>
      </c>
      <c r="AM676" s="135">
        <v>0.0</v>
      </c>
      <c r="AN676" s="137">
        <v>0.0</v>
      </c>
    </row>
    <row r="677">
      <c r="A677" s="138" t="s">
        <v>267</v>
      </c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</row>
    <row r="678">
      <c r="A678" s="132" t="s">
        <v>197</v>
      </c>
      <c r="B678" s="133" t="s">
        <v>198</v>
      </c>
      <c r="C678" s="134">
        <v>14558.0</v>
      </c>
      <c r="D678" s="134">
        <v>5796.0</v>
      </c>
      <c r="E678" s="134">
        <v>8762.0</v>
      </c>
      <c r="F678" s="135">
        <v>0.0</v>
      </c>
      <c r="G678" s="135">
        <v>0.0</v>
      </c>
      <c r="H678" s="135">
        <v>0.0</v>
      </c>
      <c r="I678" s="135">
        <v>0.0</v>
      </c>
      <c r="J678" s="135">
        <v>0.0</v>
      </c>
      <c r="K678" s="135">
        <v>0.0</v>
      </c>
      <c r="L678" s="137">
        <v>10.0</v>
      </c>
      <c r="M678" s="137">
        <v>20.0</v>
      </c>
      <c r="N678" s="137">
        <v>8.0</v>
      </c>
      <c r="O678" s="137">
        <v>22.0</v>
      </c>
      <c r="P678" s="137">
        <v>26.0</v>
      </c>
      <c r="Q678" s="137">
        <v>56.0</v>
      </c>
      <c r="R678" s="137">
        <v>64.0</v>
      </c>
      <c r="S678" s="137">
        <v>122.0</v>
      </c>
      <c r="T678" s="137">
        <v>110.0</v>
      </c>
      <c r="U678" s="137">
        <v>244.0</v>
      </c>
      <c r="V678" s="137">
        <v>196.0</v>
      </c>
      <c r="W678" s="137">
        <v>326.0</v>
      </c>
      <c r="X678" s="137">
        <v>302.0</v>
      </c>
      <c r="Y678" s="137">
        <v>632.0</v>
      </c>
      <c r="Z678" s="137">
        <v>564.0</v>
      </c>
      <c r="AA678" s="137">
        <v>980.0</v>
      </c>
      <c r="AB678" s="137">
        <v>802.0</v>
      </c>
      <c r="AC678" s="134">
        <v>1150.0</v>
      </c>
      <c r="AD678" s="137">
        <v>864.0</v>
      </c>
      <c r="AE678" s="134">
        <v>1408.0</v>
      </c>
      <c r="AF678" s="137">
        <v>846.0</v>
      </c>
      <c r="AG678" s="134">
        <v>1228.0</v>
      </c>
      <c r="AH678" s="137">
        <v>860.0</v>
      </c>
      <c r="AI678" s="134">
        <v>1050.0</v>
      </c>
      <c r="AJ678" s="137">
        <v>526.0</v>
      </c>
      <c r="AK678" s="137">
        <v>700.0</v>
      </c>
      <c r="AL678" s="137">
        <v>618.0</v>
      </c>
      <c r="AM678" s="137">
        <v>824.0</v>
      </c>
      <c r="AN678" s="134">
        <v>14388.0</v>
      </c>
    </row>
    <row r="679">
      <c r="A679" s="98"/>
      <c r="B679" s="136" t="s">
        <v>199</v>
      </c>
      <c r="C679" s="134">
        <v>4168.0</v>
      </c>
      <c r="D679" s="134">
        <v>1544.0</v>
      </c>
      <c r="E679" s="134">
        <v>2624.0</v>
      </c>
      <c r="F679" s="135">
        <v>0.0</v>
      </c>
      <c r="G679" s="135">
        <v>0.0</v>
      </c>
      <c r="H679" s="135">
        <v>0.0</v>
      </c>
      <c r="I679" s="135">
        <v>0.0</v>
      </c>
      <c r="J679" s="135">
        <v>0.0</v>
      </c>
      <c r="K679" s="135">
        <v>0.0</v>
      </c>
      <c r="L679" s="137">
        <v>0.0</v>
      </c>
      <c r="M679" s="137">
        <v>2.0</v>
      </c>
      <c r="N679" s="137">
        <v>8.0</v>
      </c>
      <c r="O679" s="137">
        <v>6.0</v>
      </c>
      <c r="P679" s="137">
        <v>24.0</v>
      </c>
      <c r="Q679" s="137">
        <v>18.0</v>
      </c>
      <c r="R679" s="137">
        <v>18.0</v>
      </c>
      <c r="S679" s="137">
        <v>46.0</v>
      </c>
      <c r="T679" s="137">
        <v>20.0</v>
      </c>
      <c r="U679" s="137">
        <v>56.0</v>
      </c>
      <c r="V679" s="137">
        <v>56.0</v>
      </c>
      <c r="W679" s="137">
        <v>116.0</v>
      </c>
      <c r="X679" s="137">
        <v>76.0</v>
      </c>
      <c r="Y679" s="137">
        <v>184.0</v>
      </c>
      <c r="Z679" s="137">
        <v>128.0</v>
      </c>
      <c r="AA679" s="137">
        <v>260.0</v>
      </c>
      <c r="AB679" s="137">
        <v>240.0</v>
      </c>
      <c r="AC679" s="137">
        <v>320.0</v>
      </c>
      <c r="AD679" s="137">
        <v>172.0</v>
      </c>
      <c r="AE679" s="137">
        <v>378.0</v>
      </c>
      <c r="AF679" s="137">
        <v>236.0</v>
      </c>
      <c r="AG679" s="137">
        <v>380.0</v>
      </c>
      <c r="AH679" s="137">
        <v>250.0</v>
      </c>
      <c r="AI679" s="137">
        <v>314.0</v>
      </c>
      <c r="AJ679" s="137">
        <v>154.0</v>
      </c>
      <c r="AK679" s="137">
        <v>222.0</v>
      </c>
      <c r="AL679" s="137">
        <v>162.0</v>
      </c>
      <c r="AM679" s="137">
        <v>322.0</v>
      </c>
      <c r="AN679" s="134">
        <v>4114.0</v>
      </c>
    </row>
    <row r="680">
      <c r="A680" s="98"/>
      <c r="B680" s="136" t="s">
        <v>200</v>
      </c>
      <c r="C680" s="134">
        <v>2774.0</v>
      </c>
      <c r="D680" s="137">
        <v>970.0</v>
      </c>
      <c r="E680" s="134">
        <v>1804.0</v>
      </c>
      <c r="F680" s="135">
        <v>0.0</v>
      </c>
      <c r="G680" s="135">
        <v>0.0</v>
      </c>
      <c r="H680" s="135">
        <v>0.0</v>
      </c>
      <c r="I680" s="135">
        <v>0.0</v>
      </c>
      <c r="J680" s="135">
        <v>0.0</v>
      </c>
      <c r="K680" s="135">
        <v>0.0</v>
      </c>
      <c r="L680" s="137">
        <v>4.0</v>
      </c>
      <c r="M680" s="137">
        <v>6.0</v>
      </c>
      <c r="N680" s="137">
        <v>4.0</v>
      </c>
      <c r="O680" s="137">
        <v>16.0</v>
      </c>
      <c r="P680" s="137">
        <v>10.0</v>
      </c>
      <c r="Q680" s="137">
        <v>18.0</v>
      </c>
      <c r="R680" s="137">
        <v>24.0</v>
      </c>
      <c r="S680" s="137">
        <v>54.0</v>
      </c>
      <c r="T680" s="137">
        <v>16.0</v>
      </c>
      <c r="U680" s="137">
        <v>66.0</v>
      </c>
      <c r="V680" s="137">
        <v>52.0</v>
      </c>
      <c r="W680" s="137">
        <v>102.0</v>
      </c>
      <c r="X680" s="137">
        <v>68.0</v>
      </c>
      <c r="Y680" s="137">
        <v>132.0</v>
      </c>
      <c r="Z680" s="137">
        <v>122.0</v>
      </c>
      <c r="AA680" s="137">
        <v>206.0</v>
      </c>
      <c r="AB680" s="137">
        <v>112.0</v>
      </c>
      <c r="AC680" s="137">
        <v>218.0</v>
      </c>
      <c r="AD680" s="137">
        <v>100.0</v>
      </c>
      <c r="AE680" s="137">
        <v>274.0</v>
      </c>
      <c r="AF680" s="137">
        <v>144.0</v>
      </c>
      <c r="AG680" s="137">
        <v>246.0</v>
      </c>
      <c r="AH680" s="137">
        <v>144.0</v>
      </c>
      <c r="AI680" s="137">
        <v>192.0</v>
      </c>
      <c r="AJ680" s="137">
        <v>72.0</v>
      </c>
      <c r="AK680" s="137">
        <v>166.0</v>
      </c>
      <c r="AL680" s="137">
        <v>98.0</v>
      </c>
      <c r="AM680" s="137">
        <v>108.0</v>
      </c>
      <c r="AN680" s="134">
        <v>2738.0</v>
      </c>
    </row>
    <row r="681">
      <c r="A681" s="104"/>
      <c r="B681" s="136" t="s">
        <v>201</v>
      </c>
      <c r="C681" s="137">
        <v>66.0</v>
      </c>
      <c r="D681" s="137">
        <v>48.0</v>
      </c>
      <c r="E681" s="137">
        <v>18.0</v>
      </c>
      <c r="F681" s="135">
        <v>0.0</v>
      </c>
      <c r="G681" s="135">
        <v>0.0</v>
      </c>
      <c r="H681" s="135">
        <v>0.0</v>
      </c>
      <c r="I681" s="135">
        <v>0.0</v>
      </c>
      <c r="J681" s="135">
        <v>0.0</v>
      </c>
      <c r="K681" s="135">
        <v>0.0</v>
      </c>
      <c r="L681" s="137">
        <v>0.0</v>
      </c>
      <c r="M681" s="137">
        <v>0.0</v>
      </c>
      <c r="N681" s="137">
        <v>0.0</v>
      </c>
      <c r="O681" s="137">
        <v>0.0</v>
      </c>
      <c r="P681" s="137">
        <v>2.0</v>
      </c>
      <c r="Q681" s="137">
        <v>2.0</v>
      </c>
      <c r="R681" s="137">
        <v>2.0</v>
      </c>
      <c r="S681" s="137">
        <v>2.0</v>
      </c>
      <c r="T681" s="137">
        <v>0.0</v>
      </c>
      <c r="U681" s="137">
        <v>0.0</v>
      </c>
      <c r="V681" s="137">
        <v>0.0</v>
      </c>
      <c r="W681" s="137">
        <v>4.0</v>
      </c>
      <c r="X681" s="137">
        <v>0.0</v>
      </c>
      <c r="Y681" s="137">
        <v>0.0</v>
      </c>
      <c r="Z681" s="137">
        <v>6.0</v>
      </c>
      <c r="AA681" s="137">
        <v>2.0</v>
      </c>
      <c r="AB681" s="137">
        <v>16.0</v>
      </c>
      <c r="AC681" s="137">
        <v>4.0</v>
      </c>
      <c r="AD681" s="137">
        <v>4.0</v>
      </c>
      <c r="AE681" s="137">
        <v>0.0</v>
      </c>
      <c r="AF681" s="137">
        <v>4.0</v>
      </c>
      <c r="AG681" s="137">
        <v>2.0</v>
      </c>
      <c r="AH681" s="137">
        <v>0.0</v>
      </c>
      <c r="AI681" s="137">
        <v>0.0</v>
      </c>
      <c r="AJ681" s="137">
        <v>8.0</v>
      </c>
      <c r="AK681" s="137">
        <v>0.0</v>
      </c>
      <c r="AL681" s="137">
        <v>6.0</v>
      </c>
      <c r="AM681" s="137">
        <v>2.0</v>
      </c>
      <c r="AN681" s="137">
        <v>66.0</v>
      </c>
    </row>
    <row r="682">
      <c r="A682" s="132" t="s">
        <v>202</v>
      </c>
      <c r="B682" s="136" t="s">
        <v>198</v>
      </c>
      <c r="C682" s="137">
        <v>114.0</v>
      </c>
      <c r="D682" s="137">
        <v>72.0</v>
      </c>
      <c r="E682" s="137">
        <v>42.0</v>
      </c>
      <c r="F682" s="137">
        <v>4.0</v>
      </c>
      <c r="G682" s="137">
        <v>0.0</v>
      </c>
      <c r="H682" s="137">
        <v>4.0</v>
      </c>
      <c r="I682" s="137">
        <v>0.0</v>
      </c>
      <c r="J682" s="137">
        <v>2.0</v>
      </c>
      <c r="K682" s="137">
        <v>0.0</v>
      </c>
      <c r="L682" s="137">
        <v>2.0</v>
      </c>
      <c r="M682" s="137">
        <v>2.0</v>
      </c>
      <c r="N682" s="137">
        <v>2.0</v>
      </c>
      <c r="O682" s="137">
        <v>10.0</v>
      </c>
      <c r="P682" s="137">
        <v>2.0</v>
      </c>
      <c r="Q682" s="137">
        <v>0.0</v>
      </c>
      <c r="R682" s="137">
        <v>0.0</v>
      </c>
      <c r="S682" s="137">
        <v>2.0</v>
      </c>
      <c r="T682" s="137">
        <v>20.0</v>
      </c>
      <c r="U682" s="137">
        <v>10.0</v>
      </c>
      <c r="V682" s="137">
        <v>12.0</v>
      </c>
      <c r="W682" s="137">
        <v>0.0</v>
      </c>
      <c r="X682" s="137">
        <v>0.0</v>
      </c>
      <c r="Y682" s="137">
        <v>4.0</v>
      </c>
      <c r="Z682" s="137">
        <v>2.0</v>
      </c>
      <c r="AA682" s="137">
        <v>4.0</v>
      </c>
      <c r="AB682" s="137">
        <v>0.0</v>
      </c>
      <c r="AC682" s="137">
        <v>6.0</v>
      </c>
      <c r="AD682" s="137">
        <v>12.0</v>
      </c>
      <c r="AE682" s="137">
        <v>0.0</v>
      </c>
      <c r="AF682" s="137">
        <v>0.0</v>
      </c>
      <c r="AG682" s="137">
        <v>0.0</v>
      </c>
      <c r="AH682" s="137">
        <v>2.0</v>
      </c>
      <c r="AI682" s="137">
        <v>2.0</v>
      </c>
      <c r="AJ682" s="137">
        <v>6.0</v>
      </c>
      <c r="AK682" s="137">
        <v>0.0</v>
      </c>
      <c r="AL682" s="137">
        <v>2.0</v>
      </c>
      <c r="AM682" s="137">
        <v>2.0</v>
      </c>
      <c r="AN682" s="137">
        <v>114.0</v>
      </c>
    </row>
    <row r="683">
      <c r="A683" s="104"/>
      <c r="B683" s="136" t="s">
        <v>199</v>
      </c>
      <c r="C683" s="137">
        <v>30.0</v>
      </c>
      <c r="D683" s="137">
        <v>20.0</v>
      </c>
      <c r="E683" s="137">
        <v>10.0</v>
      </c>
      <c r="F683" s="137">
        <v>0.0</v>
      </c>
      <c r="G683" s="137">
        <v>2.0</v>
      </c>
      <c r="H683" s="137">
        <v>4.0</v>
      </c>
      <c r="I683" s="137">
        <v>0.0</v>
      </c>
      <c r="J683" s="137">
        <v>0.0</v>
      </c>
      <c r="K683" s="137">
        <v>0.0</v>
      </c>
      <c r="L683" s="137">
        <v>6.0</v>
      </c>
      <c r="M683" s="137">
        <v>2.0</v>
      </c>
      <c r="N683" s="137">
        <v>0.0</v>
      </c>
      <c r="O683" s="137">
        <v>0.0</v>
      </c>
      <c r="P683" s="137">
        <v>0.0</v>
      </c>
      <c r="Q683" s="137">
        <v>0.0</v>
      </c>
      <c r="R683" s="137">
        <v>0.0</v>
      </c>
      <c r="S683" s="137">
        <v>0.0</v>
      </c>
      <c r="T683" s="137">
        <v>2.0</v>
      </c>
      <c r="U683" s="137">
        <v>2.0</v>
      </c>
      <c r="V683" s="137">
        <v>2.0</v>
      </c>
      <c r="W683" s="137">
        <v>2.0</v>
      </c>
      <c r="X683" s="137">
        <v>0.0</v>
      </c>
      <c r="Y683" s="137">
        <v>0.0</v>
      </c>
      <c r="Z683" s="137">
        <v>0.0</v>
      </c>
      <c r="AA683" s="137">
        <v>0.0</v>
      </c>
      <c r="AB683" s="137">
        <v>0.0</v>
      </c>
      <c r="AC683" s="137">
        <v>2.0</v>
      </c>
      <c r="AD683" s="137">
        <v>0.0</v>
      </c>
      <c r="AE683" s="137">
        <v>0.0</v>
      </c>
      <c r="AF683" s="137">
        <v>0.0</v>
      </c>
      <c r="AG683" s="137">
        <v>0.0</v>
      </c>
      <c r="AH683" s="137">
        <v>0.0</v>
      </c>
      <c r="AI683" s="137">
        <v>0.0</v>
      </c>
      <c r="AJ683" s="137">
        <v>4.0</v>
      </c>
      <c r="AK683" s="137">
        <v>0.0</v>
      </c>
      <c r="AL683" s="137">
        <v>2.0</v>
      </c>
      <c r="AM683" s="137">
        <v>0.0</v>
      </c>
      <c r="AN683" s="137">
        <v>30.0</v>
      </c>
    </row>
    <row r="684">
      <c r="A684" s="132" t="s">
        <v>203</v>
      </c>
      <c r="B684" s="136" t="s">
        <v>198</v>
      </c>
      <c r="C684" s="137">
        <v>0.0</v>
      </c>
      <c r="D684" s="137">
        <v>0.0</v>
      </c>
      <c r="E684" s="137">
        <v>0.0</v>
      </c>
      <c r="F684" s="135">
        <v>0.0</v>
      </c>
      <c r="G684" s="135">
        <v>0.0</v>
      </c>
      <c r="H684" s="135">
        <v>0.0</v>
      </c>
      <c r="I684" s="135">
        <v>0.0</v>
      </c>
      <c r="J684" s="135">
        <v>0.0</v>
      </c>
      <c r="K684" s="135">
        <v>0.0</v>
      </c>
      <c r="L684" s="135">
        <v>0.0</v>
      </c>
      <c r="M684" s="135">
        <v>0.0</v>
      </c>
      <c r="N684" s="135">
        <v>0.0</v>
      </c>
      <c r="O684" s="135">
        <v>0.0</v>
      </c>
      <c r="P684" s="135">
        <v>0.0</v>
      </c>
      <c r="Q684" s="135">
        <v>0.0</v>
      </c>
      <c r="R684" s="135">
        <v>0.0</v>
      </c>
      <c r="S684" s="135">
        <v>0.0</v>
      </c>
      <c r="T684" s="135">
        <v>0.0</v>
      </c>
      <c r="U684" s="135">
        <v>0.0</v>
      </c>
      <c r="V684" s="135">
        <v>0.0</v>
      </c>
      <c r="W684" s="135">
        <v>0.0</v>
      </c>
      <c r="X684" s="135">
        <v>0.0</v>
      </c>
      <c r="Y684" s="135">
        <v>0.0</v>
      </c>
      <c r="Z684" s="135">
        <v>0.0</v>
      </c>
      <c r="AA684" s="135">
        <v>0.0</v>
      </c>
      <c r="AB684" s="135">
        <v>0.0</v>
      </c>
      <c r="AC684" s="135">
        <v>0.0</v>
      </c>
      <c r="AD684" s="135">
        <v>0.0</v>
      </c>
      <c r="AE684" s="135">
        <v>0.0</v>
      </c>
      <c r="AF684" s="137">
        <v>0.0</v>
      </c>
      <c r="AG684" s="137">
        <v>0.0</v>
      </c>
      <c r="AH684" s="137">
        <v>0.0</v>
      </c>
      <c r="AI684" s="137">
        <v>0.0</v>
      </c>
      <c r="AJ684" s="137">
        <v>0.0</v>
      </c>
      <c r="AK684" s="137">
        <v>0.0</v>
      </c>
      <c r="AL684" s="137">
        <v>0.0</v>
      </c>
      <c r="AM684" s="137">
        <v>0.0</v>
      </c>
      <c r="AN684" s="137">
        <v>0.0</v>
      </c>
    </row>
    <row r="685">
      <c r="A685" s="104"/>
      <c r="B685" s="136" t="s">
        <v>199</v>
      </c>
      <c r="C685" s="137">
        <v>40.0</v>
      </c>
      <c r="D685" s="137">
        <v>16.0</v>
      </c>
      <c r="E685" s="137">
        <v>24.0</v>
      </c>
      <c r="F685" s="135">
        <v>0.0</v>
      </c>
      <c r="G685" s="135">
        <v>0.0</v>
      </c>
      <c r="H685" s="135">
        <v>0.0</v>
      </c>
      <c r="I685" s="135">
        <v>0.0</v>
      </c>
      <c r="J685" s="135">
        <v>0.0</v>
      </c>
      <c r="K685" s="135">
        <v>0.0</v>
      </c>
      <c r="L685" s="135">
        <v>0.0</v>
      </c>
      <c r="M685" s="135">
        <v>0.0</v>
      </c>
      <c r="N685" s="135">
        <v>0.0</v>
      </c>
      <c r="O685" s="135">
        <v>0.0</v>
      </c>
      <c r="P685" s="135">
        <v>0.0</v>
      </c>
      <c r="Q685" s="135">
        <v>0.0</v>
      </c>
      <c r="R685" s="135">
        <v>0.0</v>
      </c>
      <c r="S685" s="135">
        <v>0.0</v>
      </c>
      <c r="T685" s="135">
        <v>0.0</v>
      </c>
      <c r="U685" s="135">
        <v>0.0</v>
      </c>
      <c r="V685" s="135">
        <v>0.0</v>
      </c>
      <c r="W685" s="135">
        <v>0.0</v>
      </c>
      <c r="X685" s="135">
        <v>0.0</v>
      </c>
      <c r="Y685" s="135">
        <v>0.0</v>
      </c>
      <c r="Z685" s="135">
        <v>0.0</v>
      </c>
      <c r="AA685" s="135">
        <v>0.0</v>
      </c>
      <c r="AB685" s="135">
        <v>0.0</v>
      </c>
      <c r="AC685" s="135">
        <v>0.0</v>
      </c>
      <c r="AD685" s="135">
        <v>0.0</v>
      </c>
      <c r="AE685" s="135">
        <v>0.0</v>
      </c>
      <c r="AF685" s="137">
        <v>2.0</v>
      </c>
      <c r="AG685" s="137">
        <v>2.0</v>
      </c>
      <c r="AH685" s="137">
        <v>10.0</v>
      </c>
      <c r="AI685" s="137">
        <v>12.0</v>
      </c>
      <c r="AJ685" s="137">
        <v>4.0</v>
      </c>
      <c r="AK685" s="137">
        <v>4.0</v>
      </c>
      <c r="AL685" s="137">
        <v>0.0</v>
      </c>
      <c r="AM685" s="137">
        <v>6.0</v>
      </c>
      <c r="AN685" s="137">
        <v>40.0</v>
      </c>
    </row>
    <row r="686">
      <c r="A686" s="132" t="s">
        <v>204</v>
      </c>
      <c r="B686" s="136" t="s">
        <v>198</v>
      </c>
      <c r="C686" s="137">
        <v>10.0</v>
      </c>
      <c r="D686" s="137">
        <v>4.0</v>
      </c>
      <c r="E686" s="137">
        <v>6.0</v>
      </c>
      <c r="F686" s="135">
        <v>0.0</v>
      </c>
      <c r="G686" s="135">
        <v>0.0</v>
      </c>
      <c r="H686" s="135">
        <v>0.0</v>
      </c>
      <c r="I686" s="135">
        <v>0.0</v>
      </c>
      <c r="J686" s="135">
        <v>0.0</v>
      </c>
      <c r="K686" s="135">
        <v>0.0</v>
      </c>
      <c r="L686" s="135">
        <v>0.0</v>
      </c>
      <c r="M686" s="135">
        <v>0.0</v>
      </c>
      <c r="N686" s="135">
        <v>0.0</v>
      </c>
      <c r="O686" s="135">
        <v>0.0</v>
      </c>
      <c r="P686" s="135">
        <v>0.0</v>
      </c>
      <c r="Q686" s="135">
        <v>0.0</v>
      </c>
      <c r="R686" s="135">
        <v>0.0</v>
      </c>
      <c r="S686" s="135">
        <v>0.0</v>
      </c>
      <c r="T686" s="135">
        <v>0.0</v>
      </c>
      <c r="U686" s="135">
        <v>0.0</v>
      </c>
      <c r="V686" s="135">
        <v>0.0</v>
      </c>
      <c r="W686" s="135">
        <v>0.0</v>
      </c>
      <c r="X686" s="135">
        <v>0.0</v>
      </c>
      <c r="Y686" s="135">
        <v>0.0</v>
      </c>
      <c r="Z686" s="135">
        <v>0.0</v>
      </c>
      <c r="AA686" s="135">
        <v>0.0</v>
      </c>
      <c r="AB686" s="135">
        <v>0.0</v>
      </c>
      <c r="AC686" s="135">
        <v>0.0</v>
      </c>
      <c r="AD686" s="135">
        <v>0.0</v>
      </c>
      <c r="AE686" s="135">
        <v>0.0</v>
      </c>
      <c r="AF686" s="137">
        <v>0.0</v>
      </c>
      <c r="AG686" s="137">
        <v>0.0</v>
      </c>
      <c r="AH686" s="137">
        <v>0.0</v>
      </c>
      <c r="AI686" s="137">
        <v>2.0</v>
      </c>
      <c r="AJ686" s="137">
        <v>2.0</v>
      </c>
      <c r="AK686" s="137">
        <v>2.0</v>
      </c>
      <c r="AL686" s="137">
        <v>2.0</v>
      </c>
      <c r="AM686" s="137">
        <v>2.0</v>
      </c>
      <c r="AN686" s="137">
        <v>10.0</v>
      </c>
    </row>
    <row r="687">
      <c r="A687" s="104"/>
      <c r="B687" s="136" t="s">
        <v>199</v>
      </c>
      <c r="C687" s="137">
        <v>44.0</v>
      </c>
      <c r="D687" s="137">
        <v>18.0</v>
      </c>
      <c r="E687" s="137">
        <v>26.0</v>
      </c>
      <c r="F687" s="135">
        <v>0.0</v>
      </c>
      <c r="G687" s="135">
        <v>0.0</v>
      </c>
      <c r="H687" s="135">
        <v>0.0</v>
      </c>
      <c r="I687" s="135">
        <v>0.0</v>
      </c>
      <c r="J687" s="135">
        <v>0.0</v>
      </c>
      <c r="K687" s="135">
        <v>0.0</v>
      </c>
      <c r="L687" s="135">
        <v>0.0</v>
      </c>
      <c r="M687" s="135">
        <v>0.0</v>
      </c>
      <c r="N687" s="135">
        <v>0.0</v>
      </c>
      <c r="O687" s="135">
        <v>0.0</v>
      </c>
      <c r="P687" s="135">
        <v>0.0</v>
      </c>
      <c r="Q687" s="135">
        <v>0.0</v>
      </c>
      <c r="R687" s="135">
        <v>0.0</v>
      </c>
      <c r="S687" s="135">
        <v>0.0</v>
      </c>
      <c r="T687" s="135">
        <v>0.0</v>
      </c>
      <c r="U687" s="135">
        <v>0.0</v>
      </c>
      <c r="V687" s="135">
        <v>0.0</v>
      </c>
      <c r="W687" s="135">
        <v>0.0</v>
      </c>
      <c r="X687" s="135">
        <v>0.0</v>
      </c>
      <c r="Y687" s="135">
        <v>0.0</v>
      </c>
      <c r="Z687" s="135">
        <v>0.0</v>
      </c>
      <c r="AA687" s="135">
        <v>0.0</v>
      </c>
      <c r="AB687" s="135">
        <v>0.0</v>
      </c>
      <c r="AC687" s="135">
        <v>0.0</v>
      </c>
      <c r="AD687" s="135">
        <v>0.0</v>
      </c>
      <c r="AE687" s="135">
        <v>0.0</v>
      </c>
      <c r="AF687" s="137">
        <v>2.0</v>
      </c>
      <c r="AG687" s="137">
        <v>6.0</v>
      </c>
      <c r="AH687" s="137">
        <v>2.0</v>
      </c>
      <c r="AI687" s="137">
        <v>6.0</v>
      </c>
      <c r="AJ687" s="137">
        <v>8.0</v>
      </c>
      <c r="AK687" s="137">
        <v>4.0</v>
      </c>
      <c r="AL687" s="137">
        <v>6.0</v>
      </c>
      <c r="AM687" s="137">
        <v>10.0</v>
      </c>
      <c r="AN687" s="137">
        <v>44.0</v>
      </c>
    </row>
    <row r="688">
      <c r="A688" s="132" t="s">
        <v>205</v>
      </c>
      <c r="B688" s="136" t="s">
        <v>198</v>
      </c>
      <c r="C688" s="137">
        <v>4.0</v>
      </c>
      <c r="D688" s="137">
        <v>0.0</v>
      </c>
      <c r="E688" s="137">
        <v>4.0</v>
      </c>
      <c r="F688" s="137">
        <v>0.0</v>
      </c>
      <c r="G688" s="137">
        <v>0.0</v>
      </c>
      <c r="H688" s="137">
        <v>0.0</v>
      </c>
      <c r="I688" s="137">
        <v>0.0</v>
      </c>
      <c r="J688" s="137">
        <v>0.0</v>
      </c>
      <c r="K688" s="137">
        <v>0.0</v>
      </c>
      <c r="L688" s="137">
        <v>0.0</v>
      </c>
      <c r="M688" s="137">
        <v>0.0</v>
      </c>
      <c r="N688" s="137">
        <v>0.0</v>
      </c>
      <c r="O688" s="137">
        <v>0.0</v>
      </c>
      <c r="P688" s="137">
        <v>0.0</v>
      </c>
      <c r="Q688" s="137">
        <v>0.0</v>
      </c>
      <c r="R688" s="137">
        <v>0.0</v>
      </c>
      <c r="S688" s="137">
        <v>0.0</v>
      </c>
      <c r="T688" s="137">
        <v>0.0</v>
      </c>
      <c r="U688" s="137">
        <v>0.0</v>
      </c>
      <c r="V688" s="137">
        <v>0.0</v>
      </c>
      <c r="W688" s="137">
        <v>0.0</v>
      </c>
      <c r="X688" s="137">
        <v>0.0</v>
      </c>
      <c r="Y688" s="137">
        <v>2.0</v>
      </c>
      <c r="Z688" s="137">
        <v>0.0</v>
      </c>
      <c r="AA688" s="137">
        <v>2.0</v>
      </c>
      <c r="AB688" s="137">
        <v>0.0</v>
      </c>
      <c r="AC688" s="137">
        <v>0.0</v>
      </c>
      <c r="AD688" s="137">
        <v>0.0</v>
      </c>
      <c r="AE688" s="137">
        <v>0.0</v>
      </c>
      <c r="AF688" s="137">
        <v>0.0</v>
      </c>
      <c r="AG688" s="137">
        <v>0.0</v>
      </c>
      <c r="AH688" s="137">
        <v>0.0</v>
      </c>
      <c r="AI688" s="137">
        <v>0.0</v>
      </c>
      <c r="AJ688" s="137">
        <v>0.0</v>
      </c>
      <c r="AK688" s="137">
        <v>0.0</v>
      </c>
      <c r="AL688" s="137">
        <v>0.0</v>
      </c>
      <c r="AM688" s="137">
        <v>0.0</v>
      </c>
      <c r="AN688" s="137">
        <v>4.0</v>
      </c>
    </row>
    <row r="689">
      <c r="A689" s="98"/>
      <c r="B689" s="136" t="s">
        <v>199</v>
      </c>
      <c r="C689" s="137">
        <v>0.0</v>
      </c>
      <c r="D689" s="137">
        <v>0.0</v>
      </c>
      <c r="E689" s="137">
        <v>0.0</v>
      </c>
      <c r="F689" s="137">
        <v>0.0</v>
      </c>
      <c r="G689" s="137">
        <v>0.0</v>
      </c>
      <c r="H689" s="137">
        <v>0.0</v>
      </c>
      <c r="I689" s="137">
        <v>0.0</v>
      </c>
      <c r="J689" s="137">
        <v>0.0</v>
      </c>
      <c r="K689" s="137">
        <v>0.0</v>
      </c>
      <c r="L689" s="137">
        <v>0.0</v>
      </c>
      <c r="M689" s="137">
        <v>0.0</v>
      </c>
      <c r="N689" s="137">
        <v>0.0</v>
      </c>
      <c r="O689" s="137">
        <v>0.0</v>
      </c>
      <c r="P689" s="137">
        <v>0.0</v>
      </c>
      <c r="Q689" s="137">
        <v>0.0</v>
      </c>
      <c r="R689" s="137">
        <v>0.0</v>
      </c>
      <c r="S689" s="137">
        <v>0.0</v>
      </c>
      <c r="T689" s="137">
        <v>0.0</v>
      </c>
      <c r="U689" s="137">
        <v>0.0</v>
      </c>
      <c r="V689" s="137">
        <v>0.0</v>
      </c>
      <c r="W689" s="137">
        <v>0.0</v>
      </c>
      <c r="X689" s="137">
        <v>0.0</v>
      </c>
      <c r="Y689" s="137">
        <v>0.0</v>
      </c>
      <c r="Z689" s="137">
        <v>0.0</v>
      </c>
      <c r="AA689" s="137">
        <v>0.0</v>
      </c>
      <c r="AB689" s="137">
        <v>0.0</v>
      </c>
      <c r="AC689" s="137">
        <v>0.0</v>
      </c>
      <c r="AD689" s="137">
        <v>0.0</v>
      </c>
      <c r="AE689" s="137">
        <v>0.0</v>
      </c>
      <c r="AF689" s="137">
        <v>0.0</v>
      </c>
      <c r="AG689" s="137">
        <v>0.0</v>
      </c>
      <c r="AH689" s="137">
        <v>0.0</v>
      </c>
      <c r="AI689" s="137">
        <v>0.0</v>
      </c>
      <c r="AJ689" s="137">
        <v>0.0</v>
      </c>
      <c r="AK689" s="137">
        <v>0.0</v>
      </c>
      <c r="AL689" s="137">
        <v>0.0</v>
      </c>
      <c r="AM689" s="137">
        <v>0.0</v>
      </c>
      <c r="AN689" s="137">
        <v>0.0</v>
      </c>
    </row>
    <row r="690">
      <c r="A690" s="104"/>
      <c r="B690" s="136" t="s">
        <v>206</v>
      </c>
      <c r="C690" s="137">
        <v>248.0</v>
      </c>
      <c r="D690" s="137">
        <v>42.0</v>
      </c>
      <c r="E690" s="137">
        <v>206.0</v>
      </c>
      <c r="F690" s="137">
        <v>0.0</v>
      </c>
      <c r="G690" s="137">
        <v>0.0</v>
      </c>
      <c r="H690" s="137">
        <v>0.0</v>
      </c>
      <c r="I690" s="137">
        <v>0.0</v>
      </c>
      <c r="J690" s="137">
        <v>0.0</v>
      </c>
      <c r="K690" s="137">
        <v>2.0</v>
      </c>
      <c r="L690" s="137">
        <v>0.0</v>
      </c>
      <c r="M690" s="137">
        <v>34.0</v>
      </c>
      <c r="N690" s="137">
        <v>10.0</v>
      </c>
      <c r="O690" s="137">
        <v>62.0</v>
      </c>
      <c r="P690" s="137">
        <v>2.0</v>
      </c>
      <c r="Q690" s="137">
        <v>52.0</v>
      </c>
      <c r="R690" s="137">
        <v>22.0</v>
      </c>
      <c r="S690" s="137">
        <v>36.0</v>
      </c>
      <c r="T690" s="137">
        <v>4.0</v>
      </c>
      <c r="U690" s="137">
        <v>10.0</v>
      </c>
      <c r="V690" s="137">
        <v>0.0</v>
      </c>
      <c r="W690" s="137">
        <v>0.0</v>
      </c>
      <c r="X690" s="137">
        <v>0.0</v>
      </c>
      <c r="Y690" s="137">
        <v>6.0</v>
      </c>
      <c r="Z690" s="137">
        <v>0.0</v>
      </c>
      <c r="AA690" s="137">
        <v>2.0</v>
      </c>
      <c r="AB690" s="137">
        <v>0.0</v>
      </c>
      <c r="AC690" s="137">
        <v>2.0</v>
      </c>
      <c r="AD690" s="137">
        <v>0.0</v>
      </c>
      <c r="AE690" s="137">
        <v>0.0</v>
      </c>
      <c r="AF690" s="137">
        <v>0.0</v>
      </c>
      <c r="AG690" s="137">
        <v>0.0</v>
      </c>
      <c r="AH690" s="137">
        <v>4.0</v>
      </c>
      <c r="AI690" s="137">
        <v>0.0</v>
      </c>
      <c r="AJ690" s="137">
        <v>0.0</v>
      </c>
      <c r="AK690" s="137">
        <v>0.0</v>
      </c>
      <c r="AL690" s="137">
        <v>0.0</v>
      </c>
      <c r="AM690" s="137">
        <v>0.0</v>
      </c>
      <c r="AN690" s="137">
        <v>238.0</v>
      </c>
    </row>
    <row r="691">
      <c r="A691" s="132" t="s">
        <v>207</v>
      </c>
      <c r="B691" s="136" t="s">
        <v>198</v>
      </c>
      <c r="C691" s="134">
        <v>1902.0</v>
      </c>
      <c r="D691" s="137">
        <v>524.0</v>
      </c>
      <c r="E691" s="134">
        <v>1378.0</v>
      </c>
      <c r="F691" s="137">
        <v>110.0</v>
      </c>
      <c r="G691" s="137">
        <v>106.0</v>
      </c>
      <c r="H691" s="137">
        <v>20.0</v>
      </c>
      <c r="I691" s="137">
        <v>10.0</v>
      </c>
      <c r="J691" s="137">
        <v>20.0</v>
      </c>
      <c r="K691" s="137">
        <v>24.0</v>
      </c>
      <c r="L691" s="137">
        <v>2.0</v>
      </c>
      <c r="M691" s="137">
        <v>24.0</v>
      </c>
      <c r="N691" s="137">
        <v>0.0</v>
      </c>
      <c r="O691" s="137">
        <v>24.0</v>
      </c>
      <c r="P691" s="137">
        <v>10.0</v>
      </c>
      <c r="Q691" s="137">
        <v>36.0</v>
      </c>
      <c r="R691" s="137">
        <v>8.0</v>
      </c>
      <c r="S691" s="137">
        <v>44.0</v>
      </c>
      <c r="T691" s="137">
        <v>8.0</v>
      </c>
      <c r="U691" s="137">
        <v>54.0</v>
      </c>
      <c r="V691" s="137">
        <v>4.0</v>
      </c>
      <c r="W691" s="137">
        <v>68.0</v>
      </c>
      <c r="X691" s="137">
        <v>18.0</v>
      </c>
      <c r="Y691" s="137">
        <v>120.0</v>
      </c>
      <c r="Z691" s="137">
        <v>14.0</v>
      </c>
      <c r="AA691" s="137">
        <v>114.0</v>
      </c>
      <c r="AB691" s="137">
        <v>36.0</v>
      </c>
      <c r="AC691" s="137">
        <v>180.0</v>
      </c>
      <c r="AD691" s="137">
        <v>52.0</v>
      </c>
      <c r="AE691" s="137">
        <v>158.0</v>
      </c>
      <c r="AF691" s="137">
        <v>42.0</v>
      </c>
      <c r="AG691" s="137">
        <v>148.0</v>
      </c>
      <c r="AH691" s="137">
        <v>72.0</v>
      </c>
      <c r="AI691" s="137">
        <v>94.0</v>
      </c>
      <c r="AJ691" s="137">
        <v>52.0</v>
      </c>
      <c r="AK691" s="137">
        <v>64.0</v>
      </c>
      <c r="AL691" s="137">
        <v>56.0</v>
      </c>
      <c r="AM691" s="137">
        <v>110.0</v>
      </c>
      <c r="AN691" s="134">
        <v>1860.0</v>
      </c>
    </row>
    <row r="692">
      <c r="A692" s="98"/>
      <c r="B692" s="136" t="s">
        <v>199</v>
      </c>
      <c r="C692" s="137">
        <v>250.0</v>
      </c>
      <c r="D692" s="137">
        <v>108.0</v>
      </c>
      <c r="E692" s="137">
        <v>142.0</v>
      </c>
      <c r="F692" s="137">
        <v>0.0</v>
      </c>
      <c r="G692" s="137">
        <v>2.0</v>
      </c>
      <c r="H692" s="137">
        <v>2.0</v>
      </c>
      <c r="I692" s="137">
        <v>2.0</v>
      </c>
      <c r="J692" s="137">
        <v>0.0</v>
      </c>
      <c r="K692" s="137">
        <v>0.0</v>
      </c>
      <c r="L692" s="137">
        <v>0.0</v>
      </c>
      <c r="M692" s="137">
        <v>4.0</v>
      </c>
      <c r="N692" s="137">
        <v>0.0</v>
      </c>
      <c r="O692" s="137">
        <v>2.0</v>
      </c>
      <c r="P692" s="137">
        <v>0.0</v>
      </c>
      <c r="Q692" s="137">
        <v>8.0</v>
      </c>
      <c r="R692" s="137">
        <v>0.0</v>
      </c>
      <c r="S692" s="137">
        <v>6.0</v>
      </c>
      <c r="T692" s="137">
        <v>0.0</v>
      </c>
      <c r="U692" s="137">
        <v>6.0</v>
      </c>
      <c r="V692" s="137">
        <v>22.0</v>
      </c>
      <c r="W692" s="137">
        <v>4.0</v>
      </c>
      <c r="X692" s="137">
        <v>0.0</v>
      </c>
      <c r="Y692" s="137">
        <v>2.0</v>
      </c>
      <c r="Z692" s="137">
        <v>6.0</v>
      </c>
      <c r="AA692" s="137">
        <v>2.0</v>
      </c>
      <c r="AB692" s="137">
        <v>0.0</v>
      </c>
      <c r="AC692" s="137">
        <v>16.0</v>
      </c>
      <c r="AD692" s="137">
        <v>6.0</v>
      </c>
      <c r="AE692" s="137">
        <v>26.0</v>
      </c>
      <c r="AF692" s="137">
        <v>14.0</v>
      </c>
      <c r="AG692" s="137">
        <v>16.0</v>
      </c>
      <c r="AH692" s="137">
        <v>24.0</v>
      </c>
      <c r="AI692" s="137">
        <v>16.0</v>
      </c>
      <c r="AJ692" s="137">
        <v>18.0</v>
      </c>
      <c r="AK692" s="137">
        <v>6.0</v>
      </c>
      <c r="AL692" s="137">
        <v>16.0</v>
      </c>
      <c r="AM692" s="137">
        <v>24.0</v>
      </c>
      <c r="AN692" s="137">
        <v>250.0</v>
      </c>
    </row>
    <row r="693">
      <c r="A693" s="98"/>
      <c r="B693" s="136" t="s">
        <v>206</v>
      </c>
      <c r="C693" s="137">
        <v>6.0</v>
      </c>
      <c r="D693" s="137">
        <v>0.0</v>
      </c>
      <c r="E693" s="137">
        <v>6.0</v>
      </c>
      <c r="F693" s="137">
        <v>0.0</v>
      </c>
      <c r="G693" s="137">
        <v>0.0</v>
      </c>
      <c r="H693" s="137">
        <v>0.0</v>
      </c>
      <c r="I693" s="137">
        <v>2.0</v>
      </c>
      <c r="J693" s="137">
        <v>0.0</v>
      </c>
      <c r="K693" s="137">
        <v>0.0</v>
      </c>
      <c r="L693" s="137">
        <v>0.0</v>
      </c>
      <c r="M693" s="137">
        <v>0.0</v>
      </c>
      <c r="N693" s="137">
        <v>0.0</v>
      </c>
      <c r="O693" s="137">
        <v>0.0</v>
      </c>
      <c r="P693" s="137">
        <v>0.0</v>
      </c>
      <c r="Q693" s="137">
        <v>0.0</v>
      </c>
      <c r="R693" s="137">
        <v>0.0</v>
      </c>
      <c r="S693" s="137">
        <v>2.0</v>
      </c>
      <c r="T693" s="137">
        <v>0.0</v>
      </c>
      <c r="U693" s="137">
        <v>0.0</v>
      </c>
      <c r="V693" s="137">
        <v>0.0</v>
      </c>
      <c r="W693" s="137">
        <v>0.0</v>
      </c>
      <c r="X693" s="137">
        <v>0.0</v>
      </c>
      <c r="Y693" s="137">
        <v>0.0</v>
      </c>
      <c r="Z693" s="137">
        <v>0.0</v>
      </c>
      <c r="AA693" s="137">
        <v>0.0</v>
      </c>
      <c r="AB693" s="137">
        <v>0.0</v>
      </c>
      <c r="AC693" s="137">
        <v>0.0</v>
      </c>
      <c r="AD693" s="137">
        <v>0.0</v>
      </c>
      <c r="AE693" s="137">
        <v>0.0</v>
      </c>
      <c r="AF693" s="137">
        <v>0.0</v>
      </c>
      <c r="AG693" s="137">
        <v>2.0</v>
      </c>
      <c r="AH693" s="137">
        <v>0.0</v>
      </c>
      <c r="AI693" s="137">
        <v>0.0</v>
      </c>
      <c r="AJ693" s="137">
        <v>0.0</v>
      </c>
      <c r="AK693" s="137">
        <v>0.0</v>
      </c>
      <c r="AL693" s="137">
        <v>0.0</v>
      </c>
      <c r="AM693" s="137">
        <v>0.0</v>
      </c>
      <c r="AN693" s="137">
        <v>6.0</v>
      </c>
    </row>
    <row r="694">
      <c r="A694" s="98"/>
      <c r="B694" s="136" t="s">
        <v>200</v>
      </c>
      <c r="C694" s="137">
        <v>628.0</v>
      </c>
      <c r="D694" s="137">
        <v>144.0</v>
      </c>
      <c r="E694" s="137">
        <v>484.0</v>
      </c>
      <c r="F694" s="137">
        <v>76.0</v>
      </c>
      <c r="G694" s="137">
        <v>98.0</v>
      </c>
      <c r="H694" s="137">
        <v>6.0</v>
      </c>
      <c r="I694" s="137">
        <v>16.0</v>
      </c>
      <c r="J694" s="137">
        <v>2.0</v>
      </c>
      <c r="K694" s="137">
        <v>16.0</v>
      </c>
      <c r="L694" s="137">
        <v>4.0</v>
      </c>
      <c r="M694" s="137">
        <v>10.0</v>
      </c>
      <c r="N694" s="137">
        <v>0.0</v>
      </c>
      <c r="O694" s="137">
        <v>44.0</v>
      </c>
      <c r="P694" s="137">
        <v>2.0</v>
      </c>
      <c r="Q694" s="137">
        <v>64.0</v>
      </c>
      <c r="R694" s="137">
        <v>4.0</v>
      </c>
      <c r="S694" s="137">
        <v>42.0</v>
      </c>
      <c r="T694" s="137">
        <v>6.0</v>
      </c>
      <c r="U694" s="137">
        <v>32.0</v>
      </c>
      <c r="V694" s="137">
        <v>0.0</v>
      </c>
      <c r="W694" s="137">
        <v>42.0</v>
      </c>
      <c r="X694" s="137">
        <v>2.0</v>
      </c>
      <c r="Y694" s="137">
        <v>12.0</v>
      </c>
      <c r="Z694" s="137">
        <v>8.0</v>
      </c>
      <c r="AA694" s="137">
        <v>14.0</v>
      </c>
      <c r="AB694" s="137">
        <v>2.0</v>
      </c>
      <c r="AC694" s="137">
        <v>14.0</v>
      </c>
      <c r="AD694" s="137">
        <v>6.0</v>
      </c>
      <c r="AE694" s="137">
        <v>26.0</v>
      </c>
      <c r="AF694" s="137">
        <v>4.0</v>
      </c>
      <c r="AG694" s="137">
        <v>14.0</v>
      </c>
      <c r="AH694" s="137">
        <v>6.0</v>
      </c>
      <c r="AI694" s="137">
        <v>24.0</v>
      </c>
      <c r="AJ694" s="137">
        <v>8.0</v>
      </c>
      <c r="AK694" s="137">
        <v>10.0</v>
      </c>
      <c r="AL694" s="137">
        <v>8.0</v>
      </c>
      <c r="AM694" s="137">
        <v>6.0</v>
      </c>
      <c r="AN694" s="137">
        <v>550.0</v>
      </c>
    </row>
    <row r="695">
      <c r="A695" s="104"/>
      <c r="B695" s="136" t="s">
        <v>201</v>
      </c>
      <c r="C695" s="137">
        <v>100.0</v>
      </c>
      <c r="D695" s="137">
        <v>32.0</v>
      </c>
      <c r="E695" s="137">
        <v>68.0</v>
      </c>
      <c r="F695" s="137">
        <v>8.0</v>
      </c>
      <c r="G695" s="137">
        <v>12.0</v>
      </c>
      <c r="H695" s="137">
        <v>12.0</v>
      </c>
      <c r="I695" s="137">
        <v>4.0</v>
      </c>
      <c r="J695" s="137">
        <v>8.0</v>
      </c>
      <c r="K695" s="137">
        <v>20.0</v>
      </c>
      <c r="L695" s="137">
        <v>0.0</v>
      </c>
      <c r="M695" s="137">
        <v>0.0</v>
      </c>
      <c r="N695" s="137">
        <v>0.0</v>
      </c>
      <c r="O695" s="137">
        <v>4.0</v>
      </c>
      <c r="P695" s="137">
        <v>0.0</v>
      </c>
      <c r="Q695" s="137">
        <v>0.0</v>
      </c>
      <c r="R695" s="137">
        <v>0.0</v>
      </c>
      <c r="S695" s="137">
        <v>4.0</v>
      </c>
      <c r="T695" s="137">
        <v>0.0</v>
      </c>
      <c r="U695" s="137">
        <v>0.0</v>
      </c>
      <c r="V695" s="137">
        <v>0.0</v>
      </c>
      <c r="W695" s="137">
        <v>8.0</v>
      </c>
      <c r="X695" s="137">
        <v>0.0</v>
      </c>
      <c r="Y695" s="137">
        <v>4.0</v>
      </c>
      <c r="Z695" s="137">
        <v>0.0</v>
      </c>
      <c r="AA695" s="137">
        <v>4.0</v>
      </c>
      <c r="AB695" s="137">
        <v>0.0</v>
      </c>
      <c r="AC695" s="137">
        <v>0.0</v>
      </c>
      <c r="AD695" s="137">
        <v>4.0</v>
      </c>
      <c r="AE695" s="137">
        <v>0.0</v>
      </c>
      <c r="AF695" s="137">
        <v>0.0</v>
      </c>
      <c r="AG695" s="137">
        <v>4.0</v>
      </c>
      <c r="AH695" s="137">
        <v>0.0</v>
      </c>
      <c r="AI695" s="137">
        <v>0.0</v>
      </c>
      <c r="AJ695" s="137">
        <v>0.0</v>
      </c>
      <c r="AK695" s="137">
        <v>0.0</v>
      </c>
      <c r="AL695" s="137">
        <v>0.0</v>
      </c>
      <c r="AM695" s="137">
        <v>4.0</v>
      </c>
      <c r="AN695" s="137">
        <v>100.0</v>
      </c>
    </row>
    <row r="696">
      <c r="A696" s="132" t="s">
        <v>208</v>
      </c>
      <c r="B696" s="136" t="s">
        <v>198</v>
      </c>
      <c r="C696" s="137">
        <v>4.0</v>
      </c>
      <c r="D696" s="137">
        <v>2.0</v>
      </c>
      <c r="E696" s="137">
        <v>2.0</v>
      </c>
      <c r="F696" s="137">
        <v>2.0</v>
      </c>
      <c r="G696" s="137">
        <v>2.0</v>
      </c>
      <c r="H696" s="137">
        <v>0.0</v>
      </c>
      <c r="I696" s="137">
        <v>0.0</v>
      </c>
      <c r="J696" s="137">
        <v>0.0</v>
      </c>
      <c r="K696" s="137">
        <v>0.0</v>
      </c>
      <c r="L696" s="137">
        <v>0.0</v>
      </c>
      <c r="M696" s="137">
        <v>0.0</v>
      </c>
      <c r="N696" s="137">
        <v>0.0</v>
      </c>
      <c r="O696" s="137">
        <v>0.0</v>
      </c>
      <c r="P696" s="135">
        <v>0.0</v>
      </c>
      <c r="Q696" s="135">
        <v>0.0</v>
      </c>
      <c r="R696" s="135">
        <v>0.0</v>
      </c>
      <c r="S696" s="135">
        <v>0.0</v>
      </c>
      <c r="T696" s="135">
        <v>0.0</v>
      </c>
      <c r="U696" s="135">
        <v>0.0</v>
      </c>
      <c r="V696" s="135">
        <v>0.0</v>
      </c>
      <c r="W696" s="135">
        <v>0.0</v>
      </c>
      <c r="X696" s="135">
        <v>0.0</v>
      </c>
      <c r="Y696" s="135">
        <v>0.0</v>
      </c>
      <c r="Z696" s="135">
        <v>0.0</v>
      </c>
      <c r="AA696" s="135">
        <v>0.0</v>
      </c>
      <c r="AB696" s="135">
        <v>0.0</v>
      </c>
      <c r="AC696" s="135">
        <v>0.0</v>
      </c>
      <c r="AD696" s="135">
        <v>0.0</v>
      </c>
      <c r="AE696" s="135">
        <v>0.0</v>
      </c>
      <c r="AF696" s="135">
        <v>0.0</v>
      </c>
      <c r="AG696" s="135">
        <v>0.0</v>
      </c>
      <c r="AH696" s="135">
        <v>0.0</v>
      </c>
      <c r="AI696" s="135">
        <v>0.0</v>
      </c>
      <c r="AJ696" s="135">
        <v>0.0</v>
      </c>
      <c r="AK696" s="135">
        <v>0.0</v>
      </c>
      <c r="AL696" s="135">
        <v>0.0</v>
      </c>
      <c r="AM696" s="135">
        <v>0.0</v>
      </c>
      <c r="AN696" s="137">
        <v>4.0</v>
      </c>
    </row>
    <row r="697">
      <c r="A697" s="98"/>
      <c r="B697" s="136" t="s">
        <v>199</v>
      </c>
      <c r="C697" s="137">
        <v>42.0</v>
      </c>
      <c r="D697" s="137">
        <v>20.0</v>
      </c>
      <c r="E697" s="137">
        <v>22.0</v>
      </c>
      <c r="F697" s="137">
        <v>16.0</v>
      </c>
      <c r="G697" s="137">
        <v>22.0</v>
      </c>
      <c r="H697" s="137">
        <v>4.0</v>
      </c>
      <c r="I697" s="137">
        <v>0.0</v>
      </c>
      <c r="J697" s="137">
        <v>0.0</v>
      </c>
      <c r="K697" s="137">
        <v>0.0</v>
      </c>
      <c r="L697" s="137">
        <v>0.0</v>
      </c>
      <c r="M697" s="137">
        <v>0.0</v>
      </c>
      <c r="N697" s="137">
        <v>0.0</v>
      </c>
      <c r="O697" s="137">
        <v>0.0</v>
      </c>
      <c r="P697" s="135">
        <v>0.0</v>
      </c>
      <c r="Q697" s="135">
        <v>0.0</v>
      </c>
      <c r="R697" s="135">
        <v>0.0</v>
      </c>
      <c r="S697" s="135">
        <v>0.0</v>
      </c>
      <c r="T697" s="135">
        <v>0.0</v>
      </c>
      <c r="U697" s="135">
        <v>0.0</v>
      </c>
      <c r="V697" s="135">
        <v>0.0</v>
      </c>
      <c r="W697" s="135">
        <v>0.0</v>
      </c>
      <c r="X697" s="135">
        <v>0.0</v>
      </c>
      <c r="Y697" s="135">
        <v>0.0</v>
      </c>
      <c r="Z697" s="135">
        <v>0.0</v>
      </c>
      <c r="AA697" s="135">
        <v>0.0</v>
      </c>
      <c r="AB697" s="135">
        <v>0.0</v>
      </c>
      <c r="AC697" s="135">
        <v>0.0</v>
      </c>
      <c r="AD697" s="135">
        <v>0.0</v>
      </c>
      <c r="AE697" s="135">
        <v>0.0</v>
      </c>
      <c r="AF697" s="135">
        <v>0.0</v>
      </c>
      <c r="AG697" s="135">
        <v>0.0</v>
      </c>
      <c r="AH697" s="135">
        <v>0.0</v>
      </c>
      <c r="AI697" s="135">
        <v>0.0</v>
      </c>
      <c r="AJ697" s="135">
        <v>0.0</v>
      </c>
      <c r="AK697" s="135">
        <v>0.0</v>
      </c>
      <c r="AL697" s="135">
        <v>0.0</v>
      </c>
      <c r="AM697" s="135">
        <v>0.0</v>
      </c>
      <c r="AN697" s="137">
        <v>40.0</v>
      </c>
    </row>
    <row r="698">
      <c r="A698" s="98"/>
      <c r="B698" s="136" t="s">
        <v>206</v>
      </c>
      <c r="C698" s="137">
        <v>2.0</v>
      </c>
      <c r="D698" s="137">
        <v>2.0</v>
      </c>
      <c r="E698" s="137">
        <v>0.0</v>
      </c>
      <c r="F698" s="137">
        <v>0.0</v>
      </c>
      <c r="G698" s="137">
        <v>0.0</v>
      </c>
      <c r="H698" s="137">
        <v>0.0</v>
      </c>
      <c r="I698" s="137">
        <v>0.0</v>
      </c>
      <c r="J698" s="137">
        <v>2.0</v>
      </c>
      <c r="K698" s="137">
        <v>0.0</v>
      </c>
      <c r="L698" s="137">
        <v>0.0</v>
      </c>
      <c r="M698" s="137">
        <v>0.0</v>
      </c>
      <c r="N698" s="137">
        <v>0.0</v>
      </c>
      <c r="O698" s="137">
        <v>0.0</v>
      </c>
      <c r="P698" s="135">
        <v>0.0</v>
      </c>
      <c r="Q698" s="135">
        <v>0.0</v>
      </c>
      <c r="R698" s="135">
        <v>0.0</v>
      </c>
      <c r="S698" s="135">
        <v>0.0</v>
      </c>
      <c r="T698" s="135">
        <v>0.0</v>
      </c>
      <c r="U698" s="135">
        <v>0.0</v>
      </c>
      <c r="V698" s="135">
        <v>0.0</v>
      </c>
      <c r="W698" s="135">
        <v>0.0</v>
      </c>
      <c r="X698" s="135">
        <v>0.0</v>
      </c>
      <c r="Y698" s="135">
        <v>0.0</v>
      </c>
      <c r="Z698" s="135">
        <v>0.0</v>
      </c>
      <c r="AA698" s="135">
        <v>0.0</v>
      </c>
      <c r="AB698" s="135">
        <v>0.0</v>
      </c>
      <c r="AC698" s="135">
        <v>0.0</v>
      </c>
      <c r="AD698" s="135">
        <v>0.0</v>
      </c>
      <c r="AE698" s="135">
        <v>0.0</v>
      </c>
      <c r="AF698" s="135">
        <v>0.0</v>
      </c>
      <c r="AG698" s="135">
        <v>0.0</v>
      </c>
      <c r="AH698" s="135">
        <v>0.0</v>
      </c>
      <c r="AI698" s="135">
        <v>0.0</v>
      </c>
      <c r="AJ698" s="135">
        <v>0.0</v>
      </c>
      <c r="AK698" s="135">
        <v>0.0</v>
      </c>
      <c r="AL698" s="135">
        <v>0.0</v>
      </c>
      <c r="AM698" s="135">
        <v>0.0</v>
      </c>
      <c r="AN698" s="137">
        <v>2.0</v>
      </c>
    </row>
    <row r="699">
      <c r="A699" s="98"/>
      <c r="B699" s="136" t="s">
        <v>200</v>
      </c>
      <c r="C699" s="137">
        <v>0.0</v>
      </c>
      <c r="D699" s="137">
        <v>0.0</v>
      </c>
      <c r="E699" s="137">
        <v>0.0</v>
      </c>
      <c r="F699" s="137">
        <v>0.0</v>
      </c>
      <c r="G699" s="137">
        <v>0.0</v>
      </c>
      <c r="H699" s="137">
        <v>0.0</v>
      </c>
      <c r="I699" s="137">
        <v>0.0</v>
      </c>
      <c r="J699" s="137">
        <v>0.0</v>
      </c>
      <c r="K699" s="137">
        <v>0.0</v>
      </c>
      <c r="L699" s="137">
        <v>0.0</v>
      </c>
      <c r="M699" s="137">
        <v>0.0</v>
      </c>
      <c r="N699" s="137">
        <v>0.0</v>
      </c>
      <c r="O699" s="137">
        <v>0.0</v>
      </c>
      <c r="P699" s="135">
        <v>0.0</v>
      </c>
      <c r="Q699" s="135">
        <v>0.0</v>
      </c>
      <c r="R699" s="135">
        <v>0.0</v>
      </c>
      <c r="S699" s="135">
        <v>0.0</v>
      </c>
      <c r="T699" s="135">
        <v>0.0</v>
      </c>
      <c r="U699" s="135">
        <v>0.0</v>
      </c>
      <c r="V699" s="135">
        <v>0.0</v>
      </c>
      <c r="W699" s="135">
        <v>0.0</v>
      </c>
      <c r="X699" s="135">
        <v>0.0</v>
      </c>
      <c r="Y699" s="135">
        <v>0.0</v>
      </c>
      <c r="Z699" s="135">
        <v>0.0</v>
      </c>
      <c r="AA699" s="135">
        <v>0.0</v>
      </c>
      <c r="AB699" s="135">
        <v>0.0</v>
      </c>
      <c r="AC699" s="135">
        <v>0.0</v>
      </c>
      <c r="AD699" s="135">
        <v>0.0</v>
      </c>
      <c r="AE699" s="135">
        <v>0.0</v>
      </c>
      <c r="AF699" s="135">
        <v>0.0</v>
      </c>
      <c r="AG699" s="135">
        <v>0.0</v>
      </c>
      <c r="AH699" s="135">
        <v>0.0</v>
      </c>
      <c r="AI699" s="135">
        <v>0.0</v>
      </c>
      <c r="AJ699" s="135">
        <v>0.0</v>
      </c>
      <c r="AK699" s="135">
        <v>0.0</v>
      </c>
      <c r="AL699" s="135">
        <v>0.0</v>
      </c>
      <c r="AM699" s="135">
        <v>0.0</v>
      </c>
      <c r="AN699" s="137">
        <v>0.0</v>
      </c>
    </row>
    <row r="700">
      <c r="A700" s="104"/>
      <c r="B700" s="136" t="s">
        <v>201</v>
      </c>
      <c r="C700" s="137">
        <v>0.0</v>
      </c>
      <c r="D700" s="137">
        <v>0.0</v>
      </c>
      <c r="E700" s="137">
        <v>0.0</v>
      </c>
      <c r="F700" s="137">
        <v>0.0</v>
      </c>
      <c r="G700" s="137">
        <v>0.0</v>
      </c>
      <c r="H700" s="137">
        <v>0.0</v>
      </c>
      <c r="I700" s="137">
        <v>0.0</v>
      </c>
      <c r="J700" s="137">
        <v>0.0</v>
      </c>
      <c r="K700" s="137">
        <v>0.0</v>
      </c>
      <c r="L700" s="137">
        <v>0.0</v>
      </c>
      <c r="M700" s="137">
        <v>0.0</v>
      </c>
      <c r="N700" s="137">
        <v>0.0</v>
      </c>
      <c r="O700" s="137">
        <v>0.0</v>
      </c>
      <c r="P700" s="135">
        <v>0.0</v>
      </c>
      <c r="Q700" s="135">
        <v>0.0</v>
      </c>
      <c r="R700" s="135">
        <v>0.0</v>
      </c>
      <c r="S700" s="135">
        <v>0.0</v>
      </c>
      <c r="T700" s="135">
        <v>0.0</v>
      </c>
      <c r="U700" s="135">
        <v>0.0</v>
      </c>
      <c r="V700" s="135">
        <v>0.0</v>
      </c>
      <c r="W700" s="135">
        <v>0.0</v>
      </c>
      <c r="X700" s="135">
        <v>0.0</v>
      </c>
      <c r="Y700" s="135">
        <v>0.0</v>
      </c>
      <c r="Z700" s="135">
        <v>0.0</v>
      </c>
      <c r="AA700" s="135">
        <v>0.0</v>
      </c>
      <c r="AB700" s="135">
        <v>0.0</v>
      </c>
      <c r="AC700" s="135">
        <v>0.0</v>
      </c>
      <c r="AD700" s="135">
        <v>0.0</v>
      </c>
      <c r="AE700" s="135">
        <v>0.0</v>
      </c>
      <c r="AF700" s="135">
        <v>0.0</v>
      </c>
      <c r="AG700" s="135">
        <v>0.0</v>
      </c>
      <c r="AH700" s="135">
        <v>0.0</v>
      </c>
      <c r="AI700" s="135">
        <v>0.0</v>
      </c>
      <c r="AJ700" s="135">
        <v>0.0</v>
      </c>
      <c r="AK700" s="135">
        <v>0.0</v>
      </c>
      <c r="AL700" s="135">
        <v>0.0</v>
      </c>
      <c r="AM700" s="135">
        <v>0.0</v>
      </c>
      <c r="AN700" s="137">
        <v>0.0</v>
      </c>
    </row>
    <row r="701">
      <c r="A701" s="138" t="s">
        <v>268</v>
      </c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</row>
    <row r="702">
      <c r="A702" s="132" t="s">
        <v>197</v>
      </c>
      <c r="B702" s="133" t="s">
        <v>198</v>
      </c>
      <c r="C702" s="134">
        <v>15322.0</v>
      </c>
      <c r="D702" s="134">
        <v>6134.0</v>
      </c>
      <c r="E702" s="134">
        <v>9188.0</v>
      </c>
      <c r="F702" s="135">
        <v>0.0</v>
      </c>
      <c r="G702" s="135">
        <v>0.0</v>
      </c>
      <c r="H702" s="135">
        <v>0.0</v>
      </c>
      <c r="I702" s="135">
        <v>0.0</v>
      </c>
      <c r="J702" s="135">
        <v>0.0</v>
      </c>
      <c r="K702" s="135">
        <v>0.0</v>
      </c>
      <c r="L702" s="137">
        <v>6.0</v>
      </c>
      <c r="M702" s="137">
        <v>4.0</v>
      </c>
      <c r="N702" s="137">
        <v>12.0</v>
      </c>
      <c r="O702" s="137">
        <v>20.0</v>
      </c>
      <c r="P702" s="137">
        <v>28.0</v>
      </c>
      <c r="Q702" s="137">
        <v>40.0</v>
      </c>
      <c r="R702" s="137">
        <v>46.0</v>
      </c>
      <c r="S702" s="137">
        <v>88.0</v>
      </c>
      <c r="T702" s="137">
        <v>94.0</v>
      </c>
      <c r="U702" s="137">
        <v>202.0</v>
      </c>
      <c r="V702" s="137">
        <v>150.0</v>
      </c>
      <c r="W702" s="137">
        <v>292.0</v>
      </c>
      <c r="X702" s="137">
        <v>348.0</v>
      </c>
      <c r="Y702" s="137">
        <v>458.0</v>
      </c>
      <c r="Z702" s="137">
        <v>512.0</v>
      </c>
      <c r="AA702" s="137">
        <v>944.0</v>
      </c>
      <c r="AB702" s="137">
        <v>758.0</v>
      </c>
      <c r="AC702" s="134">
        <v>1298.0</v>
      </c>
      <c r="AD702" s="134">
        <v>1018.0</v>
      </c>
      <c r="AE702" s="134">
        <v>1300.0</v>
      </c>
      <c r="AF702" s="137">
        <v>950.0</v>
      </c>
      <c r="AG702" s="134">
        <v>1270.0</v>
      </c>
      <c r="AH702" s="137">
        <v>858.0</v>
      </c>
      <c r="AI702" s="134">
        <v>1144.0</v>
      </c>
      <c r="AJ702" s="137">
        <v>666.0</v>
      </c>
      <c r="AK702" s="137">
        <v>926.0</v>
      </c>
      <c r="AL702" s="137">
        <v>688.0</v>
      </c>
      <c r="AM702" s="134">
        <v>1194.0</v>
      </c>
      <c r="AN702" s="134">
        <v>15008.0</v>
      </c>
    </row>
    <row r="703">
      <c r="A703" s="98"/>
      <c r="B703" s="136" t="s">
        <v>199</v>
      </c>
      <c r="C703" s="134">
        <v>6598.0</v>
      </c>
      <c r="D703" s="134">
        <v>2776.0</v>
      </c>
      <c r="E703" s="134">
        <v>3822.0</v>
      </c>
      <c r="F703" s="135">
        <v>0.0</v>
      </c>
      <c r="G703" s="135">
        <v>0.0</v>
      </c>
      <c r="H703" s="135">
        <v>0.0</v>
      </c>
      <c r="I703" s="135">
        <v>0.0</v>
      </c>
      <c r="J703" s="135">
        <v>0.0</v>
      </c>
      <c r="K703" s="135">
        <v>0.0</v>
      </c>
      <c r="L703" s="137">
        <v>2.0</v>
      </c>
      <c r="M703" s="137">
        <v>2.0</v>
      </c>
      <c r="N703" s="137">
        <v>2.0</v>
      </c>
      <c r="O703" s="137">
        <v>2.0</v>
      </c>
      <c r="P703" s="137">
        <v>6.0</v>
      </c>
      <c r="Q703" s="137">
        <v>8.0</v>
      </c>
      <c r="R703" s="137">
        <v>20.0</v>
      </c>
      <c r="S703" s="137">
        <v>34.0</v>
      </c>
      <c r="T703" s="137">
        <v>46.0</v>
      </c>
      <c r="U703" s="137">
        <v>50.0</v>
      </c>
      <c r="V703" s="137">
        <v>66.0</v>
      </c>
      <c r="W703" s="137">
        <v>98.0</v>
      </c>
      <c r="X703" s="137">
        <v>94.0</v>
      </c>
      <c r="Y703" s="137">
        <v>214.0</v>
      </c>
      <c r="Z703" s="137">
        <v>210.0</v>
      </c>
      <c r="AA703" s="137">
        <v>308.0</v>
      </c>
      <c r="AB703" s="137">
        <v>326.0</v>
      </c>
      <c r="AC703" s="137">
        <v>466.0</v>
      </c>
      <c r="AD703" s="137">
        <v>436.0</v>
      </c>
      <c r="AE703" s="137">
        <v>554.0</v>
      </c>
      <c r="AF703" s="137">
        <v>470.0</v>
      </c>
      <c r="AG703" s="137">
        <v>578.0</v>
      </c>
      <c r="AH703" s="137">
        <v>400.0</v>
      </c>
      <c r="AI703" s="137">
        <v>498.0</v>
      </c>
      <c r="AJ703" s="137">
        <v>334.0</v>
      </c>
      <c r="AK703" s="137">
        <v>450.0</v>
      </c>
      <c r="AL703" s="137">
        <v>364.0</v>
      </c>
      <c r="AM703" s="137">
        <v>560.0</v>
      </c>
      <c r="AN703" s="134">
        <v>6356.0</v>
      </c>
    </row>
    <row r="704">
      <c r="A704" s="98"/>
      <c r="B704" s="136" t="s">
        <v>200</v>
      </c>
      <c r="C704" s="134">
        <v>3922.0</v>
      </c>
      <c r="D704" s="134">
        <v>1684.0</v>
      </c>
      <c r="E704" s="134">
        <v>2238.0</v>
      </c>
      <c r="F704" s="135">
        <v>0.0</v>
      </c>
      <c r="G704" s="135">
        <v>0.0</v>
      </c>
      <c r="H704" s="135">
        <v>0.0</v>
      </c>
      <c r="I704" s="135">
        <v>0.0</v>
      </c>
      <c r="J704" s="135">
        <v>0.0</v>
      </c>
      <c r="K704" s="135">
        <v>0.0</v>
      </c>
      <c r="L704" s="137">
        <v>2.0</v>
      </c>
      <c r="M704" s="137">
        <v>2.0</v>
      </c>
      <c r="N704" s="137">
        <v>8.0</v>
      </c>
      <c r="O704" s="137">
        <v>6.0</v>
      </c>
      <c r="P704" s="137">
        <v>10.0</v>
      </c>
      <c r="Q704" s="137">
        <v>28.0</v>
      </c>
      <c r="R704" s="137">
        <v>28.0</v>
      </c>
      <c r="S704" s="137">
        <v>52.0</v>
      </c>
      <c r="T704" s="137">
        <v>42.0</v>
      </c>
      <c r="U704" s="137">
        <v>62.0</v>
      </c>
      <c r="V704" s="137">
        <v>64.0</v>
      </c>
      <c r="W704" s="137">
        <v>112.0</v>
      </c>
      <c r="X704" s="137">
        <v>126.0</v>
      </c>
      <c r="Y704" s="137">
        <v>182.0</v>
      </c>
      <c r="Z704" s="137">
        <v>180.0</v>
      </c>
      <c r="AA704" s="137">
        <v>298.0</v>
      </c>
      <c r="AB704" s="137">
        <v>206.0</v>
      </c>
      <c r="AC704" s="137">
        <v>372.0</v>
      </c>
      <c r="AD704" s="137">
        <v>320.0</v>
      </c>
      <c r="AE704" s="137">
        <v>298.0</v>
      </c>
      <c r="AF704" s="137">
        <v>296.0</v>
      </c>
      <c r="AG704" s="137">
        <v>342.0</v>
      </c>
      <c r="AH704" s="137">
        <v>188.0</v>
      </c>
      <c r="AI704" s="137">
        <v>208.0</v>
      </c>
      <c r="AJ704" s="137">
        <v>118.0</v>
      </c>
      <c r="AK704" s="137">
        <v>148.0</v>
      </c>
      <c r="AL704" s="137">
        <v>96.0</v>
      </c>
      <c r="AM704" s="137">
        <v>128.0</v>
      </c>
      <c r="AN704" s="134">
        <v>3686.0</v>
      </c>
    </row>
    <row r="705">
      <c r="A705" s="104"/>
      <c r="B705" s="136" t="s">
        <v>201</v>
      </c>
      <c r="C705" s="137">
        <v>342.0</v>
      </c>
      <c r="D705" s="137">
        <v>186.0</v>
      </c>
      <c r="E705" s="137">
        <v>156.0</v>
      </c>
      <c r="F705" s="135">
        <v>0.0</v>
      </c>
      <c r="G705" s="135">
        <v>0.0</v>
      </c>
      <c r="H705" s="135">
        <v>0.0</v>
      </c>
      <c r="I705" s="135">
        <v>0.0</v>
      </c>
      <c r="J705" s="135">
        <v>0.0</v>
      </c>
      <c r="K705" s="135">
        <v>0.0</v>
      </c>
      <c r="L705" s="137">
        <v>0.0</v>
      </c>
      <c r="M705" s="137">
        <v>0.0</v>
      </c>
      <c r="N705" s="137">
        <v>0.0</v>
      </c>
      <c r="O705" s="137">
        <v>0.0</v>
      </c>
      <c r="P705" s="137">
        <v>0.0</v>
      </c>
      <c r="Q705" s="137">
        <v>0.0</v>
      </c>
      <c r="R705" s="137">
        <v>0.0</v>
      </c>
      <c r="S705" s="137">
        <v>0.0</v>
      </c>
      <c r="T705" s="137">
        <v>0.0</v>
      </c>
      <c r="U705" s="137">
        <v>0.0</v>
      </c>
      <c r="V705" s="137">
        <v>2.0</v>
      </c>
      <c r="W705" s="137">
        <v>4.0</v>
      </c>
      <c r="X705" s="137">
        <v>24.0</v>
      </c>
      <c r="Y705" s="137">
        <v>8.0</v>
      </c>
      <c r="Z705" s="137">
        <v>16.0</v>
      </c>
      <c r="AA705" s="137">
        <v>14.0</v>
      </c>
      <c r="AB705" s="137">
        <v>18.0</v>
      </c>
      <c r="AC705" s="137">
        <v>14.0</v>
      </c>
      <c r="AD705" s="137">
        <v>54.0</v>
      </c>
      <c r="AE705" s="137">
        <v>46.0</v>
      </c>
      <c r="AF705" s="137">
        <v>30.0</v>
      </c>
      <c r="AG705" s="137">
        <v>36.0</v>
      </c>
      <c r="AH705" s="137">
        <v>10.0</v>
      </c>
      <c r="AI705" s="137">
        <v>16.0</v>
      </c>
      <c r="AJ705" s="137">
        <v>20.0</v>
      </c>
      <c r="AK705" s="137">
        <v>18.0</v>
      </c>
      <c r="AL705" s="137">
        <v>8.0</v>
      </c>
      <c r="AM705" s="137">
        <v>0.0</v>
      </c>
      <c r="AN705" s="137">
        <v>344.0</v>
      </c>
    </row>
    <row r="706">
      <c r="A706" s="132" t="s">
        <v>202</v>
      </c>
      <c r="B706" s="136" t="s">
        <v>198</v>
      </c>
      <c r="C706" s="137">
        <v>50.0</v>
      </c>
      <c r="D706" s="137">
        <v>42.0</v>
      </c>
      <c r="E706" s="137">
        <v>8.0</v>
      </c>
      <c r="F706" s="137">
        <v>0.0</v>
      </c>
      <c r="G706" s="137">
        <v>0.0</v>
      </c>
      <c r="H706" s="137">
        <v>0.0</v>
      </c>
      <c r="I706" s="137">
        <v>0.0</v>
      </c>
      <c r="J706" s="137">
        <v>2.0</v>
      </c>
      <c r="K706" s="137">
        <v>0.0</v>
      </c>
      <c r="L706" s="137">
        <v>0.0</v>
      </c>
      <c r="M706" s="137">
        <v>0.0</v>
      </c>
      <c r="N706" s="137">
        <v>0.0</v>
      </c>
      <c r="O706" s="137">
        <v>0.0</v>
      </c>
      <c r="P706" s="137">
        <v>2.0</v>
      </c>
      <c r="Q706" s="137">
        <v>0.0</v>
      </c>
      <c r="R706" s="137">
        <v>0.0</v>
      </c>
      <c r="S706" s="137">
        <v>0.0</v>
      </c>
      <c r="T706" s="137">
        <v>0.0</v>
      </c>
      <c r="U706" s="137">
        <v>0.0</v>
      </c>
      <c r="V706" s="137">
        <v>0.0</v>
      </c>
      <c r="W706" s="137">
        <v>0.0</v>
      </c>
      <c r="X706" s="137">
        <v>4.0</v>
      </c>
      <c r="Y706" s="137">
        <v>0.0</v>
      </c>
      <c r="Z706" s="137">
        <v>6.0</v>
      </c>
      <c r="AA706" s="137">
        <v>0.0</v>
      </c>
      <c r="AB706" s="137">
        <v>2.0</v>
      </c>
      <c r="AC706" s="137">
        <v>4.0</v>
      </c>
      <c r="AD706" s="137">
        <v>4.0</v>
      </c>
      <c r="AE706" s="137">
        <v>0.0</v>
      </c>
      <c r="AF706" s="137">
        <v>8.0</v>
      </c>
      <c r="AG706" s="137">
        <v>2.0</v>
      </c>
      <c r="AH706" s="137">
        <v>10.0</v>
      </c>
      <c r="AI706" s="137">
        <v>0.0</v>
      </c>
      <c r="AJ706" s="137">
        <v>2.0</v>
      </c>
      <c r="AK706" s="137">
        <v>0.0</v>
      </c>
      <c r="AL706" s="137">
        <v>2.0</v>
      </c>
      <c r="AM706" s="137">
        <v>2.0</v>
      </c>
      <c r="AN706" s="137">
        <v>46.0</v>
      </c>
    </row>
    <row r="707">
      <c r="A707" s="104"/>
      <c r="B707" s="136" t="s">
        <v>199</v>
      </c>
      <c r="C707" s="137">
        <v>30.0</v>
      </c>
      <c r="D707" s="137">
        <v>24.0</v>
      </c>
      <c r="E707" s="137">
        <v>6.0</v>
      </c>
      <c r="F707" s="137">
        <v>0.0</v>
      </c>
      <c r="G707" s="137">
        <v>0.0</v>
      </c>
      <c r="H707" s="137">
        <v>2.0</v>
      </c>
      <c r="I707" s="137">
        <v>0.0</v>
      </c>
      <c r="J707" s="137">
        <v>4.0</v>
      </c>
      <c r="K707" s="137">
        <v>0.0</v>
      </c>
      <c r="L707" s="137">
        <v>0.0</v>
      </c>
      <c r="M707" s="137">
        <v>0.0</v>
      </c>
      <c r="N707" s="137">
        <v>0.0</v>
      </c>
      <c r="O707" s="137">
        <v>0.0</v>
      </c>
      <c r="P707" s="137">
        <v>0.0</v>
      </c>
      <c r="Q707" s="137">
        <v>0.0</v>
      </c>
      <c r="R707" s="137">
        <v>0.0</v>
      </c>
      <c r="S707" s="137">
        <v>0.0</v>
      </c>
      <c r="T707" s="137">
        <v>0.0</v>
      </c>
      <c r="U707" s="137">
        <v>0.0</v>
      </c>
      <c r="V707" s="137">
        <v>0.0</v>
      </c>
      <c r="W707" s="137">
        <v>0.0</v>
      </c>
      <c r="X707" s="137">
        <v>0.0</v>
      </c>
      <c r="Y707" s="137">
        <v>0.0</v>
      </c>
      <c r="Z707" s="137">
        <v>2.0</v>
      </c>
      <c r="AA707" s="137">
        <v>0.0</v>
      </c>
      <c r="AB707" s="137">
        <v>4.0</v>
      </c>
      <c r="AC707" s="137">
        <v>0.0</v>
      </c>
      <c r="AD707" s="137">
        <v>4.0</v>
      </c>
      <c r="AE707" s="137">
        <v>2.0</v>
      </c>
      <c r="AF707" s="137">
        <v>2.0</v>
      </c>
      <c r="AG707" s="137">
        <v>4.0</v>
      </c>
      <c r="AH707" s="137">
        <v>4.0</v>
      </c>
      <c r="AI707" s="137">
        <v>0.0</v>
      </c>
      <c r="AJ707" s="137">
        <v>0.0</v>
      </c>
      <c r="AK707" s="137">
        <v>0.0</v>
      </c>
      <c r="AL707" s="137">
        <v>2.0</v>
      </c>
      <c r="AM707" s="137">
        <v>0.0</v>
      </c>
      <c r="AN707" s="137">
        <v>22.0</v>
      </c>
    </row>
    <row r="708">
      <c r="A708" s="132" t="s">
        <v>203</v>
      </c>
      <c r="B708" s="136" t="s">
        <v>198</v>
      </c>
      <c r="C708" s="137">
        <v>2.0</v>
      </c>
      <c r="D708" s="137">
        <v>2.0</v>
      </c>
      <c r="E708" s="137">
        <v>0.0</v>
      </c>
      <c r="F708" s="135">
        <v>0.0</v>
      </c>
      <c r="G708" s="135">
        <v>0.0</v>
      </c>
      <c r="H708" s="135">
        <v>0.0</v>
      </c>
      <c r="I708" s="135">
        <v>0.0</v>
      </c>
      <c r="J708" s="135">
        <v>0.0</v>
      </c>
      <c r="K708" s="135">
        <v>0.0</v>
      </c>
      <c r="L708" s="135">
        <v>0.0</v>
      </c>
      <c r="M708" s="135">
        <v>0.0</v>
      </c>
      <c r="N708" s="135">
        <v>0.0</v>
      </c>
      <c r="O708" s="135">
        <v>0.0</v>
      </c>
      <c r="P708" s="135">
        <v>0.0</v>
      </c>
      <c r="Q708" s="135">
        <v>0.0</v>
      </c>
      <c r="R708" s="135">
        <v>0.0</v>
      </c>
      <c r="S708" s="135">
        <v>0.0</v>
      </c>
      <c r="T708" s="135">
        <v>0.0</v>
      </c>
      <c r="U708" s="135">
        <v>0.0</v>
      </c>
      <c r="V708" s="135">
        <v>0.0</v>
      </c>
      <c r="W708" s="135">
        <v>0.0</v>
      </c>
      <c r="X708" s="135">
        <v>0.0</v>
      </c>
      <c r="Y708" s="135">
        <v>0.0</v>
      </c>
      <c r="Z708" s="135">
        <v>0.0</v>
      </c>
      <c r="AA708" s="135">
        <v>0.0</v>
      </c>
      <c r="AB708" s="135">
        <v>0.0</v>
      </c>
      <c r="AC708" s="135">
        <v>0.0</v>
      </c>
      <c r="AD708" s="135">
        <v>0.0</v>
      </c>
      <c r="AE708" s="135">
        <v>0.0</v>
      </c>
      <c r="AF708" s="137">
        <v>0.0</v>
      </c>
      <c r="AG708" s="137">
        <v>0.0</v>
      </c>
      <c r="AH708" s="137">
        <v>0.0</v>
      </c>
      <c r="AI708" s="137">
        <v>0.0</v>
      </c>
      <c r="AJ708" s="137">
        <v>0.0</v>
      </c>
      <c r="AK708" s="137">
        <v>0.0</v>
      </c>
      <c r="AL708" s="137">
        <v>2.0</v>
      </c>
      <c r="AM708" s="137">
        <v>0.0</v>
      </c>
      <c r="AN708" s="137">
        <v>2.0</v>
      </c>
    </row>
    <row r="709">
      <c r="A709" s="104"/>
      <c r="B709" s="136" t="s">
        <v>199</v>
      </c>
      <c r="C709" s="137">
        <v>190.0</v>
      </c>
      <c r="D709" s="137">
        <v>72.0</v>
      </c>
      <c r="E709" s="137">
        <v>118.0</v>
      </c>
      <c r="F709" s="135">
        <v>0.0</v>
      </c>
      <c r="G709" s="135">
        <v>0.0</v>
      </c>
      <c r="H709" s="135">
        <v>0.0</v>
      </c>
      <c r="I709" s="135">
        <v>0.0</v>
      </c>
      <c r="J709" s="135">
        <v>0.0</v>
      </c>
      <c r="K709" s="135">
        <v>0.0</v>
      </c>
      <c r="L709" s="135">
        <v>0.0</v>
      </c>
      <c r="M709" s="135">
        <v>0.0</v>
      </c>
      <c r="N709" s="135">
        <v>0.0</v>
      </c>
      <c r="O709" s="135">
        <v>0.0</v>
      </c>
      <c r="P709" s="135">
        <v>0.0</v>
      </c>
      <c r="Q709" s="135">
        <v>0.0</v>
      </c>
      <c r="R709" s="135">
        <v>0.0</v>
      </c>
      <c r="S709" s="135">
        <v>0.0</v>
      </c>
      <c r="T709" s="135">
        <v>0.0</v>
      </c>
      <c r="U709" s="135">
        <v>0.0</v>
      </c>
      <c r="V709" s="135">
        <v>0.0</v>
      </c>
      <c r="W709" s="135">
        <v>0.0</v>
      </c>
      <c r="X709" s="135">
        <v>0.0</v>
      </c>
      <c r="Y709" s="135">
        <v>0.0</v>
      </c>
      <c r="Z709" s="135">
        <v>0.0</v>
      </c>
      <c r="AA709" s="135">
        <v>0.0</v>
      </c>
      <c r="AB709" s="135">
        <v>0.0</v>
      </c>
      <c r="AC709" s="135">
        <v>0.0</v>
      </c>
      <c r="AD709" s="135">
        <v>0.0</v>
      </c>
      <c r="AE709" s="135">
        <v>0.0</v>
      </c>
      <c r="AF709" s="137">
        <v>16.0</v>
      </c>
      <c r="AG709" s="137">
        <v>36.0</v>
      </c>
      <c r="AH709" s="137">
        <v>24.0</v>
      </c>
      <c r="AI709" s="137">
        <v>38.0</v>
      </c>
      <c r="AJ709" s="137">
        <v>26.0</v>
      </c>
      <c r="AK709" s="137">
        <v>30.0</v>
      </c>
      <c r="AL709" s="137">
        <v>6.0</v>
      </c>
      <c r="AM709" s="137">
        <v>14.0</v>
      </c>
      <c r="AN709" s="137">
        <v>190.0</v>
      </c>
    </row>
    <row r="710">
      <c r="A710" s="132" t="s">
        <v>204</v>
      </c>
      <c r="B710" s="136" t="s">
        <v>198</v>
      </c>
      <c r="C710" s="137">
        <v>8.0</v>
      </c>
      <c r="D710" s="137">
        <v>2.0</v>
      </c>
      <c r="E710" s="137">
        <v>6.0</v>
      </c>
      <c r="F710" s="135">
        <v>0.0</v>
      </c>
      <c r="G710" s="135">
        <v>0.0</v>
      </c>
      <c r="H710" s="135">
        <v>0.0</v>
      </c>
      <c r="I710" s="135">
        <v>0.0</v>
      </c>
      <c r="J710" s="135">
        <v>0.0</v>
      </c>
      <c r="K710" s="135">
        <v>0.0</v>
      </c>
      <c r="L710" s="135">
        <v>0.0</v>
      </c>
      <c r="M710" s="135">
        <v>0.0</v>
      </c>
      <c r="N710" s="135">
        <v>0.0</v>
      </c>
      <c r="O710" s="135">
        <v>0.0</v>
      </c>
      <c r="P710" s="135">
        <v>0.0</v>
      </c>
      <c r="Q710" s="135">
        <v>0.0</v>
      </c>
      <c r="R710" s="135">
        <v>0.0</v>
      </c>
      <c r="S710" s="135">
        <v>0.0</v>
      </c>
      <c r="T710" s="135">
        <v>0.0</v>
      </c>
      <c r="U710" s="135">
        <v>0.0</v>
      </c>
      <c r="V710" s="135">
        <v>0.0</v>
      </c>
      <c r="W710" s="135">
        <v>0.0</v>
      </c>
      <c r="X710" s="135">
        <v>0.0</v>
      </c>
      <c r="Y710" s="135">
        <v>0.0</v>
      </c>
      <c r="Z710" s="135">
        <v>0.0</v>
      </c>
      <c r="AA710" s="135">
        <v>0.0</v>
      </c>
      <c r="AB710" s="135">
        <v>0.0</v>
      </c>
      <c r="AC710" s="135">
        <v>0.0</v>
      </c>
      <c r="AD710" s="135">
        <v>0.0</v>
      </c>
      <c r="AE710" s="135">
        <v>0.0</v>
      </c>
      <c r="AF710" s="137">
        <v>2.0</v>
      </c>
      <c r="AG710" s="137">
        <v>2.0</v>
      </c>
      <c r="AH710" s="137">
        <v>0.0</v>
      </c>
      <c r="AI710" s="137">
        <v>2.0</v>
      </c>
      <c r="AJ710" s="137">
        <v>0.0</v>
      </c>
      <c r="AK710" s="137">
        <v>2.0</v>
      </c>
      <c r="AL710" s="137">
        <v>0.0</v>
      </c>
      <c r="AM710" s="137">
        <v>0.0</v>
      </c>
      <c r="AN710" s="137">
        <v>8.0</v>
      </c>
    </row>
    <row r="711">
      <c r="A711" s="104"/>
      <c r="B711" s="136" t="s">
        <v>199</v>
      </c>
      <c r="C711" s="137">
        <v>32.0</v>
      </c>
      <c r="D711" s="137">
        <v>10.0</v>
      </c>
      <c r="E711" s="137">
        <v>22.0</v>
      </c>
      <c r="F711" s="135">
        <v>0.0</v>
      </c>
      <c r="G711" s="135">
        <v>0.0</v>
      </c>
      <c r="H711" s="135">
        <v>0.0</v>
      </c>
      <c r="I711" s="135">
        <v>0.0</v>
      </c>
      <c r="J711" s="135">
        <v>0.0</v>
      </c>
      <c r="K711" s="135">
        <v>0.0</v>
      </c>
      <c r="L711" s="135">
        <v>0.0</v>
      </c>
      <c r="M711" s="135">
        <v>0.0</v>
      </c>
      <c r="N711" s="135">
        <v>0.0</v>
      </c>
      <c r="O711" s="135">
        <v>0.0</v>
      </c>
      <c r="P711" s="135">
        <v>0.0</v>
      </c>
      <c r="Q711" s="135">
        <v>0.0</v>
      </c>
      <c r="R711" s="135">
        <v>0.0</v>
      </c>
      <c r="S711" s="135">
        <v>0.0</v>
      </c>
      <c r="T711" s="135">
        <v>0.0</v>
      </c>
      <c r="U711" s="135">
        <v>0.0</v>
      </c>
      <c r="V711" s="135">
        <v>0.0</v>
      </c>
      <c r="W711" s="135">
        <v>0.0</v>
      </c>
      <c r="X711" s="135">
        <v>0.0</v>
      </c>
      <c r="Y711" s="135">
        <v>0.0</v>
      </c>
      <c r="Z711" s="135">
        <v>0.0</v>
      </c>
      <c r="AA711" s="135">
        <v>0.0</v>
      </c>
      <c r="AB711" s="135">
        <v>0.0</v>
      </c>
      <c r="AC711" s="135">
        <v>0.0</v>
      </c>
      <c r="AD711" s="135">
        <v>0.0</v>
      </c>
      <c r="AE711" s="135">
        <v>0.0</v>
      </c>
      <c r="AF711" s="137">
        <v>2.0</v>
      </c>
      <c r="AG711" s="137">
        <v>0.0</v>
      </c>
      <c r="AH711" s="137">
        <v>2.0</v>
      </c>
      <c r="AI711" s="137">
        <v>2.0</v>
      </c>
      <c r="AJ711" s="137">
        <v>4.0</v>
      </c>
      <c r="AK711" s="137">
        <v>6.0</v>
      </c>
      <c r="AL711" s="137">
        <v>2.0</v>
      </c>
      <c r="AM711" s="137">
        <v>14.0</v>
      </c>
      <c r="AN711" s="137">
        <v>32.0</v>
      </c>
    </row>
    <row r="712">
      <c r="A712" s="132" t="s">
        <v>205</v>
      </c>
      <c r="B712" s="136" t="s">
        <v>198</v>
      </c>
      <c r="C712" s="137">
        <v>14.0</v>
      </c>
      <c r="D712" s="137">
        <v>6.0</v>
      </c>
      <c r="E712" s="137">
        <v>8.0</v>
      </c>
      <c r="F712" s="137">
        <v>0.0</v>
      </c>
      <c r="G712" s="137">
        <v>0.0</v>
      </c>
      <c r="H712" s="137">
        <v>0.0</v>
      </c>
      <c r="I712" s="137">
        <v>0.0</v>
      </c>
      <c r="J712" s="137">
        <v>0.0</v>
      </c>
      <c r="K712" s="137">
        <v>0.0</v>
      </c>
      <c r="L712" s="137">
        <v>0.0</v>
      </c>
      <c r="M712" s="137">
        <v>0.0</v>
      </c>
      <c r="N712" s="137">
        <v>0.0</v>
      </c>
      <c r="O712" s="137">
        <v>0.0</v>
      </c>
      <c r="P712" s="137">
        <v>2.0</v>
      </c>
      <c r="Q712" s="137">
        <v>8.0</v>
      </c>
      <c r="R712" s="137">
        <v>0.0</v>
      </c>
      <c r="S712" s="137">
        <v>0.0</v>
      </c>
      <c r="T712" s="137">
        <v>0.0</v>
      </c>
      <c r="U712" s="137">
        <v>0.0</v>
      </c>
      <c r="V712" s="137">
        <v>0.0</v>
      </c>
      <c r="W712" s="137">
        <v>0.0</v>
      </c>
      <c r="X712" s="137">
        <v>0.0</v>
      </c>
      <c r="Y712" s="137">
        <v>0.0</v>
      </c>
      <c r="Z712" s="137">
        <v>0.0</v>
      </c>
      <c r="AA712" s="137">
        <v>0.0</v>
      </c>
      <c r="AB712" s="137">
        <v>0.0</v>
      </c>
      <c r="AC712" s="137">
        <v>0.0</v>
      </c>
      <c r="AD712" s="137">
        <v>0.0</v>
      </c>
      <c r="AE712" s="137">
        <v>0.0</v>
      </c>
      <c r="AF712" s="137">
        <v>2.0</v>
      </c>
      <c r="AG712" s="137">
        <v>0.0</v>
      </c>
      <c r="AH712" s="137">
        <v>2.0</v>
      </c>
      <c r="AI712" s="137">
        <v>0.0</v>
      </c>
      <c r="AJ712" s="137">
        <v>0.0</v>
      </c>
      <c r="AK712" s="137">
        <v>0.0</v>
      </c>
      <c r="AL712" s="137">
        <v>0.0</v>
      </c>
      <c r="AM712" s="137">
        <v>0.0</v>
      </c>
      <c r="AN712" s="137">
        <v>6.0</v>
      </c>
    </row>
    <row r="713">
      <c r="A713" s="98"/>
      <c r="B713" s="136" t="s">
        <v>199</v>
      </c>
      <c r="C713" s="137">
        <v>0.0</v>
      </c>
      <c r="D713" s="137">
        <v>0.0</v>
      </c>
      <c r="E713" s="137">
        <v>0.0</v>
      </c>
      <c r="F713" s="137">
        <v>0.0</v>
      </c>
      <c r="G713" s="137">
        <v>0.0</v>
      </c>
      <c r="H713" s="137">
        <v>0.0</v>
      </c>
      <c r="I713" s="137">
        <v>0.0</v>
      </c>
      <c r="J713" s="137">
        <v>0.0</v>
      </c>
      <c r="K713" s="137">
        <v>0.0</v>
      </c>
      <c r="L713" s="137">
        <v>0.0</v>
      </c>
      <c r="M713" s="137">
        <v>0.0</v>
      </c>
      <c r="N713" s="137">
        <v>0.0</v>
      </c>
      <c r="O713" s="137">
        <v>0.0</v>
      </c>
      <c r="P713" s="137">
        <v>0.0</v>
      </c>
      <c r="Q713" s="137">
        <v>0.0</v>
      </c>
      <c r="R713" s="137">
        <v>0.0</v>
      </c>
      <c r="S713" s="137">
        <v>0.0</v>
      </c>
      <c r="T713" s="137">
        <v>0.0</v>
      </c>
      <c r="U713" s="137">
        <v>0.0</v>
      </c>
      <c r="V713" s="137">
        <v>0.0</v>
      </c>
      <c r="W713" s="137">
        <v>0.0</v>
      </c>
      <c r="X713" s="137">
        <v>0.0</v>
      </c>
      <c r="Y713" s="137">
        <v>0.0</v>
      </c>
      <c r="Z713" s="137">
        <v>0.0</v>
      </c>
      <c r="AA713" s="137">
        <v>0.0</v>
      </c>
      <c r="AB713" s="137">
        <v>0.0</v>
      </c>
      <c r="AC713" s="137">
        <v>0.0</v>
      </c>
      <c r="AD713" s="137">
        <v>0.0</v>
      </c>
      <c r="AE713" s="137">
        <v>0.0</v>
      </c>
      <c r="AF713" s="137">
        <v>0.0</v>
      </c>
      <c r="AG713" s="137">
        <v>0.0</v>
      </c>
      <c r="AH713" s="137">
        <v>0.0</v>
      </c>
      <c r="AI713" s="137">
        <v>0.0</v>
      </c>
      <c r="AJ713" s="137">
        <v>0.0</v>
      </c>
      <c r="AK713" s="137">
        <v>0.0</v>
      </c>
      <c r="AL713" s="137">
        <v>0.0</v>
      </c>
      <c r="AM713" s="137">
        <v>0.0</v>
      </c>
      <c r="AN713" s="137">
        <v>0.0</v>
      </c>
    </row>
    <row r="714">
      <c r="A714" s="104"/>
      <c r="B714" s="136" t="s">
        <v>206</v>
      </c>
      <c r="C714" s="137">
        <v>36.0</v>
      </c>
      <c r="D714" s="137">
        <v>20.0</v>
      </c>
      <c r="E714" s="137">
        <v>16.0</v>
      </c>
      <c r="F714" s="137">
        <v>0.0</v>
      </c>
      <c r="G714" s="137">
        <v>0.0</v>
      </c>
      <c r="H714" s="137">
        <v>0.0</v>
      </c>
      <c r="I714" s="137">
        <v>0.0</v>
      </c>
      <c r="J714" s="137">
        <v>0.0</v>
      </c>
      <c r="K714" s="137">
        <v>0.0</v>
      </c>
      <c r="L714" s="137">
        <v>0.0</v>
      </c>
      <c r="M714" s="137">
        <v>2.0</v>
      </c>
      <c r="N714" s="137">
        <v>8.0</v>
      </c>
      <c r="O714" s="137">
        <v>0.0</v>
      </c>
      <c r="P714" s="137">
        <v>4.0</v>
      </c>
      <c r="Q714" s="137">
        <v>6.0</v>
      </c>
      <c r="R714" s="137">
        <v>6.0</v>
      </c>
      <c r="S714" s="137">
        <v>0.0</v>
      </c>
      <c r="T714" s="137">
        <v>0.0</v>
      </c>
      <c r="U714" s="137">
        <v>4.0</v>
      </c>
      <c r="V714" s="137">
        <v>0.0</v>
      </c>
      <c r="W714" s="137">
        <v>0.0</v>
      </c>
      <c r="X714" s="137">
        <v>0.0</v>
      </c>
      <c r="Y714" s="137">
        <v>0.0</v>
      </c>
      <c r="Z714" s="137">
        <v>0.0</v>
      </c>
      <c r="AA714" s="137">
        <v>0.0</v>
      </c>
      <c r="AB714" s="137">
        <v>0.0</v>
      </c>
      <c r="AC714" s="137">
        <v>4.0</v>
      </c>
      <c r="AD714" s="137">
        <v>0.0</v>
      </c>
      <c r="AE714" s="137">
        <v>0.0</v>
      </c>
      <c r="AF714" s="137">
        <v>2.0</v>
      </c>
      <c r="AG714" s="137">
        <v>0.0</v>
      </c>
      <c r="AH714" s="137">
        <v>0.0</v>
      </c>
      <c r="AI714" s="137">
        <v>0.0</v>
      </c>
      <c r="AJ714" s="137">
        <v>0.0</v>
      </c>
      <c r="AK714" s="137">
        <v>0.0</v>
      </c>
      <c r="AL714" s="137">
        <v>0.0</v>
      </c>
      <c r="AM714" s="137">
        <v>0.0</v>
      </c>
      <c r="AN714" s="137">
        <v>36.0</v>
      </c>
    </row>
    <row r="715">
      <c r="A715" s="132" t="s">
        <v>207</v>
      </c>
      <c r="B715" s="136" t="s">
        <v>198</v>
      </c>
      <c r="C715" s="134">
        <v>4156.0</v>
      </c>
      <c r="D715" s="137">
        <v>818.0</v>
      </c>
      <c r="E715" s="134">
        <v>3338.0</v>
      </c>
      <c r="F715" s="137">
        <v>26.0</v>
      </c>
      <c r="G715" s="137">
        <v>22.0</v>
      </c>
      <c r="H715" s="137">
        <v>16.0</v>
      </c>
      <c r="I715" s="137">
        <v>24.0</v>
      </c>
      <c r="J715" s="137">
        <v>14.0</v>
      </c>
      <c r="K715" s="137">
        <v>12.0</v>
      </c>
      <c r="L715" s="137">
        <v>14.0</v>
      </c>
      <c r="M715" s="137">
        <v>10.0</v>
      </c>
      <c r="N715" s="137">
        <v>46.0</v>
      </c>
      <c r="O715" s="137">
        <v>82.0</v>
      </c>
      <c r="P715" s="137">
        <v>54.0</v>
      </c>
      <c r="Q715" s="137">
        <v>140.0</v>
      </c>
      <c r="R715" s="137">
        <v>22.0</v>
      </c>
      <c r="S715" s="137">
        <v>188.0</v>
      </c>
      <c r="T715" s="137">
        <v>32.0</v>
      </c>
      <c r="U715" s="137">
        <v>168.0</v>
      </c>
      <c r="V715" s="137">
        <v>56.0</v>
      </c>
      <c r="W715" s="137">
        <v>258.0</v>
      </c>
      <c r="X715" s="137">
        <v>32.0</v>
      </c>
      <c r="Y715" s="137">
        <v>262.0</v>
      </c>
      <c r="Z715" s="137">
        <v>86.0</v>
      </c>
      <c r="AA715" s="137">
        <v>384.0</v>
      </c>
      <c r="AB715" s="137">
        <v>74.0</v>
      </c>
      <c r="AC715" s="137">
        <v>438.0</v>
      </c>
      <c r="AD715" s="137">
        <v>82.0</v>
      </c>
      <c r="AE715" s="137">
        <v>392.0</v>
      </c>
      <c r="AF715" s="137">
        <v>40.0</v>
      </c>
      <c r="AG715" s="137">
        <v>336.0</v>
      </c>
      <c r="AH715" s="137">
        <v>80.0</v>
      </c>
      <c r="AI715" s="137">
        <v>246.0</v>
      </c>
      <c r="AJ715" s="137">
        <v>78.0</v>
      </c>
      <c r="AK715" s="137">
        <v>190.0</v>
      </c>
      <c r="AL715" s="137">
        <v>66.0</v>
      </c>
      <c r="AM715" s="137">
        <v>186.0</v>
      </c>
      <c r="AN715" s="134">
        <v>4006.0</v>
      </c>
    </row>
    <row r="716">
      <c r="A716" s="98"/>
      <c r="B716" s="136" t="s">
        <v>199</v>
      </c>
      <c r="C716" s="137">
        <v>148.0</v>
      </c>
      <c r="D716" s="137">
        <v>56.0</v>
      </c>
      <c r="E716" s="137">
        <v>92.0</v>
      </c>
      <c r="F716" s="137">
        <v>12.0</v>
      </c>
      <c r="G716" s="137">
        <v>0.0</v>
      </c>
      <c r="H716" s="137">
        <v>0.0</v>
      </c>
      <c r="I716" s="137">
        <v>0.0</v>
      </c>
      <c r="J716" s="137">
        <v>0.0</v>
      </c>
      <c r="K716" s="137">
        <v>0.0</v>
      </c>
      <c r="L716" s="137">
        <v>0.0</v>
      </c>
      <c r="M716" s="137">
        <v>0.0</v>
      </c>
      <c r="N716" s="137">
        <v>0.0</v>
      </c>
      <c r="O716" s="137">
        <v>0.0</v>
      </c>
      <c r="P716" s="137">
        <v>0.0</v>
      </c>
      <c r="Q716" s="137">
        <v>0.0</v>
      </c>
      <c r="R716" s="137">
        <v>0.0</v>
      </c>
      <c r="S716" s="137">
        <v>0.0</v>
      </c>
      <c r="T716" s="137">
        <v>2.0</v>
      </c>
      <c r="U716" s="137">
        <v>0.0</v>
      </c>
      <c r="V716" s="137">
        <v>0.0</v>
      </c>
      <c r="W716" s="137">
        <v>0.0</v>
      </c>
      <c r="X716" s="137">
        <v>0.0</v>
      </c>
      <c r="Y716" s="137">
        <v>0.0</v>
      </c>
      <c r="Z716" s="137">
        <v>0.0</v>
      </c>
      <c r="AA716" s="137">
        <v>6.0</v>
      </c>
      <c r="AB716" s="137">
        <v>4.0</v>
      </c>
      <c r="AC716" s="137">
        <v>6.0</v>
      </c>
      <c r="AD716" s="137">
        <v>6.0</v>
      </c>
      <c r="AE716" s="137">
        <v>12.0</v>
      </c>
      <c r="AF716" s="137">
        <v>8.0</v>
      </c>
      <c r="AG716" s="137">
        <v>18.0</v>
      </c>
      <c r="AH716" s="137">
        <v>8.0</v>
      </c>
      <c r="AI716" s="137">
        <v>24.0</v>
      </c>
      <c r="AJ716" s="137">
        <v>6.0</v>
      </c>
      <c r="AK716" s="137">
        <v>6.0</v>
      </c>
      <c r="AL716" s="137">
        <v>10.0</v>
      </c>
      <c r="AM716" s="137">
        <v>20.0</v>
      </c>
      <c r="AN716" s="137">
        <v>146.0</v>
      </c>
    </row>
    <row r="717">
      <c r="A717" s="98"/>
      <c r="B717" s="136" t="s">
        <v>206</v>
      </c>
      <c r="C717" s="137">
        <v>32.0</v>
      </c>
      <c r="D717" s="137">
        <v>0.0</v>
      </c>
      <c r="E717" s="137">
        <v>32.0</v>
      </c>
      <c r="F717" s="137">
        <v>0.0</v>
      </c>
      <c r="G717" s="137">
        <v>0.0</v>
      </c>
      <c r="H717" s="137">
        <v>0.0</v>
      </c>
      <c r="I717" s="137">
        <v>0.0</v>
      </c>
      <c r="J717" s="137">
        <v>0.0</v>
      </c>
      <c r="K717" s="137">
        <v>0.0</v>
      </c>
      <c r="L717" s="137">
        <v>0.0</v>
      </c>
      <c r="M717" s="137">
        <v>0.0</v>
      </c>
      <c r="N717" s="137">
        <v>0.0</v>
      </c>
      <c r="O717" s="137">
        <v>0.0</v>
      </c>
      <c r="P717" s="137">
        <v>0.0</v>
      </c>
      <c r="Q717" s="137">
        <v>0.0</v>
      </c>
      <c r="R717" s="137">
        <v>0.0</v>
      </c>
      <c r="S717" s="137">
        <v>6.0</v>
      </c>
      <c r="T717" s="137">
        <v>0.0</v>
      </c>
      <c r="U717" s="137">
        <v>8.0</v>
      </c>
      <c r="V717" s="137">
        <v>0.0</v>
      </c>
      <c r="W717" s="137">
        <v>14.0</v>
      </c>
      <c r="X717" s="137">
        <v>0.0</v>
      </c>
      <c r="Y717" s="137">
        <v>2.0</v>
      </c>
      <c r="Z717" s="137">
        <v>0.0</v>
      </c>
      <c r="AA717" s="137">
        <v>0.0</v>
      </c>
      <c r="AB717" s="137">
        <v>0.0</v>
      </c>
      <c r="AC717" s="137">
        <v>2.0</v>
      </c>
      <c r="AD717" s="137">
        <v>0.0</v>
      </c>
      <c r="AE717" s="137">
        <v>0.0</v>
      </c>
      <c r="AF717" s="137">
        <v>0.0</v>
      </c>
      <c r="AG717" s="137">
        <v>0.0</v>
      </c>
      <c r="AH717" s="137">
        <v>0.0</v>
      </c>
      <c r="AI717" s="137">
        <v>0.0</v>
      </c>
      <c r="AJ717" s="137">
        <v>0.0</v>
      </c>
      <c r="AK717" s="137">
        <v>0.0</v>
      </c>
      <c r="AL717" s="137">
        <v>0.0</v>
      </c>
      <c r="AM717" s="137">
        <v>0.0</v>
      </c>
      <c r="AN717" s="137">
        <v>30.0</v>
      </c>
    </row>
    <row r="718">
      <c r="A718" s="98"/>
      <c r="B718" s="136" t="s">
        <v>200</v>
      </c>
      <c r="C718" s="137">
        <v>182.0</v>
      </c>
      <c r="D718" s="137">
        <v>58.0</v>
      </c>
      <c r="E718" s="137">
        <v>124.0</v>
      </c>
      <c r="F718" s="137">
        <v>10.0</v>
      </c>
      <c r="G718" s="137">
        <v>34.0</v>
      </c>
      <c r="H718" s="137">
        <v>2.0</v>
      </c>
      <c r="I718" s="137">
        <v>16.0</v>
      </c>
      <c r="J718" s="137">
        <v>0.0</v>
      </c>
      <c r="K718" s="137">
        <v>6.0</v>
      </c>
      <c r="L718" s="137">
        <v>0.0</v>
      </c>
      <c r="M718" s="137">
        <v>4.0</v>
      </c>
      <c r="N718" s="137">
        <v>0.0</v>
      </c>
      <c r="O718" s="137">
        <v>8.0</v>
      </c>
      <c r="P718" s="137">
        <v>0.0</v>
      </c>
      <c r="Q718" s="137">
        <v>2.0</v>
      </c>
      <c r="R718" s="137">
        <v>0.0</v>
      </c>
      <c r="S718" s="137">
        <v>6.0</v>
      </c>
      <c r="T718" s="137">
        <v>0.0</v>
      </c>
      <c r="U718" s="137">
        <v>2.0</v>
      </c>
      <c r="V718" s="137">
        <v>2.0</v>
      </c>
      <c r="W718" s="137">
        <v>2.0</v>
      </c>
      <c r="X718" s="137">
        <v>28.0</v>
      </c>
      <c r="Y718" s="137">
        <v>24.0</v>
      </c>
      <c r="Z718" s="137">
        <v>0.0</v>
      </c>
      <c r="AA718" s="137">
        <v>2.0</v>
      </c>
      <c r="AB718" s="137">
        <v>0.0</v>
      </c>
      <c r="AC718" s="137">
        <v>4.0</v>
      </c>
      <c r="AD718" s="137">
        <v>14.0</v>
      </c>
      <c r="AE718" s="137">
        <v>12.0</v>
      </c>
      <c r="AF718" s="137">
        <v>2.0</v>
      </c>
      <c r="AG718" s="137">
        <v>2.0</v>
      </c>
      <c r="AH718" s="137">
        <v>0.0</v>
      </c>
      <c r="AI718" s="137">
        <v>0.0</v>
      </c>
      <c r="AJ718" s="137">
        <v>0.0</v>
      </c>
      <c r="AK718" s="137">
        <v>0.0</v>
      </c>
      <c r="AL718" s="137">
        <v>0.0</v>
      </c>
      <c r="AM718" s="137">
        <v>0.0</v>
      </c>
      <c r="AN718" s="137">
        <v>182.0</v>
      </c>
    </row>
    <row r="719">
      <c r="A719" s="104"/>
      <c r="B719" s="136" t="s">
        <v>201</v>
      </c>
      <c r="C719" s="134">
        <v>1252.0</v>
      </c>
      <c r="D719" s="137">
        <v>504.0</v>
      </c>
      <c r="E719" s="137">
        <v>748.0</v>
      </c>
      <c r="F719" s="137">
        <v>4.0</v>
      </c>
      <c r="G719" s="137">
        <v>0.0</v>
      </c>
      <c r="H719" s="137">
        <v>2.0</v>
      </c>
      <c r="I719" s="137">
        <v>16.0</v>
      </c>
      <c r="J719" s="137">
        <v>6.0</v>
      </c>
      <c r="K719" s="137">
        <v>0.0</v>
      </c>
      <c r="L719" s="137">
        <v>12.0</v>
      </c>
      <c r="M719" s="137">
        <v>26.0</v>
      </c>
      <c r="N719" s="137">
        <v>18.0</v>
      </c>
      <c r="O719" s="137">
        <v>12.0</v>
      </c>
      <c r="P719" s="137">
        <v>26.0</v>
      </c>
      <c r="Q719" s="137">
        <v>24.0</v>
      </c>
      <c r="R719" s="137">
        <v>20.0</v>
      </c>
      <c r="S719" s="137">
        <v>16.0</v>
      </c>
      <c r="T719" s="137">
        <v>12.0</v>
      </c>
      <c r="U719" s="137">
        <v>18.0</v>
      </c>
      <c r="V719" s="137">
        <v>20.0</v>
      </c>
      <c r="W719" s="137">
        <v>36.0</v>
      </c>
      <c r="X719" s="137">
        <v>16.0</v>
      </c>
      <c r="Y719" s="137">
        <v>46.0</v>
      </c>
      <c r="Z719" s="137">
        <v>26.0</v>
      </c>
      <c r="AA719" s="137">
        <v>58.0</v>
      </c>
      <c r="AB719" s="137">
        <v>44.0</v>
      </c>
      <c r="AC719" s="137">
        <v>100.0</v>
      </c>
      <c r="AD719" s="137">
        <v>66.0</v>
      </c>
      <c r="AE719" s="137">
        <v>52.0</v>
      </c>
      <c r="AF719" s="137">
        <v>60.0</v>
      </c>
      <c r="AG719" s="137">
        <v>144.0</v>
      </c>
      <c r="AH719" s="137">
        <v>72.0</v>
      </c>
      <c r="AI719" s="137">
        <v>100.0</v>
      </c>
      <c r="AJ719" s="137">
        <v>62.0</v>
      </c>
      <c r="AK719" s="137">
        <v>74.0</v>
      </c>
      <c r="AL719" s="137">
        <v>38.0</v>
      </c>
      <c r="AM719" s="137">
        <v>26.0</v>
      </c>
      <c r="AN719" s="134">
        <v>1244.0</v>
      </c>
    </row>
    <row r="720">
      <c r="A720" s="132" t="s">
        <v>208</v>
      </c>
      <c r="B720" s="136" t="s">
        <v>198</v>
      </c>
      <c r="C720" s="137">
        <v>178.0</v>
      </c>
      <c r="D720" s="137">
        <v>126.0</v>
      </c>
      <c r="E720" s="137">
        <v>52.0</v>
      </c>
      <c r="F720" s="137">
        <v>124.0</v>
      </c>
      <c r="G720" s="137">
        <v>50.0</v>
      </c>
      <c r="H720" s="137">
        <v>2.0</v>
      </c>
      <c r="I720" s="137">
        <v>2.0</v>
      </c>
      <c r="J720" s="137">
        <v>0.0</v>
      </c>
      <c r="K720" s="137">
        <v>0.0</v>
      </c>
      <c r="L720" s="137">
        <v>0.0</v>
      </c>
      <c r="M720" s="137">
        <v>0.0</v>
      </c>
      <c r="N720" s="137">
        <v>0.0</v>
      </c>
      <c r="O720" s="137">
        <v>0.0</v>
      </c>
      <c r="P720" s="135">
        <v>0.0</v>
      </c>
      <c r="Q720" s="135">
        <v>0.0</v>
      </c>
      <c r="R720" s="135">
        <v>0.0</v>
      </c>
      <c r="S720" s="135">
        <v>0.0</v>
      </c>
      <c r="T720" s="135">
        <v>0.0</v>
      </c>
      <c r="U720" s="135">
        <v>0.0</v>
      </c>
      <c r="V720" s="135">
        <v>0.0</v>
      </c>
      <c r="W720" s="135">
        <v>0.0</v>
      </c>
      <c r="X720" s="135">
        <v>0.0</v>
      </c>
      <c r="Y720" s="135">
        <v>0.0</v>
      </c>
      <c r="Z720" s="135">
        <v>0.0</v>
      </c>
      <c r="AA720" s="135">
        <v>0.0</v>
      </c>
      <c r="AB720" s="135">
        <v>0.0</v>
      </c>
      <c r="AC720" s="135">
        <v>0.0</v>
      </c>
      <c r="AD720" s="135">
        <v>0.0</v>
      </c>
      <c r="AE720" s="135">
        <v>0.0</v>
      </c>
      <c r="AF720" s="135">
        <v>0.0</v>
      </c>
      <c r="AG720" s="135">
        <v>0.0</v>
      </c>
      <c r="AH720" s="135">
        <v>0.0</v>
      </c>
      <c r="AI720" s="135">
        <v>0.0</v>
      </c>
      <c r="AJ720" s="135">
        <v>0.0</v>
      </c>
      <c r="AK720" s="135">
        <v>0.0</v>
      </c>
      <c r="AL720" s="135">
        <v>0.0</v>
      </c>
      <c r="AM720" s="135">
        <v>0.0</v>
      </c>
      <c r="AN720" s="137">
        <v>172.0</v>
      </c>
    </row>
    <row r="721">
      <c r="A721" s="98"/>
      <c r="B721" s="136" t="s">
        <v>199</v>
      </c>
      <c r="C721" s="137">
        <v>10.0</v>
      </c>
      <c r="D721" s="137">
        <v>4.0</v>
      </c>
      <c r="E721" s="137">
        <v>6.0</v>
      </c>
      <c r="F721" s="137">
        <v>4.0</v>
      </c>
      <c r="G721" s="137">
        <v>6.0</v>
      </c>
      <c r="H721" s="137">
        <v>0.0</v>
      </c>
      <c r="I721" s="137">
        <v>0.0</v>
      </c>
      <c r="J721" s="137">
        <v>0.0</v>
      </c>
      <c r="K721" s="137">
        <v>0.0</v>
      </c>
      <c r="L721" s="137">
        <v>0.0</v>
      </c>
      <c r="M721" s="137">
        <v>0.0</v>
      </c>
      <c r="N721" s="137">
        <v>0.0</v>
      </c>
      <c r="O721" s="137">
        <v>0.0</v>
      </c>
      <c r="P721" s="135">
        <v>0.0</v>
      </c>
      <c r="Q721" s="135">
        <v>0.0</v>
      </c>
      <c r="R721" s="135">
        <v>0.0</v>
      </c>
      <c r="S721" s="135">
        <v>0.0</v>
      </c>
      <c r="T721" s="135">
        <v>0.0</v>
      </c>
      <c r="U721" s="135">
        <v>0.0</v>
      </c>
      <c r="V721" s="135">
        <v>0.0</v>
      </c>
      <c r="W721" s="135">
        <v>0.0</v>
      </c>
      <c r="X721" s="135">
        <v>0.0</v>
      </c>
      <c r="Y721" s="135">
        <v>0.0</v>
      </c>
      <c r="Z721" s="135">
        <v>0.0</v>
      </c>
      <c r="AA721" s="135">
        <v>0.0</v>
      </c>
      <c r="AB721" s="135">
        <v>0.0</v>
      </c>
      <c r="AC721" s="135">
        <v>0.0</v>
      </c>
      <c r="AD721" s="135">
        <v>0.0</v>
      </c>
      <c r="AE721" s="135">
        <v>0.0</v>
      </c>
      <c r="AF721" s="135">
        <v>0.0</v>
      </c>
      <c r="AG721" s="135">
        <v>0.0</v>
      </c>
      <c r="AH721" s="135">
        <v>0.0</v>
      </c>
      <c r="AI721" s="135">
        <v>0.0</v>
      </c>
      <c r="AJ721" s="135">
        <v>0.0</v>
      </c>
      <c r="AK721" s="135">
        <v>0.0</v>
      </c>
      <c r="AL721" s="135">
        <v>0.0</v>
      </c>
      <c r="AM721" s="135">
        <v>0.0</v>
      </c>
      <c r="AN721" s="137">
        <v>0.0</v>
      </c>
    </row>
    <row r="722">
      <c r="A722" s="98"/>
      <c r="B722" s="136" t="s">
        <v>206</v>
      </c>
      <c r="C722" s="137">
        <v>0.0</v>
      </c>
      <c r="D722" s="137">
        <v>0.0</v>
      </c>
      <c r="E722" s="137">
        <v>0.0</v>
      </c>
      <c r="F722" s="137">
        <v>0.0</v>
      </c>
      <c r="G722" s="137">
        <v>0.0</v>
      </c>
      <c r="H722" s="137">
        <v>0.0</v>
      </c>
      <c r="I722" s="137">
        <v>0.0</v>
      </c>
      <c r="J722" s="137">
        <v>0.0</v>
      </c>
      <c r="K722" s="137">
        <v>0.0</v>
      </c>
      <c r="L722" s="137">
        <v>0.0</v>
      </c>
      <c r="M722" s="137">
        <v>0.0</v>
      </c>
      <c r="N722" s="137">
        <v>0.0</v>
      </c>
      <c r="O722" s="137">
        <v>0.0</v>
      </c>
      <c r="P722" s="135">
        <v>0.0</v>
      </c>
      <c r="Q722" s="135">
        <v>0.0</v>
      </c>
      <c r="R722" s="135">
        <v>0.0</v>
      </c>
      <c r="S722" s="135">
        <v>0.0</v>
      </c>
      <c r="T722" s="135">
        <v>0.0</v>
      </c>
      <c r="U722" s="135">
        <v>0.0</v>
      </c>
      <c r="V722" s="135">
        <v>0.0</v>
      </c>
      <c r="W722" s="135">
        <v>0.0</v>
      </c>
      <c r="X722" s="135">
        <v>0.0</v>
      </c>
      <c r="Y722" s="135">
        <v>0.0</v>
      </c>
      <c r="Z722" s="135">
        <v>0.0</v>
      </c>
      <c r="AA722" s="135">
        <v>0.0</v>
      </c>
      <c r="AB722" s="135">
        <v>0.0</v>
      </c>
      <c r="AC722" s="135">
        <v>0.0</v>
      </c>
      <c r="AD722" s="135">
        <v>0.0</v>
      </c>
      <c r="AE722" s="135">
        <v>0.0</v>
      </c>
      <c r="AF722" s="135">
        <v>0.0</v>
      </c>
      <c r="AG722" s="135">
        <v>0.0</v>
      </c>
      <c r="AH722" s="135">
        <v>0.0</v>
      </c>
      <c r="AI722" s="135">
        <v>0.0</v>
      </c>
      <c r="AJ722" s="135">
        <v>0.0</v>
      </c>
      <c r="AK722" s="135">
        <v>0.0</v>
      </c>
      <c r="AL722" s="135">
        <v>0.0</v>
      </c>
      <c r="AM722" s="135">
        <v>0.0</v>
      </c>
      <c r="AN722" s="137">
        <v>0.0</v>
      </c>
    </row>
    <row r="723">
      <c r="A723" s="98"/>
      <c r="B723" s="136" t="s">
        <v>200</v>
      </c>
      <c r="C723" s="137">
        <v>16.0</v>
      </c>
      <c r="D723" s="137">
        <v>10.0</v>
      </c>
      <c r="E723" s="137">
        <v>6.0</v>
      </c>
      <c r="F723" s="137">
        <v>10.0</v>
      </c>
      <c r="G723" s="137">
        <v>6.0</v>
      </c>
      <c r="H723" s="137">
        <v>0.0</v>
      </c>
      <c r="I723" s="137">
        <v>0.0</v>
      </c>
      <c r="J723" s="137">
        <v>0.0</v>
      </c>
      <c r="K723" s="137">
        <v>0.0</v>
      </c>
      <c r="L723" s="137">
        <v>0.0</v>
      </c>
      <c r="M723" s="137">
        <v>0.0</v>
      </c>
      <c r="N723" s="137">
        <v>0.0</v>
      </c>
      <c r="O723" s="137">
        <v>0.0</v>
      </c>
      <c r="P723" s="135">
        <v>0.0</v>
      </c>
      <c r="Q723" s="135">
        <v>0.0</v>
      </c>
      <c r="R723" s="135">
        <v>0.0</v>
      </c>
      <c r="S723" s="135">
        <v>0.0</v>
      </c>
      <c r="T723" s="135">
        <v>0.0</v>
      </c>
      <c r="U723" s="135">
        <v>0.0</v>
      </c>
      <c r="V723" s="135">
        <v>0.0</v>
      </c>
      <c r="W723" s="135">
        <v>0.0</v>
      </c>
      <c r="X723" s="135">
        <v>0.0</v>
      </c>
      <c r="Y723" s="135">
        <v>0.0</v>
      </c>
      <c r="Z723" s="135">
        <v>0.0</v>
      </c>
      <c r="AA723" s="135">
        <v>0.0</v>
      </c>
      <c r="AB723" s="135">
        <v>0.0</v>
      </c>
      <c r="AC723" s="135">
        <v>0.0</v>
      </c>
      <c r="AD723" s="135">
        <v>0.0</v>
      </c>
      <c r="AE723" s="135">
        <v>0.0</v>
      </c>
      <c r="AF723" s="135">
        <v>0.0</v>
      </c>
      <c r="AG723" s="135">
        <v>0.0</v>
      </c>
      <c r="AH723" s="135">
        <v>0.0</v>
      </c>
      <c r="AI723" s="135">
        <v>0.0</v>
      </c>
      <c r="AJ723" s="135">
        <v>0.0</v>
      </c>
      <c r="AK723" s="135">
        <v>0.0</v>
      </c>
      <c r="AL723" s="135">
        <v>0.0</v>
      </c>
      <c r="AM723" s="135">
        <v>0.0</v>
      </c>
      <c r="AN723" s="137">
        <v>8.0</v>
      </c>
    </row>
    <row r="724">
      <c r="A724" s="104"/>
      <c r="B724" s="136" t="s">
        <v>201</v>
      </c>
      <c r="C724" s="137">
        <v>0.0</v>
      </c>
      <c r="D724" s="137">
        <v>0.0</v>
      </c>
      <c r="E724" s="137">
        <v>0.0</v>
      </c>
      <c r="F724" s="137">
        <v>0.0</v>
      </c>
      <c r="G724" s="137">
        <v>0.0</v>
      </c>
      <c r="H724" s="137">
        <v>0.0</v>
      </c>
      <c r="I724" s="137">
        <v>0.0</v>
      </c>
      <c r="J724" s="137">
        <v>0.0</v>
      </c>
      <c r="K724" s="137">
        <v>0.0</v>
      </c>
      <c r="L724" s="137">
        <v>0.0</v>
      </c>
      <c r="M724" s="137">
        <v>0.0</v>
      </c>
      <c r="N724" s="137">
        <v>0.0</v>
      </c>
      <c r="O724" s="137">
        <v>0.0</v>
      </c>
      <c r="P724" s="135">
        <v>0.0</v>
      </c>
      <c r="Q724" s="135">
        <v>0.0</v>
      </c>
      <c r="R724" s="135">
        <v>0.0</v>
      </c>
      <c r="S724" s="135">
        <v>0.0</v>
      </c>
      <c r="T724" s="135">
        <v>0.0</v>
      </c>
      <c r="U724" s="135">
        <v>0.0</v>
      </c>
      <c r="V724" s="135">
        <v>0.0</v>
      </c>
      <c r="W724" s="135">
        <v>0.0</v>
      </c>
      <c r="X724" s="135">
        <v>0.0</v>
      </c>
      <c r="Y724" s="135">
        <v>0.0</v>
      </c>
      <c r="Z724" s="135">
        <v>0.0</v>
      </c>
      <c r="AA724" s="135">
        <v>0.0</v>
      </c>
      <c r="AB724" s="135">
        <v>0.0</v>
      </c>
      <c r="AC724" s="135">
        <v>0.0</v>
      </c>
      <c r="AD724" s="135">
        <v>0.0</v>
      </c>
      <c r="AE724" s="135">
        <v>0.0</v>
      </c>
      <c r="AF724" s="135">
        <v>0.0</v>
      </c>
      <c r="AG724" s="135">
        <v>0.0</v>
      </c>
      <c r="AH724" s="135">
        <v>0.0</v>
      </c>
      <c r="AI724" s="135">
        <v>0.0</v>
      </c>
      <c r="AJ724" s="135">
        <v>0.0</v>
      </c>
      <c r="AK724" s="135">
        <v>0.0</v>
      </c>
      <c r="AL724" s="135">
        <v>0.0</v>
      </c>
      <c r="AM724" s="135">
        <v>0.0</v>
      </c>
      <c r="AN724" s="137">
        <v>0.0</v>
      </c>
    </row>
  </sheetData>
  <mergeCells count="263"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29:AN29"/>
    <mergeCell ref="A53:AN53"/>
    <mergeCell ref="A77:AN77"/>
    <mergeCell ref="A101:AN101"/>
    <mergeCell ref="A125:AN125"/>
    <mergeCell ref="A96:A100"/>
    <mergeCell ref="A102:A105"/>
    <mergeCell ref="A106:A107"/>
    <mergeCell ref="A108:A109"/>
    <mergeCell ref="A110:A111"/>
    <mergeCell ref="A112:A114"/>
    <mergeCell ref="A115:A119"/>
    <mergeCell ref="A120:A124"/>
    <mergeCell ref="A126:A129"/>
    <mergeCell ref="A130:A131"/>
    <mergeCell ref="A132:A133"/>
    <mergeCell ref="A134:A135"/>
    <mergeCell ref="A136:A138"/>
    <mergeCell ref="A139:A143"/>
    <mergeCell ref="A150:A153"/>
    <mergeCell ref="A154:A155"/>
    <mergeCell ref="A156:A157"/>
    <mergeCell ref="A158:A159"/>
    <mergeCell ref="A160:A162"/>
    <mergeCell ref="A163:A167"/>
    <mergeCell ref="A168:A172"/>
    <mergeCell ref="A174:A177"/>
    <mergeCell ref="A178:A179"/>
    <mergeCell ref="A180:A181"/>
    <mergeCell ref="A182:A183"/>
    <mergeCell ref="A184:A186"/>
    <mergeCell ref="A187:A191"/>
    <mergeCell ref="A192:A196"/>
    <mergeCell ref="A198:A201"/>
    <mergeCell ref="A202:A203"/>
    <mergeCell ref="A204:A205"/>
    <mergeCell ref="A206:A207"/>
    <mergeCell ref="A208:A210"/>
    <mergeCell ref="A211:A215"/>
    <mergeCell ref="A216:A220"/>
    <mergeCell ref="A222:A225"/>
    <mergeCell ref="A226:A227"/>
    <mergeCell ref="A228:A229"/>
    <mergeCell ref="A230:A231"/>
    <mergeCell ref="A232:A234"/>
    <mergeCell ref="A235:A239"/>
    <mergeCell ref="A240:A244"/>
    <mergeCell ref="A246:A249"/>
    <mergeCell ref="A250:A251"/>
    <mergeCell ref="A252:A253"/>
    <mergeCell ref="A254:A255"/>
    <mergeCell ref="A256:A258"/>
    <mergeCell ref="A259:A263"/>
    <mergeCell ref="A264:A268"/>
    <mergeCell ref="A270:A273"/>
    <mergeCell ref="A274:A275"/>
    <mergeCell ref="A276:A277"/>
    <mergeCell ref="A278:A279"/>
    <mergeCell ref="A280:A282"/>
    <mergeCell ref="A283:A287"/>
    <mergeCell ref="A288:A292"/>
    <mergeCell ref="A293:AN293"/>
    <mergeCell ref="A317:AN317"/>
    <mergeCell ref="A341:AN341"/>
    <mergeCell ref="A365:AN365"/>
    <mergeCell ref="A389:AN389"/>
    <mergeCell ref="A413:AN413"/>
    <mergeCell ref="A437:AN437"/>
    <mergeCell ref="A629:AN629"/>
    <mergeCell ref="A653:AN653"/>
    <mergeCell ref="A677:AN677"/>
    <mergeCell ref="A701:AN701"/>
    <mergeCell ref="A461:AN461"/>
    <mergeCell ref="A485:AN485"/>
    <mergeCell ref="A509:AN509"/>
    <mergeCell ref="A533:AN533"/>
    <mergeCell ref="A557:AN557"/>
    <mergeCell ref="A581:AN581"/>
    <mergeCell ref="A605:AN605"/>
    <mergeCell ref="AJ3:AK3"/>
    <mergeCell ref="AL3:AM3"/>
    <mergeCell ref="A2:A4"/>
    <mergeCell ref="A6:A9"/>
    <mergeCell ref="A10:A11"/>
    <mergeCell ref="A12:A13"/>
    <mergeCell ref="A14:A15"/>
    <mergeCell ref="A16:A18"/>
    <mergeCell ref="A19:A23"/>
    <mergeCell ref="A1:C1"/>
    <mergeCell ref="B2:B4"/>
    <mergeCell ref="C2:E3"/>
    <mergeCell ref="F2:AM2"/>
    <mergeCell ref="AN2:AN4"/>
    <mergeCell ref="F3:G3"/>
    <mergeCell ref="A5:AN5"/>
    <mergeCell ref="A24:A28"/>
    <mergeCell ref="A30:A33"/>
    <mergeCell ref="A34:A35"/>
    <mergeCell ref="A36:A37"/>
    <mergeCell ref="A38:A39"/>
    <mergeCell ref="A40:A42"/>
    <mergeCell ref="A43:A47"/>
    <mergeCell ref="A48:A52"/>
    <mergeCell ref="A54:A57"/>
    <mergeCell ref="A58:A59"/>
    <mergeCell ref="A60:A61"/>
    <mergeCell ref="A62:A63"/>
    <mergeCell ref="A64:A66"/>
    <mergeCell ref="A67:A71"/>
    <mergeCell ref="A72:A76"/>
    <mergeCell ref="A78:A81"/>
    <mergeCell ref="A82:A83"/>
    <mergeCell ref="A84:A85"/>
    <mergeCell ref="A86:A87"/>
    <mergeCell ref="A88:A90"/>
    <mergeCell ref="A91:A95"/>
    <mergeCell ref="A144:A148"/>
    <mergeCell ref="A149:AN149"/>
    <mergeCell ref="A173:AN173"/>
    <mergeCell ref="A197:AN197"/>
    <mergeCell ref="A221:AN221"/>
    <mergeCell ref="A245:AN245"/>
    <mergeCell ref="A269:AN269"/>
    <mergeCell ref="A294:A297"/>
    <mergeCell ref="A298:A299"/>
    <mergeCell ref="A300:A301"/>
    <mergeCell ref="A302:A303"/>
    <mergeCell ref="A304:A306"/>
    <mergeCell ref="A307:A311"/>
    <mergeCell ref="A312:A316"/>
    <mergeCell ref="A318:A321"/>
    <mergeCell ref="A322:A323"/>
    <mergeCell ref="A324:A325"/>
    <mergeCell ref="A326:A327"/>
    <mergeCell ref="A328:A330"/>
    <mergeCell ref="A331:A335"/>
    <mergeCell ref="A336:A340"/>
    <mergeCell ref="A342:A345"/>
    <mergeCell ref="A346:A347"/>
    <mergeCell ref="A348:A349"/>
    <mergeCell ref="A350:A351"/>
    <mergeCell ref="A352:A354"/>
    <mergeCell ref="A355:A359"/>
    <mergeCell ref="A360:A364"/>
    <mergeCell ref="A366:A369"/>
    <mergeCell ref="A370:A371"/>
    <mergeCell ref="A372:A373"/>
    <mergeCell ref="A374:A375"/>
    <mergeCell ref="A376:A378"/>
    <mergeCell ref="A379:A383"/>
    <mergeCell ref="A384:A388"/>
    <mergeCell ref="A390:A393"/>
    <mergeCell ref="A394:A395"/>
    <mergeCell ref="A396:A397"/>
    <mergeCell ref="A398:A399"/>
    <mergeCell ref="A400:A402"/>
    <mergeCell ref="A403:A407"/>
    <mergeCell ref="A408:A412"/>
    <mergeCell ref="A414:A417"/>
    <mergeCell ref="A418:A419"/>
    <mergeCell ref="A420:A421"/>
    <mergeCell ref="A422:A423"/>
    <mergeCell ref="A424:A426"/>
    <mergeCell ref="A427:A431"/>
    <mergeCell ref="A432:A436"/>
    <mergeCell ref="A438:A441"/>
    <mergeCell ref="A442:A443"/>
    <mergeCell ref="A444:A445"/>
    <mergeCell ref="A446:A447"/>
    <mergeCell ref="A448:A450"/>
    <mergeCell ref="A451:A455"/>
    <mergeCell ref="A456:A460"/>
    <mergeCell ref="A630:A633"/>
    <mergeCell ref="A634:A635"/>
    <mergeCell ref="A636:A637"/>
    <mergeCell ref="A638:A639"/>
    <mergeCell ref="A640:A642"/>
    <mergeCell ref="A643:A647"/>
    <mergeCell ref="A648:A652"/>
    <mergeCell ref="A654:A657"/>
    <mergeCell ref="A658:A659"/>
    <mergeCell ref="A660:A661"/>
    <mergeCell ref="A662:A663"/>
    <mergeCell ref="A664:A666"/>
    <mergeCell ref="A667:A671"/>
    <mergeCell ref="A672:A676"/>
    <mergeCell ref="A702:A705"/>
    <mergeCell ref="A706:A707"/>
    <mergeCell ref="A708:A709"/>
    <mergeCell ref="A710:A711"/>
    <mergeCell ref="A712:A714"/>
    <mergeCell ref="A715:A719"/>
    <mergeCell ref="A720:A724"/>
    <mergeCell ref="A678:A681"/>
    <mergeCell ref="A682:A683"/>
    <mergeCell ref="A684:A685"/>
    <mergeCell ref="A686:A687"/>
    <mergeCell ref="A688:A690"/>
    <mergeCell ref="A691:A695"/>
    <mergeCell ref="A696:A700"/>
    <mergeCell ref="A462:A465"/>
    <mergeCell ref="A466:A467"/>
    <mergeCell ref="A468:A469"/>
    <mergeCell ref="A470:A471"/>
    <mergeCell ref="A472:A474"/>
    <mergeCell ref="A475:A479"/>
    <mergeCell ref="A480:A484"/>
    <mergeCell ref="A486:A489"/>
    <mergeCell ref="A490:A491"/>
    <mergeCell ref="A492:A493"/>
    <mergeCell ref="A494:A495"/>
    <mergeCell ref="A496:A498"/>
    <mergeCell ref="A499:A503"/>
    <mergeCell ref="A504:A508"/>
    <mergeCell ref="A510:A513"/>
    <mergeCell ref="A514:A515"/>
    <mergeCell ref="A516:A517"/>
    <mergeCell ref="A518:A519"/>
    <mergeCell ref="A520:A522"/>
    <mergeCell ref="A523:A527"/>
    <mergeCell ref="A528:A532"/>
    <mergeCell ref="A534:A537"/>
    <mergeCell ref="A538:A539"/>
    <mergeCell ref="A540:A541"/>
    <mergeCell ref="A542:A543"/>
    <mergeCell ref="A544:A546"/>
    <mergeCell ref="A547:A551"/>
    <mergeCell ref="A552:A556"/>
    <mergeCell ref="A558:A561"/>
    <mergeCell ref="A562:A563"/>
    <mergeCell ref="A564:A565"/>
    <mergeCell ref="A566:A567"/>
    <mergeCell ref="A568:A570"/>
    <mergeCell ref="A571:A575"/>
    <mergeCell ref="A576:A580"/>
    <mergeCell ref="A582:A585"/>
    <mergeCell ref="A586:A587"/>
    <mergeCell ref="A588:A589"/>
    <mergeCell ref="A590:A591"/>
    <mergeCell ref="A592:A594"/>
    <mergeCell ref="A595:A599"/>
    <mergeCell ref="A600:A604"/>
    <mergeCell ref="A606:A609"/>
    <mergeCell ref="A610:A611"/>
    <mergeCell ref="A612:A613"/>
    <mergeCell ref="A614:A615"/>
    <mergeCell ref="A616:A618"/>
    <mergeCell ref="A619:A623"/>
    <mergeCell ref="A624:A62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sheetData>
    <row r="2">
      <c r="A2" s="139" t="s">
        <v>270</v>
      </c>
    </row>
    <row r="4">
      <c r="A4" s="140" t="s">
        <v>271</v>
      </c>
      <c r="B4" s="140">
        <v>2017.0</v>
      </c>
      <c r="C4" s="140">
        <v>2018.0</v>
      </c>
      <c r="D4" s="140">
        <v>2019.0</v>
      </c>
      <c r="E4" s="140">
        <v>2020.0</v>
      </c>
      <c r="F4" s="140">
        <v>2021.0</v>
      </c>
      <c r="G4" s="140">
        <v>2022.0</v>
      </c>
      <c r="H4" s="140">
        <v>2023.0</v>
      </c>
      <c r="I4" s="140">
        <v>2024.0</v>
      </c>
      <c r="J4" s="140">
        <v>2025.0</v>
      </c>
    </row>
    <row r="5">
      <c r="A5" s="141" t="s">
        <v>272</v>
      </c>
      <c r="B5" s="142">
        <v>43976.0</v>
      </c>
      <c r="C5" s="142">
        <v>39160.0</v>
      </c>
      <c r="D5" s="142">
        <v>37825.0</v>
      </c>
      <c r="E5" s="142">
        <v>31486.0</v>
      </c>
      <c r="F5" s="142">
        <v>33526.0</v>
      </c>
      <c r="G5" s="142">
        <v>34923.0</v>
      </c>
      <c r="H5" s="142">
        <v>35167.0</v>
      </c>
      <c r="I5" s="142">
        <v>35936.0</v>
      </c>
      <c r="J5" s="142">
        <v>25687.0</v>
      </c>
    </row>
    <row r="6">
      <c r="A6" s="141" t="s">
        <v>273</v>
      </c>
      <c r="B6" s="142">
        <v>38449.0</v>
      </c>
      <c r="C6" s="142">
        <v>40627.0</v>
      </c>
      <c r="D6" s="142">
        <v>37499.0</v>
      </c>
      <c r="E6" s="142">
        <v>26697.0</v>
      </c>
      <c r="F6" s="142">
        <v>33584.0</v>
      </c>
      <c r="G6" s="142">
        <v>37977.0</v>
      </c>
      <c r="H6" s="142">
        <v>40959.0</v>
      </c>
      <c r="I6" s="142">
        <v>43610.0</v>
      </c>
      <c r="J6" s="142">
        <v>31368.0</v>
      </c>
    </row>
    <row r="7">
      <c r="A7" s="141" t="s">
        <v>274</v>
      </c>
      <c r="B7" s="142">
        <v>19721.0</v>
      </c>
      <c r="C7" s="142">
        <v>19639.0</v>
      </c>
      <c r="D7" s="142">
        <v>22636.0</v>
      </c>
      <c r="E7" s="142">
        <v>17080.0</v>
      </c>
      <c r="F7" s="142">
        <v>24323.0</v>
      </c>
      <c r="G7" s="142">
        <v>27126.0</v>
      </c>
      <c r="H7" s="142">
        <v>31728.0</v>
      </c>
      <c r="I7" s="142">
        <v>32455.0</v>
      </c>
      <c r="J7" s="142">
        <v>24143.0</v>
      </c>
    </row>
    <row r="8">
      <c r="A8" s="141" t="s">
        <v>275</v>
      </c>
      <c r="B8" s="142">
        <v>26668.0</v>
      </c>
      <c r="C8" s="142">
        <v>24245.0</v>
      </c>
      <c r="D8" s="142">
        <v>23075.0</v>
      </c>
      <c r="E8" s="142">
        <v>16834.0</v>
      </c>
      <c r="F8" s="142">
        <v>18217.0</v>
      </c>
      <c r="G8" s="142">
        <v>19500.0</v>
      </c>
      <c r="H8" s="142">
        <v>22091.0</v>
      </c>
      <c r="I8" s="142">
        <v>21408.0</v>
      </c>
      <c r="J8" s="142">
        <v>17982.0</v>
      </c>
    </row>
    <row r="9">
      <c r="A9" s="141" t="s">
        <v>276</v>
      </c>
      <c r="B9" s="142">
        <v>41680.0</v>
      </c>
      <c r="C9" s="142">
        <v>39205.0</v>
      </c>
      <c r="D9" s="142">
        <v>36817.0</v>
      </c>
      <c r="E9" s="142">
        <v>29006.0</v>
      </c>
      <c r="F9" s="142">
        <v>32428.0</v>
      </c>
      <c r="G9" s="142">
        <v>32065.0</v>
      </c>
      <c r="H9" s="142">
        <v>31522.0</v>
      </c>
      <c r="I9" s="142">
        <v>31107.0</v>
      </c>
      <c r="J9" s="142">
        <v>24206.0</v>
      </c>
    </row>
    <row r="10">
      <c r="A10" s="141" t="s">
        <v>277</v>
      </c>
      <c r="B10" s="142">
        <v>18983.0</v>
      </c>
      <c r="C10" s="142">
        <v>19049.0</v>
      </c>
      <c r="D10" s="142">
        <v>20795.0</v>
      </c>
      <c r="E10" s="142">
        <v>15952.0</v>
      </c>
      <c r="F10" s="142">
        <v>14551.0</v>
      </c>
      <c r="G10" s="142">
        <v>15774.0</v>
      </c>
      <c r="H10" s="142">
        <v>18672.0</v>
      </c>
      <c r="I10" s="142">
        <v>17706.0</v>
      </c>
      <c r="J10" s="142">
        <v>11701.0</v>
      </c>
    </row>
    <row r="11">
      <c r="A11" s="141" t="s">
        <v>278</v>
      </c>
      <c r="B11" s="142">
        <v>113046.0</v>
      </c>
      <c r="C11" s="142">
        <v>108258.0</v>
      </c>
      <c r="D11" s="142">
        <v>114798.0</v>
      </c>
      <c r="E11" s="142">
        <v>79558.0</v>
      </c>
      <c r="F11" s="142">
        <v>97022.0</v>
      </c>
      <c r="G11" s="142">
        <v>120604.0</v>
      </c>
      <c r="H11" s="142">
        <v>124852.0</v>
      </c>
      <c r="I11" s="142">
        <v>125628.0</v>
      </c>
      <c r="J11" s="142">
        <v>105481.0</v>
      </c>
    </row>
    <row r="12">
      <c r="A12" s="141" t="s">
        <v>279</v>
      </c>
      <c r="B12" s="142">
        <v>75903.0</v>
      </c>
      <c r="C12" s="142">
        <v>81911.0</v>
      </c>
      <c r="D12" s="142">
        <v>78937.0</v>
      </c>
      <c r="E12" s="142">
        <v>59790.0</v>
      </c>
      <c r="F12" s="142">
        <v>60667.0</v>
      </c>
      <c r="G12" s="142">
        <v>69114.0</v>
      </c>
      <c r="H12" s="142">
        <v>65958.0</v>
      </c>
      <c r="I12" s="142">
        <v>66591.0</v>
      </c>
      <c r="J12" s="142">
        <v>55790.0</v>
      </c>
    </row>
    <row r="13">
      <c r="A13" s="141" t="s">
        <v>280</v>
      </c>
      <c r="B13" s="142">
        <v>235581.0</v>
      </c>
      <c r="C13" s="142">
        <v>249752.0</v>
      </c>
      <c r="D13" s="142">
        <v>219172.0</v>
      </c>
      <c r="E13" s="142">
        <v>171663.0</v>
      </c>
      <c r="F13" s="142">
        <v>189816.0</v>
      </c>
      <c r="G13" s="142">
        <v>216538.0</v>
      </c>
      <c r="H13" s="142">
        <v>228731.0</v>
      </c>
      <c r="I13" s="142">
        <v>242649.0</v>
      </c>
      <c r="J13" s="142">
        <v>170624.0</v>
      </c>
    </row>
    <row r="14">
      <c r="A14" s="141" t="s">
        <v>281</v>
      </c>
      <c r="B14" s="142">
        <v>49616.0</v>
      </c>
      <c r="C14" s="142">
        <v>48582.0</v>
      </c>
      <c r="D14" s="142">
        <v>53790.0</v>
      </c>
      <c r="E14" s="142">
        <v>41804.0</v>
      </c>
      <c r="F14" s="142">
        <v>40200.0</v>
      </c>
      <c r="G14" s="142">
        <v>43789.0</v>
      </c>
      <c r="H14" s="142">
        <v>54898.0</v>
      </c>
      <c r="I14" s="142">
        <v>55882.0</v>
      </c>
      <c r="J14" s="142">
        <v>37339.0</v>
      </c>
    </row>
    <row r="15">
      <c r="A15" s="141" t="s">
        <v>282</v>
      </c>
      <c r="B15" s="142">
        <v>161800.0</v>
      </c>
      <c r="C15" s="142">
        <v>158514.0</v>
      </c>
      <c r="D15" s="142">
        <v>166531.0</v>
      </c>
      <c r="E15" s="142">
        <v>129901.0</v>
      </c>
      <c r="F15" s="142">
        <v>136248.0</v>
      </c>
      <c r="G15" s="142">
        <v>150414.0</v>
      </c>
      <c r="H15" s="142">
        <v>164111.0</v>
      </c>
      <c r="I15" s="142">
        <v>161359.0</v>
      </c>
      <c r="J15" s="142">
        <v>131935.0</v>
      </c>
    </row>
    <row r="16">
      <c r="A16" s="141" t="s">
        <v>283</v>
      </c>
      <c r="B16" s="142">
        <v>85313.0</v>
      </c>
      <c r="C16" s="142">
        <v>78186.0</v>
      </c>
      <c r="D16" s="142">
        <v>78630.0</v>
      </c>
      <c r="E16" s="142">
        <v>54215.0</v>
      </c>
      <c r="F16" s="142">
        <v>55705.0</v>
      </c>
      <c r="G16" s="142">
        <v>59466.0</v>
      </c>
      <c r="H16" s="142">
        <v>64278.0</v>
      </c>
      <c r="I16" s="142">
        <v>64858.0</v>
      </c>
      <c r="J16" s="142">
        <v>48528.0</v>
      </c>
    </row>
    <row r="17">
      <c r="A17" s="141" t="s">
        <v>284</v>
      </c>
      <c r="B17" s="142">
        <v>58658.0</v>
      </c>
      <c r="C17" s="142">
        <v>56521.0</v>
      </c>
      <c r="D17" s="142">
        <v>55859.0</v>
      </c>
      <c r="E17" s="142">
        <v>37813.0</v>
      </c>
      <c r="F17" s="142">
        <v>40906.0</v>
      </c>
      <c r="G17" s="142">
        <v>44980.0</v>
      </c>
      <c r="H17" s="142">
        <v>47412.0</v>
      </c>
      <c r="I17" s="142">
        <v>46888.0</v>
      </c>
      <c r="J17" s="142">
        <v>37634.0</v>
      </c>
    </row>
    <row r="18">
      <c r="A18" s="141" t="s">
        <v>285</v>
      </c>
      <c r="B18" s="142">
        <v>194825.0</v>
      </c>
      <c r="C18" s="142">
        <v>176843.0</v>
      </c>
      <c r="D18" s="142">
        <v>175739.0</v>
      </c>
      <c r="E18" s="142">
        <v>122819.0</v>
      </c>
      <c r="F18" s="142">
        <v>143286.0</v>
      </c>
      <c r="G18" s="142">
        <v>148628.0</v>
      </c>
      <c r="H18" s="142">
        <v>149014.0</v>
      </c>
      <c r="I18" s="142">
        <v>159340.0</v>
      </c>
      <c r="J18" s="142">
        <v>118893.0</v>
      </c>
    </row>
    <row r="19">
      <c r="A19" s="141" t="s">
        <v>286</v>
      </c>
      <c r="B19" s="142">
        <v>316550.0</v>
      </c>
      <c r="C19" s="142">
        <v>303939.0</v>
      </c>
      <c r="D19" s="142">
        <v>311040.0</v>
      </c>
      <c r="E19" s="142">
        <v>235949.0</v>
      </c>
      <c r="F19" s="142">
        <v>236142.0</v>
      </c>
      <c r="G19" s="142">
        <v>211827.0</v>
      </c>
      <c r="H19" s="142">
        <v>201692.0</v>
      </c>
      <c r="I19" s="142">
        <v>206398.0</v>
      </c>
      <c r="J19" s="142">
        <v>151021.0</v>
      </c>
    </row>
    <row r="20">
      <c r="A20" s="141" t="s">
        <v>287</v>
      </c>
      <c r="B20" s="142">
        <v>129282.0</v>
      </c>
      <c r="C20" s="142">
        <v>100186.0</v>
      </c>
      <c r="D20" s="142">
        <v>109947.0</v>
      </c>
      <c r="E20" s="142">
        <v>93580.0</v>
      </c>
      <c r="F20" s="142">
        <v>112048.0</v>
      </c>
      <c r="G20" s="142">
        <v>119858.0</v>
      </c>
      <c r="H20" s="142">
        <v>105576.0</v>
      </c>
      <c r="I20" s="142">
        <v>116649.0</v>
      </c>
      <c r="J20" s="142">
        <v>84057.0</v>
      </c>
    </row>
    <row r="21">
      <c r="A21" s="141" t="s">
        <v>288</v>
      </c>
      <c r="B21" s="142">
        <v>43889.0</v>
      </c>
      <c r="C21" s="142">
        <v>44348.0</v>
      </c>
      <c r="D21" s="142">
        <v>45351.0</v>
      </c>
      <c r="E21" s="142">
        <v>36257.0</v>
      </c>
      <c r="F21" s="142">
        <v>36054.0</v>
      </c>
      <c r="G21" s="142">
        <v>40669.0</v>
      </c>
      <c r="H21" s="142">
        <v>44801.0</v>
      </c>
      <c r="I21" s="142">
        <v>43471.0</v>
      </c>
      <c r="J21" s="142">
        <v>32684.0</v>
      </c>
    </row>
    <row r="22">
      <c r="A22" s="141" t="s">
        <v>289</v>
      </c>
      <c r="B22" s="142">
        <v>19884.0</v>
      </c>
      <c r="C22" s="142">
        <v>19665.0</v>
      </c>
      <c r="D22" s="142">
        <v>20280.0</v>
      </c>
      <c r="E22" s="142">
        <v>14645.0</v>
      </c>
      <c r="F22" s="142">
        <v>13471.0</v>
      </c>
      <c r="G22" s="142">
        <v>20390.0</v>
      </c>
      <c r="H22" s="142">
        <v>26701.0</v>
      </c>
      <c r="I22" s="142">
        <v>26536.0</v>
      </c>
      <c r="J22" s="142">
        <v>22404.0</v>
      </c>
    </row>
    <row r="23">
      <c r="A23" s="141" t="s">
        <v>290</v>
      </c>
      <c r="B23" s="142">
        <v>56286.0</v>
      </c>
      <c r="C23" s="142">
        <v>54699.0</v>
      </c>
      <c r="D23" s="142">
        <v>49820.0</v>
      </c>
      <c r="E23" s="142">
        <v>40991.0</v>
      </c>
      <c r="F23" s="142">
        <v>39645.0</v>
      </c>
      <c r="G23" s="142">
        <v>42257.0</v>
      </c>
      <c r="H23" s="142">
        <v>45757.0</v>
      </c>
      <c r="I23" s="142">
        <v>49094.0</v>
      </c>
      <c r="J23" s="142">
        <v>36533.0</v>
      </c>
    </row>
    <row r="24">
      <c r="A24" s="141" t="s">
        <v>291</v>
      </c>
      <c r="B24" s="142">
        <v>73547.0</v>
      </c>
      <c r="C24" s="142">
        <v>76420.0</v>
      </c>
      <c r="D24" s="142">
        <v>81221.0</v>
      </c>
      <c r="E24" s="142">
        <v>49015.0</v>
      </c>
      <c r="F24" s="142">
        <v>43210.0</v>
      </c>
      <c r="G24" s="142">
        <v>52640.0</v>
      </c>
      <c r="H24" s="142">
        <v>56670.0</v>
      </c>
      <c r="I24" s="142">
        <v>53560.0</v>
      </c>
      <c r="J24" s="142">
        <v>38245.0</v>
      </c>
    </row>
    <row r="25">
      <c r="A25" s="141" t="s">
        <v>292</v>
      </c>
      <c r="B25" s="142">
        <v>125291.0</v>
      </c>
      <c r="C25" s="142">
        <v>118039.0</v>
      </c>
      <c r="D25" s="142">
        <v>117863.0</v>
      </c>
      <c r="E25" s="142">
        <v>77452.0</v>
      </c>
      <c r="F25" s="142">
        <v>88607.0</v>
      </c>
      <c r="G25" s="142">
        <v>108868.0</v>
      </c>
      <c r="H25" s="142">
        <v>108466.0</v>
      </c>
      <c r="I25" s="142">
        <v>109894.0</v>
      </c>
      <c r="J25" s="142">
        <v>89676.0</v>
      </c>
    </row>
    <row r="26">
      <c r="A26" s="141" t="s">
        <v>293</v>
      </c>
      <c r="B26" s="142">
        <v>53726.0</v>
      </c>
      <c r="C26" s="142">
        <v>51749.0</v>
      </c>
      <c r="D26" s="142">
        <v>49645.0</v>
      </c>
      <c r="E26" s="142">
        <v>35805.0</v>
      </c>
      <c r="F26" s="142">
        <v>38874.0</v>
      </c>
      <c r="G26" s="142">
        <v>47299.0</v>
      </c>
      <c r="H26" s="142">
        <v>74315.0</v>
      </c>
      <c r="I26" s="142">
        <v>76441.0</v>
      </c>
      <c r="J26" s="142">
        <v>62438.0</v>
      </c>
    </row>
    <row r="27">
      <c r="A27" s="141" t="s">
        <v>294</v>
      </c>
      <c r="B27" s="142">
        <v>35051.0</v>
      </c>
      <c r="C27" s="142">
        <v>40320.0</v>
      </c>
      <c r="D27" s="142">
        <v>38103.0</v>
      </c>
      <c r="E27" s="142">
        <v>31140.0</v>
      </c>
      <c r="F27" s="142">
        <v>32901.0</v>
      </c>
      <c r="G27" s="142">
        <v>33774.0</v>
      </c>
      <c r="H27" s="142">
        <v>32996.0</v>
      </c>
      <c r="I27" s="142">
        <v>34950.0</v>
      </c>
      <c r="J27" s="142">
        <v>28785.0</v>
      </c>
    </row>
    <row r="28">
      <c r="A28" s="141" t="s">
        <v>295</v>
      </c>
      <c r="B28" s="142">
        <v>66454.0</v>
      </c>
      <c r="C28" s="142">
        <v>60832.0</v>
      </c>
      <c r="D28" s="142">
        <v>55103.0</v>
      </c>
      <c r="E28" s="142">
        <v>41199.0</v>
      </c>
      <c r="F28" s="142">
        <v>39761.0</v>
      </c>
      <c r="G28" s="142">
        <v>43064.0</v>
      </c>
      <c r="H28" s="142">
        <v>43878.0</v>
      </c>
      <c r="I28" s="142">
        <v>44672.0</v>
      </c>
      <c r="J28" s="142">
        <v>36584.0</v>
      </c>
    </row>
    <row r="29">
      <c r="A29" s="141" t="s">
        <v>296</v>
      </c>
      <c r="B29" s="142">
        <v>53003.0</v>
      </c>
      <c r="C29" s="142">
        <v>54142.0</v>
      </c>
      <c r="D29" s="142">
        <v>54289.0</v>
      </c>
      <c r="E29" s="142">
        <v>41400.0</v>
      </c>
      <c r="F29" s="142">
        <v>42326.0</v>
      </c>
      <c r="G29" s="142">
        <v>47192.0</v>
      </c>
      <c r="H29" s="142">
        <v>51506.0</v>
      </c>
      <c r="I29" s="142">
        <v>58796.0</v>
      </c>
      <c r="J29" s="142">
        <v>44096.0</v>
      </c>
    </row>
    <row r="30">
      <c r="A30" s="141" t="s">
        <v>297</v>
      </c>
      <c r="B30" s="142">
        <v>96963.0</v>
      </c>
      <c r="C30" s="142">
        <v>90264.0</v>
      </c>
      <c r="D30" s="142">
        <v>90722.0</v>
      </c>
      <c r="E30" s="142">
        <v>71676.0</v>
      </c>
      <c r="F30" s="142">
        <v>72524.0</v>
      </c>
      <c r="G30" s="142">
        <v>74848.0</v>
      </c>
      <c r="H30" s="142">
        <v>78054.0</v>
      </c>
      <c r="I30" s="142">
        <v>82368.0</v>
      </c>
      <c r="J30" s="142">
        <v>63515.0</v>
      </c>
    </row>
    <row r="31">
      <c r="A31" s="141" t="s">
        <v>298</v>
      </c>
      <c r="B31" s="142">
        <v>98027.0</v>
      </c>
      <c r="C31" s="142">
        <v>81367.0</v>
      </c>
      <c r="D31" s="142">
        <v>99820.0</v>
      </c>
      <c r="E31" s="142">
        <v>68441.0</v>
      </c>
      <c r="F31" s="142">
        <v>91745.0</v>
      </c>
      <c r="G31" s="142">
        <v>123659.0</v>
      </c>
      <c r="H31" s="142">
        <v>133686.0</v>
      </c>
      <c r="I31" s="142">
        <v>144872.0</v>
      </c>
      <c r="J31" s="142">
        <v>109143.0</v>
      </c>
    </row>
    <row r="32">
      <c r="A32" s="141" t="s">
        <v>299</v>
      </c>
      <c r="B32" s="142">
        <v>78147.0</v>
      </c>
      <c r="C32" s="142">
        <v>77266.0</v>
      </c>
      <c r="D32" s="142">
        <v>75170.0</v>
      </c>
      <c r="E32" s="142">
        <v>51876.0</v>
      </c>
      <c r="F32" s="142">
        <v>51936.0</v>
      </c>
      <c r="G32" s="142">
        <v>56952.0</v>
      </c>
      <c r="H32" s="142">
        <v>59100.0</v>
      </c>
      <c r="I32" s="142">
        <v>60659.0</v>
      </c>
      <c r="J32" s="142">
        <v>47831.0</v>
      </c>
    </row>
    <row r="33">
      <c r="A33" s="141" t="s">
        <v>300</v>
      </c>
      <c r="B33" s="142">
        <v>39548.0</v>
      </c>
      <c r="C33" s="142">
        <v>54655.0</v>
      </c>
      <c r="D33" s="142">
        <v>61063.0</v>
      </c>
      <c r="E33" s="142">
        <v>36264.0</v>
      </c>
      <c r="F33" s="142">
        <v>37786.0</v>
      </c>
      <c r="G33" s="142">
        <v>42845.0</v>
      </c>
      <c r="H33" s="142">
        <v>44376.0</v>
      </c>
      <c r="I33" s="142">
        <v>46985.0</v>
      </c>
      <c r="J33" s="142">
        <v>40957.0</v>
      </c>
    </row>
    <row r="34">
      <c r="A34" s="141" t="s">
        <v>301</v>
      </c>
      <c r="B34" s="142">
        <v>168403.0</v>
      </c>
      <c r="C34" s="142">
        <v>163327.0</v>
      </c>
      <c r="D34" s="142">
        <v>156154.0</v>
      </c>
      <c r="E34" s="142">
        <v>110396.0</v>
      </c>
      <c r="F34" s="142">
        <v>117354.0</v>
      </c>
      <c r="G34" s="142">
        <v>127143.0</v>
      </c>
      <c r="H34" s="142">
        <v>139290.0</v>
      </c>
      <c r="I34" s="142">
        <v>141531.0</v>
      </c>
      <c r="J34" s="142">
        <v>125437.0</v>
      </c>
    </row>
    <row r="35">
      <c r="A35" s="141" t="s">
        <v>302</v>
      </c>
      <c r="B35" s="142">
        <v>56090.0</v>
      </c>
      <c r="C35" s="142">
        <v>53173.0</v>
      </c>
      <c r="D35" s="142">
        <v>55336.0</v>
      </c>
      <c r="E35" s="142">
        <v>41142.0</v>
      </c>
      <c r="F35" s="142">
        <v>46538.0</v>
      </c>
      <c r="G35" s="142">
        <v>48550.0</v>
      </c>
      <c r="H35" s="142">
        <v>49829.0</v>
      </c>
      <c r="I35" s="142">
        <v>45524.0</v>
      </c>
      <c r="J35" s="142">
        <v>37996.0</v>
      </c>
    </row>
    <row r="36">
      <c r="A36" s="141" t="s">
        <v>303</v>
      </c>
      <c r="B36" s="142">
        <v>41264.0</v>
      </c>
      <c r="C36" s="142">
        <v>38496.0</v>
      </c>
      <c r="D36" s="142">
        <v>36404.0</v>
      </c>
      <c r="E36" s="142">
        <v>25498.0</v>
      </c>
      <c r="F36" s="142">
        <v>27378.0</v>
      </c>
      <c r="G36" s="142">
        <v>29285.0</v>
      </c>
      <c r="H36" s="142">
        <v>27929.0</v>
      </c>
      <c r="I36" s="142">
        <v>29932.0</v>
      </c>
      <c r="J36" s="142">
        <v>22790.0</v>
      </c>
    </row>
    <row r="37">
      <c r="A37" s="143" t="s">
        <v>304</v>
      </c>
      <c r="B37" s="144">
        <v>2715624.0</v>
      </c>
      <c r="C37" s="144">
        <v>2623379.0</v>
      </c>
      <c r="D37" s="144">
        <v>2629434.0</v>
      </c>
      <c r="E37" s="144">
        <v>1937344.0</v>
      </c>
      <c r="F37" s="144">
        <v>2088779.0</v>
      </c>
      <c r="G37" s="144">
        <v>2292018.0</v>
      </c>
      <c r="H37" s="144">
        <v>2404015.0</v>
      </c>
      <c r="I37" s="144">
        <v>2477749.0</v>
      </c>
      <c r="J37" s="144">
        <v>1915503.0</v>
      </c>
    </row>
    <row r="38">
      <c r="A38" s="145"/>
      <c r="B38" s="146"/>
      <c r="C38" s="146"/>
      <c r="D38" s="146"/>
      <c r="E38" s="146"/>
      <c r="F38" s="146"/>
      <c r="G38" s="146"/>
      <c r="H38" s="146"/>
      <c r="I38" s="146"/>
      <c r="J38" s="146"/>
    </row>
  </sheetData>
  <mergeCells count="1">
    <mergeCell ref="A2:J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1">
      <c r="A1" s="147" t="s">
        <v>305</v>
      </c>
    </row>
    <row r="2">
      <c r="A2" s="148"/>
    </row>
    <row r="3">
      <c r="A3" s="140" t="s">
        <v>271</v>
      </c>
      <c r="B3" s="140">
        <v>2008.0</v>
      </c>
      <c r="C3" s="140">
        <v>2009.0</v>
      </c>
      <c r="D3" s="140">
        <v>2010.0</v>
      </c>
      <c r="E3" s="140">
        <v>2011.0</v>
      </c>
      <c r="F3" s="140">
        <v>2012.0</v>
      </c>
      <c r="G3" s="140">
        <v>2013.0</v>
      </c>
      <c r="H3" s="140">
        <v>2014.0</v>
      </c>
      <c r="I3" s="140">
        <v>2015.0</v>
      </c>
      <c r="J3" s="140">
        <v>2016.0</v>
      </c>
      <c r="K3" s="140">
        <v>2017.0</v>
      </c>
      <c r="L3" s="140">
        <v>2018.0</v>
      </c>
      <c r="M3" s="140">
        <v>2019.0</v>
      </c>
      <c r="N3" s="140">
        <v>2020.0</v>
      </c>
      <c r="O3" s="140">
        <v>2021.0</v>
      </c>
      <c r="P3" s="140">
        <v>2022.0</v>
      </c>
      <c r="Q3" s="140">
        <v>2023.0</v>
      </c>
      <c r="R3" s="140">
        <v>2024.0</v>
      </c>
    </row>
    <row r="4">
      <c r="A4" s="141" t="s">
        <v>272</v>
      </c>
      <c r="B4" s="142">
        <v>25783.0</v>
      </c>
      <c r="C4" s="142">
        <v>26065.0</v>
      </c>
      <c r="D4" s="142">
        <v>25830.0</v>
      </c>
      <c r="E4" s="142">
        <v>26983.0</v>
      </c>
      <c r="F4" s="142">
        <v>27280.0</v>
      </c>
      <c r="G4" s="142">
        <v>27200.0</v>
      </c>
      <c r="H4" s="142">
        <v>27207.0</v>
      </c>
      <c r="I4" s="142">
        <v>27104.0</v>
      </c>
      <c r="J4" s="142">
        <v>27020.0</v>
      </c>
      <c r="K4" s="142">
        <v>27149.0</v>
      </c>
      <c r="L4" s="142">
        <v>25398.0</v>
      </c>
      <c r="M4" s="142">
        <v>24690.0</v>
      </c>
      <c r="N4" s="142">
        <v>21456.0</v>
      </c>
      <c r="O4" s="149">
        <v>21050.0</v>
      </c>
      <c r="P4" s="149">
        <v>19701.0</v>
      </c>
      <c r="Q4" s="149">
        <v>18962.0</v>
      </c>
      <c r="R4" s="149">
        <v>12065.0</v>
      </c>
    </row>
    <row r="5">
      <c r="A5" s="141" t="s">
        <v>273</v>
      </c>
      <c r="B5" s="142">
        <v>46834.0</v>
      </c>
      <c r="C5" s="142">
        <v>57642.0</v>
      </c>
      <c r="D5" s="142">
        <v>55716.0</v>
      </c>
      <c r="E5" s="142">
        <v>56655.0</v>
      </c>
      <c r="F5" s="142">
        <v>58135.0</v>
      </c>
      <c r="G5" s="142">
        <v>56694.0</v>
      </c>
      <c r="H5" s="142">
        <v>55404.0</v>
      </c>
      <c r="I5" s="142">
        <v>53813.0</v>
      </c>
      <c r="J5" s="142">
        <v>52752.0</v>
      </c>
      <c r="K5" s="142">
        <v>53280.0</v>
      </c>
      <c r="L5" s="142">
        <v>50497.0</v>
      </c>
      <c r="M5" s="142">
        <v>48102.0</v>
      </c>
      <c r="N5" s="142">
        <v>46622.0</v>
      </c>
      <c r="O5" s="149">
        <v>45075.0</v>
      </c>
      <c r="P5" s="149">
        <v>43651.0</v>
      </c>
      <c r="Q5" s="149">
        <v>40654.0</v>
      </c>
      <c r="R5" s="149">
        <v>31536.0</v>
      </c>
    </row>
    <row r="6">
      <c r="A6" s="141" t="s">
        <v>274</v>
      </c>
      <c r="B6" s="142">
        <v>11240.0</v>
      </c>
      <c r="C6" s="142">
        <v>12149.0</v>
      </c>
      <c r="D6" s="142">
        <v>12711.0</v>
      </c>
      <c r="E6" s="142">
        <v>12622.0</v>
      </c>
      <c r="F6" s="142">
        <v>12885.0</v>
      </c>
      <c r="G6" s="142">
        <v>12457.0</v>
      </c>
      <c r="H6" s="142">
        <v>12602.0</v>
      </c>
      <c r="I6" s="142">
        <v>12347.0</v>
      </c>
      <c r="J6" s="142">
        <v>12033.0</v>
      </c>
      <c r="K6" s="142">
        <v>11985.0</v>
      </c>
      <c r="L6" s="142">
        <v>11885.0</v>
      </c>
      <c r="M6" s="142">
        <v>11400.0</v>
      </c>
      <c r="N6" s="142">
        <v>11039.0</v>
      </c>
      <c r="O6" s="149">
        <v>9867.0</v>
      </c>
      <c r="P6" s="149">
        <v>10539.0</v>
      </c>
      <c r="Q6" s="149">
        <v>10098.0</v>
      </c>
      <c r="R6" s="149">
        <v>7771.0</v>
      </c>
    </row>
    <row r="7">
      <c r="A7" s="141" t="s">
        <v>275</v>
      </c>
      <c r="B7" s="142">
        <v>13891.0</v>
      </c>
      <c r="C7" s="142">
        <v>14977.0</v>
      </c>
      <c r="D7" s="142">
        <v>15648.0</v>
      </c>
      <c r="E7" s="142">
        <v>15838.0</v>
      </c>
      <c r="F7" s="142">
        <v>16337.0</v>
      </c>
      <c r="G7" s="142">
        <v>16820.0</v>
      </c>
      <c r="H7" s="142">
        <v>16689.0</v>
      </c>
      <c r="I7" s="142">
        <v>17197.0</v>
      </c>
      <c r="J7" s="142">
        <v>15872.0</v>
      </c>
      <c r="K7" s="142">
        <v>14730.0</v>
      </c>
      <c r="L7" s="142">
        <v>13419.0</v>
      </c>
      <c r="M7" s="142">
        <v>13870.0</v>
      </c>
      <c r="N7" s="142">
        <v>13552.0</v>
      </c>
      <c r="O7" s="149">
        <v>12365.0</v>
      </c>
      <c r="P7" s="149">
        <v>12284.0</v>
      </c>
      <c r="Q7" s="149">
        <v>11472.0</v>
      </c>
      <c r="R7" s="149">
        <v>8903.0</v>
      </c>
    </row>
    <row r="8">
      <c r="A8" s="141" t="s">
        <v>276</v>
      </c>
      <c r="B8" s="142">
        <v>54570.0</v>
      </c>
      <c r="C8" s="142">
        <v>54465.0</v>
      </c>
      <c r="D8" s="142">
        <v>53725.0</v>
      </c>
      <c r="E8" s="142">
        <v>55705.0</v>
      </c>
      <c r="F8" s="142">
        <v>58151.0</v>
      </c>
      <c r="G8" s="142">
        <v>59245.0</v>
      </c>
      <c r="H8" s="142">
        <v>59530.0</v>
      </c>
      <c r="I8" s="142">
        <v>60064.0</v>
      </c>
      <c r="J8" s="142">
        <v>58552.0</v>
      </c>
      <c r="K8" s="142">
        <v>56932.0</v>
      </c>
      <c r="L8" s="142">
        <v>54153.0</v>
      </c>
      <c r="M8" s="142">
        <v>51663.0</v>
      </c>
      <c r="N8" s="142">
        <v>47930.0</v>
      </c>
      <c r="O8" s="149">
        <v>44410.0</v>
      </c>
      <c r="P8" s="149">
        <v>43172.0</v>
      </c>
      <c r="Q8" s="149">
        <v>40790.0</v>
      </c>
      <c r="R8" s="149">
        <v>32872.0</v>
      </c>
    </row>
    <row r="9">
      <c r="A9" s="141" t="s">
        <v>277</v>
      </c>
      <c r="B9" s="142">
        <v>11345.0</v>
      </c>
      <c r="C9" s="142">
        <v>12162.0</v>
      </c>
      <c r="D9" s="142">
        <v>11912.0</v>
      </c>
      <c r="E9" s="142">
        <v>12713.0</v>
      </c>
      <c r="F9" s="142">
        <v>12728.0</v>
      </c>
      <c r="G9" s="142">
        <v>12291.0</v>
      </c>
      <c r="H9" s="142">
        <v>12368.0</v>
      </c>
      <c r="I9" s="142">
        <v>11755.0</v>
      </c>
      <c r="J9" s="142">
        <v>11251.0</v>
      </c>
      <c r="K9" s="142">
        <v>11073.0</v>
      </c>
      <c r="L9" s="142">
        <v>10774.0</v>
      </c>
      <c r="M9" s="142">
        <v>10291.0</v>
      </c>
      <c r="N9" s="142">
        <v>9345.0</v>
      </c>
      <c r="O9" s="149">
        <v>9099.0</v>
      </c>
      <c r="P9" s="149">
        <v>8706.0</v>
      </c>
      <c r="Q9" s="149">
        <v>8256.0</v>
      </c>
      <c r="R9" s="149">
        <v>6194.0</v>
      </c>
    </row>
    <row r="10">
      <c r="A10" s="141" t="s">
        <v>278</v>
      </c>
      <c r="B10" s="142">
        <v>65470.0</v>
      </c>
      <c r="C10" s="142">
        <v>75815.0</v>
      </c>
      <c r="D10" s="142">
        <v>77007.0</v>
      </c>
      <c r="E10" s="142">
        <v>85226.0</v>
      </c>
      <c r="F10" s="142">
        <v>88385.0</v>
      </c>
      <c r="G10" s="142">
        <v>91189.0</v>
      </c>
      <c r="H10" s="142">
        <v>93992.0</v>
      </c>
      <c r="I10" s="142">
        <v>94731.0</v>
      </c>
      <c r="J10" s="142">
        <v>89008.0</v>
      </c>
      <c r="K10" s="142">
        <v>93099.0</v>
      </c>
      <c r="L10" s="142">
        <v>77559.0</v>
      </c>
      <c r="M10" s="142">
        <v>85475.0</v>
      </c>
      <c r="N10" s="142">
        <v>78663.0</v>
      </c>
      <c r="O10" s="149">
        <v>89194.0</v>
      </c>
      <c r="P10" s="149">
        <v>87692.0</v>
      </c>
      <c r="Q10" s="149">
        <v>78470.0</v>
      </c>
      <c r="R10" s="149">
        <v>56353.0</v>
      </c>
    </row>
    <row r="11">
      <c r="A11" s="141" t="s">
        <v>279</v>
      </c>
      <c r="B11" s="142">
        <v>54022.0</v>
      </c>
      <c r="C11" s="142">
        <v>59679.0</v>
      </c>
      <c r="D11" s="142">
        <v>62096.0</v>
      </c>
      <c r="E11" s="142">
        <v>62889.0</v>
      </c>
      <c r="F11" s="142">
        <v>63068.0</v>
      </c>
      <c r="G11" s="142">
        <v>61812.0</v>
      </c>
      <c r="H11" s="142">
        <v>60896.0</v>
      </c>
      <c r="I11" s="142">
        <v>62109.0</v>
      </c>
      <c r="J11" s="142">
        <v>61396.0</v>
      </c>
      <c r="K11" s="142">
        <v>61319.0</v>
      </c>
      <c r="L11" s="142">
        <v>57347.0</v>
      </c>
      <c r="M11" s="142">
        <v>53294.0</v>
      </c>
      <c r="N11" s="142">
        <v>51684.0</v>
      </c>
      <c r="O11" s="149">
        <v>48119.0</v>
      </c>
      <c r="P11" s="149">
        <v>47348.0</v>
      </c>
      <c r="Q11" s="149">
        <v>45290.0</v>
      </c>
      <c r="R11" s="149">
        <v>35691.0</v>
      </c>
    </row>
    <row r="12">
      <c r="A12" s="141" t="s">
        <v>280</v>
      </c>
      <c r="B12" s="142">
        <v>119403.0</v>
      </c>
      <c r="C12" s="142">
        <v>127439.0</v>
      </c>
      <c r="D12" s="142">
        <v>130460.0</v>
      </c>
      <c r="E12" s="142">
        <v>137315.0</v>
      </c>
      <c r="F12" s="142">
        <v>139491.0</v>
      </c>
      <c r="G12" s="142">
        <v>135962.0</v>
      </c>
      <c r="H12" s="142">
        <v>133765.0</v>
      </c>
      <c r="I12" s="142">
        <v>126319.0</v>
      </c>
      <c r="J12" s="142">
        <v>120016.0</v>
      </c>
      <c r="K12" s="142">
        <v>113157.0</v>
      </c>
      <c r="L12" s="142">
        <v>101463.0</v>
      </c>
      <c r="M12" s="142">
        <v>96916.0</v>
      </c>
      <c r="N12" s="142">
        <v>87005.0</v>
      </c>
      <c r="O12" s="149">
        <v>77476.0</v>
      </c>
      <c r="P12" s="149">
        <v>80892.0</v>
      </c>
      <c r="Q12" s="149">
        <v>78032.0</v>
      </c>
      <c r="R12" s="149">
        <v>61237.0</v>
      </c>
    </row>
    <row r="13">
      <c r="A13" s="141" t="s">
        <v>281</v>
      </c>
      <c r="B13" s="142">
        <v>29959.0</v>
      </c>
      <c r="C13" s="142">
        <v>33889.0</v>
      </c>
      <c r="D13" s="142">
        <v>35237.0</v>
      </c>
      <c r="E13" s="142">
        <v>36189.0</v>
      </c>
      <c r="F13" s="142">
        <v>36180.0</v>
      </c>
      <c r="G13" s="142">
        <v>36371.0</v>
      </c>
      <c r="H13" s="142">
        <v>35102.0</v>
      </c>
      <c r="I13" s="142">
        <v>35320.0</v>
      </c>
      <c r="J13" s="142">
        <v>34949.0</v>
      </c>
      <c r="K13" s="142">
        <v>34266.0</v>
      </c>
      <c r="L13" s="142">
        <v>31814.0</v>
      </c>
      <c r="M13" s="142">
        <v>30006.0</v>
      </c>
      <c r="N13" s="142">
        <v>28285.0</v>
      </c>
      <c r="O13" s="149">
        <v>27611.0</v>
      </c>
      <c r="P13" s="149">
        <v>27020.0</v>
      </c>
      <c r="Q13" s="149">
        <v>24623.0</v>
      </c>
      <c r="R13" s="149">
        <v>19277.0</v>
      </c>
    </row>
    <row r="14">
      <c r="A14" s="141" t="s">
        <v>282</v>
      </c>
      <c r="B14" s="142">
        <v>116814.0</v>
      </c>
      <c r="C14" s="142">
        <v>116462.0</v>
      </c>
      <c r="D14" s="142">
        <v>118769.0</v>
      </c>
      <c r="E14" s="142">
        <v>120082.0</v>
      </c>
      <c r="F14" s="142">
        <v>120609.0</v>
      </c>
      <c r="G14" s="142">
        <v>117425.0</v>
      </c>
      <c r="H14" s="142">
        <v>115638.0</v>
      </c>
      <c r="I14" s="142">
        <v>115405.0</v>
      </c>
      <c r="J14" s="142">
        <v>114312.0</v>
      </c>
      <c r="K14" s="142">
        <v>115837.0</v>
      </c>
      <c r="L14" s="142">
        <v>110821.0</v>
      </c>
      <c r="M14" s="142">
        <v>105027.0</v>
      </c>
      <c r="N14" s="142">
        <v>97201.0</v>
      </c>
      <c r="O14" s="149">
        <v>90320.0</v>
      </c>
      <c r="P14" s="149">
        <v>88531.0</v>
      </c>
      <c r="Q14" s="149">
        <v>82942.0</v>
      </c>
      <c r="R14" s="149">
        <v>65651.0</v>
      </c>
    </row>
    <row r="15">
      <c r="A15" s="141" t="s">
        <v>283</v>
      </c>
      <c r="B15" s="142">
        <v>45792.0</v>
      </c>
      <c r="C15" s="142">
        <v>53949.0</v>
      </c>
      <c r="D15" s="142">
        <v>55411.0</v>
      </c>
      <c r="E15" s="142">
        <v>61866.0</v>
      </c>
      <c r="F15" s="142">
        <v>64153.0</v>
      </c>
      <c r="G15" s="142">
        <v>65783.0</v>
      </c>
      <c r="H15" s="142">
        <v>65633.0</v>
      </c>
      <c r="I15" s="142">
        <v>64284.0</v>
      </c>
      <c r="J15" s="142">
        <v>62627.0</v>
      </c>
      <c r="K15" s="142">
        <v>61347.0</v>
      </c>
      <c r="L15" s="142">
        <v>60422.0</v>
      </c>
      <c r="M15" s="142">
        <v>57742.0</v>
      </c>
      <c r="N15" s="142">
        <v>52526.0</v>
      </c>
      <c r="O15" s="149">
        <v>52412.0</v>
      </c>
      <c r="P15" s="149">
        <v>51827.0</v>
      </c>
      <c r="Q15" s="149">
        <v>46362.0</v>
      </c>
      <c r="R15" s="149">
        <v>32110.0</v>
      </c>
    </row>
    <row r="16">
      <c r="A16" s="141" t="s">
        <v>284</v>
      </c>
      <c r="B16" s="142">
        <v>47039.0</v>
      </c>
      <c r="C16" s="142">
        <v>48747.0</v>
      </c>
      <c r="D16" s="142">
        <v>50301.0</v>
      </c>
      <c r="E16" s="142">
        <v>50937.0</v>
      </c>
      <c r="F16" s="142">
        <v>50662.0</v>
      </c>
      <c r="G16" s="142">
        <v>52263.0</v>
      </c>
      <c r="H16" s="142">
        <v>50357.0</v>
      </c>
      <c r="I16" s="142">
        <v>49704.0</v>
      </c>
      <c r="J16" s="142">
        <v>47425.0</v>
      </c>
      <c r="K16" s="142">
        <v>46914.0</v>
      </c>
      <c r="L16" s="142">
        <v>44361.0</v>
      </c>
      <c r="M16" s="142">
        <v>41986.0</v>
      </c>
      <c r="N16" s="142">
        <v>38866.0</v>
      </c>
      <c r="O16" s="149">
        <v>35787.0</v>
      </c>
      <c r="P16" s="149">
        <v>35695.0</v>
      </c>
      <c r="Q16" s="149">
        <v>33927.0</v>
      </c>
      <c r="R16" s="149">
        <v>25491.0</v>
      </c>
    </row>
    <row r="17">
      <c r="A17" s="141" t="s">
        <v>285</v>
      </c>
      <c r="B17" s="142">
        <v>134595.0</v>
      </c>
      <c r="C17" s="142">
        <v>135144.0</v>
      </c>
      <c r="D17" s="142">
        <v>142677.0</v>
      </c>
      <c r="E17" s="142">
        <v>153813.0</v>
      </c>
      <c r="F17" s="142">
        <v>153922.0</v>
      </c>
      <c r="G17" s="142">
        <v>151701.0</v>
      </c>
      <c r="H17" s="142">
        <v>151255.0</v>
      </c>
      <c r="I17" s="142">
        <v>145807.0</v>
      </c>
      <c r="J17" s="142">
        <v>141286.0</v>
      </c>
      <c r="K17" s="142">
        <v>140951.0</v>
      </c>
      <c r="L17" s="142">
        <v>130065.0</v>
      </c>
      <c r="M17" s="142">
        <v>127879.0</v>
      </c>
      <c r="N17" s="142">
        <v>120704.0</v>
      </c>
      <c r="O17" s="149">
        <v>115878.0</v>
      </c>
      <c r="P17" s="149">
        <v>110551.0</v>
      </c>
      <c r="Q17" s="149">
        <v>106222.0</v>
      </c>
      <c r="R17" s="149">
        <v>81540.0</v>
      </c>
    </row>
    <row r="18">
      <c r="A18" s="141" t="s">
        <v>286</v>
      </c>
      <c r="B18" s="142">
        <v>301499.0</v>
      </c>
      <c r="C18" s="142">
        <v>303231.0</v>
      </c>
      <c r="D18" s="142">
        <v>287815.0</v>
      </c>
      <c r="E18" s="142">
        <v>296086.0</v>
      </c>
      <c r="F18" s="142">
        <v>304535.0</v>
      </c>
      <c r="G18" s="142">
        <v>296612.0</v>
      </c>
      <c r="H18" s="142">
        <v>292005.0</v>
      </c>
      <c r="I18" s="142">
        <v>282880.0</v>
      </c>
      <c r="J18" s="142">
        <v>276443.0</v>
      </c>
      <c r="K18" s="142">
        <v>273443.0</v>
      </c>
      <c r="L18" s="142">
        <v>252954.0</v>
      </c>
      <c r="M18" s="142">
        <v>237190.0</v>
      </c>
      <c r="N18" s="142">
        <v>216640.0</v>
      </c>
      <c r="O18" s="149">
        <v>193476.0</v>
      </c>
      <c r="P18" s="149">
        <v>198535.0</v>
      </c>
      <c r="Q18" s="149">
        <v>187299.0</v>
      </c>
      <c r="R18" s="149">
        <v>148193.0</v>
      </c>
    </row>
    <row r="19">
      <c r="A19" s="141" t="s">
        <v>287</v>
      </c>
      <c r="B19" s="142">
        <v>85238.0</v>
      </c>
      <c r="C19" s="142">
        <v>84458.0</v>
      </c>
      <c r="D19" s="142">
        <v>86480.0</v>
      </c>
      <c r="E19" s="142">
        <v>91560.0</v>
      </c>
      <c r="F19" s="142">
        <v>95934.0</v>
      </c>
      <c r="G19" s="142">
        <v>95253.0</v>
      </c>
      <c r="H19" s="142">
        <v>92234.0</v>
      </c>
      <c r="I19" s="142">
        <v>90367.0</v>
      </c>
      <c r="J19" s="142">
        <v>87475.0</v>
      </c>
      <c r="K19" s="142">
        <v>88594.0</v>
      </c>
      <c r="L19" s="142">
        <v>82382.0</v>
      </c>
      <c r="M19" s="142">
        <v>82827.0</v>
      </c>
      <c r="N19" s="142">
        <v>78218.0</v>
      </c>
      <c r="O19" s="149">
        <v>74122.0</v>
      </c>
      <c r="P19" s="149">
        <v>72169.0</v>
      </c>
      <c r="Q19" s="149">
        <v>65768.0</v>
      </c>
      <c r="R19" s="149">
        <v>47393.0</v>
      </c>
    </row>
    <row r="20">
      <c r="A20" s="141" t="s">
        <v>288</v>
      </c>
      <c r="B20" s="142">
        <v>31232.0</v>
      </c>
      <c r="C20" s="142">
        <v>30023.0</v>
      </c>
      <c r="D20" s="142">
        <v>32132.0</v>
      </c>
      <c r="E20" s="142">
        <v>32497.0</v>
      </c>
      <c r="F20" s="142">
        <v>33316.0</v>
      </c>
      <c r="G20" s="142">
        <v>33695.0</v>
      </c>
      <c r="H20" s="142">
        <v>33138.0</v>
      </c>
      <c r="I20" s="142">
        <v>32775.0</v>
      </c>
      <c r="J20" s="142">
        <v>31988.0</v>
      </c>
      <c r="K20" s="142">
        <v>30730.0</v>
      </c>
      <c r="L20" s="142">
        <v>27738.0</v>
      </c>
      <c r="M20" s="142">
        <v>26613.0</v>
      </c>
      <c r="N20" s="142">
        <v>25987.0</v>
      </c>
      <c r="O20" s="149">
        <v>24681.0</v>
      </c>
      <c r="P20" s="149">
        <v>24055.0</v>
      </c>
      <c r="Q20" s="149">
        <v>21958.0</v>
      </c>
      <c r="R20" s="149">
        <v>16278.0</v>
      </c>
    </row>
    <row r="21">
      <c r="A21" s="141" t="s">
        <v>289</v>
      </c>
      <c r="B21" s="142">
        <v>20066.0</v>
      </c>
      <c r="C21" s="142">
        <v>20998.0</v>
      </c>
      <c r="D21" s="142">
        <v>20895.0</v>
      </c>
      <c r="E21" s="142">
        <v>21776.0</v>
      </c>
      <c r="F21" s="142">
        <v>21999.0</v>
      </c>
      <c r="G21" s="142">
        <v>22169.0</v>
      </c>
      <c r="H21" s="142">
        <v>21034.0</v>
      </c>
      <c r="I21" s="142">
        <v>20293.0</v>
      </c>
      <c r="J21" s="142">
        <v>19763.0</v>
      </c>
      <c r="K21" s="142">
        <v>19975.0</v>
      </c>
      <c r="L21" s="142">
        <v>18390.0</v>
      </c>
      <c r="M21" s="142">
        <v>17834.0</v>
      </c>
      <c r="N21" s="142">
        <v>17387.0</v>
      </c>
      <c r="O21" s="149">
        <v>16418.0</v>
      </c>
      <c r="P21" s="149">
        <v>16104.0</v>
      </c>
      <c r="Q21" s="149">
        <v>15771.0</v>
      </c>
      <c r="R21" s="149">
        <v>11454.0</v>
      </c>
    </row>
    <row r="22">
      <c r="A22" s="141" t="s">
        <v>290</v>
      </c>
      <c r="B22" s="142">
        <v>75436.0</v>
      </c>
      <c r="C22" s="142">
        <v>75467.0</v>
      </c>
      <c r="D22" s="142">
        <v>79298.0</v>
      </c>
      <c r="E22" s="142">
        <v>85225.0</v>
      </c>
      <c r="F22" s="142">
        <v>82833.0</v>
      </c>
      <c r="G22" s="142">
        <v>87982.0</v>
      </c>
      <c r="H22" s="142">
        <v>91106.0</v>
      </c>
      <c r="I22" s="142">
        <v>93599.0</v>
      </c>
      <c r="J22" s="142">
        <v>93429.0</v>
      </c>
      <c r="K22" s="142">
        <v>92162.0</v>
      </c>
      <c r="L22" s="142">
        <v>90281.0</v>
      </c>
      <c r="M22" s="142">
        <v>87289.0</v>
      </c>
      <c r="N22" s="142">
        <v>81697.0</v>
      </c>
      <c r="O22" s="149">
        <v>75141.0</v>
      </c>
      <c r="P22" s="149">
        <v>73136.0</v>
      </c>
      <c r="Q22" s="149">
        <v>73499.0</v>
      </c>
      <c r="R22" s="149">
        <v>55846.0</v>
      </c>
    </row>
    <row r="23">
      <c r="A23" s="141" t="s">
        <v>291</v>
      </c>
      <c r="B23" s="142">
        <v>43324.0</v>
      </c>
      <c r="C23" s="142">
        <v>55712.0</v>
      </c>
      <c r="D23" s="142">
        <v>63171.0</v>
      </c>
      <c r="E23" s="142">
        <v>69134.0</v>
      </c>
      <c r="F23" s="142">
        <v>71740.0</v>
      </c>
      <c r="G23" s="142">
        <v>73003.0</v>
      </c>
      <c r="H23" s="142">
        <v>74839.0</v>
      </c>
      <c r="I23" s="142">
        <v>73125.0</v>
      </c>
      <c r="J23" s="142">
        <v>71752.0</v>
      </c>
      <c r="K23" s="142">
        <v>70439.0</v>
      </c>
      <c r="L23" s="142">
        <v>69992.0</v>
      </c>
      <c r="M23" s="142">
        <v>65712.0</v>
      </c>
      <c r="N23" s="142">
        <v>63142.0</v>
      </c>
      <c r="O23" s="149">
        <v>57977.0</v>
      </c>
      <c r="P23" s="149">
        <v>57037.0</v>
      </c>
      <c r="Q23" s="149">
        <v>51321.0</v>
      </c>
      <c r="R23" s="149">
        <v>36343.0</v>
      </c>
    </row>
    <row r="24">
      <c r="A24" s="141" t="s">
        <v>292</v>
      </c>
      <c r="B24" s="142">
        <v>110768.0</v>
      </c>
      <c r="C24" s="142">
        <v>115328.0</v>
      </c>
      <c r="D24" s="142">
        <v>117126.0</v>
      </c>
      <c r="E24" s="142">
        <v>122668.0</v>
      </c>
      <c r="F24" s="142">
        <v>126359.0</v>
      </c>
      <c r="G24" s="142">
        <v>125618.0</v>
      </c>
      <c r="H24" s="142">
        <v>122225.0</v>
      </c>
      <c r="I24" s="142">
        <v>123832.0</v>
      </c>
      <c r="J24" s="142">
        <v>122521.0</v>
      </c>
      <c r="K24" s="142">
        <v>124665.0</v>
      </c>
      <c r="L24" s="142">
        <v>118671.0</v>
      </c>
      <c r="M24" s="142">
        <v>115050.0</v>
      </c>
      <c r="N24" s="142">
        <v>108447.0</v>
      </c>
      <c r="O24" s="149">
        <v>100690.0</v>
      </c>
      <c r="P24" s="149">
        <v>101587.0</v>
      </c>
      <c r="Q24" s="149">
        <v>93141.0</v>
      </c>
      <c r="R24" s="149">
        <v>70524.0</v>
      </c>
    </row>
    <row r="25">
      <c r="A25" s="141" t="s">
        <v>293</v>
      </c>
      <c r="B25" s="142">
        <v>38389.0</v>
      </c>
      <c r="C25" s="142">
        <v>36789.0</v>
      </c>
      <c r="D25" s="142">
        <v>37648.0</v>
      </c>
      <c r="E25" s="142">
        <v>39838.0</v>
      </c>
      <c r="F25" s="142">
        <v>40401.0</v>
      </c>
      <c r="G25" s="142">
        <v>39970.0</v>
      </c>
      <c r="H25" s="142">
        <v>40571.0</v>
      </c>
      <c r="I25" s="142">
        <v>40257.0</v>
      </c>
      <c r="J25" s="142">
        <v>39687.0</v>
      </c>
      <c r="K25" s="142">
        <v>39709.0</v>
      </c>
      <c r="L25" s="142">
        <v>38938.0</v>
      </c>
      <c r="M25" s="142">
        <v>37346.0</v>
      </c>
      <c r="N25" s="142">
        <v>35134.0</v>
      </c>
      <c r="O25" s="149">
        <v>31886.0</v>
      </c>
      <c r="P25" s="149">
        <v>31946.0</v>
      </c>
      <c r="Q25" s="149">
        <v>30108.0</v>
      </c>
      <c r="R25" s="149">
        <v>23531.0</v>
      </c>
    </row>
    <row r="26">
      <c r="A26" s="141" t="s">
        <v>294</v>
      </c>
      <c r="B26" s="142">
        <v>24327.0</v>
      </c>
      <c r="C26" s="142">
        <v>27627.0</v>
      </c>
      <c r="D26" s="142">
        <v>24139.0</v>
      </c>
      <c r="E26" s="142">
        <v>25986.0</v>
      </c>
      <c r="F26" s="142">
        <v>27778.0</v>
      </c>
      <c r="G26" s="142">
        <v>28152.0</v>
      </c>
      <c r="H26" s="142">
        <v>28785.0</v>
      </c>
      <c r="I26" s="142">
        <v>28949.0</v>
      </c>
      <c r="J26" s="142">
        <v>28343.0</v>
      </c>
      <c r="K26" s="142">
        <v>28659.0</v>
      </c>
      <c r="L26" s="142">
        <v>27190.0</v>
      </c>
      <c r="M26" s="142">
        <v>28187.0</v>
      </c>
      <c r="N26" s="142">
        <v>25683.0</v>
      </c>
      <c r="O26" s="149">
        <v>22864.0</v>
      </c>
      <c r="P26" s="149">
        <v>23784.0</v>
      </c>
      <c r="Q26" s="149">
        <v>23328.0</v>
      </c>
      <c r="R26" s="149">
        <v>17980.0</v>
      </c>
    </row>
    <row r="27">
      <c r="A27" s="141" t="s">
        <v>295</v>
      </c>
      <c r="B27" s="142">
        <v>48734.0</v>
      </c>
      <c r="C27" s="142">
        <v>48860.0</v>
      </c>
      <c r="D27" s="142">
        <v>49950.0</v>
      </c>
      <c r="E27" s="142">
        <v>49693.0</v>
      </c>
      <c r="F27" s="142">
        <v>50131.0</v>
      </c>
      <c r="G27" s="142">
        <v>49165.0</v>
      </c>
      <c r="H27" s="142">
        <v>49989.0</v>
      </c>
      <c r="I27" s="142">
        <v>48896.0</v>
      </c>
      <c r="J27" s="142">
        <v>47534.0</v>
      </c>
      <c r="K27" s="142">
        <v>47353.0</v>
      </c>
      <c r="L27" s="142">
        <v>46044.0</v>
      </c>
      <c r="M27" s="142">
        <v>44430.0</v>
      </c>
      <c r="N27" s="142">
        <v>43661.0</v>
      </c>
      <c r="O27" s="149">
        <v>41303.0</v>
      </c>
      <c r="P27" s="149">
        <v>40292.0</v>
      </c>
      <c r="Q27" s="149">
        <v>36780.0</v>
      </c>
      <c r="R27" s="149">
        <v>28523.0</v>
      </c>
    </row>
    <row r="28">
      <c r="A28" s="141" t="s">
        <v>296</v>
      </c>
      <c r="B28" s="142">
        <v>49875.0</v>
      </c>
      <c r="C28" s="142">
        <v>51672.0</v>
      </c>
      <c r="D28" s="142">
        <v>52624.0</v>
      </c>
      <c r="E28" s="142">
        <v>53501.0</v>
      </c>
      <c r="F28" s="142">
        <v>53024.0</v>
      </c>
      <c r="G28" s="142">
        <v>52447.0</v>
      </c>
      <c r="H28" s="142">
        <v>50642.0</v>
      </c>
      <c r="I28" s="142">
        <v>49210.0</v>
      </c>
      <c r="J28" s="142">
        <v>48880.0</v>
      </c>
      <c r="K28" s="142">
        <v>49476.0</v>
      </c>
      <c r="L28" s="142">
        <v>45588.0</v>
      </c>
      <c r="M28" s="142">
        <v>44498.0</v>
      </c>
      <c r="N28" s="142">
        <v>41821.0</v>
      </c>
      <c r="O28" s="149">
        <v>38890.0</v>
      </c>
      <c r="P28" s="149">
        <v>39118.0</v>
      </c>
      <c r="Q28" s="149">
        <v>37147.0</v>
      </c>
      <c r="R28" s="149">
        <v>27542.0</v>
      </c>
    </row>
    <row r="29">
      <c r="A29" s="141" t="s">
        <v>297</v>
      </c>
      <c r="B29" s="142">
        <v>48981.0</v>
      </c>
      <c r="C29" s="142">
        <v>47010.0</v>
      </c>
      <c r="D29" s="142">
        <v>42313.0</v>
      </c>
      <c r="E29" s="142">
        <v>48508.0</v>
      </c>
      <c r="F29" s="142">
        <v>48958.0</v>
      </c>
      <c r="G29" s="142">
        <v>47083.0</v>
      </c>
      <c r="H29" s="142">
        <v>47783.0</v>
      </c>
      <c r="I29" s="142">
        <v>46794.0</v>
      </c>
      <c r="J29" s="142">
        <v>42498.0</v>
      </c>
      <c r="K29" s="142">
        <v>44723.0</v>
      </c>
      <c r="L29" s="142">
        <v>41210.0</v>
      </c>
      <c r="M29" s="142">
        <v>40056.0</v>
      </c>
      <c r="N29" s="142">
        <v>38521.0</v>
      </c>
      <c r="O29" s="149">
        <v>35322.0</v>
      </c>
      <c r="P29" s="149">
        <v>33996.0</v>
      </c>
      <c r="Q29" s="149">
        <v>32143.0</v>
      </c>
      <c r="R29" s="149">
        <v>24500.0</v>
      </c>
    </row>
    <row r="30">
      <c r="A30" s="141" t="s">
        <v>298</v>
      </c>
      <c r="B30" s="142">
        <v>48272.0</v>
      </c>
      <c r="C30" s="142">
        <v>50370.0</v>
      </c>
      <c r="D30" s="142">
        <v>50184.0</v>
      </c>
      <c r="E30" s="142">
        <v>50748.0</v>
      </c>
      <c r="F30" s="142">
        <v>49766.0</v>
      </c>
      <c r="G30" s="142">
        <v>51051.0</v>
      </c>
      <c r="H30" s="142">
        <v>49193.0</v>
      </c>
      <c r="I30" s="142">
        <v>50416.0</v>
      </c>
      <c r="J30" s="142">
        <v>46811.0</v>
      </c>
      <c r="K30" s="142">
        <v>44646.0</v>
      </c>
      <c r="L30" s="142">
        <v>42039.0</v>
      </c>
      <c r="M30" s="142">
        <v>39095.0</v>
      </c>
      <c r="N30" s="142">
        <v>37673.0</v>
      </c>
      <c r="O30" s="149">
        <v>35587.0</v>
      </c>
      <c r="P30" s="149">
        <v>34508.0</v>
      </c>
      <c r="Q30" s="149">
        <v>32614.0</v>
      </c>
      <c r="R30" s="149">
        <v>24999.0</v>
      </c>
    </row>
    <row r="31">
      <c r="A31" s="141" t="s">
        <v>299</v>
      </c>
      <c r="B31" s="142">
        <v>65995.0</v>
      </c>
      <c r="C31" s="142">
        <v>65648.0</v>
      </c>
      <c r="D31" s="142">
        <v>64836.0</v>
      </c>
      <c r="E31" s="142">
        <v>63568.0</v>
      </c>
      <c r="F31" s="142">
        <v>61622.0</v>
      </c>
      <c r="G31" s="142">
        <v>59920.0</v>
      </c>
      <c r="H31" s="142">
        <v>59674.0</v>
      </c>
      <c r="I31" s="142">
        <v>59352.0</v>
      </c>
      <c r="J31" s="142">
        <v>57235.0</v>
      </c>
      <c r="K31" s="142">
        <v>55628.0</v>
      </c>
      <c r="L31" s="142">
        <v>53649.0</v>
      </c>
      <c r="M31" s="142">
        <v>51731.0</v>
      </c>
      <c r="N31" s="142">
        <v>49423.0</v>
      </c>
      <c r="O31" s="149">
        <v>44172.0</v>
      </c>
      <c r="P31" s="149">
        <v>43347.0</v>
      </c>
      <c r="Q31" s="149">
        <v>40780.0</v>
      </c>
      <c r="R31" s="149">
        <v>31963.0</v>
      </c>
    </row>
    <row r="32">
      <c r="A32" s="141" t="s">
        <v>300</v>
      </c>
      <c r="B32" s="142">
        <v>24285.0</v>
      </c>
      <c r="C32" s="142">
        <v>24693.0</v>
      </c>
      <c r="D32" s="142">
        <v>24288.0</v>
      </c>
      <c r="E32" s="142">
        <v>25645.0</v>
      </c>
      <c r="F32" s="142">
        <v>26918.0</v>
      </c>
      <c r="G32" s="142">
        <v>25903.0</v>
      </c>
      <c r="H32" s="142">
        <v>25309.0</v>
      </c>
      <c r="I32" s="142">
        <v>24895.0</v>
      </c>
      <c r="J32" s="142">
        <v>24164.0</v>
      </c>
      <c r="K32" s="142">
        <v>24329.0</v>
      </c>
      <c r="L32" s="142">
        <v>23700.0</v>
      </c>
      <c r="M32" s="142">
        <v>22369.0</v>
      </c>
      <c r="N32" s="142">
        <v>20780.0</v>
      </c>
      <c r="O32" s="149">
        <v>19105.0</v>
      </c>
      <c r="P32" s="149">
        <v>19574.0</v>
      </c>
      <c r="Q32" s="149">
        <v>18387.0</v>
      </c>
      <c r="R32" s="149">
        <v>13911.0</v>
      </c>
    </row>
    <row r="33">
      <c r="A33" s="141" t="s">
        <v>301</v>
      </c>
      <c r="B33" s="142">
        <v>107574.0</v>
      </c>
      <c r="C33" s="142">
        <v>116591.0</v>
      </c>
      <c r="D33" s="142">
        <v>118164.0</v>
      </c>
      <c r="E33" s="142">
        <v>128077.0</v>
      </c>
      <c r="F33" s="142">
        <v>135077.0</v>
      </c>
      <c r="G33" s="142">
        <v>137944.0</v>
      </c>
      <c r="H33" s="142">
        <v>135800.0</v>
      </c>
      <c r="I33" s="142">
        <v>130736.0</v>
      </c>
      <c r="J33" s="142">
        <v>121969.0</v>
      </c>
      <c r="K33" s="142">
        <v>117498.0</v>
      </c>
      <c r="L33" s="142">
        <v>113402.0</v>
      </c>
      <c r="M33" s="142">
        <v>105103.0</v>
      </c>
      <c r="N33" s="142">
        <v>98920.0</v>
      </c>
      <c r="O33" s="149">
        <v>94793.0</v>
      </c>
      <c r="P33" s="149">
        <v>93354.0</v>
      </c>
      <c r="Q33" s="149">
        <v>87139.0</v>
      </c>
      <c r="R33" s="149">
        <v>64816.0</v>
      </c>
    </row>
    <row r="34">
      <c r="A34" s="141" t="s">
        <v>302</v>
      </c>
      <c r="B34" s="142">
        <v>33211.0</v>
      </c>
      <c r="C34" s="142">
        <v>34863.0</v>
      </c>
      <c r="D34" s="142">
        <v>34103.0</v>
      </c>
      <c r="E34" s="142">
        <v>33690.0</v>
      </c>
      <c r="F34" s="142">
        <v>35486.0</v>
      </c>
      <c r="G34" s="142">
        <v>35368.0</v>
      </c>
      <c r="H34" s="142">
        <v>36337.0</v>
      </c>
      <c r="I34" s="142">
        <v>36835.0</v>
      </c>
      <c r="J34" s="142">
        <v>34691.0</v>
      </c>
      <c r="K34" s="142">
        <v>34418.0</v>
      </c>
      <c r="L34" s="142">
        <v>34190.0</v>
      </c>
      <c r="M34" s="142">
        <v>32369.0</v>
      </c>
      <c r="N34" s="142">
        <v>29805.0</v>
      </c>
      <c r="O34" s="149">
        <v>26552.0</v>
      </c>
      <c r="P34" s="149">
        <v>27002.0</v>
      </c>
      <c r="Q34" s="149">
        <v>25325.0</v>
      </c>
      <c r="R34" s="149">
        <v>19376.0</v>
      </c>
    </row>
    <row r="35">
      <c r="A35" s="141" t="s">
        <v>303</v>
      </c>
      <c r="B35" s="142">
        <v>28179.0</v>
      </c>
      <c r="C35" s="142">
        <v>29526.0</v>
      </c>
      <c r="D35" s="142">
        <v>30354.0</v>
      </c>
      <c r="E35" s="142">
        <v>30669.0</v>
      </c>
      <c r="F35" s="142">
        <v>31203.0</v>
      </c>
      <c r="G35" s="142">
        <v>31710.0</v>
      </c>
      <c r="H35" s="142">
        <v>30767.0</v>
      </c>
      <c r="I35" s="142">
        <v>30719.0</v>
      </c>
      <c r="J35" s="142">
        <v>30656.0</v>
      </c>
      <c r="K35" s="142">
        <v>30672.0</v>
      </c>
      <c r="L35" s="142">
        <v>28829.0</v>
      </c>
      <c r="M35" s="142">
        <v>27392.0</v>
      </c>
      <c r="N35" s="142">
        <v>26460.0</v>
      </c>
      <c r="O35" s="149">
        <v>25056.0</v>
      </c>
      <c r="P35" s="149">
        <v>23460.0</v>
      </c>
      <c r="Q35" s="149">
        <v>21130.0</v>
      </c>
      <c r="R35" s="149">
        <v>16318.0</v>
      </c>
    </row>
    <row r="36">
      <c r="A36" s="150" t="s">
        <v>304</v>
      </c>
      <c r="B36" s="151">
        <v>1962142.0</v>
      </c>
      <c r="C36" s="151">
        <v>2047450.0</v>
      </c>
      <c r="D36" s="151">
        <v>2063020.0</v>
      </c>
      <c r="E36" s="151">
        <v>2157702.0</v>
      </c>
      <c r="F36" s="151">
        <v>2199066.0</v>
      </c>
      <c r="G36" s="151">
        <v>2190258.0</v>
      </c>
      <c r="H36" s="151">
        <v>2171869.0</v>
      </c>
      <c r="I36" s="151">
        <v>2139889.0</v>
      </c>
      <c r="J36" s="151">
        <v>2074338.0</v>
      </c>
      <c r="K36" s="151">
        <v>2059158.0</v>
      </c>
      <c r="L36" s="151">
        <v>1935165.0</v>
      </c>
      <c r="M36" s="151">
        <v>1863432.0</v>
      </c>
      <c r="N36" s="151">
        <v>1744277.0</v>
      </c>
      <c r="O36" s="151">
        <v>1636698.0</v>
      </c>
      <c r="P36" s="151">
        <v>1620613.0</v>
      </c>
      <c r="Q36" s="151">
        <v>1519738.0</v>
      </c>
      <c r="R36" s="151">
        <v>1156181.0</v>
      </c>
      <c r="S36" s="152"/>
      <c r="T36" s="152"/>
      <c r="U36" s="152"/>
      <c r="V36" s="152"/>
      <c r="W36" s="152"/>
      <c r="X36" s="152"/>
      <c r="Y36" s="152"/>
      <c r="Z36" s="15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sheetData>
    <row r="1" ht="34.5" customHeight="1">
      <c r="A1" s="153" t="s">
        <v>306</v>
      </c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</row>
    <row r="2">
      <c r="A2" s="140" t="s">
        <v>271</v>
      </c>
      <c r="B2" s="140">
        <v>1998.0</v>
      </c>
      <c r="C2" s="140">
        <v>1999.0</v>
      </c>
      <c r="D2" s="140">
        <v>2000.0</v>
      </c>
      <c r="E2" s="140">
        <v>2001.0</v>
      </c>
      <c r="F2" s="140">
        <v>2002.0</v>
      </c>
      <c r="G2" s="140">
        <v>2003.0</v>
      </c>
      <c r="H2" s="140">
        <v>2004.0</v>
      </c>
      <c r="I2" s="140">
        <v>2005.0</v>
      </c>
      <c r="J2" s="140">
        <v>2006.0</v>
      </c>
      <c r="K2" s="140">
        <v>2007.0</v>
      </c>
      <c r="L2" s="140">
        <v>2008.0</v>
      </c>
      <c r="M2" s="140">
        <v>2009.0</v>
      </c>
      <c r="N2" s="140">
        <v>2010.0</v>
      </c>
      <c r="O2" s="140">
        <v>2011.0</v>
      </c>
      <c r="P2" s="140">
        <v>2012.0</v>
      </c>
      <c r="Q2" s="140">
        <v>2013.0</v>
      </c>
      <c r="R2" s="140">
        <v>2014.0</v>
      </c>
      <c r="S2" s="140">
        <v>2015.0</v>
      </c>
      <c r="T2" s="140">
        <v>2016.0</v>
      </c>
      <c r="U2" s="140">
        <v>2017.0</v>
      </c>
      <c r="V2" s="140">
        <v>2018.0</v>
      </c>
      <c r="W2" s="140">
        <v>2019.0</v>
      </c>
      <c r="X2" s="140">
        <v>2020.0</v>
      </c>
      <c r="Y2" s="140">
        <v>2021.0</v>
      </c>
      <c r="Z2" s="140">
        <v>2022.0</v>
      </c>
      <c r="AA2" s="140">
        <v>2023.0</v>
      </c>
    </row>
    <row r="3">
      <c r="A3" s="141" t="s">
        <v>272</v>
      </c>
      <c r="B3" s="142">
        <v>3783.0</v>
      </c>
      <c r="C3" s="142">
        <v>3917.0</v>
      </c>
      <c r="D3" s="142">
        <v>3728.0</v>
      </c>
      <c r="E3" s="142">
        <v>3826.0</v>
      </c>
      <c r="F3" s="142">
        <v>4301.0</v>
      </c>
      <c r="G3" s="142">
        <v>4293.0</v>
      </c>
      <c r="H3" s="142">
        <v>4242.0</v>
      </c>
      <c r="I3" s="142">
        <v>4431.0</v>
      </c>
      <c r="J3" s="142">
        <v>4488.0</v>
      </c>
      <c r="K3" s="142">
        <v>4694.0</v>
      </c>
      <c r="L3" s="142">
        <v>4955.0</v>
      </c>
      <c r="M3" s="142">
        <v>4987.0</v>
      </c>
      <c r="N3" s="142">
        <v>5177.0</v>
      </c>
      <c r="O3" s="142">
        <v>4934.0</v>
      </c>
      <c r="P3" s="142">
        <v>5267.0</v>
      </c>
      <c r="Q3" s="142">
        <v>5522.0</v>
      </c>
      <c r="R3" s="142">
        <v>5567.0</v>
      </c>
      <c r="S3" s="142">
        <v>5636.0</v>
      </c>
      <c r="T3" s="142">
        <v>5910.0</v>
      </c>
      <c r="U3" s="142">
        <v>6158.0</v>
      </c>
      <c r="V3" s="142">
        <v>6226.0</v>
      </c>
      <c r="W3" s="142">
        <v>6768.0</v>
      </c>
      <c r="X3" s="154">
        <v>9548.0</v>
      </c>
      <c r="Y3" s="154">
        <v>9712.0</v>
      </c>
      <c r="Z3" s="154">
        <v>8081.0</v>
      </c>
      <c r="AA3" s="154">
        <v>7343.0</v>
      </c>
    </row>
    <row r="4">
      <c r="A4" s="141" t="s">
        <v>273</v>
      </c>
      <c r="B4" s="142">
        <v>10910.0</v>
      </c>
      <c r="C4" s="142">
        <v>11301.0</v>
      </c>
      <c r="D4" s="142">
        <v>11364.0</v>
      </c>
      <c r="E4" s="142">
        <v>11090.0</v>
      </c>
      <c r="F4" s="142">
        <v>11365.0</v>
      </c>
      <c r="G4" s="142">
        <v>11918.0</v>
      </c>
      <c r="H4" s="142">
        <v>12422.0</v>
      </c>
      <c r="I4" s="142">
        <v>12695.0</v>
      </c>
      <c r="J4" s="142">
        <v>12696.0</v>
      </c>
      <c r="K4" s="142">
        <v>13069.0</v>
      </c>
      <c r="L4" s="142">
        <v>14052.0</v>
      </c>
      <c r="M4" s="142">
        <v>15232.0</v>
      </c>
      <c r="N4" s="142">
        <v>15400.0</v>
      </c>
      <c r="O4" s="142">
        <v>14922.0</v>
      </c>
      <c r="P4" s="142">
        <v>14756.0</v>
      </c>
      <c r="Q4" s="142">
        <v>15947.0</v>
      </c>
      <c r="R4" s="142">
        <v>16198.0</v>
      </c>
      <c r="S4" s="142">
        <v>17152.0</v>
      </c>
      <c r="T4" s="142">
        <v>18253.0</v>
      </c>
      <c r="U4" s="142">
        <v>19073.0</v>
      </c>
      <c r="V4" s="142">
        <v>20501.0</v>
      </c>
      <c r="W4" s="142">
        <v>20924.0</v>
      </c>
      <c r="X4" s="154">
        <v>32662.0</v>
      </c>
      <c r="Y4" s="154">
        <v>28596.0</v>
      </c>
      <c r="Z4" s="154">
        <v>24693.0</v>
      </c>
      <c r="AA4" s="154">
        <v>22497.0</v>
      </c>
    </row>
    <row r="5">
      <c r="A5" s="141" t="s">
        <v>274</v>
      </c>
      <c r="B5" s="142">
        <v>1553.0</v>
      </c>
      <c r="C5" s="142">
        <v>1665.0</v>
      </c>
      <c r="D5" s="142">
        <v>1697.0</v>
      </c>
      <c r="E5" s="142">
        <v>1782.0</v>
      </c>
      <c r="F5" s="142">
        <v>1785.0</v>
      </c>
      <c r="G5" s="142">
        <v>1925.0</v>
      </c>
      <c r="H5" s="142">
        <v>1911.0</v>
      </c>
      <c r="I5" s="142">
        <v>2092.0</v>
      </c>
      <c r="J5" s="142">
        <v>2171.0</v>
      </c>
      <c r="K5" s="142">
        <v>2353.0</v>
      </c>
      <c r="L5" s="142">
        <v>2385.0</v>
      </c>
      <c r="M5" s="142">
        <v>2476.0</v>
      </c>
      <c r="N5" s="142">
        <v>2434.0</v>
      </c>
      <c r="O5" s="142">
        <v>2602.0</v>
      </c>
      <c r="P5" s="142">
        <v>2739.0</v>
      </c>
      <c r="Q5" s="142">
        <v>2757.0</v>
      </c>
      <c r="R5" s="142">
        <v>2826.0</v>
      </c>
      <c r="S5" s="142">
        <v>3175.0</v>
      </c>
      <c r="T5" s="142">
        <v>3183.0</v>
      </c>
      <c r="U5" s="142">
        <v>3826.0</v>
      </c>
      <c r="V5" s="142">
        <v>3447.0</v>
      </c>
      <c r="W5" s="142">
        <v>3556.0</v>
      </c>
      <c r="X5" s="154">
        <v>4867.0</v>
      </c>
      <c r="Y5" s="154">
        <v>5925.0</v>
      </c>
      <c r="Z5" s="154">
        <v>4302.0</v>
      </c>
      <c r="AA5" s="154">
        <v>4020.0</v>
      </c>
    </row>
    <row r="6">
      <c r="A6" s="141" t="s">
        <v>275</v>
      </c>
      <c r="B6" s="142">
        <v>2709.0</v>
      </c>
      <c r="C6" s="142">
        <v>2544.0</v>
      </c>
      <c r="D6" s="142">
        <v>2526.0</v>
      </c>
      <c r="E6" s="142">
        <v>2493.0</v>
      </c>
      <c r="F6" s="142">
        <v>2750.0</v>
      </c>
      <c r="G6" s="142">
        <v>2827.0</v>
      </c>
      <c r="H6" s="142">
        <v>2946.0</v>
      </c>
      <c r="I6" s="142">
        <v>3019.0</v>
      </c>
      <c r="J6" s="142">
        <v>3084.0</v>
      </c>
      <c r="K6" s="142">
        <v>3186.0</v>
      </c>
      <c r="L6" s="142">
        <v>3516.0</v>
      </c>
      <c r="M6" s="142">
        <v>3651.0</v>
      </c>
      <c r="N6" s="142">
        <v>3820.0</v>
      </c>
      <c r="O6" s="142">
        <v>3736.0</v>
      </c>
      <c r="P6" s="142">
        <v>3964.0</v>
      </c>
      <c r="Q6" s="142">
        <v>4139.0</v>
      </c>
      <c r="R6" s="142">
        <v>4249.0</v>
      </c>
      <c r="S6" s="142">
        <v>4714.0</v>
      </c>
      <c r="T6" s="142">
        <v>4932.0</v>
      </c>
      <c r="U6" s="142">
        <v>4631.0</v>
      </c>
      <c r="V6" s="142">
        <v>4835.0</v>
      </c>
      <c r="W6" s="142">
        <v>5121.0</v>
      </c>
      <c r="X6" s="154">
        <v>7549.0</v>
      </c>
      <c r="Y6" s="154">
        <v>7509.0</v>
      </c>
      <c r="Z6" s="154">
        <v>5687.0</v>
      </c>
      <c r="AA6" s="154">
        <v>5589.0</v>
      </c>
    </row>
    <row r="7">
      <c r="A7" s="141" t="s">
        <v>276</v>
      </c>
      <c r="B7" s="142">
        <v>10202.0</v>
      </c>
      <c r="C7" s="142">
        <v>9706.0</v>
      </c>
      <c r="D7" s="142">
        <v>10229.0</v>
      </c>
      <c r="E7" s="142">
        <v>10748.0</v>
      </c>
      <c r="F7" s="142">
        <v>11030.0</v>
      </c>
      <c r="G7" s="142">
        <v>11458.0</v>
      </c>
      <c r="H7" s="142">
        <v>11044.0</v>
      </c>
      <c r="I7" s="142">
        <v>12377.0</v>
      </c>
      <c r="J7" s="142">
        <v>11955.0</v>
      </c>
      <c r="K7" s="142">
        <v>12626.0</v>
      </c>
      <c r="L7" s="142">
        <v>12981.0</v>
      </c>
      <c r="M7" s="142">
        <v>13792.0</v>
      </c>
      <c r="N7" s="142">
        <v>14593.0</v>
      </c>
      <c r="O7" s="142">
        <v>14640.0</v>
      </c>
      <c r="P7" s="142">
        <v>15200.0</v>
      </c>
      <c r="Q7" s="142">
        <v>15716.0</v>
      </c>
      <c r="R7" s="142">
        <v>16466.0</v>
      </c>
      <c r="S7" s="142">
        <v>16167.0</v>
      </c>
      <c r="T7" s="142">
        <v>16605.0</v>
      </c>
      <c r="U7" s="142">
        <v>16660.0</v>
      </c>
      <c r="V7" s="142">
        <v>17013.0</v>
      </c>
      <c r="W7" s="142">
        <v>17794.0</v>
      </c>
      <c r="X7" s="154">
        <v>28190.0</v>
      </c>
      <c r="Y7" s="154">
        <v>23814.0</v>
      </c>
      <c r="Z7" s="154">
        <v>21209.0</v>
      </c>
      <c r="AA7" s="154">
        <v>19540.0</v>
      </c>
    </row>
    <row r="8">
      <c r="A8" s="141" t="s">
        <v>277</v>
      </c>
      <c r="B8" s="142">
        <v>2370.0</v>
      </c>
      <c r="C8" s="142">
        <v>2351.0</v>
      </c>
      <c r="D8" s="142">
        <v>2412.0</v>
      </c>
      <c r="E8" s="142">
        <v>2449.0</v>
      </c>
      <c r="F8" s="142">
        <v>2512.0</v>
      </c>
      <c r="G8" s="142">
        <v>2442.0</v>
      </c>
      <c r="H8" s="142">
        <v>2594.0</v>
      </c>
      <c r="I8" s="142">
        <v>2759.0</v>
      </c>
      <c r="J8" s="142">
        <v>2831.0</v>
      </c>
      <c r="K8" s="142">
        <v>2866.0</v>
      </c>
      <c r="L8" s="142">
        <v>3052.0</v>
      </c>
      <c r="M8" s="142">
        <v>3107.0</v>
      </c>
      <c r="N8" s="142">
        <v>3223.0</v>
      </c>
      <c r="O8" s="142">
        <v>3514.0</v>
      </c>
      <c r="P8" s="142">
        <v>3717.0</v>
      </c>
      <c r="Q8" s="142">
        <v>3790.0</v>
      </c>
      <c r="R8" s="142">
        <v>3790.0</v>
      </c>
      <c r="S8" s="142">
        <v>4408.0</v>
      </c>
      <c r="T8" s="142">
        <v>4486.0</v>
      </c>
      <c r="U8" s="142">
        <v>4593.0</v>
      </c>
      <c r="V8" s="142">
        <v>4533.0</v>
      </c>
      <c r="W8" s="142">
        <v>4566.0</v>
      </c>
      <c r="X8" s="154">
        <v>6057.0</v>
      </c>
      <c r="Y8" s="154">
        <v>7121.0</v>
      </c>
      <c r="Z8" s="154">
        <v>5683.0</v>
      </c>
      <c r="AA8" s="154">
        <v>5594.0</v>
      </c>
    </row>
    <row r="9">
      <c r="A9" s="141" t="s">
        <v>278</v>
      </c>
      <c r="B9" s="142">
        <v>16413.0</v>
      </c>
      <c r="C9" s="142">
        <v>15204.0</v>
      </c>
      <c r="D9" s="142">
        <v>15253.0</v>
      </c>
      <c r="E9" s="142">
        <v>15815.0</v>
      </c>
      <c r="F9" s="142">
        <v>16424.0</v>
      </c>
      <c r="G9" s="142">
        <v>16889.0</v>
      </c>
      <c r="H9" s="142">
        <v>16692.0</v>
      </c>
      <c r="I9" s="142">
        <v>17411.0</v>
      </c>
      <c r="J9" s="142">
        <v>18287.0</v>
      </c>
      <c r="K9" s="142">
        <v>18767.0</v>
      </c>
      <c r="L9" s="142">
        <v>19570.0</v>
      </c>
      <c r="M9" s="142">
        <v>20378.0</v>
      </c>
      <c r="N9" s="142">
        <v>21721.0</v>
      </c>
      <c r="O9" s="142">
        <v>21199.0</v>
      </c>
      <c r="P9" s="142">
        <v>22411.0</v>
      </c>
      <c r="Q9" s="142">
        <v>23121.0</v>
      </c>
      <c r="R9" s="142">
        <v>24568.0</v>
      </c>
      <c r="S9" s="142">
        <v>26519.0</v>
      </c>
      <c r="T9" s="142">
        <v>26691.0</v>
      </c>
      <c r="U9" s="142">
        <v>26986.0</v>
      </c>
      <c r="V9" s="142">
        <v>27263.0</v>
      </c>
      <c r="W9" s="142">
        <v>28317.0</v>
      </c>
      <c r="X9" s="154">
        <v>38908.0</v>
      </c>
      <c r="Y9" s="154">
        <v>39865.0</v>
      </c>
      <c r="Z9" s="154">
        <v>31706.0</v>
      </c>
      <c r="AA9" s="154">
        <v>30742.0</v>
      </c>
    </row>
    <row r="10">
      <c r="A10" s="141" t="s">
        <v>279</v>
      </c>
      <c r="B10" s="142">
        <v>15386.0</v>
      </c>
      <c r="C10" s="142">
        <v>15517.0</v>
      </c>
      <c r="D10" s="142">
        <v>15358.0</v>
      </c>
      <c r="E10" s="142">
        <v>15905.0</v>
      </c>
      <c r="F10" s="142">
        <v>16494.0</v>
      </c>
      <c r="G10" s="142">
        <v>17033.0</v>
      </c>
      <c r="H10" s="142">
        <v>16277.0</v>
      </c>
      <c r="I10" s="142">
        <v>17239.0</v>
      </c>
      <c r="J10" s="142">
        <v>17963.0</v>
      </c>
      <c r="K10" s="142">
        <v>18064.0</v>
      </c>
      <c r="L10" s="142">
        <v>21066.0</v>
      </c>
      <c r="M10" s="142">
        <v>22255.0</v>
      </c>
      <c r="N10" s="142">
        <v>25809.0</v>
      </c>
      <c r="O10" s="142">
        <v>24121.0</v>
      </c>
      <c r="P10" s="142">
        <v>22187.0</v>
      </c>
      <c r="Q10" s="142">
        <v>22314.0</v>
      </c>
      <c r="R10" s="142">
        <v>22163.0</v>
      </c>
      <c r="S10" s="142">
        <v>22416.0</v>
      </c>
      <c r="T10" s="142">
        <v>23400.0</v>
      </c>
      <c r="U10" s="142">
        <v>23802.0</v>
      </c>
      <c r="V10" s="142">
        <v>23836.0</v>
      </c>
      <c r="W10" s="142">
        <v>24964.0</v>
      </c>
      <c r="X10" s="154">
        <v>39246.0</v>
      </c>
      <c r="Y10" s="154">
        <v>31716.0</v>
      </c>
      <c r="Z10" s="154">
        <v>28824.0</v>
      </c>
      <c r="AA10" s="154">
        <v>27341.0</v>
      </c>
    </row>
    <row r="11">
      <c r="A11" s="141" t="s">
        <v>280</v>
      </c>
      <c r="B11" s="142">
        <v>46773.0</v>
      </c>
      <c r="C11" s="142">
        <v>46601.0</v>
      </c>
      <c r="D11" s="142">
        <v>46029.0</v>
      </c>
      <c r="E11" s="142">
        <v>46627.0</v>
      </c>
      <c r="F11" s="142">
        <v>46984.0</v>
      </c>
      <c r="G11" s="142">
        <v>48586.0</v>
      </c>
      <c r="H11" s="142">
        <v>48950.0</v>
      </c>
      <c r="I11" s="142">
        <v>49882.0</v>
      </c>
      <c r="J11" s="142">
        <v>49894.0</v>
      </c>
      <c r="K11" s="142">
        <v>51465.0</v>
      </c>
      <c r="L11" s="142">
        <v>52404.0</v>
      </c>
      <c r="M11" s="142">
        <v>53801.0</v>
      </c>
      <c r="N11" s="142">
        <v>55106.0</v>
      </c>
      <c r="O11" s="142">
        <v>54629.0</v>
      </c>
      <c r="P11" s="142">
        <v>55995.0</v>
      </c>
      <c r="Q11" s="142">
        <v>57142.0</v>
      </c>
      <c r="R11" s="142">
        <v>58870.0</v>
      </c>
      <c r="S11" s="142">
        <v>59484.0</v>
      </c>
      <c r="T11" s="142">
        <v>62230.0</v>
      </c>
      <c r="U11" s="142">
        <v>61984.0</v>
      </c>
      <c r="V11" s="142">
        <v>63213.0</v>
      </c>
      <c r="W11" s="142">
        <v>63334.0</v>
      </c>
      <c r="X11" s="154">
        <v>107292.0</v>
      </c>
      <c r="Y11" s="154">
        <v>100363.0</v>
      </c>
      <c r="Z11" s="154">
        <v>69455.0</v>
      </c>
      <c r="AA11" s="154">
        <v>65291.0</v>
      </c>
    </row>
    <row r="12">
      <c r="A12" s="141" t="s">
        <v>281</v>
      </c>
      <c r="B12" s="142">
        <v>6106.0</v>
      </c>
      <c r="C12" s="142">
        <v>6004.0</v>
      </c>
      <c r="D12" s="142">
        <v>5699.0</v>
      </c>
      <c r="E12" s="142">
        <v>5902.0</v>
      </c>
      <c r="F12" s="142">
        <v>6308.0</v>
      </c>
      <c r="G12" s="142">
        <v>6564.0</v>
      </c>
      <c r="H12" s="142">
        <v>6463.0</v>
      </c>
      <c r="I12" s="142">
        <v>7440.0</v>
      </c>
      <c r="J12" s="142">
        <v>7388.0</v>
      </c>
      <c r="K12" s="142">
        <v>7686.0</v>
      </c>
      <c r="L12" s="142">
        <v>8628.0</v>
      </c>
      <c r="M12" s="142">
        <v>9718.0</v>
      </c>
      <c r="N12" s="142">
        <v>9221.0</v>
      </c>
      <c r="O12" s="142">
        <v>9274.0</v>
      </c>
      <c r="P12" s="142">
        <v>8884.0</v>
      </c>
      <c r="Q12" s="142">
        <v>9089.0</v>
      </c>
      <c r="R12" s="142">
        <v>8950.0</v>
      </c>
      <c r="S12" s="142">
        <v>8975.0</v>
      </c>
      <c r="T12" s="142">
        <v>9570.0</v>
      </c>
      <c r="U12" s="142">
        <v>9449.0</v>
      </c>
      <c r="V12" s="142">
        <v>9311.0</v>
      </c>
      <c r="W12" s="142">
        <v>10128.0</v>
      </c>
      <c r="X12" s="154">
        <v>13945.0</v>
      </c>
      <c r="Y12" s="154">
        <v>13750.0</v>
      </c>
      <c r="Z12" s="154">
        <v>11710.0</v>
      </c>
      <c r="AA12" s="154">
        <v>10193.0</v>
      </c>
    </row>
    <row r="13">
      <c r="A13" s="141" t="s">
        <v>282</v>
      </c>
      <c r="B13" s="142">
        <v>21759.0</v>
      </c>
      <c r="C13" s="142">
        <v>21753.0</v>
      </c>
      <c r="D13" s="142">
        <v>21401.0</v>
      </c>
      <c r="E13" s="142">
        <v>20375.0</v>
      </c>
      <c r="F13" s="142">
        <v>22285.0</v>
      </c>
      <c r="G13" s="142">
        <v>22493.0</v>
      </c>
      <c r="H13" s="142">
        <v>22237.0</v>
      </c>
      <c r="I13" s="142">
        <v>23402.0</v>
      </c>
      <c r="J13" s="142">
        <v>22973.0</v>
      </c>
      <c r="K13" s="142">
        <v>23664.0</v>
      </c>
      <c r="L13" s="142">
        <v>25104.0</v>
      </c>
      <c r="M13" s="142">
        <v>25422.0</v>
      </c>
      <c r="N13" s="142">
        <v>27132.0</v>
      </c>
      <c r="O13" s="142">
        <v>26550.0</v>
      </c>
      <c r="P13" s="142">
        <v>27454.0</v>
      </c>
      <c r="Q13" s="142">
        <v>28657.0</v>
      </c>
      <c r="R13" s="142">
        <v>29474.0</v>
      </c>
      <c r="S13" s="142">
        <v>30170.0</v>
      </c>
      <c r="T13" s="142">
        <v>32202.0</v>
      </c>
      <c r="U13" s="142">
        <v>34794.0</v>
      </c>
      <c r="V13" s="142">
        <v>35880.0</v>
      </c>
      <c r="W13" s="142">
        <v>37347.0</v>
      </c>
      <c r="X13" s="154">
        <v>51677.0</v>
      </c>
      <c r="Y13" s="154">
        <v>56302.0</v>
      </c>
      <c r="Z13" s="154">
        <v>42867.0</v>
      </c>
      <c r="AA13" s="154">
        <v>40090.0</v>
      </c>
    </row>
    <row r="14">
      <c r="A14" s="141" t="s">
        <v>283</v>
      </c>
      <c r="B14" s="142">
        <v>10972.0</v>
      </c>
      <c r="C14" s="142">
        <v>10693.0</v>
      </c>
      <c r="D14" s="142">
        <v>10432.0</v>
      </c>
      <c r="E14" s="142">
        <v>10715.0</v>
      </c>
      <c r="F14" s="142">
        <v>10882.0</v>
      </c>
      <c r="G14" s="142">
        <v>11381.0</v>
      </c>
      <c r="H14" s="142">
        <v>11561.0</v>
      </c>
      <c r="I14" s="142">
        <v>11651.0</v>
      </c>
      <c r="J14" s="142">
        <v>11656.0</v>
      </c>
      <c r="K14" s="142">
        <v>13555.0</v>
      </c>
      <c r="L14" s="142">
        <v>14262.0</v>
      </c>
      <c r="M14" s="142">
        <v>16603.0</v>
      </c>
      <c r="N14" s="142">
        <v>16472.0</v>
      </c>
      <c r="O14" s="142">
        <v>17841.0</v>
      </c>
      <c r="P14" s="142">
        <v>18137.0</v>
      </c>
      <c r="Q14" s="142">
        <v>18469.0</v>
      </c>
      <c r="R14" s="142">
        <v>17540.0</v>
      </c>
      <c r="S14" s="142">
        <v>20645.0</v>
      </c>
      <c r="T14" s="142">
        <v>20270.0</v>
      </c>
      <c r="U14" s="142">
        <v>19910.0</v>
      </c>
      <c r="V14" s="142">
        <v>18410.0</v>
      </c>
      <c r="W14" s="142">
        <v>19448.0</v>
      </c>
      <c r="X14" s="154">
        <v>25859.0</v>
      </c>
      <c r="Y14" s="154">
        <v>28177.0</v>
      </c>
      <c r="Z14" s="154">
        <v>20619.0</v>
      </c>
      <c r="AA14" s="154">
        <v>19046.0</v>
      </c>
    </row>
    <row r="15">
      <c r="A15" s="141" t="s">
        <v>284</v>
      </c>
      <c r="B15" s="142">
        <v>10136.0</v>
      </c>
      <c r="C15" s="142">
        <v>10038.0</v>
      </c>
      <c r="D15" s="142">
        <v>9113.0</v>
      </c>
      <c r="E15" s="142">
        <v>9693.0</v>
      </c>
      <c r="F15" s="142">
        <v>10151.0</v>
      </c>
      <c r="G15" s="142">
        <v>10089.0</v>
      </c>
      <c r="H15" s="142">
        <v>10561.0</v>
      </c>
      <c r="I15" s="142">
        <v>10955.0</v>
      </c>
      <c r="J15" s="142">
        <v>10926.0</v>
      </c>
      <c r="K15" s="142">
        <v>11628.0</v>
      </c>
      <c r="L15" s="142">
        <v>12363.0</v>
      </c>
      <c r="M15" s="142">
        <v>12900.0</v>
      </c>
      <c r="N15" s="142">
        <v>12990.0</v>
      </c>
      <c r="O15" s="142">
        <v>13150.0</v>
      </c>
      <c r="P15" s="142">
        <v>13246.0</v>
      </c>
      <c r="Q15" s="142">
        <v>13878.0</v>
      </c>
      <c r="R15" s="142">
        <v>14142.0</v>
      </c>
      <c r="S15" s="142">
        <v>14595.0</v>
      </c>
      <c r="T15" s="142">
        <v>15391.0</v>
      </c>
      <c r="U15" s="142">
        <v>15675.0</v>
      </c>
      <c r="V15" s="142">
        <v>15945.0</v>
      </c>
      <c r="W15" s="142">
        <v>16414.0</v>
      </c>
      <c r="X15" s="154">
        <v>22655.0</v>
      </c>
      <c r="Y15" s="154">
        <v>25106.0</v>
      </c>
      <c r="Z15" s="154">
        <v>18575.0</v>
      </c>
      <c r="AA15" s="154">
        <v>17631.0</v>
      </c>
    </row>
    <row r="16">
      <c r="A16" s="141" t="s">
        <v>285</v>
      </c>
      <c r="B16" s="142">
        <v>30682.0</v>
      </c>
      <c r="C16" s="142">
        <v>31300.0</v>
      </c>
      <c r="D16" s="142">
        <v>30936.0</v>
      </c>
      <c r="E16" s="142">
        <v>30741.0</v>
      </c>
      <c r="F16" s="142">
        <v>32339.0</v>
      </c>
      <c r="G16" s="142">
        <v>32895.0</v>
      </c>
      <c r="H16" s="142">
        <v>32380.0</v>
      </c>
      <c r="I16" s="142">
        <v>34117.0</v>
      </c>
      <c r="J16" s="142">
        <v>33638.0</v>
      </c>
      <c r="K16" s="142">
        <v>34670.0</v>
      </c>
      <c r="L16" s="142">
        <v>35862.0</v>
      </c>
      <c r="M16" s="142">
        <v>37744.0</v>
      </c>
      <c r="N16" s="142">
        <v>39185.0</v>
      </c>
      <c r="O16" s="142">
        <v>40328.0</v>
      </c>
      <c r="P16" s="142">
        <v>40555.0</v>
      </c>
      <c r="Q16" s="142">
        <v>42389.0</v>
      </c>
      <c r="R16" s="142">
        <v>42260.0</v>
      </c>
      <c r="S16" s="142">
        <v>43141.0</v>
      </c>
      <c r="T16" s="142">
        <v>46010.0</v>
      </c>
      <c r="U16" s="142">
        <v>46224.0</v>
      </c>
      <c r="V16" s="142">
        <v>47097.0</v>
      </c>
      <c r="W16" s="142">
        <v>49830.0</v>
      </c>
      <c r="X16" s="154">
        <v>64461.0</v>
      </c>
      <c r="Y16" s="154">
        <v>74630.0</v>
      </c>
      <c r="Z16" s="154">
        <v>56388.0</v>
      </c>
      <c r="AA16" s="154">
        <v>52709.0</v>
      </c>
    </row>
    <row r="17">
      <c r="A17" s="141" t="s">
        <v>286</v>
      </c>
      <c r="B17" s="142">
        <v>52095.0</v>
      </c>
      <c r="C17" s="142">
        <v>52594.0</v>
      </c>
      <c r="D17" s="142">
        <v>52564.0</v>
      </c>
      <c r="E17" s="142">
        <v>53315.0</v>
      </c>
      <c r="F17" s="142">
        <v>54643.0</v>
      </c>
      <c r="G17" s="142">
        <v>56207.0</v>
      </c>
      <c r="H17" s="142">
        <v>56747.0</v>
      </c>
      <c r="I17" s="142">
        <v>58896.0</v>
      </c>
      <c r="J17" s="142">
        <v>58999.0</v>
      </c>
      <c r="K17" s="142">
        <v>61096.0</v>
      </c>
      <c r="L17" s="142">
        <v>63389.0</v>
      </c>
      <c r="M17" s="142">
        <v>65822.0</v>
      </c>
      <c r="N17" s="142">
        <v>68286.0</v>
      </c>
      <c r="O17" s="142">
        <v>69384.0</v>
      </c>
      <c r="P17" s="142">
        <v>72001.0</v>
      </c>
      <c r="Q17" s="142">
        <v>74566.0</v>
      </c>
      <c r="R17" s="142">
        <v>76581.0</v>
      </c>
      <c r="S17" s="142">
        <v>77813.0</v>
      </c>
      <c r="T17" s="142">
        <v>82351.0</v>
      </c>
      <c r="U17" s="142">
        <v>83780.0</v>
      </c>
      <c r="V17" s="142">
        <v>86654.0</v>
      </c>
      <c r="W17" s="142">
        <v>89390.0</v>
      </c>
      <c r="X17" s="154">
        <v>152668.0</v>
      </c>
      <c r="Y17" s="154">
        <v>152090.0</v>
      </c>
      <c r="Z17" s="154">
        <v>100734.0</v>
      </c>
      <c r="AA17" s="154">
        <v>96278.0</v>
      </c>
    </row>
    <row r="18">
      <c r="A18" s="141" t="s">
        <v>287</v>
      </c>
      <c r="B18" s="142">
        <v>18466.0</v>
      </c>
      <c r="C18" s="142">
        <v>18477.0</v>
      </c>
      <c r="D18" s="142">
        <v>18304.0</v>
      </c>
      <c r="E18" s="142">
        <v>18277.0</v>
      </c>
      <c r="F18" s="142">
        <v>19084.0</v>
      </c>
      <c r="G18" s="142">
        <v>19123.0</v>
      </c>
      <c r="H18" s="142">
        <v>19631.0</v>
      </c>
      <c r="I18" s="142">
        <v>20514.0</v>
      </c>
      <c r="J18" s="142">
        <v>20656.0</v>
      </c>
      <c r="K18" s="142">
        <v>21242.0</v>
      </c>
      <c r="L18" s="142">
        <v>22035.0</v>
      </c>
      <c r="M18" s="142">
        <v>23602.0</v>
      </c>
      <c r="N18" s="142">
        <v>24162.0</v>
      </c>
      <c r="O18" s="142">
        <v>24083.0</v>
      </c>
      <c r="P18" s="142">
        <v>24310.0</v>
      </c>
      <c r="Q18" s="142">
        <v>25249.0</v>
      </c>
      <c r="R18" s="142">
        <v>24840.0</v>
      </c>
      <c r="S18" s="142">
        <v>25473.0</v>
      </c>
      <c r="T18" s="142">
        <v>27138.0</v>
      </c>
      <c r="U18" s="142">
        <v>27327.0</v>
      </c>
      <c r="V18" s="142">
        <v>27279.0</v>
      </c>
      <c r="W18" s="142">
        <v>28982.0</v>
      </c>
      <c r="X18" s="154">
        <v>36614.0</v>
      </c>
      <c r="Y18" s="154">
        <v>46874.0</v>
      </c>
      <c r="Z18" s="154">
        <v>32822.0</v>
      </c>
      <c r="AA18" s="154">
        <v>30377.0</v>
      </c>
    </row>
    <row r="19">
      <c r="A19" s="141" t="s">
        <v>288</v>
      </c>
      <c r="B19" s="142">
        <v>6848.0</v>
      </c>
      <c r="C19" s="142">
        <v>6828.0</v>
      </c>
      <c r="D19" s="142">
        <v>6703.0</v>
      </c>
      <c r="E19" s="142">
        <v>6795.0</v>
      </c>
      <c r="F19" s="142">
        <v>7213.0</v>
      </c>
      <c r="G19" s="142">
        <v>7207.0</v>
      </c>
      <c r="H19" s="142">
        <v>7423.0</v>
      </c>
      <c r="I19" s="142">
        <v>7823.0</v>
      </c>
      <c r="J19" s="142">
        <v>7960.0</v>
      </c>
      <c r="K19" s="142">
        <v>8283.0</v>
      </c>
      <c r="L19" s="142">
        <v>8951.0</v>
      </c>
      <c r="M19" s="142">
        <v>9012.0</v>
      </c>
      <c r="N19" s="142">
        <v>9764.0</v>
      </c>
      <c r="O19" s="142">
        <v>9653.0</v>
      </c>
      <c r="P19" s="142">
        <v>10317.0</v>
      </c>
      <c r="Q19" s="142">
        <v>10703.0</v>
      </c>
      <c r="R19" s="142">
        <v>10623.0</v>
      </c>
      <c r="S19" s="142">
        <v>11236.0</v>
      </c>
      <c r="T19" s="142">
        <v>12440.0</v>
      </c>
      <c r="U19" s="142">
        <v>12353.0</v>
      </c>
      <c r="V19" s="142">
        <v>12319.0</v>
      </c>
      <c r="W19" s="142">
        <v>13563.0</v>
      </c>
      <c r="X19" s="154">
        <v>18442.0</v>
      </c>
      <c r="Y19" s="154">
        <v>22224.0</v>
      </c>
      <c r="Z19" s="154">
        <v>15897.0</v>
      </c>
      <c r="AA19" s="154">
        <v>15439.0</v>
      </c>
    </row>
    <row r="20">
      <c r="A20" s="141" t="s">
        <v>289</v>
      </c>
      <c r="B20" s="142">
        <v>4119.0</v>
      </c>
      <c r="C20" s="142">
        <v>4098.0</v>
      </c>
      <c r="D20" s="142">
        <v>4087.0</v>
      </c>
      <c r="E20" s="142">
        <v>4136.0</v>
      </c>
      <c r="F20" s="142">
        <v>4508.0</v>
      </c>
      <c r="G20" s="142">
        <v>4457.0</v>
      </c>
      <c r="H20" s="142">
        <v>4542.0</v>
      </c>
      <c r="I20" s="142">
        <v>4808.0</v>
      </c>
      <c r="J20" s="142">
        <v>4748.0</v>
      </c>
      <c r="K20" s="142">
        <v>4982.0</v>
      </c>
      <c r="L20" s="142">
        <v>5298.0</v>
      </c>
      <c r="M20" s="142">
        <v>5520.0</v>
      </c>
      <c r="N20" s="142">
        <v>5935.0</v>
      </c>
      <c r="O20" s="142">
        <v>6089.0</v>
      </c>
      <c r="P20" s="142">
        <v>5724.0</v>
      </c>
      <c r="Q20" s="142">
        <v>6035.0</v>
      </c>
      <c r="R20" s="142">
        <v>6015.0</v>
      </c>
      <c r="S20" s="142">
        <v>6187.0</v>
      </c>
      <c r="T20" s="142">
        <v>6555.0</v>
      </c>
      <c r="U20" s="142">
        <v>6976.0</v>
      </c>
      <c r="V20" s="142">
        <v>6487.0</v>
      </c>
      <c r="W20" s="142">
        <v>6956.0</v>
      </c>
      <c r="X20" s="154">
        <v>8708.0</v>
      </c>
      <c r="Y20" s="154">
        <v>10297.0</v>
      </c>
      <c r="Z20" s="154">
        <v>7740.0</v>
      </c>
      <c r="AA20" s="154">
        <v>7208.0</v>
      </c>
    </row>
    <row r="21">
      <c r="A21" s="141" t="s">
        <v>290</v>
      </c>
      <c r="B21" s="142">
        <v>15936.0</v>
      </c>
      <c r="C21" s="142">
        <v>15836.0</v>
      </c>
      <c r="D21" s="142">
        <v>16122.0</v>
      </c>
      <c r="E21" s="142">
        <v>16286.0</v>
      </c>
      <c r="F21" s="142">
        <v>16849.0</v>
      </c>
      <c r="G21" s="142">
        <v>17391.0</v>
      </c>
      <c r="H21" s="142">
        <v>17426.0</v>
      </c>
      <c r="I21" s="142">
        <v>19259.0</v>
      </c>
      <c r="J21" s="142">
        <v>18655.0</v>
      </c>
      <c r="K21" s="142">
        <v>19943.0</v>
      </c>
      <c r="L21" s="142">
        <v>20418.0</v>
      </c>
      <c r="M21" s="142">
        <v>22361.0</v>
      </c>
      <c r="N21" s="142">
        <v>23116.0</v>
      </c>
      <c r="O21" s="142">
        <v>23913.0</v>
      </c>
      <c r="P21" s="142">
        <v>23965.0</v>
      </c>
      <c r="Q21" s="142">
        <v>24462.0</v>
      </c>
      <c r="R21" s="142">
        <v>24681.0</v>
      </c>
      <c r="S21" s="142">
        <v>25087.0</v>
      </c>
      <c r="T21" s="142">
        <v>26029.0</v>
      </c>
      <c r="U21" s="142">
        <v>26920.0</v>
      </c>
      <c r="V21" s="142">
        <v>27818.0</v>
      </c>
      <c r="W21" s="142">
        <v>29711.0</v>
      </c>
      <c r="X21" s="154">
        <v>42418.0</v>
      </c>
      <c r="Y21" s="154">
        <v>45234.0</v>
      </c>
      <c r="Z21" s="154">
        <v>38134.0</v>
      </c>
      <c r="AA21" s="154">
        <v>35813.0</v>
      </c>
    </row>
    <row r="22">
      <c r="A22" s="141" t="s">
        <v>291</v>
      </c>
      <c r="B22" s="142">
        <v>18565.0</v>
      </c>
      <c r="C22" s="142">
        <v>18074.0</v>
      </c>
      <c r="D22" s="142">
        <v>17092.0</v>
      </c>
      <c r="E22" s="142">
        <v>17103.0</v>
      </c>
      <c r="F22" s="142">
        <v>17957.0</v>
      </c>
      <c r="G22" s="142">
        <v>18071.0</v>
      </c>
      <c r="H22" s="142">
        <v>17993.0</v>
      </c>
      <c r="I22" s="142">
        <v>18908.0</v>
      </c>
      <c r="J22" s="142">
        <v>18026.0</v>
      </c>
      <c r="K22" s="142">
        <v>19500.0</v>
      </c>
      <c r="L22" s="142">
        <v>19990.0</v>
      </c>
      <c r="M22" s="142">
        <v>20328.0</v>
      </c>
      <c r="N22" s="142">
        <v>21721.0</v>
      </c>
      <c r="O22" s="142">
        <v>20919.0</v>
      </c>
      <c r="P22" s="142">
        <v>21525.0</v>
      </c>
      <c r="Q22" s="142">
        <v>22241.0</v>
      </c>
      <c r="R22" s="142">
        <v>22798.0</v>
      </c>
      <c r="S22" s="142">
        <v>24334.0</v>
      </c>
      <c r="T22" s="142">
        <v>24782.0</v>
      </c>
      <c r="U22" s="142">
        <v>24914.0</v>
      </c>
      <c r="V22" s="142">
        <v>25073.0</v>
      </c>
      <c r="W22" s="142">
        <v>26090.0</v>
      </c>
      <c r="X22" s="154">
        <v>33072.0</v>
      </c>
      <c r="Y22" s="154">
        <v>40257.0</v>
      </c>
      <c r="Z22" s="154">
        <v>30078.0</v>
      </c>
      <c r="AA22" s="154">
        <v>27998.0</v>
      </c>
    </row>
    <row r="23">
      <c r="A23" s="141" t="s">
        <v>292</v>
      </c>
      <c r="B23" s="142">
        <v>26413.0</v>
      </c>
      <c r="C23" s="142">
        <v>27169.0</v>
      </c>
      <c r="D23" s="142">
        <v>26034.0</v>
      </c>
      <c r="E23" s="142">
        <v>25766.0</v>
      </c>
      <c r="F23" s="142">
        <v>26760.0</v>
      </c>
      <c r="G23" s="142">
        <v>27028.0</v>
      </c>
      <c r="H23" s="142">
        <v>27240.0</v>
      </c>
      <c r="I23" s="142">
        <v>28165.0</v>
      </c>
      <c r="J23" s="142">
        <v>27599.0</v>
      </c>
      <c r="K23" s="142">
        <v>28420.0</v>
      </c>
      <c r="L23" s="142">
        <v>29320.0</v>
      </c>
      <c r="M23" s="142">
        <v>30200.0</v>
      </c>
      <c r="N23" s="142">
        <v>31031.0</v>
      </c>
      <c r="O23" s="142">
        <v>31244.0</v>
      </c>
      <c r="P23" s="142">
        <v>31843.0</v>
      </c>
      <c r="Q23" s="142">
        <v>33100.0</v>
      </c>
      <c r="R23" s="142">
        <v>33730.0</v>
      </c>
      <c r="S23" s="142">
        <v>34517.0</v>
      </c>
      <c r="T23" s="142">
        <v>36353.0</v>
      </c>
      <c r="U23" s="142">
        <v>37724.0</v>
      </c>
      <c r="V23" s="142">
        <v>37855.0</v>
      </c>
      <c r="W23" s="142">
        <v>38860.0</v>
      </c>
      <c r="X23" s="154">
        <v>56745.0</v>
      </c>
      <c r="Y23" s="154">
        <v>65936.0</v>
      </c>
      <c r="Z23" s="154">
        <v>44050.0</v>
      </c>
      <c r="AA23" s="154">
        <v>41676.0</v>
      </c>
    </row>
    <row r="24">
      <c r="A24" s="141" t="s">
        <v>293</v>
      </c>
      <c r="B24" s="142">
        <v>5950.0</v>
      </c>
      <c r="C24" s="142">
        <v>5867.0</v>
      </c>
      <c r="D24" s="142">
        <v>6028.0</v>
      </c>
      <c r="E24" s="142">
        <v>6022.0</v>
      </c>
      <c r="F24" s="142">
        <v>6188.0</v>
      </c>
      <c r="G24" s="142">
        <v>6445.0</v>
      </c>
      <c r="H24" s="142">
        <v>6418.0</v>
      </c>
      <c r="I24" s="142">
        <v>6678.0</v>
      </c>
      <c r="J24" s="142">
        <v>6716.0</v>
      </c>
      <c r="K24" s="142">
        <v>6878.0</v>
      </c>
      <c r="L24" s="142">
        <v>7452.0</v>
      </c>
      <c r="M24" s="142">
        <v>7598.0</v>
      </c>
      <c r="N24" s="142">
        <v>7964.0</v>
      </c>
      <c r="O24" s="142">
        <v>7853.0</v>
      </c>
      <c r="P24" s="142">
        <v>8395.0</v>
      </c>
      <c r="Q24" s="142">
        <v>8854.0</v>
      </c>
      <c r="R24" s="142">
        <v>9120.0</v>
      </c>
      <c r="S24" s="142">
        <v>9034.0</v>
      </c>
      <c r="T24" s="142">
        <v>9877.0</v>
      </c>
      <c r="U24" s="142">
        <v>10361.0</v>
      </c>
      <c r="V24" s="142">
        <v>10569.0</v>
      </c>
      <c r="W24" s="142">
        <v>10816.0</v>
      </c>
      <c r="X24" s="154">
        <v>15114.0</v>
      </c>
      <c r="Y24" s="154">
        <v>18003.0</v>
      </c>
      <c r="Z24" s="154">
        <v>13551.0</v>
      </c>
      <c r="AA24" s="154">
        <v>12601.0</v>
      </c>
    </row>
    <row r="25">
      <c r="A25" s="141" t="s">
        <v>294</v>
      </c>
      <c r="B25" s="142">
        <v>2083.0</v>
      </c>
      <c r="C25" s="142">
        <v>2351.0</v>
      </c>
      <c r="D25" s="142">
        <v>2335.0</v>
      </c>
      <c r="E25" s="142">
        <v>2493.0</v>
      </c>
      <c r="F25" s="142">
        <v>2552.0</v>
      </c>
      <c r="G25" s="142">
        <v>2753.0</v>
      </c>
      <c r="H25" s="142">
        <v>2950.0</v>
      </c>
      <c r="I25" s="142">
        <v>3206.0</v>
      </c>
      <c r="J25" s="142">
        <v>3104.0</v>
      </c>
      <c r="K25" s="142">
        <v>3727.0</v>
      </c>
      <c r="L25" s="142">
        <v>3849.0</v>
      </c>
      <c r="M25" s="142">
        <v>4097.0</v>
      </c>
      <c r="N25" s="142">
        <v>4436.0</v>
      </c>
      <c r="O25" s="142">
        <v>4409.0</v>
      </c>
      <c r="P25" s="142">
        <v>4659.0</v>
      </c>
      <c r="Q25" s="142">
        <v>4872.0</v>
      </c>
      <c r="R25" s="142">
        <v>5045.0</v>
      </c>
      <c r="S25" s="142">
        <v>5738.0</v>
      </c>
      <c r="T25" s="142">
        <v>6232.0</v>
      </c>
      <c r="U25" s="142">
        <v>6424.0</v>
      </c>
      <c r="V25" s="142">
        <v>7062.0</v>
      </c>
      <c r="W25" s="142">
        <v>7417.0</v>
      </c>
      <c r="X25" s="154">
        <v>11003.0</v>
      </c>
      <c r="Y25" s="154">
        <v>11213.0</v>
      </c>
      <c r="Z25" s="154">
        <v>8691.0</v>
      </c>
      <c r="AA25" s="154">
        <v>9250.0</v>
      </c>
    </row>
    <row r="26">
      <c r="A26" s="141" t="s">
        <v>295</v>
      </c>
      <c r="B26" s="142">
        <v>10501.0</v>
      </c>
      <c r="C26" s="142">
        <v>10324.0</v>
      </c>
      <c r="D26" s="142">
        <v>10032.0</v>
      </c>
      <c r="E26" s="142">
        <v>9965.0</v>
      </c>
      <c r="F26" s="142">
        <v>10535.0</v>
      </c>
      <c r="G26" s="142">
        <v>11052.0</v>
      </c>
      <c r="H26" s="142">
        <v>10910.0</v>
      </c>
      <c r="I26" s="142">
        <v>11253.0</v>
      </c>
      <c r="J26" s="142">
        <v>11354.0</v>
      </c>
      <c r="K26" s="142">
        <v>11745.0</v>
      </c>
      <c r="L26" s="142">
        <v>12263.0</v>
      </c>
      <c r="M26" s="142">
        <v>12193.0</v>
      </c>
      <c r="N26" s="142">
        <v>13290.0</v>
      </c>
      <c r="O26" s="142">
        <v>13004.0</v>
      </c>
      <c r="P26" s="142">
        <v>13361.0</v>
      </c>
      <c r="Q26" s="142">
        <v>14343.0</v>
      </c>
      <c r="R26" s="142">
        <v>14543.0</v>
      </c>
      <c r="S26" s="142">
        <v>14163.0</v>
      </c>
      <c r="T26" s="142">
        <v>14976.0</v>
      </c>
      <c r="U26" s="142">
        <v>16149.0</v>
      </c>
      <c r="V26" s="142">
        <v>16424.0</v>
      </c>
      <c r="W26" s="142">
        <v>16697.0</v>
      </c>
      <c r="X26" s="154">
        <v>24427.0</v>
      </c>
      <c r="Y26" s="154">
        <v>25197.0</v>
      </c>
      <c r="Z26" s="154">
        <v>20328.0</v>
      </c>
      <c r="AA26" s="154">
        <v>18602.0</v>
      </c>
    </row>
    <row r="27">
      <c r="A27" s="141" t="s">
        <v>296</v>
      </c>
      <c r="B27" s="142">
        <v>10230.0</v>
      </c>
      <c r="C27" s="142">
        <v>10270.0</v>
      </c>
      <c r="D27" s="142">
        <v>10053.0</v>
      </c>
      <c r="E27" s="142">
        <v>10034.0</v>
      </c>
      <c r="F27" s="142">
        <v>10798.0</v>
      </c>
      <c r="G27" s="142">
        <v>11040.0</v>
      </c>
      <c r="H27" s="142">
        <v>11093.0</v>
      </c>
      <c r="I27" s="142">
        <v>11584.0</v>
      </c>
      <c r="J27" s="142">
        <v>11790.0</v>
      </c>
      <c r="K27" s="142">
        <v>11572.0</v>
      </c>
      <c r="L27" s="142">
        <v>13299.0</v>
      </c>
      <c r="M27" s="142">
        <v>13720.0</v>
      </c>
      <c r="N27" s="142">
        <v>15467.0</v>
      </c>
      <c r="O27" s="142">
        <v>15669.0</v>
      </c>
      <c r="P27" s="142">
        <v>14344.0</v>
      </c>
      <c r="Q27" s="142">
        <v>14848.0</v>
      </c>
      <c r="R27" s="142">
        <v>14881.0</v>
      </c>
      <c r="S27" s="142">
        <v>15357.0</v>
      </c>
      <c r="T27" s="142">
        <v>16128.0</v>
      </c>
      <c r="U27" s="142">
        <v>16279.0</v>
      </c>
      <c r="V27" s="142">
        <v>16011.0</v>
      </c>
      <c r="W27" s="142">
        <v>16496.0</v>
      </c>
      <c r="X27" s="154">
        <v>23962.0</v>
      </c>
      <c r="Y27" s="154">
        <v>23762.0</v>
      </c>
      <c r="Z27" s="154">
        <v>17468.0</v>
      </c>
      <c r="AA27" s="154">
        <v>16724.0</v>
      </c>
    </row>
    <row r="28">
      <c r="A28" s="141" t="s">
        <v>297</v>
      </c>
      <c r="B28" s="142">
        <v>10491.0</v>
      </c>
      <c r="C28" s="142">
        <v>10730.0</v>
      </c>
      <c r="D28" s="142">
        <v>10468.0</v>
      </c>
      <c r="E28" s="142">
        <v>10812.0</v>
      </c>
      <c r="F28" s="142">
        <v>10995.0</v>
      </c>
      <c r="G28" s="142">
        <v>11697.0</v>
      </c>
      <c r="H28" s="142">
        <v>11723.0</v>
      </c>
      <c r="I28" s="142">
        <v>12401.0</v>
      </c>
      <c r="J28" s="142">
        <v>12241.0</v>
      </c>
      <c r="K28" s="142">
        <v>12449.0</v>
      </c>
      <c r="L28" s="142">
        <v>13210.0</v>
      </c>
      <c r="M28" s="142">
        <v>13941.0</v>
      </c>
      <c r="N28" s="142">
        <v>14916.0</v>
      </c>
      <c r="O28" s="142">
        <v>14752.0</v>
      </c>
      <c r="P28" s="142">
        <v>15001.0</v>
      </c>
      <c r="Q28" s="142">
        <v>15451.0</v>
      </c>
      <c r="R28" s="142">
        <v>16041.0</v>
      </c>
      <c r="S28" s="142">
        <v>16507.0</v>
      </c>
      <c r="T28" s="142">
        <v>16807.0</v>
      </c>
      <c r="U28" s="142">
        <v>16729.0</v>
      </c>
      <c r="V28" s="142">
        <v>17644.0</v>
      </c>
      <c r="W28" s="142">
        <v>18485.0</v>
      </c>
      <c r="X28" s="154">
        <v>27814.0</v>
      </c>
      <c r="Y28" s="154">
        <v>25273.0</v>
      </c>
      <c r="Z28" s="154">
        <v>21721.0</v>
      </c>
      <c r="AA28" s="154">
        <v>19775.0</v>
      </c>
    </row>
    <row r="29">
      <c r="A29" s="141" t="s">
        <v>298</v>
      </c>
      <c r="B29" s="142">
        <v>7789.0</v>
      </c>
      <c r="C29" s="142">
        <v>7270.0</v>
      </c>
      <c r="D29" s="142">
        <v>7188.0</v>
      </c>
      <c r="E29" s="142">
        <v>7636.0</v>
      </c>
      <c r="F29" s="142">
        <v>7662.0</v>
      </c>
      <c r="G29" s="142">
        <v>8309.0</v>
      </c>
      <c r="H29" s="142">
        <v>8202.0</v>
      </c>
      <c r="I29" s="142">
        <v>8724.0</v>
      </c>
      <c r="J29" s="142">
        <v>8878.0</v>
      </c>
      <c r="K29" s="142">
        <v>9073.0</v>
      </c>
      <c r="L29" s="142">
        <v>9536.0</v>
      </c>
      <c r="M29" s="142">
        <v>10033.0</v>
      </c>
      <c r="N29" s="142">
        <v>11156.0</v>
      </c>
      <c r="O29" s="142">
        <v>10715.0</v>
      </c>
      <c r="P29" s="142">
        <v>10834.0</v>
      </c>
      <c r="Q29" s="142">
        <v>11738.0</v>
      </c>
      <c r="R29" s="142">
        <v>12120.0</v>
      </c>
      <c r="S29" s="142">
        <v>12666.0</v>
      </c>
      <c r="T29" s="142">
        <v>13263.0</v>
      </c>
      <c r="U29" s="142">
        <v>13016.0</v>
      </c>
      <c r="V29" s="142">
        <v>13548.0</v>
      </c>
      <c r="W29" s="142">
        <v>14679.0</v>
      </c>
      <c r="X29" s="154">
        <v>21871.0</v>
      </c>
      <c r="Y29" s="154">
        <v>19189.0</v>
      </c>
      <c r="Z29" s="154">
        <v>14988.0</v>
      </c>
      <c r="AA29" s="154">
        <v>14706.0</v>
      </c>
    </row>
    <row r="30">
      <c r="A30" s="141" t="s">
        <v>299</v>
      </c>
      <c r="B30" s="142">
        <v>11548.0</v>
      </c>
      <c r="C30" s="142">
        <v>11563.0</v>
      </c>
      <c r="D30" s="142">
        <v>11719.0</v>
      </c>
      <c r="E30" s="142">
        <v>11796.0</v>
      </c>
      <c r="F30" s="142">
        <v>11970.0</v>
      </c>
      <c r="G30" s="142">
        <v>12462.0</v>
      </c>
      <c r="H30" s="142">
        <v>12969.0</v>
      </c>
      <c r="I30" s="142">
        <v>13487.0</v>
      </c>
      <c r="J30" s="142">
        <v>13852.0</v>
      </c>
      <c r="K30" s="142">
        <v>14301.0</v>
      </c>
      <c r="L30" s="142">
        <v>14870.0</v>
      </c>
      <c r="M30" s="142">
        <v>15699.0</v>
      </c>
      <c r="N30" s="142">
        <v>17200.0</v>
      </c>
      <c r="O30" s="142">
        <v>16880.0</v>
      </c>
      <c r="P30" s="142">
        <v>17856.0</v>
      </c>
      <c r="Q30" s="142">
        <v>18163.0</v>
      </c>
      <c r="R30" s="142">
        <v>18611.0</v>
      </c>
      <c r="S30" s="142">
        <v>18700.0</v>
      </c>
      <c r="T30" s="142">
        <v>19334.0</v>
      </c>
      <c r="U30" s="142">
        <v>19587.0</v>
      </c>
      <c r="V30" s="142">
        <v>19596.0</v>
      </c>
      <c r="W30" s="142">
        <v>19703.0</v>
      </c>
      <c r="X30" s="154">
        <v>28025.0</v>
      </c>
      <c r="Y30" s="154">
        <v>26661.0</v>
      </c>
      <c r="Z30" s="154">
        <v>22259.0</v>
      </c>
      <c r="AA30" s="154">
        <v>21010.0</v>
      </c>
    </row>
    <row r="31">
      <c r="A31" s="141" t="s">
        <v>300</v>
      </c>
      <c r="B31" s="142">
        <v>4356.0</v>
      </c>
      <c r="C31" s="142">
        <v>4550.0</v>
      </c>
      <c r="D31" s="142">
        <v>4253.0</v>
      </c>
      <c r="E31" s="142">
        <v>4487.0</v>
      </c>
      <c r="F31" s="142">
        <v>4633.0</v>
      </c>
      <c r="G31" s="142">
        <v>4476.0</v>
      </c>
      <c r="H31" s="142">
        <v>4785.0</v>
      </c>
      <c r="I31" s="142">
        <v>4714.0</v>
      </c>
      <c r="J31" s="142">
        <v>4931.0</v>
      </c>
      <c r="K31" s="142">
        <v>5036.0</v>
      </c>
      <c r="L31" s="142">
        <v>5130.0</v>
      </c>
      <c r="M31" s="142">
        <v>5412.0</v>
      </c>
      <c r="N31" s="142">
        <v>5535.0</v>
      </c>
      <c r="O31" s="142">
        <v>5471.0</v>
      </c>
      <c r="P31" s="142">
        <v>5659.0</v>
      </c>
      <c r="Q31" s="142">
        <v>5869.0</v>
      </c>
      <c r="R31" s="142">
        <v>5931.0</v>
      </c>
      <c r="S31" s="142">
        <v>6110.0</v>
      </c>
      <c r="T31" s="142">
        <v>6602.0</v>
      </c>
      <c r="U31" s="142">
        <v>6591.0</v>
      </c>
      <c r="V31" s="142">
        <v>6946.0</v>
      </c>
      <c r="W31" s="142">
        <v>6952.0</v>
      </c>
      <c r="X31" s="154">
        <v>12033.0</v>
      </c>
      <c r="Y31" s="154">
        <v>12331.0</v>
      </c>
      <c r="Z31" s="154">
        <v>8035.0</v>
      </c>
      <c r="AA31" s="154">
        <v>7572.0</v>
      </c>
    </row>
    <row r="32">
      <c r="A32" s="141" t="s">
        <v>301</v>
      </c>
      <c r="B32" s="142">
        <v>32424.0</v>
      </c>
      <c r="C32" s="142">
        <v>32722.0</v>
      </c>
      <c r="D32" s="142">
        <v>31927.0</v>
      </c>
      <c r="E32" s="142">
        <v>33203.0</v>
      </c>
      <c r="F32" s="142">
        <v>34216.0</v>
      </c>
      <c r="G32" s="142">
        <v>36118.0</v>
      </c>
      <c r="H32" s="142">
        <v>36413.0</v>
      </c>
      <c r="I32" s="142">
        <v>37877.0</v>
      </c>
      <c r="J32" s="142">
        <v>37404.0</v>
      </c>
      <c r="K32" s="142">
        <v>39489.0</v>
      </c>
      <c r="L32" s="142">
        <v>41273.0</v>
      </c>
      <c r="M32" s="142">
        <v>43596.0</v>
      </c>
      <c r="N32" s="142">
        <v>45079.0</v>
      </c>
      <c r="O32" s="142">
        <v>45417.0</v>
      </c>
      <c r="P32" s="142">
        <v>47585.0</v>
      </c>
      <c r="Q32" s="142">
        <v>48495.0</v>
      </c>
      <c r="R32" s="142">
        <v>49440.0</v>
      </c>
      <c r="S32" s="142">
        <v>52354.0</v>
      </c>
      <c r="T32" s="142">
        <v>53749.0</v>
      </c>
      <c r="U32" s="142">
        <v>52820.0</v>
      </c>
      <c r="V32" s="142">
        <v>53395.0</v>
      </c>
      <c r="W32" s="142">
        <v>57220.0</v>
      </c>
      <c r="X32" s="154">
        <v>74758.0</v>
      </c>
      <c r="Y32" s="154">
        <v>79053.0</v>
      </c>
      <c r="Z32" s="154">
        <v>61555.0</v>
      </c>
      <c r="AA32" s="154">
        <v>60431.0</v>
      </c>
    </row>
    <row r="33">
      <c r="A33" s="141" t="s">
        <v>302</v>
      </c>
      <c r="B33" s="142">
        <v>8318.0</v>
      </c>
      <c r="C33" s="142">
        <v>8007.0</v>
      </c>
      <c r="D33" s="142">
        <v>8060.0</v>
      </c>
      <c r="E33" s="142">
        <v>8357.0</v>
      </c>
      <c r="F33" s="142">
        <v>8681.0</v>
      </c>
      <c r="G33" s="142">
        <v>9110.0</v>
      </c>
      <c r="H33" s="142">
        <v>8625.0</v>
      </c>
      <c r="I33" s="142">
        <v>9169.0</v>
      </c>
      <c r="J33" s="142">
        <v>9501.0</v>
      </c>
      <c r="K33" s="142">
        <v>9812.0</v>
      </c>
      <c r="L33" s="142">
        <v>10172.0</v>
      </c>
      <c r="M33" s="142">
        <v>10406.0</v>
      </c>
      <c r="N33" s="142">
        <v>11172.0</v>
      </c>
      <c r="O33" s="142">
        <v>10763.0</v>
      </c>
      <c r="P33" s="142">
        <v>10954.0</v>
      </c>
      <c r="Q33" s="142">
        <v>11606.0</v>
      </c>
      <c r="R33" s="142">
        <v>11819.0</v>
      </c>
      <c r="S33" s="142">
        <v>13282.0</v>
      </c>
      <c r="T33" s="142">
        <v>13080.0</v>
      </c>
      <c r="U33" s="142">
        <v>12636.0</v>
      </c>
      <c r="V33" s="142">
        <v>13017.0</v>
      </c>
      <c r="W33" s="142">
        <v>13483.0</v>
      </c>
      <c r="X33" s="154">
        <v>18221.0</v>
      </c>
      <c r="Y33" s="154">
        <v>18999.0</v>
      </c>
      <c r="Z33" s="154">
        <v>15207.0</v>
      </c>
      <c r="AA33" s="154">
        <v>15104.0</v>
      </c>
    </row>
    <row r="34">
      <c r="A34" s="141" t="s">
        <v>303</v>
      </c>
      <c r="B34" s="142">
        <v>6580.0</v>
      </c>
      <c r="C34" s="142">
        <v>6323.0</v>
      </c>
      <c r="D34" s="142">
        <v>6340.0</v>
      </c>
      <c r="E34" s="142">
        <v>6360.0</v>
      </c>
      <c r="F34" s="142">
        <v>6826.0</v>
      </c>
      <c r="G34" s="142">
        <v>6953.0</v>
      </c>
      <c r="H34" s="142">
        <v>6903.0</v>
      </c>
      <c r="I34" s="142">
        <v>7021.0</v>
      </c>
      <c r="J34" s="142">
        <v>6932.0</v>
      </c>
      <c r="K34" s="142">
        <v>7281.0</v>
      </c>
      <c r="L34" s="142">
        <v>7633.0</v>
      </c>
      <c r="M34" s="142">
        <v>7910.0</v>
      </c>
      <c r="N34" s="142">
        <v>8373.0</v>
      </c>
      <c r="O34" s="142">
        <v>7988.0</v>
      </c>
      <c r="P34" s="142">
        <v>8414.0</v>
      </c>
      <c r="Q34" s="142">
        <v>8970.0</v>
      </c>
      <c r="R34" s="142">
        <v>8705.0</v>
      </c>
      <c r="S34" s="142">
        <v>8838.0</v>
      </c>
      <c r="T34" s="142">
        <v>9608.0</v>
      </c>
      <c r="U34" s="142">
        <v>9497.0</v>
      </c>
      <c r="V34" s="142">
        <v>9596.0</v>
      </c>
      <c r="W34" s="142">
        <v>9990.0</v>
      </c>
      <c r="X34" s="154">
        <v>14519.0</v>
      </c>
      <c r="Y34" s="154">
        <v>14943.0</v>
      </c>
      <c r="Z34" s="154">
        <v>12376.0</v>
      </c>
      <c r="AA34" s="154">
        <v>10640.0</v>
      </c>
    </row>
    <row r="35" ht="24.0" customHeight="1">
      <c r="A35" s="150" t="s">
        <v>304</v>
      </c>
      <c r="B35" s="151">
        <v>442466.0</v>
      </c>
      <c r="C35" s="151">
        <v>441647.0</v>
      </c>
      <c r="D35" s="151">
        <v>435486.0</v>
      </c>
      <c r="E35" s="151">
        <v>441004.0</v>
      </c>
      <c r="F35" s="151">
        <v>457680.0</v>
      </c>
      <c r="G35" s="151">
        <v>470692.0</v>
      </c>
      <c r="H35" s="151">
        <v>472273.0</v>
      </c>
      <c r="I35" s="151">
        <v>493957.0</v>
      </c>
      <c r="J35" s="151">
        <v>493296.0</v>
      </c>
      <c r="K35" s="151">
        <v>513122.0</v>
      </c>
      <c r="L35" s="151">
        <v>538288.0</v>
      </c>
      <c r="M35" s="151">
        <v>563516.0</v>
      </c>
      <c r="N35" s="151">
        <v>590886.0</v>
      </c>
      <c r="O35" s="151">
        <v>589646.0</v>
      </c>
      <c r="P35" s="151">
        <v>601259.0</v>
      </c>
      <c r="Q35" s="151">
        <v>622495.0</v>
      </c>
      <c r="R35" s="151">
        <v>632587.0</v>
      </c>
      <c r="S35" s="151">
        <v>654593.0</v>
      </c>
      <c r="T35" s="151">
        <v>684437.0</v>
      </c>
      <c r="U35" s="151">
        <v>693848.0</v>
      </c>
      <c r="V35" s="151">
        <v>704803.0</v>
      </c>
      <c r="W35" s="151">
        <v>734001.0</v>
      </c>
      <c r="X35" s="151">
        <v>1073330.0</v>
      </c>
      <c r="Y35" s="151">
        <v>1110122.0</v>
      </c>
      <c r="Z35" s="151">
        <v>835433.0</v>
      </c>
      <c r="AA35" s="151">
        <v>788830.0</v>
      </c>
    </row>
    <row r="36">
      <c r="A36" s="155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24"/>
      <c r="W36" s="24"/>
      <c r="X36" s="24"/>
      <c r="Y36" s="24"/>
      <c r="Z36" s="24"/>
      <c r="AA36" s="24"/>
    </row>
  </sheetData>
  <mergeCells count="1">
    <mergeCell ref="A1:G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5.88"/>
    <col customWidth="1" min="3" max="3" width="16.5"/>
    <col customWidth="1" min="4" max="4" width="14.13"/>
  </cols>
  <sheetData>
    <row r="1">
      <c r="A1" s="156" t="s">
        <v>307</v>
      </c>
    </row>
    <row r="2">
      <c r="A2" s="1" t="s">
        <v>0</v>
      </c>
      <c r="B2" s="2">
        <v>2005.0</v>
      </c>
      <c r="C2" s="2">
        <v>2006.0</v>
      </c>
      <c r="D2" s="2">
        <v>2007.0</v>
      </c>
      <c r="E2" s="2">
        <v>2008.0</v>
      </c>
      <c r="F2" s="2">
        <v>2009.0</v>
      </c>
      <c r="G2" s="2">
        <v>2010.0</v>
      </c>
      <c r="H2" s="2">
        <v>2011.0</v>
      </c>
      <c r="I2" s="2">
        <v>2012.0</v>
      </c>
      <c r="J2" s="2">
        <v>2013.0</v>
      </c>
      <c r="K2" s="2">
        <v>2014.0</v>
      </c>
      <c r="L2" s="2">
        <v>2015.0</v>
      </c>
      <c r="M2" s="2">
        <v>2016.0</v>
      </c>
      <c r="N2" s="2">
        <v>2017.0</v>
      </c>
      <c r="O2" s="2">
        <v>2018.0</v>
      </c>
      <c r="P2" s="2">
        <v>2019.0</v>
      </c>
      <c r="Q2" s="2">
        <v>2020.0</v>
      </c>
      <c r="R2" s="2">
        <v>2021.0</v>
      </c>
      <c r="S2" s="2">
        <v>2022.0</v>
      </c>
      <c r="T2" s="2">
        <v>2023.0</v>
      </c>
      <c r="U2" s="2">
        <v>2024.0</v>
      </c>
    </row>
    <row r="3">
      <c r="A3" s="157" t="s">
        <v>308</v>
      </c>
      <c r="B3" s="158"/>
      <c r="C3" s="158"/>
      <c r="D3" s="158"/>
      <c r="E3" s="158"/>
      <c r="F3" s="158"/>
      <c r="G3" s="158"/>
      <c r="H3" s="158"/>
      <c r="I3" s="82">
        <v>3468475.0</v>
      </c>
      <c r="J3" s="82">
        <v>3576204.0</v>
      </c>
      <c r="K3" s="82">
        <v>3674391.0</v>
      </c>
      <c r="L3" s="82">
        <v>4478336.0</v>
      </c>
      <c r="M3" s="82">
        <v>5640700.0</v>
      </c>
      <c r="N3" s="82">
        <v>6449883.0</v>
      </c>
      <c r="O3" s="82">
        <v>5722928.0</v>
      </c>
      <c r="P3" s="82">
        <v>4517962.0</v>
      </c>
      <c r="Q3" s="82">
        <v>1119094.0</v>
      </c>
      <c r="R3" s="82">
        <v>190022.0</v>
      </c>
      <c r="S3" s="82">
        <v>2030479.0</v>
      </c>
      <c r="T3" s="82">
        <v>3730507.0</v>
      </c>
      <c r="U3" s="82">
        <v>5239233.0</v>
      </c>
    </row>
    <row r="4">
      <c r="A4" s="159" t="s">
        <v>309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9"/>
      <c r="T4" s="82"/>
      <c r="U4" s="82"/>
    </row>
    <row r="5">
      <c r="A5" s="159" t="s">
        <v>310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9">
        <v>238677.0</v>
      </c>
      <c r="T5" s="82">
        <v>524527.0</v>
      </c>
      <c r="U5" s="82">
        <v>598976.0</v>
      </c>
    </row>
    <row r="6">
      <c r="A6" s="159" t="s">
        <v>311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9">
        <v>1.237037274E9</v>
      </c>
      <c r="T6" s="159">
        <v>2.374757429E9</v>
      </c>
      <c r="U6" s="82">
        <v>3.118441197E9</v>
      </c>
    </row>
    <row r="7">
      <c r="A7" s="159" t="s">
        <v>312</v>
      </c>
      <c r="B7" s="160">
        <f>'Turismo2 (ch)'!B12</f>
        <v>287827169</v>
      </c>
      <c r="C7" s="160">
        <f>'Turismo2 (ch)'!C12</f>
        <v>328000840</v>
      </c>
      <c r="D7" s="160">
        <f>'Turismo2 (ch)'!D12</f>
        <v>328041734</v>
      </c>
      <c r="E7" s="160">
        <f>'Turismo2 (ch)'!E12</f>
        <v>323008958</v>
      </c>
      <c r="F7" s="160">
        <f>'Turismo2 (ch)'!F12</f>
        <v>381527383</v>
      </c>
      <c r="G7" s="160">
        <f>'Turismo2 (ch)'!G12</f>
        <v>343302761</v>
      </c>
      <c r="H7" s="160">
        <f>'Turismo2 (ch)'!H12</f>
        <v>435512879</v>
      </c>
      <c r="I7" s="160">
        <f>'Turismo2 (ch)'!I12</f>
        <v>413230817</v>
      </c>
      <c r="J7" s="160">
        <f>'Turismo2 (ch)'!J12</f>
        <v>493049557</v>
      </c>
      <c r="K7" s="160">
        <f>'Turismo2 (ch)'!K12</f>
        <v>538640864</v>
      </c>
      <c r="L7" s="160">
        <f>'Turismo2 (ch)'!L12</f>
        <v>585514303</v>
      </c>
      <c r="M7" s="160">
        <f>'Turismo2 (ch)'!M12</f>
        <v>681480933</v>
      </c>
      <c r="N7" s="160">
        <f>'Turismo2 (ch)'!N12</f>
        <v>571548308</v>
      </c>
      <c r="O7" s="160">
        <f>'Turismo2 (ch)'!O12</f>
        <v>722171526</v>
      </c>
      <c r="P7" s="160">
        <f>'Turismo2 (ch)'!P12</f>
        <v>982580215</v>
      </c>
      <c r="Q7" s="158" t="str">
        <f>'Turismo2 (ch)'!Q12</f>
        <v/>
      </c>
      <c r="R7" s="158"/>
      <c r="S7" s="158"/>
      <c r="T7" s="158"/>
      <c r="U7" s="158"/>
    </row>
    <row r="8">
      <c r="A8" s="159" t="s">
        <v>313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</row>
    <row r="9">
      <c r="A9" s="159" t="s">
        <v>314</v>
      </c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</row>
    <row r="13">
      <c r="B13" s="161" t="s">
        <v>145</v>
      </c>
      <c r="C13" s="161" t="s">
        <v>315</v>
      </c>
      <c r="D13" s="161" t="s">
        <v>316</v>
      </c>
    </row>
    <row r="14">
      <c r="B14" s="162">
        <v>2025.0</v>
      </c>
      <c r="C14" s="163">
        <v>3169082.0</v>
      </c>
      <c r="D14" s="164">
        <f>+32.6%</f>
        <v>0.326</v>
      </c>
    </row>
    <row r="15">
      <c r="B15" s="162">
        <v>2024.0</v>
      </c>
      <c r="C15" s="163">
        <v>5239233.0</v>
      </c>
      <c r="D15" s="164">
        <f>+40.4%</f>
        <v>0.404</v>
      </c>
    </row>
    <row r="16">
      <c r="B16" s="162">
        <v>2023.0</v>
      </c>
      <c r="C16" s="163">
        <v>3730507.0</v>
      </c>
      <c r="D16" s="164">
        <f>+83.7%</f>
        <v>0.837</v>
      </c>
    </row>
    <row r="17">
      <c r="B17" s="162">
        <v>2022.0</v>
      </c>
      <c r="C17" s="163">
        <v>2030479.0</v>
      </c>
      <c r="D17" s="164">
        <f>+968.5%</f>
        <v>9.685</v>
      </c>
    </row>
    <row r="18">
      <c r="B18" s="162">
        <v>2021.0</v>
      </c>
      <c r="C18" s="163">
        <v>190022.0</v>
      </c>
      <c r="D18" s="165">
        <v>-0.83</v>
      </c>
    </row>
    <row r="19">
      <c r="B19" s="162">
        <v>2020.0</v>
      </c>
      <c r="C19" s="163">
        <v>1119094.0</v>
      </c>
      <c r="D19" s="165">
        <v>-0.752</v>
      </c>
    </row>
    <row r="20">
      <c r="B20" s="162">
        <v>2019.0</v>
      </c>
      <c r="C20" s="163">
        <v>4517962.0</v>
      </c>
      <c r="D20" s="165">
        <v>-0.211</v>
      </c>
    </row>
    <row r="21">
      <c r="B21" s="162">
        <v>2018.0</v>
      </c>
      <c r="C21" s="163">
        <v>5722928.0</v>
      </c>
      <c r="D21" s="165">
        <v>-0.113</v>
      </c>
    </row>
    <row r="22">
      <c r="B22" s="162">
        <v>2017.0</v>
      </c>
      <c r="C22" s="163">
        <v>6449883.0</v>
      </c>
      <c r="D22" s="164">
        <f>+14.3%</f>
        <v>0.143</v>
      </c>
    </row>
    <row r="23">
      <c r="B23" s="162">
        <v>2016.0</v>
      </c>
      <c r="C23" s="163">
        <v>5640700.0</v>
      </c>
      <c r="D23" s="164">
        <f>+26%</f>
        <v>0.26</v>
      </c>
    </row>
    <row r="24">
      <c r="B24" s="162">
        <v>2015.0</v>
      </c>
      <c r="C24" s="163">
        <v>4478336.0</v>
      </c>
      <c r="D24" s="164">
        <f>+21.9%</f>
        <v>0.219</v>
      </c>
    </row>
    <row r="25">
      <c r="B25" s="162">
        <v>2014.0</v>
      </c>
      <c r="C25" s="163">
        <v>3674391.0</v>
      </c>
      <c r="D25" s="164">
        <f>+2.7%</f>
        <v>0.027</v>
      </c>
    </row>
    <row r="26">
      <c r="B26" s="162">
        <v>2013.0</v>
      </c>
      <c r="C26" s="163">
        <v>3576204.0</v>
      </c>
      <c r="D26" s="162" t="s">
        <v>317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8" max="8" width="14.88"/>
    <col customWidth="1" min="17" max="17" width="7.5"/>
  </cols>
  <sheetData>
    <row r="2">
      <c r="A2" s="166" t="s">
        <v>318</v>
      </c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</row>
    <row r="3">
      <c r="A3" s="168"/>
      <c r="B3" s="169"/>
      <c r="C3" s="169"/>
      <c r="D3" s="169"/>
      <c r="E3" s="169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</row>
    <row r="4">
      <c r="A4" s="170" t="s">
        <v>319</v>
      </c>
      <c r="B4" s="171" t="s">
        <v>320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</row>
    <row r="5">
      <c r="A5" s="174"/>
      <c r="B5" s="175">
        <v>2005.0</v>
      </c>
      <c r="C5" s="175">
        <v>2006.0</v>
      </c>
      <c r="D5" s="175">
        <v>2007.0</v>
      </c>
      <c r="E5" s="175">
        <v>2008.0</v>
      </c>
      <c r="F5" s="175">
        <v>2009.0</v>
      </c>
      <c r="G5" s="175">
        <v>2010.0</v>
      </c>
      <c r="H5" s="175">
        <v>2011.0</v>
      </c>
      <c r="I5" s="175">
        <v>2012.0</v>
      </c>
      <c r="J5" s="175">
        <v>2013.0</v>
      </c>
      <c r="K5" s="175">
        <v>2014.0</v>
      </c>
      <c r="L5" s="175">
        <v>2015.0</v>
      </c>
      <c r="M5" s="175">
        <v>2016.0</v>
      </c>
      <c r="N5" s="175">
        <v>2017.0</v>
      </c>
      <c r="O5" s="175">
        <v>2018.0</v>
      </c>
      <c r="P5" s="175">
        <v>2019.0</v>
      </c>
      <c r="Q5" s="176"/>
    </row>
    <row r="6">
      <c r="A6" s="177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9"/>
    </row>
    <row r="7">
      <c r="A7" s="180" t="s">
        <v>321</v>
      </c>
      <c r="B7" s="181">
        <v>0.0</v>
      </c>
      <c r="C7" s="181">
        <v>0.0</v>
      </c>
      <c r="D7" s="181">
        <v>0.0</v>
      </c>
      <c r="E7" s="181">
        <v>0.0</v>
      </c>
      <c r="F7" s="181">
        <v>0.0</v>
      </c>
      <c r="G7" s="181">
        <v>0.0</v>
      </c>
      <c r="H7" s="181">
        <v>0.0</v>
      </c>
      <c r="I7" s="181">
        <v>0.0</v>
      </c>
      <c r="J7" s="181">
        <v>0.0</v>
      </c>
      <c r="K7" s="181">
        <v>0.0</v>
      </c>
      <c r="L7" s="181">
        <v>0.0</v>
      </c>
      <c r="M7" s="181">
        <v>0.0</v>
      </c>
      <c r="N7" s="181">
        <v>0.0</v>
      </c>
      <c r="O7" s="181">
        <v>0.0</v>
      </c>
      <c r="P7" s="181">
        <v>0.0</v>
      </c>
      <c r="Q7" s="167"/>
    </row>
    <row r="8">
      <c r="A8" s="180" t="s">
        <v>322</v>
      </c>
      <c r="B8" s="182">
        <v>2.5824702E7</v>
      </c>
      <c r="C8" s="182">
        <v>2.7637757E7</v>
      </c>
      <c r="D8" s="182">
        <v>2.79989E7</v>
      </c>
      <c r="E8" s="182">
        <v>2.9021691E7</v>
      </c>
      <c r="F8" s="182">
        <v>2.957762E7</v>
      </c>
      <c r="G8" s="182">
        <v>3.0826631E7</v>
      </c>
      <c r="H8" s="182">
        <v>3.289694E7</v>
      </c>
      <c r="I8" s="182">
        <v>3.4997832E7</v>
      </c>
      <c r="J8" s="182">
        <v>3.7061506E7</v>
      </c>
      <c r="K8" s="182">
        <v>3.9240693E7</v>
      </c>
      <c r="L8" s="182">
        <v>4.149325E7</v>
      </c>
      <c r="M8" s="182">
        <v>4.3355515E7</v>
      </c>
      <c r="N8" s="182">
        <v>4.5507568E7</v>
      </c>
      <c r="O8" s="182">
        <v>5.651303E7</v>
      </c>
      <c r="P8" s="182">
        <v>5.9024895E7</v>
      </c>
      <c r="Q8" s="167"/>
    </row>
    <row r="9">
      <c r="A9" s="180" t="s">
        <v>323</v>
      </c>
      <c r="B9" s="182">
        <v>6.1531486E7</v>
      </c>
      <c r="C9" s="182">
        <v>6.6237337E7</v>
      </c>
      <c r="D9" s="182">
        <v>6.9021351E7</v>
      </c>
      <c r="E9" s="182">
        <v>7.2054768E7</v>
      </c>
      <c r="F9" s="182">
        <v>7.4916935E7</v>
      </c>
      <c r="G9" s="182">
        <v>8.2819072E7</v>
      </c>
      <c r="H9" s="182">
        <v>9.2684114E7</v>
      </c>
      <c r="I9" s="182">
        <v>9.6305252E7</v>
      </c>
      <c r="J9" s="182">
        <v>1.05322189E8</v>
      </c>
      <c r="K9" s="182">
        <v>1.13711025E8</v>
      </c>
      <c r="L9" s="182">
        <v>1.20716435E8</v>
      </c>
      <c r="M9" s="182">
        <v>1.27984741E8</v>
      </c>
      <c r="N9" s="182">
        <v>1.24020584E8</v>
      </c>
      <c r="O9" s="182">
        <v>1.547436E8</v>
      </c>
      <c r="P9" s="182">
        <v>1.62817085E8</v>
      </c>
      <c r="Q9" s="167"/>
    </row>
    <row r="10">
      <c r="A10" s="180" t="s">
        <v>324</v>
      </c>
      <c r="B10" s="182">
        <v>5.2826051E7</v>
      </c>
      <c r="C10" s="182">
        <v>6.0598758E7</v>
      </c>
      <c r="D10" s="182">
        <v>6.308749E7</v>
      </c>
      <c r="E10" s="182">
        <v>6.6940314E7</v>
      </c>
      <c r="F10" s="182">
        <v>6.8346866E7</v>
      </c>
      <c r="G10" s="182">
        <v>7.3759447E7</v>
      </c>
      <c r="H10" s="182">
        <v>7.7342875E7</v>
      </c>
      <c r="I10" s="182">
        <v>8.492275E7</v>
      </c>
      <c r="J10" s="182">
        <v>8.8327167E7</v>
      </c>
      <c r="K10" s="182">
        <v>9.530171E7</v>
      </c>
      <c r="L10" s="182">
        <v>9.9992247E7</v>
      </c>
      <c r="M10" s="182">
        <v>1.06226888E8</v>
      </c>
      <c r="N10" s="182">
        <v>9.2116054E7</v>
      </c>
      <c r="O10" s="182">
        <v>1.19794325E8</v>
      </c>
      <c r="P10" s="182">
        <v>1.28487226E8</v>
      </c>
      <c r="Q10" s="167"/>
    </row>
    <row r="11">
      <c r="A11" s="180" t="s">
        <v>325</v>
      </c>
      <c r="B11" s="182">
        <v>1.4764493E8</v>
      </c>
      <c r="C11" s="182">
        <v>1.73526988E8</v>
      </c>
      <c r="D11" s="182">
        <v>1.67933993E8</v>
      </c>
      <c r="E11" s="182">
        <v>1.54992185E8</v>
      </c>
      <c r="F11" s="182">
        <v>2.08685961E8</v>
      </c>
      <c r="G11" s="182">
        <v>1.55897611E8</v>
      </c>
      <c r="H11" s="182">
        <v>2.3258895E8</v>
      </c>
      <c r="I11" s="182">
        <v>1.97004982E8</v>
      </c>
      <c r="J11" s="182">
        <v>2.62338694E8</v>
      </c>
      <c r="K11" s="182">
        <v>2.90387436E8</v>
      </c>
      <c r="L11" s="182">
        <v>3.23312371E8</v>
      </c>
      <c r="M11" s="182">
        <v>4.03913789E8</v>
      </c>
      <c r="N11" s="182">
        <v>3.09904101E8</v>
      </c>
      <c r="O11" s="182">
        <v>3.91120571E8</v>
      </c>
      <c r="P11" s="182">
        <v>6.32251008E8</v>
      </c>
      <c r="Q11" s="167"/>
    </row>
    <row r="12">
      <c r="A12" s="183" t="s">
        <v>326</v>
      </c>
      <c r="B12" s="184">
        <v>2.87827169E8</v>
      </c>
      <c r="C12" s="184">
        <v>3.2800084E8</v>
      </c>
      <c r="D12" s="184">
        <v>3.28041734E8</v>
      </c>
      <c r="E12" s="184">
        <v>3.23008958E8</v>
      </c>
      <c r="F12" s="184">
        <v>3.81527383E8</v>
      </c>
      <c r="G12" s="184">
        <v>3.43302761E8</v>
      </c>
      <c r="H12" s="184">
        <v>4.35512879E8</v>
      </c>
      <c r="I12" s="184">
        <v>4.13230817E8</v>
      </c>
      <c r="J12" s="184">
        <v>4.93049557E8</v>
      </c>
      <c r="K12" s="184">
        <v>5.38640864E8</v>
      </c>
      <c r="L12" s="184">
        <v>5.85514303E8</v>
      </c>
      <c r="M12" s="184">
        <v>6.81480933E8</v>
      </c>
      <c r="N12" s="184">
        <v>5.71548308E8</v>
      </c>
      <c r="O12" s="184">
        <v>7.22171526E8</v>
      </c>
      <c r="P12" s="184">
        <v>9.82580215E8</v>
      </c>
      <c r="Q12" s="185"/>
    </row>
    <row r="14">
      <c r="B14" s="186" t="s">
        <v>327</v>
      </c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</row>
    <row r="15">
      <c r="B15" s="175">
        <v>2006.0</v>
      </c>
      <c r="C15" s="175">
        <v>2007.0</v>
      </c>
      <c r="D15" s="175">
        <v>2008.0</v>
      </c>
      <c r="E15" s="175">
        <v>2009.0</v>
      </c>
      <c r="F15" s="175">
        <v>2010.0</v>
      </c>
      <c r="G15" s="175">
        <v>2011.0</v>
      </c>
      <c r="H15" s="175">
        <v>2012.0</v>
      </c>
      <c r="I15" s="175">
        <v>2013.0</v>
      </c>
      <c r="J15" s="175">
        <v>2014.0</v>
      </c>
      <c r="K15" s="175">
        <v>2015.0</v>
      </c>
      <c r="L15" s="175">
        <v>2016.0</v>
      </c>
      <c r="M15" s="175">
        <v>2017.0</v>
      </c>
      <c r="N15" s="175">
        <v>2018.0</v>
      </c>
      <c r="O15" s="175">
        <v>2019.0</v>
      </c>
    </row>
    <row r="16"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AE16" s="6" t="s">
        <v>328</v>
      </c>
    </row>
    <row r="17">
      <c r="A17" s="180" t="s">
        <v>321</v>
      </c>
      <c r="B17" s="167"/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</row>
    <row r="18">
      <c r="A18" s="180" t="s">
        <v>322</v>
      </c>
      <c r="B18" s="181">
        <v>7.0</v>
      </c>
      <c r="C18" s="181">
        <v>1.3</v>
      </c>
      <c r="D18" s="181">
        <v>3.7</v>
      </c>
      <c r="E18" s="181">
        <v>1.9</v>
      </c>
      <c r="F18" s="181">
        <v>4.2</v>
      </c>
      <c r="G18" s="181">
        <v>6.7</v>
      </c>
      <c r="H18" s="181">
        <v>6.4</v>
      </c>
      <c r="I18" s="181">
        <v>5.9</v>
      </c>
      <c r="J18" s="181">
        <v>5.9</v>
      </c>
      <c r="K18" s="181">
        <v>5.7</v>
      </c>
      <c r="L18" s="181">
        <v>4.5</v>
      </c>
      <c r="M18" s="181">
        <v>5.0</v>
      </c>
      <c r="N18" s="181">
        <v>24.2</v>
      </c>
      <c r="O18" s="181">
        <v>4.4</v>
      </c>
    </row>
    <row r="19">
      <c r="A19" s="180" t="s">
        <v>323</v>
      </c>
      <c r="B19" s="181">
        <v>7.6</v>
      </c>
      <c r="C19" s="181">
        <v>4.2</v>
      </c>
      <c r="D19" s="181">
        <v>4.4</v>
      </c>
      <c r="E19" s="181">
        <v>4.0</v>
      </c>
      <c r="F19" s="181">
        <v>10.5</v>
      </c>
      <c r="G19" s="181">
        <v>11.9</v>
      </c>
      <c r="H19" s="181">
        <v>3.9</v>
      </c>
      <c r="I19" s="181">
        <v>9.4</v>
      </c>
      <c r="J19" s="181">
        <v>8.0</v>
      </c>
      <c r="K19" s="181">
        <v>6.2</v>
      </c>
      <c r="L19" s="181">
        <v>6.0</v>
      </c>
      <c r="M19" s="181">
        <v>-3.1</v>
      </c>
      <c r="N19" s="181">
        <v>24.8</v>
      </c>
      <c r="O19" s="181">
        <v>5.2</v>
      </c>
    </row>
    <row r="20">
      <c r="A20" s="180" t="s">
        <v>324</v>
      </c>
      <c r="B20" s="181">
        <v>14.7</v>
      </c>
      <c r="C20" s="181">
        <v>4.1</v>
      </c>
      <c r="D20" s="181">
        <v>6.1</v>
      </c>
      <c r="E20" s="181">
        <v>2.1</v>
      </c>
      <c r="F20" s="181">
        <v>7.9</v>
      </c>
      <c r="G20" s="181">
        <v>4.9</v>
      </c>
      <c r="H20" s="181">
        <v>9.8</v>
      </c>
      <c r="I20" s="181">
        <v>4.0</v>
      </c>
      <c r="J20" s="181">
        <v>7.9</v>
      </c>
      <c r="K20" s="181">
        <v>4.9</v>
      </c>
      <c r="L20" s="181">
        <v>6.2</v>
      </c>
      <c r="M20" s="181">
        <v>-13.3</v>
      </c>
      <c r="N20" s="181">
        <v>30.0</v>
      </c>
      <c r="O20" s="181">
        <v>7.3</v>
      </c>
    </row>
    <row r="21">
      <c r="A21" s="180" t="s">
        <v>325</v>
      </c>
      <c r="B21" s="181">
        <v>17.5</v>
      </c>
      <c r="C21" s="181">
        <v>-3.2</v>
      </c>
      <c r="D21" s="181">
        <v>-7.7</v>
      </c>
      <c r="E21" s="181">
        <v>34.6</v>
      </c>
      <c r="F21" s="181">
        <v>-25.3</v>
      </c>
      <c r="G21" s="181">
        <v>49.2</v>
      </c>
      <c r="H21" s="181">
        <v>-15.3</v>
      </c>
      <c r="I21" s="181">
        <v>33.2</v>
      </c>
      <c r="J21" s="181">
        <v>10.7</v>
      </c>
      <c r="K21" s="181">
        <v>11.3</v>
      </c>
      <c r="L21" s="181">
        <v>24.9</v>
      </c>
      <c r="M21" s="181">
        <v>-23.3</v>
      </c>
      <c r="N21" s="181">
        <v>26.2</v>
      </c>
      <c r="O21" s="181">
        <v>61.7</v>
      </c>
    </row>
    <row r="22">
      <c r="A22" s="183" t="s">
        <v>326</v>
      </c>
      <c r="B22" s="188">
        <v>14.0</v>
      </c>
      <c r="C22" s="188">
        <v>0.0</v>
      </c>
      <c r="D22" s="188">
        <v>-1.5</v>
      </c>
      <c r="E22" s="188">
        <v>18.1</v>
      </c>
      <c r="F22" s="188">
        <v>-10.0</v>
      </c>
      <c r="G22" s="188">
        <v>26.9</v>
      </c>
      <c r="H22" s="188">
        <v>-5.1</v>
      </c>
      <c r="I22" s="188">
        <v>19.3</v>
      </c>
      <c r="J22" s="188">
        <v>9.2</v>
      </c>
      <c r="K22" s="188">
        <v>8.7</v>
      </c>
      <c r="L22" s="188">
        <v>16.4</v>
      </c>
      <c r="M22" s="188">
        <v>-16.1</v>
      </c>
      <c r="N22" s="188">
        <v>26.4</v>
      </c>
      <c r="O22" s="188">
        <v>36.1</v>
      </c>
    </row>
  </sheetData>
  <mergeCells count="4">
    <mergeCell ref="A2:H2"/>
    <mergeCell ref="A4:A5"/>
    <mergeCell ref="B4:P4"/>
    <mergeCell ref="B14:O1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0.63"/>
    <col customWidth="1" min="3" max="3" width="8.5"/>
    <col customWidth="1" min="4" max="5" width="8.38"/>
    <col customWidth="1" min="6" max="6" width="7.75"/>
    <col customWidth="1" min="7" max="7" width="8.25"/>
    <col customWidth="1" min="8" max="8" width="6.75"/>
    <col customWidth="1" min="9" max="9" width="8.75"/>
    <col customWidth="1" min="10" max="10" width="8.88"/>
    <col customWidth="1" min="11" max="11" width="7.88"/>
    <col customWidth="1" min="12" max="12" width="7.25"/>
    <col customWidth="1" min="13" max="13" width="7.38"/>
    <col customWidth="1" min="14" max="14" width="6.75"/>
    <col customWidth="1" min="15" max="15" width="9.0"/>
    <col customWidth="1" min="16" max="16" width="8.38"/>
    <col customWidth="1" min="17" max="17" width="7.63"/>
    <col customWidth="1" min="18" max="18" width="7.75"/>
  </cols>
  <sheetData>
    <row r="1">
      <c r="A1" s="56" t="s">
        <v>329</v>
      </c>
      <c r="S1" s="189"/>
    </row>
    <row r="2">
      <c r="A2" s="190" t="s">
        <v>330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7"/>
    </row>
    <row r="3">
      <c r="A3" s="191"/>
      <c r="B3" s="192">
        <v>2007.0</v>
      </c>
      <c r="C3" s="192">
        <v>2008.0</v>
      </c>
      <c r="D3" s="192">
        <v>2009.0</v>
      </c>
      <c r="E3" s="192">
        <v>2010.0</v>
      </c>
      <c r="F3" s="192">
        <v>2011.0</v>
      </c>
      <c r="G3" s="192">
        <v>2012.0</v>
      </c>
      <c r="H3" s="192">
        <v>2013.0</v>
      </c>
      <c r="I3" s="192">
        <v>2014.0</v>
      </c>
      <c r="J3" s="192">
        <v>2015.0</v>
      </c>
      <c r="K3" s="192">
        <v>2016.0</v>
      </c>
      <c r="L3" s="192">
        <v>2017.0</v>
      </c>
      <c r="M3" s="192">
        <v>2018.0</v>
      </c>
      <c r="N3" s="192">
        <v>2019.0</v>
      </c>
      <c r="O3" s="192">
        <v>2020.0</v>
      </c>
      <c r="P3" s="192">
        <v>2021.0</v>
      </c>
      <c r="Q3" s="192">
        <v>2022.0</v>
      </c>
      <c r="R3" s="192">
        <v>2023.0</v>
      </c>
      <c r="S3" s="189"/>
    </row>
    <row r="4">
      <c r="A4" s="193" t="s">
        <v>331</v>
      </c>
      <c r="B4" s="194">
        <v>851736.0</v>
      </c>
      <c r="C4" s="194">
        <v>772763.0</v>
      </c>
      <c r="D4" s="194">
        <v>664876.0</v>
      </c>
      <c r="E4" s="194">
        <v>648513.0</v>
      </c>
      <c r="F4" s="194">
        <v>625432.0</v>
      </c>
      <c r="G4" s="194">
        <v>656630.0</v>
      </c>
      <c r="H4" s="194">
        <v>682065.0</v>
      </c>
      <c r="I4" s="194">
        <v>717937.0</v>
      </c>
      <c r="J4" s="194">
        <v>762408.0</v>
      </c>
      <c r="K4" s="194">
        <v>819274.0</v>
      </c>
      <c r="L4" s="194">
        <v>843621.0</v>
      </c>
      <c r="M4" s="194">
        <v>871645.0</v>
      </c>
      <c r="N4" s="194">
        <v>875831.0</v>
      </c>
      <c r="O4" s="194">
        <v>482878.0</v>
      </c>
      <c r="P4" s="194">
        <v>707315.0</v>
      </c>
      <c r="Q4" s="194">
        <v>842263.0</v>
      </c>
      <c r="R4" s="195">
        <v>870694.0</v>
      </c>
    </row>
  </sheetData>
  <mergeCells count="1">
    <mergeCell ref="A2:R2"/>
  </mergeCells>
  <hyperlinks>
    <hyperlink r:id="rId1" ref="A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5" max="5" width="14.5"/>
    <col customWidth="1" min="6" max="6" width="18.38"/>
  </cols>
  <sheetData>
    <row r="1">
      <c r="A1" s="196" t="s">
        <v>332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  <c r="BU1" s="197"/>
      <c r="BV1" s="197"/>
      <c r="BW1" s="197"/>
      <c r="BX1" s="197"/>
      <c r="BY1" s="197"/>
      <c r="BZ1" s="197"/>
      <c r="CA1" s="197"/>
      <c r="CB1" s="197"/>
      <c r="CC1" s="197"/>
      <c r="CD1" s="197"/>
    </row>
    <row r="2">
      <c r="A2" s="198" t="s">
        <v>333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7"/>
      <c r="CB2" s="197"/>
      <c r="CC2" s="197"/>
      <c r="CD2" s="197"/>
    </row>
    <row r="3">
      <c r="A3" s="197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7"/>
      <c r="BI3" s="197"/>
      <c r="BJ3" s="197"/>
      <c r="BK3" s="197"/>
      <c r="BL3" s="197"/>
      <c r="BM3" s="197"/>
      <c r="BN3" s="197"/>
      <c r="BO3" s="197"/>
      <c r="BP3" s="197"/>
      <c r="BQ3" s="197"/>
      <c r="BR3" s="197"/>
      <c r="BS3" s="197"/>
      <c r="BT3" s="197"/>
      <c r="BU3" s="197"/>
      <c r="BV3" s="197"/>
      <c r="BW3" s="197"/>
      <c r="BX3" s="197"/>
      <c r="BY3" s="197"/>
      <c r="BZ3" s="197"/>
      <c r="CA3" s="197"/>
      <c r="CB3" s="197"/>
      <c r="CC3" s="197"/>
      <c r="CD3" s="197"/>
    </row>
    <row r="4">
      <c r="A4" s="197" t="s">
        <v>334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7"/>
      <c r="BL4" s="197"/>
      <c r="BM4" s="197"/>
      <c r="BN4" s="197"/>
      <c r="BO4" s="197"/>
      <c r="BP4" s="197"/>
      <c r="BQ4" s="197"/>
      <c r="BR4" s="197"/>
      <c r="BS4" s="197"/>
      <c r="BT4" s="197"/>
      <c r="BU4" s="197"/>
      <c r="BV4" s="197"/>
      <c r="BW4" s="197"/>
      <c r="BX4" s="197"/>
      <c r="BY4" s="197"/>
      <c r="BZ4" s="197"/>
      <c r="CA4" s="197"/>
      <c r="CB4" s="197"/>
      <c r="CC4" s="197"/>
      <c r="CD4" s="197"/>
    </row>
    <row r="5">
      <c r="A5" s="199" t="s">
        <v>335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  <c r="BE5" s="200"/>
      <c r="BF5" s="200"/>
      <c r="BG5" s="200"/>
      <c r="BH5" s="200"/>
      <c r="BI5" s="200"/>
      <c r="BJ5" s="200"/>
      <c r="BK5" s="200"/>
      <c r="BL5" s="200"/>
      <c r="BM5" s="200"/>
      <c r="BN5" s="200"/>
      <c r="BO5" s="200"/>
      <c r="BP5" s="200"/>
      <c r="BQ5" s="200"/>
      <c r="BR5" s="200"/>
      <c r="BS5" s="200"/>
      <c r="BT5" s="200"/>
      <c r="BU5" s="200"/>
      <c r="BV5" s="200"/>
      <c r="BW5" s="200"/>
      <c r="BX5" s="200"/>
      <c r="BY5" s="200"/>
      <c r="BZ5" s="200"/>
      <c r="CA5" s="200"/>
      <c r="CB5" s="200"/>
      <c r="CC5" s="200"/>
      <c r="CD5" s="200"/>
    </row>
    <row r="6">
      <c r="A6" s="201" t="s">
        <v>336</v>
      </c>
      <c r="B6" s="202" t="s">
        <v>337</v>
      </c>
      <c r="C6" s="187"/>
      <c r="D6" s="187"/>
      <c r="E6" s="187"/>
      <c r="F6" s="187"/>
      <c r="G6" s="187"/>
      <c r="H6" s="187"/>
      <c r="I6" s="187"/>
      <c r="J6" s="203"/>
      <c r="K6" s="202" t="s">
        <v>338</v>
      </c>
      <c r="L6" s="187"/>
      <c r="M6" s="187"/>
      <c r="N6" s="187"/>
      <c r="O6" s="187"/>
      <c r="P6" s="187"/>
      <c r="Q6" s="187"/>
      <c r="R6" s="187"/>
      <c r="S6" s="203"/>
      <c r="T6" s="202" t="s">
        <v>339</v>
      </c>
      <c r="U6" s="187"/>
      <c r="V6" s="187"/>
      <c r="W6" s="187"/>
      <c r="X6" s="187"/>
      <c r="Y6" s="187"/>
      <c r="Z6" s="187"/>
      <c r="AA6" s="187"/>
      <c r="AB6" s="203"/>
      <c r="AC6" s="202" t="s">
        <v>340</v>
      </c>
      <c r="AD6" s="187"/>
      <c r="AE6" s="187"/>
      <c r="AF6" s="187"/>
      <c r="AG6" s="187"/>
      <c r="AH6" s="187"/>
      <c r="AI6" s="187"/>
      <c r="AJ6" s="187"/>
      <c r="AK6" s="203"/>
      <c r="AL6" s="202" t="s">
        <v>341</v>
      </c>
      <c r="AM6" s="187"/>
      <c r="AN6" s="187"/>
      <c r="AO6" s="187"/>
      <c r="AP6" s="187"/>
      <c r="AQ6" s="187"/>
      <c r="AR6" s="187"/>
      <c r="AS6" s="187"/>
      <c r="AT6" s="203"/>
      <c r="AU6" s="202" t="s">
        <v>342</v>
      </c>
      <c r="AV6" s="187"/>
      <c r="AW6" s="187"/>
      <c r="AX6" s="187"/>
      <c r="AY6" s="187"/>
      <c r="AZ6" s="187"/>
      <c r="BA6" s="187"/>
      <c r="BB6" s="187"/>
      <c r="BC6" s="203"/>
      <c r="BD6" s="202" t="s">
        <v>343</v>
      </c>
      <c r="BE6" s="187"/>
      <c r="BF6" s="187"/>
      <c r="BG6" s="187"/>
      <c r="BH6" s="187"/>
      <c r="BI6" s="187"/>
      <c r="BJ6" s="187"/>
      <c r="BK6" s="187"/>
      <c r="BL6" s="203"/>
      <c r="BM6" s="202" t="s">
        <v>344</v>
      </c>
      <c r="BN6" s="187"/>
      <c r="BO6" s="187"/>
      <c r="BP6" s="187"/>
      <c r="BQ6" s="187"/>
      <c r="BR6" s="187"/>
      <c r="BS6" s="187"/>
      <c r="BT6" s="187"/>
      <c r="BU6" s="203"/>
      <c r="BV6" s="202" t="s">
        <v>345</v>
      </c>
      <c r="BW6" s="187"/>
      <c r="BX6" s="187"/>
      <c r="BY6" s="187"/>
      <c r="BZ6" s="187"/>
      <c r="CA6" s="187"/>
      <c r="CB6" s="187"/>
      <c r="CC6" s="187"/>
      <c r="CD6" s="203"/>
    </row>
    <row r="7">
      <c r="A7" s="174"/>
      <c r="B7" s="204" t="s">
        <v>346</v>
      </c>
      <c r="C7" s="204" t="s">
        <v>347</v>
      </c>
      <c r="D7" s="204" t="s">
        <v>348</v>
      </c>
      <c r="E7" s="204" t="s">
        <v>349</v>
      </c>
      <c r="F7" s="204" t="s">
        <v>350</v>
      </c>
      <c r="G7" s="204" t="s">
        <v>351</v>
      </c>
      <c r="H7" s="204" t="s">
        <v>352</v>
      </c>
      <c r="I7" s="204" t="s">
        <v>353</v>
      </c>
      <c r="J7" s="204" t="s">
        <v>354</v>
      </c>
      <c r="K7" s="204" t="s">
        <v>346</v>
      </c>
      <c r="L7" s="204" t="s">
        <v>347</v>
      </c>
      <c r="M7" s="204" t="s">
        <v>348</v>
      </c>
      <c r="N7" s="204" t="s">
        <v>349</v>
      </c>
      <c r="O7" s="204" t="s">
        <v>350</v>
      </c>
      <c r="P7" s="204" t="s">
        <v>351</v>
      </c>
      <c r="Q7" s="204" t="s">
        <v>352</v>
      </c>
      <c r="R7" s="204" t="s">
        <v>353</v>
      </c>
      <c r="S7" s="204" t="s">
        <v>354</v>
      </c>
      <c r="T7" s="204" t="s">
        <v>346</v>
      </c>
      <c r="U7" s="204" t="s">
        <v>347</v>
      </c>
      <c r="V7" s="204" t="s">
        <v>348</v>
      </c>
      <c r="W7" s="204" t="s">
        <v>349</v>
      </c>
      <c r="X7" s="204" t="s">
        <v>350</v>
      </c>
      <c r="Y7" s="204" t="s">
        <v>351</v>
      </c>
      <c r="Z7" s="204" t="s">
        <v>352</v>
      </c>
      <c r="AA7" s="204" t="s">
        <v>353</v>
      </c>
      <c r="AB7" s="204" t="s">
        <v>354</v>
      </c>
      <c r="AC7" s="204" t="s">
        <v>346</v>
      </c>
      <c r="AD7" s="204" t="s">
        <v>347</v>
      </c>
      <c r="AE7" s="204" t="s">
        <v>348</v>
      </c>
      <c r="AF7" s="204" t="s">
        <v>349</v>
      </c>
      <c r="AG7" s="204" t="s">
        <v>350</v>
      </c>
      <c r="AH7" s="204" t="s">
        <v>351</v>
      </c>
      <c r="AI7" s="204" t="s">
        <v>352</v>
      </c>
      <c r="AJ7" s="204" t="s">
        <v>353</v>
      </c>
      <c r="AK7" s="204" t="s">
        <v>354</v>
      </c>
      <c r="AL7" s="204" t="s">
        <v>346</v>
      </c>
      <c r="AM7" s="204" t="s">
        <v>347</v>
      </c>
      <c r="AN7" s="204" t="s">
        <v>348</v>
      </c>
      <c r="AO7" s="204" t="s">
        <v>349</v>
      </c>
      <c r="AP7" s="204" t="s">
        <v>350</v>
      </c>
      <c r="AQ7" s="204" t="s">
        <v>351</v>
      </c>
      <c r="AR7" s="204" t="s">
        <v>352</v>
      </c>
      <c r="AS7" s="204" t="s">
        <v>353</v>
      </c>
      <c r="AT7" s="204" t="s">
        <v>354</v>
      </c>
      <c r="AU7" s="204" t="s">
        <v>346</v>
      </c>
      <c r="AV7" s="204" t="s">
        <v>347</v>
      </c>
      <c r="AW7" s="204" t="s">
        <v>348</v>
      </c>
      <c r="AX7" s="204" t="s">
        <v>349</v>
      </c>
      <c r="AY7" s="204" t="s">
        <v>350</v>
      </c>
      <c r="AZ7" s="204" t="s">
        <v>351</v>
      </c>
      <c r="BA7" s="204" t="s">
        <v>352</v>
      </c>
      <c r="BB7" s="204" t="s">
        <v>353</v>
      </c>
      <c r="BC7" s="204" t="s">
        <v>354</v>
      </c>
      <c r="BD7" s="204" t="s">
        <v>346</v>
      </c>
      <c r="BE7" s="204" t="s">
        <v>347</v>
      </c>
      <c r="BF7" s="204" t="s">
        <v>348</v>
      </c>
      <c r="BG7" s="204" t="s">
        <v>349</v>
      </c>
      <c r="BH7" s="204" t="s">
        <v>350</v>
      </c>
      <c r="BI7" s="204" t="s">
        <v>351</v>
      </c>
      <c r="BJ7" s="204" t="s">
        <v>352</v>
      </c>
      <c r="BK7" s="204" t="s">
        <v>353</v>
      </c>
      <c r="BL7" s="204" t="s">
        <v>354</v>
      </c>
      <c r="BM7" s="204" t="s">
        <v>346</v>
      </c>
      <c r="BN7" s="204" t="s">
        <v>347</v>
      </c>
      <c r="BO7" s="204" t="s">
        <v>348</v>
      </c>
      <c r="BP7" s="204" t="s">
        <v>349</v>
      </c>
      <c r="BQ7" s="204" t="s">
        <v>350</v>
      </c>
      <c r="BR7" s="204" t="s">
        <v>351</v>
      </c>
      <c r="BS7" s="204" t="s">
        <v>352</v>
      </c>
      <c r="BT7" s="204" t="s">
        <v>353</v>
      </c>
      <c r="BU7" s="204" t="s">
        <v>354</v>
      </c>
      <c r="BV7" s="204" t="s">
        <v>346</v>
      </c>
      <c r="BW7" s="204" t="s">
        <v>347</v>
      </c>
      <c r="BX7" s="204" t="s">
        <v>348</v>
      </c>
      <c r="BY7" s="204" t="s">
        <v>349</v>
      </c>
      <c r="BZ7" s="204" t="s">
        <v>350</v>
      </c>
      <c r="CA7" s="204" t="s">
        <v>351</v>
      </c>
      <c r="CB7" s="204" t="s">
        <v>352</v>
      </c>
      <c r="CC7" s="204" t="s">
        <v>353</v>
      </c>
      <c r="CD7" s="204" t="s">
        <v>354</v>
      </c>
    </row>
    <row r="8">
      <c r="A8" s="205" t="s">
        <v>346</v>
      </c>
      <c r="B8" s="206">
        <v>172025.0</v>
      </c>
      <c r="C8" s="206">
        <v>23421.0</v>
      </c>
      <c r="D8" s="206">
        <v>76677.0</v>
      </c>
      <c r="E8" s="206">
        <v>20579.0</v>
      </c>
      <c r="F8" s="206">
        <v>31636.0</v>
      </c>
      <c r="G8" s="206">
        <v>5012.0</v>
      </c>
      <c r="H8" s="206">
        <v>9904.0</v>
      </c>
      <c r="I8" s="206">
        <v>2922.0</v>
      </c>
      <c r="J8" s="206">
        <v>1874.0</v>
      </c>
      <c r="K8" s="206">
        <v>177023.0</v>
      </c>
      <c r="L8" s="206">
        <v>19792.0</v>
      </c>
      <c r="M8" s="206">
        <v>78745.0</v>
      </c>
      <c r="N8" s="206">
        <v>22591.0</v>
      </c>
      <c r="O8" s="206">
        <v>35077.0</v>
      </c>
      <c r="P8" s="206">
        <v>3789.0</v>
      </c>
      <c r="Q8" s="206">
        <v>10581.0</v>
      </c>
      <c r="R8" s="206">
        <v>3147.0</v>
      </c>
      <c r="S8" s="206">
        <v>3301.0</v>
      </c>
      <c r="T8" s="206">
        <v>189952.0</v>
      </c>
      <c r="U8" s="206">
        <v>21150.0</v>
      </c>
      <c r="V8" s="206">
        <v>82668.0</v>
      </c>
      <c r="W8" s="206">
        <v>24090.0</v>
      </c>
      <c r="X8" s="206">
        <v>38836.0</v>
      </c>
      <c r="Y8" s="206">
        <v>4538.0</v>
      </c>
      <c r="Z8" s="206">
        <v>12891.0</v>
      </c>
      <c r="AA8" s="206">
        <v>3279.0</v>
      </c>
      <c r="AB8" s="206">
        <v>2500.0</v>
      </c>
      <c r="AC8" s="206">
        <v>193925.0</v>
      </c>
      <c r="AD8" s="206">
        <v>22715.0</v>
      </c>
      <c r="AE8" s="206">
        <v>85398.0</v>
      </c>
      <c r="AF8" s="206">
        <v>26345.0</v>
      </c>
      <c r="AG8" s="206">
        <v>37977.0</v>
      </c>
      <c r="AH8" s="206">
        <v>4724.0</v>
      </c>
      <c r="AI8" s="206">
        <v>12116.0</v>
      </c>
      <c r="AJ8" s="206">
        <v>2960.0</v>
      </c>
      <c r="AK8" s="206">
        <v>1690.0</v>
      </c>
      <c r="AL8" s="206">
        <v>13569.0</v>
      </c>
      <c r="AM8" s="206">
        <v>1894.0</v>
      </c>
      <c r="AN8" s="206">
        <v>6152.0</v>
      </c>
      <c r="AO8" s="206">
        <v>2459.0</v>
      </c>
      <c r="AP8" s="206">
        <v>2544.0</v>
      </c>
      <c r="AQ8" s="206">
        <v>272.0</v>
      </c>
      <c r="AR8" s="206">
        <v>102.0</v>
      </c>
      <c r="AS8" s="206">
        <v>107.0</v>
      </c>
      <c r="AT8" s="206">
        <v>39.0</v>
      </c>
      <c r="AU8" s="206">
        <v>84503.0</v>
      </c>
      <c r="AV8" s="206">
        <v>10913.0</v>
      </c>
      <c r="AW8" s="206">
        <v>39150.0</v>
      </c>
      <c r="AX8" s="206">
        <v>13463.0</v>
      </c>
      <c r="AY8" s="206">
        <v>15261.0</v>
      </c>
      <c r="AZ8" s="206">
        <v>1664.0</v>
      </c>
      <c r="BA8" s="206">
        <v>2416.0</v>
      </c>
      <c r="BB8" s="206">
        <v>1065.0</v>
      </c>
      <c r="BC8" s="206">
        <v>571.0</v>
      </c>
      <c r="BD8" s="206">
        <v>160417.0</v>
      </c>
      <c r="BE8" s="206">
        <v>22165.0</v>
      </c>
      <c r="BF8" s="206">
        <v>67539.0</v>
      </c>
      <c r="BG8" s="206">
        <v>24263.0</v>
      </c>
      <c r="BH8" s="206">
        <v>30762.0</v>
      </c>
      <c r="BI8" s="206">
        <v>3049.0</v>
      </c>
      <c r="BJ8" s="206">
        <v>9288.0</v>
      </c>
      <c r="BK8" s="206">
        <v>1930.0</v>
      </c>
      <c r="BL8" s="206">
        <v>1421.0</v>
      </c>
      <c r="BM8" s="206">
        <v>188486.0</v>
      </c>
      <c r="BN8" s="206">
        <v>24615.0</v>
      </c>
      <c r="BO8" s="206">
        <v>81286.0</v>
      </c>
      <c r="BP8" s="206">
        <v>28318.0</v>
      </c>
      <c r="BQ8" s="206">
        <v>34711.0</v>
      </c>
      <c r="BR8" s="206">
        <v>3997.0</v>
      </c>
      <c r="BS8" s="206">
        <v>11234.0</v>
      </c>
      <c r="BT8" s="206">
        <v>2672.0</v>
      </c>
      <c r="BU8" s="206">
        <v>1653.0</v>
      </c>
      <c r="BV8" s="206">
        <v>188376.0</v>
      </c>
      <c r="BW8" s="206">
        <v>24047.0</v>
      </c>
      <c r="BX8" s="206">
        <v>80178.0</v>
      </c>
      <c r="BY8" s="206">
        <v>28857.0</v>
      </c>
      <c r="BZ8" s="206">
        <v>35775.0</v>
      </c>
      <c r="CA8" s="206">
        <v>4259.0</v>
      </c>
      <c r="CB8" s="206">
        <v>11018.0</v>
      </c>
      <c r="CC8" s="206">
        <v>2565.0</v>
      </c>
      <c r="CD8" s="206">
        <v>1677.0</v>
      </c>
    </row>
    <row r="9">
      <c r="A9" s="205" t="s">
        <v>355</v>
      </c>
      <c r="B9" s="207">
        <v>2916.0</v>
      </c>
      <c r="C9" s="207">
        <v>347.0</v>
      </c>
      <c r="D9" s="207">
        <v>1305.0</v>
      </c>
      <c r="E9" s="207">
        <v>363.0</v>
      </c>
      <c r="F9" s="207">
        <v>494.0</v>
      </c>
      <c r="G9" s="207">
        <v>74.0</v>
      </c>
      <c r="H9" s="207">
        <v>288.0</v>
      </c>
      <c r="I9" s="207">
        <v>31.0</v>
      </c>
      <c r="J9" s="207">
        <v>14.0</v>
      </c>
      <c r="K9" s="207">
        <v>3704.0</v>
      </c>
      <c r="L9" s="207">
        <v>344.0</v>
      </c>
      <c r="M9" s="207">
        <v>1741.0</v>
      </c>
      <c r="N9" s="207">
        <v>440.0</v>
      </c>
      <c r="O9" s="207">
        <v>684.0</v>
      </c>
      <c r="P9" s="207">
        <v>43.0</v>
      </c>
      <c r="Q9" s="207">
        <v>364.0</v>
      </c>
      <c r="R9" s="207">
        <v>66.0</v>
      </c>
      <c r="S9" s="207">
        <v>22.0</v>
      </c>
      <c r="T9" s="207">
        <v>3083.0</v>
      </c>
      <c r="U9" s="207">
        <v>289.0</v>
      </c>
      <c r="V9" s="207">
        <v>1345.0</v>
      </c>
      <c r="W9" s="207">
        <v>508.0</v>
      </c>
      <c r="X9" s="207">
        <v>565.0</v>
      </c>
      <c r="Y9" s="207">
        <v>68.0</v>
      </c>
      <c r="Z9" s="207">
        <v>215.0</v>
      </c>
      <c r="AA9" s="207">
        <v>43.0</v>
      </c>
      <c r="AB9" s="207">
        <v>50.0</v>
      </c>
      <c r="AC9" s="207">
        <v>3619.0</v>
      </c>
      <c r="AD9" s="207">
        <v>385.0</v>
      </c>
      <c r="AE9" s="207">
        <v>1332.0</v>
      </c>
      <c r="AF9" s="207">
        <v>708.0</v>
      </c>
      <c r="AG9" s="207">
        <v>829.0</v>
      </c>
      <c r="AH9" s="207">
        <v>77.0</v>
      </c>
      <c r="AI9" s="207">
        <v>268.0</v>
      </c>
      <c r="AJ9" s="207">
        <v>6.0</v>
      </c>
      <c r="AK9" s="207">
        <v>14.0</v>
      </c>
      <c r="AL9" s="207">
        <v>0.0</v>
      </c>
      <c r="AM9" s="207">
        <v>0.0</v>
      </c>
      <c r="AN9" s="207">
        <v>0.0</v>
      </c>
      <c r="AO9" s="207">
        <v>0.0</v>
      </c>
      <c r="AP9" s="207">
        <v>0.0</v>
      </c>
      <c r="AQ9" s="207">
        <v>0.0</v>
      </c>
      <c r="AR9" s="207">
        <v>0.0</v>
      </c>
      <c r="AS9" s="207">
        <v>0.0</v>
      </c>
      <c r="AT9" s="207">
        <v>0.0</v>
      </c>
      <c r="AU9" s="207">
        <v>2365.0</v>
      </c>
      <c r="AV9" s="207">
        <v>332.0</v>
      </c>
      <c r="AW9" s="207">
        <v>866.0</v>
      </c>
      <c r="AX9" s="207">
        <v>617.0</v>
      </c>
      <c r="AY9" s="207">
        <v>446.0</v>
      </c>
      <c r="AZ9" s="207">
        <v>37.0</v>
      </c>
      <c r="BA9" s="207">
        <v>58.0</v>
      </c>
      <c r="BB9" s="207">
        <v>1.0</v>
      </c>
      <c r="BC9" s="207">
        <v>8.0</v>
      </c>
      <c r="BD9" s="207">
        <v>2327.0</v>
      </c>
      <c r="BE9" s="207">
        <v>341.0</v>
      </c>
      <c r="BF9" s="207">
        <v>978.0</v>
      </c>
      <c r="BG9" s="207">
        <v>430.0</v>
      </c>
      <c r="BH9" s="207">
        <v>440.0</v>
      </c>
      <c r="BI9" s="207">
        <v>31.0</v>
      </c>
      <c r="BJ9" s="207">
        <v>103.0</v>
      </c>
      <c r="BK9" s="207">
        <v>3.0</v>
      </c>
      <c r="BL9" s="207">
        <v>1.0</v>
      </c>
      <c r="BM9" s="207">
        <v>2751.0</v>
      </c>
      <c r="BN9" s="207">
        <v>430.0</v>
      </c>
      <c r="BO9" s="207">
        <v>1224.0</v>
      </c>
      <c r="BP9" s="207">
        <v>478.0</v>
      </c>
      <c r="BQ9" s="207">
        <v>488.0</v>
      </c>
      <c r="BR9" s="207">
        <v>52.0</v>
      </c>
      <c r="BS9" s="207">
        <v>52.0</v>
      </c>
      <c r="BT9" s="207">
        <v>27.0</v>
      </c>
      <c r="BU9" s="207">
        <v>0.0</v>
      </c>
      <c r="BV9" s="207">
        <v>2262.0</v>
      </c>
      <c r="BW9" s="207">
        <v>428.0</v>
      </c>
      <c r="BX9" s="207">
        <v>953.0</v>
      </c>
      <c r="BY9" s="207">
        <v>336.0</v>
      </c>
      <c r="BZ9" s="207">
        <v>368.0</v>
      </c>
      <c r="CA9" s="207">
        <v>51.0</v>
      </c>
      <c r="CB9" s="207">
        <v>101.0</v>
      </c>
      <c r="CC9" s="207">
        <v>11.0</v>
      </c>
      <c r="CD9" s="207">
        <v>14.0</v>
      </c>
    </row>
    <row r="10">
      <c r="A10" s="205" t="s">
        <v>356</v>
      </c>
      <c r="B10" s="206">
        <v>3443.0</v>
      </c>
      <c r="C10" s="206">
        <v>258.0</v>
      </c>
      <c r="D10" s="206">
        <v>1886.0</v>
      </c>
      <c r="E10" s="206">
        <v>433.0</v>
      </c>
      <c r="F10" s="206">
        <v>506.0</v>
      </c>
      <c r="G10" s="206">
        <v>101.0</v>
      </c>
      <c r="H10" s="206">
        <v>186.0</v>
      </c>
      <c r="I10" s="206">
        <v>59.0</v>
      </c>
      <c r="J10" s="206">
        <v>14.0</v>
      </c>
      <c r="K10" s="206">
        <v>2920.0</v>
      </c>
      <c r="L10" s="206">
        <v>201.0</v>
      </c>
      <c r="M10" s="206">
        <v>1521.0</v>
      </c>
      <c r="N10" s="206">
        <v>377.0</v>
      </c>
      <c r="O10" s="206">
        <v>488.0</v>
      </c>
      <c r="P10" s="206">
        <v>64.0</v>
      </c>
      <c r="Q10" s="206">
        <v>226.0</v>
      </c>
      <c r="R10" s="206">
        <v>18.0</v>
      </c>
      <c r="S10" s="206">
        <v>25.0</v>
      </c>
      <c r="T10" s="206">
        <v>2886.0</v>
      </c>
      <c r="U10" s="206">
        <v>182.0</v>
      </c>
      <c r="V10" s="206">
        <v>1425.0</v>
      </c>
      <c r="W10" s="206">
        <v>413.0</v>
      </c>
      <c r="X10" s="206">
        <v>499.0</v>
      </c>
      <c r="Y10" s="206">
        <v>91.0</v>
      </c>
      <c r="Z10" s="206">
        <v>164.0</v>
      </c>
      <c r="AA10" s="206">
        <v>43.0</v>
      </c>
      <c r="AB10" s="206">
        <v>69.0</v>
      </c>
      <c r="AC10" s="206">
        <v>2484.0</v>
      </c>
      <c r="AD10" s="206">
        <v>192.0</v>
      </c>
      <c r="AE10" s="206">
        <v>1162.0</v>
      </c>
      <c r="AF10" s="206">
        <v>301.0</v>
      </c>
      <c r="AG10" s="206">
        <v>436.0</v>
      </c>
      <c r="AH10" s="206">
        <v>55.0</v>
      </c>
      <c r="AI10" s="206">
        <v>293.0</v>
      </c>
      <c r="AJ10" s="206">
        <v>20.0</v>
      </c>
      <c r="AK10" s="206">
        <v>25.0</v>
      </c>
      <c r="AL10" s="206">
        <v>233.0</v>
      </c>
      <c r="AM10" s="206">
        <v>11.0</v>
      </c>
      <c r="AN10" s="206">
        <v>159.0</v>
      </c>
      <c r="AO10" s="206">
        <v>38.0</v>
      </c>
      <c r="AP10" s="206">
        <v>23.0</v>
      </c>
      <c r="AQ10" s="206">
        <v>2.0</v>
      </c>
      <c r="AR10" s="206">
        <v>0.0</v>
      </c>
      <c r="AS10" s="206">
        <v>0.0</v>
      </c>
      <c r="AT10" s="206">
        <v>0.0</v>
      </c>
      <c r="AU10" s="206">
        <v>588.0</v>
      </c>
      <c r="AV10" s="206">
        <v>57.0</v>
      </c>
      <c r="AW10" s="206">
        <v>317.0</v>
      </c>
      <c r="AX10" s="206">
        <v>82.0</v>
      </c>
      <c r="AY10" s="206">
        <v>105.0</v>
      </c>
      <c r="AZ10" s="206">
        <v>6.0</v>
      </c>
      <c r="BA10" s="206">
        <v>11.0</v>
      </c>
      <c r="BB10" s="206">
        <v>2.0</v>
      </c>
      <c r="BC10" s="206">
        <v>8.0</v>
      </c>
      <c r="BD10" s="206">
        <v>2038.0</v>
      </c>
      <c r="BE10" s="206">
        <v>217.0</v>
      </c>
      <c r="BF10" s="206">
        <v>993.0</v>
      </c>
      <c r="BG10" s="206">
        <v>222.0</v>
      </c>
      <c r="BH10" s="206">
        <v>248.0</v>
      </c>
      <c r="BI10" s="206">
        <v>40.0</v>
      </c>
      <c r="BJ10" s="206">
        <v>273.0</v>
      </c>
      <c r="BK10" s="206">
        <v>26.0</v>
      </c>
      <c r="BL10" s="206">
        <v>19.0</v>
      </c>
      <c r="BM10" s="206">
        <v>1869.0</v>
      </c>
      <c r="BN10" s="206">
        <v>249.0</v>
      </c>
      <c r="BO10" s="206">
        <v>886.0</v>
      </c>
      <c r="BP10" s="206">
        <v>277.0</v>
      </c>
      <c r="BQ10" s="206">
        <v>349.0</v>
      </c>
      <c r="BR10" s="206">
        <v>23.0</v>
      </c>
      <c r="BS10" s="206">
        <v>39.0</v>
      </c>
      <c r="BT10" s="206">
        <v>21.0</v>
      </c>
      <c r="BU10" s="206">
        <v>25.0</v>
      </c>
      <c r="BV10" s="206">
        <v>2057.0</v>
      </c>
      <c r="BW10" s="206">
        <v>249.0</v>
      </c>
      <c r="BX10" s="206">
        <v>1067.0</v>
      </c>
      <c r="BY10" s="206">
        <v>250.0</v>
      </c>
      <c r="BZ10" s="206">
        <v>298.0</v>
      </c>
      <c r="CA10" s="206">
        <v>28.0</v>
      </c>
      <c r="CB10" s="206">
        <v>135.0</v>
      </c>
      <c r="CC10" s="206">
        <v>16.0</v>
      </c>
      <c r="CD10" s="206">
        <v>14.0</v>
      </c>
    </row>
    <row r="11">
      <c r="A11" s="205" t="s">
        <v>357</v>
      </c>
      <c r="B11" s="207">
        <v>2133.0</v>
      </c>
      <c r="C11" s="207">
        <v>206.0</v>
      </c>
      <c r="D11" s="207">
        <v>970.0</v>
      </c>
      <c r="E11" s="207">
        <v>333.0</v>
      </c>
      <c r="F11" s="207">
        <v>382.0</v>
      </c>
      <c r="G11" s="207">
        <v>50.0</v>
      </c>
      <c r="H11" s="207">
        <v>135.0</v>
      </c>
      <c r="I11" s="207">
        <v>56.0</v>
      </c>
      <c r="J11" s="207">
        <v>1.0</v>
      </c>
      <c r="K11" s="207">
        <v>1294.0</v>
      </c>
      <c r="L11" s="207">
        <v>125.0</v>
      </c>
      <c r="M11" s="207">
        <v>584.0</v>
      </c>
      <c r="N11" s="207">
        <v>177.0</v>
      </c>
      <c r="O11" s="207">
        <v>233.0</v>
      </c>
      <c r="P11" s="207">
        <v>25.0</v>
      </c>
      <c r="Q11" s="207">
        <v>105.0</v>
      </c>
      <c r="R11" s="207">
        <v>34.0</v>
      </c>
      <c r="S11" s="207">
        <v>11.0</v>
      </c>
      <c r="T11" s="207">
        <v>1186.0</v>
      </c>
      <c r="U11" s="207">
        <v>136.0</v>
      </c>
      <c r="V11" s="207">
        <v>519.0</v>
      </c>
      <c r="W11" s="207">
        <v>201.0</v>
      </c>
      <c r="X11" s="207">
        <v>257.0</v>
      </c>
      <c r="Y11" s="207">
        <v>19.0</v>
      </c>
      <c r="Z11" s="207">
        <v>22.0</v>
      </c>
      <c r="AA11" s="207">
        <v>17.0</v>
      </c>
      <c r="AB11" s="207">
        <v>15.0</v>
      </c>
      <c r="AC11" s="207">
        <v>1270.0</v>
      </c>
      <c r="AD11" s="207">
        <v>85.0</v>
      </c>
      <c r="AE11" s="207">
        <v>617.0</v>
      </c>
      <c r="AF11" s="207">
        <v>197.0</v>
      </c>
      <c r="AG11" s="207">
        <v>212.0</v>
      </c>
      <c r="AH11" s="207">
        <v>68.0</v>
      </c>
      <c r="AI11" s="207">
        <v>49.0</v>
      </c>
      <c r="AJ11" s="207">
        <v>42.0</v>
      </c>
      <c r="AK11" s="207">
        <v>0.0</v>
      </c>
      <c r="AL11" s="207">
        <v>0.0</v>
      </c>
      <c r="AM11" s="207">
        <v>0.0</v>
      </c>
      <c r="AN11" s="207">
        <v>0.0</v>
      </c>
      <c r="AO11" s="207">
        <v>0.0</v>
      </c>
      <c r="AP11" s="207">
        <v>0.0</v>
      </c>
      <c r="AQ11" s="207">
        <v>0.0</v>
      </c>
      <c r="AR11" s="207">
        <v>0.0</v>
      </c>
      <c r="AS11" s="207">
        <v>0.0</v>
      </c>
      <c r="AT11" s="207">
        <v>0.0</v>
      </c>
      <c r="AU11" s="207">
        <v>354.0</v>
      </c>
      <c r="AV11" s="207">
        <v>42.0</v>
      </c>
      <c r="AW11" s="207">
        <v>161.0</v>
      </c>
      <c r="AX11" s="207">
        <v>62.0</v>
      </c>
      <c r="AY11" s="207">
        <v>65.0</v>
      </c>
      <c r="AZ11" s="207">
        <v>10.0</v>
      </c>
      <c r="BA11" s="207">
        <v>0.0</v>
      </c>
      <c r="BB11" s="207">
        <v>14.0</v>
      </c>
      <c r="BC11" s="207">
        <v>0.0</v>
      </c>
      <c r="BD11" s="207">
        <v>1295.0</v>
      </c>
      <c r="BE11" s="207">
        <v>133.0</v>
      </c>
      <c r="BF11" s="207">
        <v>590.0</v>
      </c>
      <c r="BG11" s="207">
        <v>225.0</v>
      </c>
      <c r="BH11" s="207">
        <v>238.0</v>
      </c>
      <c r="BI11" s="207">
        <v>24.0</v>
      </c>
      <c r="BJ11" s="207">
        <v>52.0</v>
      </c>
      <c r="BK11" s="207">
        <v>33.0</v>
      </c>
      <c r="BL11" s="207">
        <v>0.0</v>
      </c>
      <c r="BM11" s="207">
        <v>1439.0</v>
      </c>
      <c r="BN11" s="207">
        <v>100.0</v>
      </c>
      <c r="BO11" s="207">
        <v>638.0</v>
      </c>
      <c r="BP11" s="207">
        <v>279.0</v>
      </c>
      <c r="BQ11" s="207">
        <v>258.0</v>
      </c>
      <c r="BR11" s="207">
        <v>69.0</v>
      </c>
      <c r="BS11" s="207">
        <v>53.0</v>
      </c>
      <c r="BT11" s="207">
        <v>42.0</v>
      </c>
      <c r="BU11" s="207">
        <v>0.0</v>
      </c>
      <c r="BV11" s="207">
        <v>1044.0</v>
      </c>
      <c r="BW11" s="207">
        <v>97.0</v>
      </c>
      <c r="BX11" s="207">
        <v>478.0</v>
      </c>
      <c r="BY11" s="207">
        <v>189.0</v>
      </c>
      <c r="BZ11" s="207">
        <v>171.0</v>
      </c>
      <c r="CA11" s="207">
        <v>39.0</v>
      </c>
      <c r="CB11" s="207">
        <v>45.0</v>
      </c>
      <c r="CC11" s="207">
        <v>23.0</v>
      </c>
      <c r="CD11" s="207">
        <v>2.0</v>
      </c>
    </row>
    <row r="12">
      <c r="A12" s="205" t="s">
        <v>358</v>
      </c>
      <c r="B12" s="206">
        <v>1670.0</v>
      </c>
      <c r="C12" s="206">
        <v>202.0</v>
      </c>
      <c r="D12" s="206">
        <v>893.0</v>
      </c>
      <c r="E12" s="206">
        <v>194.0</v>
      </c>
      <c r="F12" s="206">
        <v>222.0</v>
      </c>
      <c r="G12" s="206">
        <v>51.0</v>
      </c>
      <c r="H12" s="206">
        <v>88.0</v>
      </c>
      <c r="I12" s="206">
        <v>19.0</v>
      </c>
      <c r="J12" s="206">
        <v>1.0</v>
      </c>
      <c r="K12" s="206">
        <v>2052.0</v>
      </c>
      <c r="L12" s="206">
        <v>178.0</v>
      </c>
      <c r="M12" s="206">
        <v>1174.0</v>
      </c>
      <c r="N12" s="206">
        <v>229.0</v>
      </c>
      <c r="O12" s="206">
        <v>321.0</v>
      </c>
      <c r="P12" s="206">
        <v>25.0</v>
      </c>
      <c r="Q12" s="206">
        <v>75.0</v>
      </c>
      <c r="R12" s="206">
        <v>21.0</v>
      </c>
      <c r="S12" s="206">
        <v>29.0</v>
      </c>
      <c r="T12" s="206">
        <v>2491.0</v>
      </c>
      <c r="U12" s="206">
        <v>237.0</v>
      </c>
      <c r="V12" s="206">
        <v>1359.0</v>
      </c>
      <c r="W12" s="206">
        <v>299.0</v>
      </c>
      <c r="X12" s="206">
        <v>408.0</v>
      </c>
      <c r="Y12" s="206">
        <v>84.0</v>
      </c>
      <c r="Z12" s="206">
        <v>46.0</v>
      </c>
      <c r="AA12" s="206">
        <v>41.0</v>
      </c>
      <c r="AB12" s="206">
        <v>17.0</v>
      </c>
      <c r="AC12" s="206">
        <v>2825.0</v>
      </c>
      <c r="AD12" s="206">
        <v>299.0</v>
      </c>
      <c r="AE12" s="206">
        <v>1396.0</v>
      </c>
      <c r="AF12" s="206">
        <v>433.0</v>
      </c>
      <c r="AG12" s="206">
        <v>469.0</v>
      </c>
      <c r="AH12" s="206">
        <v>76.0</v>
      </c>
      <c r="AI12" s="206">
        <v>118.0</v>
      </c>
      <c r="AJ12" s="206">
        <v>33.0</v>
      </c>
      <c r="AK12" s="206">
        <v>1.0</v>
      </c>
      <c r="AL12" s="206">
        <v>349.0</v>
      </c>
      <c r="AM12" s="206">
        <v>51.0</v>
      </c>
      <c r="AN12" s="206">
        <v>156.0</v>
      </c>
      <c r="AO12" s="206">
        <v>74.0</v>
      </c>
      <c r="AP12" s="206">
        <v>54.0</v>
      </c>
      <c r="AQ12" s="206">
        <v>10.0</v>
      </c>
      <c r="AR12" s="206">
        <v>1.0</v>
      </c>
      <c r="AS12" s="206">
        <v>3.0</v>
      </c>
      <c r="AT12" s="206">
        <v>0.0</v>
      </c>
      <c r="AU12" s="206">
        <v>366.0</v>
      </c>
      <c r="AV12" s="206">
        <v>35.0</v>
      </c>
      <c r="AW12" s="206">
        <v>208.0</v>
      </c>
      <c r="AX12" s="206">
        <v>67.0</v>
      </c>
      <c r="AY12" s="206">
        <v>44.0</v>
      </c>
      <c r="AZ12" s="206">
        <v>1.0</v>
      </c>
      <c r="BA12" s="206">
        <v>0.0</v>
      </c>
      <c r="BB12" s="206">
        <v>11.0</v>
      </c>
      <c r="BC12" s="206">
        <v>0.0</v>
      </c>
      <c r="BD12" s="206">
        <v>2137.0</v>
      </c>
      <c r="BE12" s="206">
        <v>420.0</v>
      </c>
      <c r="BF12" s="206">
        <v>1000.0</v>
      </c>
      <c r="BG12" s="206">
        <v>324.0</v>
      </c>
      <c r="BH12" s="206">
        <v>300.0</v>
      </c>
      <c r="BI12" s="206">
        <v>26.0</v>
      </c>
      <c r="BJ12" s="206">
        <v>30.0</v>
      </c>
      <c r="BK12" s="206">
        <v>18.0</v>
      </c>
      <c r="BL12" s="206">
        <v>19.0</v>
      </c>
      <c r="BM12" s="206">
        <v>2208.0</v>
      </c>
      <c r="BN12" s="206">
        <v>352.0</v>
      </c>
      <c r="BO12" s="206">
        <v>1059.0</v>
      </c>
      <c r="BP12" s="206">
        <v>356.0</v>
      </c>
      <c r="BQ12" s="206">
        <v>329.0</v>
      </c>
      <c r="BR12" s="206">
        <v>38.0</v>
      </c>
      <c r="BS12" s="206">
        <v>21.0</v>
      </c>
      <c r="BT12" s="206">
        <v>9.0</v>
      </c>
      <c r="BU12" s="206">
        <v>44.0</v>
      </c>
      <c r="BV12" s="206">
        <v>2028.0</v>
      </c>
      <c r="BW12" s="206">
        <v>216.0</v>
      </c>
      <c r="BX12" s="206">
        <v>1056.0</v>
      </c>
      <c r="BY12" s="206">
        <v>360.0</v>
      </c>
      <c r="BZ12" s="206">
        <v>316.0</v>
      </c>
      <c r="CA12" s="206">
        <v>36.0</v>
      </c>
      <c r="CB12" s="206">
        <v>20.0</v>
      </c>
      <c r="CC12" s="206">
        <v>22.0</v>
      </c>
      <c r="CD12" s="206">
        <v>2.0</v>
      </c>
    </row>
    <row r="13">
      <c r="A13" s="205" t="s">
        <v>359</v>
      </c>
      <c r="B13" s="207">
        <v>8110.0</v>
      </c>
      <c r="C13" s="207">
        <v>1301.0</v>
      </c>
      <c r="D13" s="207">
        <v>3779.0</v>
      </c>
      <c r="E13" s="207">
        <v>842.0</v>
      </c>
      <c r="F13" s="207">
        <v>1483.0</v>
      </c>
      <c r="G13" s="207">
        <v>240.0</v>
      </c>
      <c r="H13" s="207">
        <v>327.0</v>
      </c>
      <c r="I13" s="207">
        <v>75.0</v>
      </c>
      <c r="J13" s="207">
        <v>63.0</v>
      </c>
      <c r="K13" s="207">
        <v>8548.0</v>
      </c>
      <c r="L13" s="207">
        <v>909.0</v>
      </c>
      <c r="M13" s="207">
        <v>4341.0</v>
      </c>
      <c r="N13" s="207">
        <v>886.0</v>
      </c>
      <c r="O13" s="207">
        <v>1580.0</v>
      </c>
      <c r="P13" s="207">
        <v>181.0</v>
      </c>
      <c r="Q13" s="207">
        <v>438.0</v>
      </c>
      <c r="R13" s="207">
        <v>87.0</v>
      </c>
      <c r="S13" s="207">
        <v>126.0</v>
      </c>
      <c r="T13" s="207">
        <v>8587.0</v>
      </c>
      <c r="U13" s="207">
        <v>811.0</v>
      </c>
      <c r="V13" s="207">
        <v>4226.0</v>
      </c>
      <c r="W13" s="207">
        <v>1014.0</v>
      </c>
      <c r="X13" s="207">
        <v>1766.0</v>
      </c>
      <c r="Y13" s="207">
        <v>176.0</v>
      </c>
      <c r="Z13" s="207">
        <v>342.0</v>
      </c>
      <c r="AA13" s="207">
        <v>112.0</v>
      </c>
      <c r="AB13" s="207">
        <v>140.0</v>
      </c>
      <c r="AC13" s="207">
        <v>7672.0</v>
      </c>
      <c r="AD13" s="207">
        <v>800.0</v>
      </c>
      <c r="AE13" s="207">
        <v>3995.0</v>
      </c>
      <c r="AF13" s="207">
        <v>882.0</v>
      </c>
      <c r="AG13" s="207">
        <v>1400.0</v>
      </c>
      <c r="AH13" s="207">
        <v>185.0</v>
      </c>
      <c r="AI13" s="207">
        <v>302.0</v>
      </c>
      <c r="AJ13" s="207">
        <v>85.0</v>
      </c>
      <c r="AK13" s="207">
        <v>23.0</v>
      </c>
      <c r="AL13" s="207">
        <v>663.0</v>
      </c>
      <c r="AM13" s="207">
        <v>112.0</v>
      </c>
      <c r="AN13" s="207">
        <v>323.0</v>
      </c>
      <c r="AO13" s="207">
        <v>76.0</v>
      </c>
      <c r="AP13" s="207">
        <v>136.0</v>
      </c>
      <c r="AQ13" s="207">
        <v>11.0</v>
      </c>
      <c r="AR13" s="207">
        <v>3.0</v>
      </c>
      <c r="AS13" s="207">
        <v>2.0</v>
      </c>
      <c r="AT13" s="207">
        <v>0.0</v>
      </c>
      <c r="AU13" s="207">
        <v>4609.0</v>
      </c>
      <c r="AV13" s="207">
        <v>520.0</v>
      </c>
      <c r="AW13" s="207">
        <v>2434.0</v>
      </c>
      <c r="AX13" s="207">
        <v>551.0</v>
      </c>
      <c r="AY13" s="207">
        <v>865.0</v>
      </c>
      <c r="AZ13" s="207">
        <v>63.0</v>
      </c>
      <c r="BA13" s="207">
        <v>130.0</v>
      </c>
      <c r="BB13" s="207">
        <v>16.0</v>
      </c>
      <c r="BC13" s="207">
        <v>30.0</v>
      </c>
      <c r="BD13" s="207">
        <v>6337.0</v>
      </c>
      <c r="BE13" s="207">
        <v>754.0</v>
      </c>
      <c r="BF13" s="207">
        <v>3174.0</v>
      </c>
      <c r="BG13" s="207">
        <v>692.0</v>
      </c>
      <c r="BH13" s="207">
        <v>1222.0</v>
      </c>
      <c r="BI13" s="207">
        <v>113.0</v>
      </c>
      <c r="BJ13" s="207">
        <v>276.0</v>
      </c>
      <c r="BK13" s="207">
        <v>89.0</v>
      </c>
      <c r="BL13" s="207">
        <v>17.0</v>
      </c>
      <c r="BM13" s="207">
        <v>6505.0</v>
      </c>
      <c r="BN13" s="207">
        <v>933.0</v>
      </c>
      <c r="BO13" s="207">
        <v>3173.0</v>
      </c>
      <c r="BP13" s="207">
        <v>775.0</v>
      </c>
      <c r="BQ13" s="207">
        <v>1296.0</v>
      </c>
      <c r="BR13" s="207">
        <v>99.0</v>
      </c>
      <c r="BS13" s="207">
        <v>182.0</v>
      </c>
      <c r="BT13" s="207">
        <v>36.0</v>
      </c>
      <c r="BU13" s="207">
        <v>11.0</v>
      </c>
      <c r="BV13" s="207">
        <v>6177.0</v>
      </c>
      <c r="BW13" s="207">
        <v>688.0</v>
      </c>
      <c r="BX13" s="207">
        <v>2971.0</v>
      </c>
      <c r="BY13" s="207">
        <v>718.0</v>
      </c>
      <c r="BZ13" s="207">
        <v>1126.0</v>
      </c>
      <c r="CA13" s="207">
        <v>99.0</v>
      </c>
      <c r="CB13" s="207">
        <v>487.0</v>
      </c>
      <c r="CC13" s="207">
        <v>48.0</v>
      </c>
      <c r="CD13" s="207">
        <v>40.0</v>
      </c>
    </row>
    <row r="14">
      <c r="A14" s="205" t="s">
        <v>360</v>
      </c>
      <c r="B14" s="206">
        <v>911.0</v>
      </c>
      <c r="C14" s="206">
        <v>92.0</v>
      </c>
      <c r="D14" s="206">
        <v>290.0</v>
      </c>
      <c r="E14" s="206">
        <v>92.0</v>
      </c>
      <c r="F14" s="206">
        <v>180.0</v>
      </c>
      <c r="G14" s="206">
        <v>27.0</v>
      </c>
      <c r="H14" s="206">
        <v>191.0</v>
      </c>
      <c r="I14" s="206">
        <v>38.0</v>
      </c>
      <c r="J14" s="206">
        <v>1.0</v>
      </c>
      <c r="K14" s="206">
        <v>1592.0</v>
      </c>
      <c r="L14" s="206">
        <v>175.0</v>
      </c>
      <c r="M14" s="206">
        <v>637.0</v>
      </c>
      <c r="N14" s="206">
        <v>185.0</v>
      </c>
      <c r="O14" s="206">
        <v>272.0</v>
      </c>
      <c r="P14" s="206">
        <v>65.0</v>
      </c>
      <c r="Q14" s="206">
        <v>217.0</v>
      </c>
      <c r="R14" s="206">
        <v>36.0</v>
      </c>
      <c r="S14" s="206">
        <v>5.0</v>
      </c>
      <c r="T14" s="206">
        <v>1299.0</v>
      </c>
      <c r="U14" s="206">
        <v>139.0</v>
      </c>
      <c r="V14" s="206">
        <v>455.0</v>
      </c>
      <c r="W14" s="206">
        <v>175.0</v>
      </c>
      <c r="X14" s="206">
        <v>243.0</v>
      </c>
      <c r="Y14" s="206">
        <v>46.0</v>
      </c>
      <c r="Z14" s="206">
        <v>214.0</v>
      </c>
      <c r="AA14" s="206">
        <v>20.0</v>
      </c>
      <c r="AB14" s="206">
        <v>7.0</v>
      </c>
      <c r="AC14" s="206">
        <v>1232.0</v>
      </c>
      <c r="AD14" s="206">
        <v>138.0</v>
      </c>
      <c r="AE14" s="206">
        <v>396.0</v>
      </c>
      <c r="AF14" s="206">
        <v>128.0</v>
      </c>
      <c r="AG14" s="206">
        <v>269.0</v>
      </c>
      <c r="AH14" s="206">
        <v>29.0</v>
      </c>
      <c r="AI14" s="206">
        <v>230.0</v>
      </c>
      <c r="AJ14" s="206">
        <v>41.0</v>
      </c>
      <c r="AK14" s="206">
        <v>1.0</v>
      </c>
      <c r="AL14" s="206">
        <v>0.0</v>
      </c>
      <c r="AM14" s="206">
        <v>0.0</v>
      </c>
      <c r="AN14" s="206">
        <v>0.0</v>
      </c>
      <c r="AO14" s="206">
        <v>0.0</v>
      </c>
      <c r="AP14" s="206">
        <v>0.0</v>
      </c>
      <c r="AQ14" s="206">
        <v>0.0</v>
      </c>
      <c r="AR14" s="206">
        <v>0.0</v>
      </c>
      <c r="AS14" s="206">
        <v>0.0</v>
      </c>
      <c r="AT14" s="206">
        <v>0.0</v>
      </c>
      <c r="AU14" s="206">
        <v>450.0</v>
      </c>
      <c r="AV14" s="206">
        <v>62.0</v>
      </c>
      <c r="AW14" s="206">
        <v>194.0</v>
      </c>
      <c r="AX14" s="206">
        <v>79.0</v>
      </c>
      <c r="AY14" s="206">
        <v>91.0</v>
      </c>
      <c r="AZ14" s="206">
        <v>5.0</v>
      </c>
      <c r="BA14" s="206">
        <v>1.0</v>
      </c>
      <c r="BB14" s="206">
        <v>17.0</v>
      </c>
      <c r="BC14" s="206">
        <v>1.0</v>
      </c>
      <c r="BD14" s="206">
        <v>608.0</v>
      </c>
      <c r="BE14" s="206">
        <v>128.0</v>
      </c>
      <c r="BF14" s="206">
        <v>217.0</v>
      </c>
      <c r="BG14" s="206">
        <v>66.0</v>
      </c>
      <c r="BH14" s="206">
        <v>111.0</v>
      </c>
      <c r="BI14" s="206">
        <v>20.0</v>
      </c>
      <c r="BJ14" s="206">
        <v>55.0</v>
      </c>
      <c r="BK14" s="206">
        <v>4.0</v>
      </c>
      <c r="BL14" s="206">
        <v>7.0</v>
      </c>
      <c r="BM14" s="206">
        <v>759.0</v>
      </c>
      <c r="BN14" s="206">
        <v>106.0</v>
      </c>
      <c r="BO14" s="206">
        <v>253.0</v>
      </c>
      <c r="BP14" s="206">
        <v>89.0</v>
      </c>
      <c r="BQ14" s="206">
        <v>144.0</v>
      </c>
      <c r="BR14" s="206">
        <v>37.0</v>
      </c>
      <c r="BS14" s="206">
        <v>121.0</v>
      </c>
      <c r="BT14" s="206">
        <v>4.0</v>
      </c>
      <c r="BU14" s="206">
        <v>5.0</v>
      </c>
      <c r="BV14" s="206">
        <v>728.0</v>
      </c>
      <c r="BW14" s="206">
        <v>54.0</v>
      </c>
      <c r="BX14" s="206">
        <v>218.0</v>
      </c>
      <c r="BY14" s="206">
        <v>116.0</v>
      </c>
      <c r="BZ14" s="206">
        <v>147.0</v>
      </c>
      <c r="CA14" s="206">
        <v>8.0</v>
      </c>
      <c r="CB14" s="206">
        <v>153.0</v>
      </c>
      <c r="CC14" s="206">
        <v>18.0</v>
      </c>
      <c r="CD14" s="206">
        <v>14.0</v>
      </c>
    </row>
    <row r="15">
      <c r="A15" s="205" t="s">
        <v>361</v>
      </c>
      <c r="B15" s="207">
        <v>4546.0</v>
      </c>
      <c r="C15" s="207">
        <v>728.0</v>
      </c>
      <c r="D15" s="207">
        <v>1856.0</v>
      </c>
      <c r="E15" s="207">
        <v>644.0</v>
      </c>
      <c r="F15" s="207">
        <v>739.0</v>
      </c>
      <c r="G15" s="207">
        <v>120.0</v>
      </c>
      <c r="H15" s="207">
        <v>283.0</v>
      </c>
      <c r="I15" s="207">
        <v>148.0</v>
      </c>
      <c r="J15" s="207">
        <v>28.0</v>
      </c>
      <c r="K15" s="207">
        <v>4310.0</v>
      </c>
      <c r="L15" s="207">
        <v>561.0</v>
      </c>
      <c r="M15" s="207">
        <v>1809.0</v>
      </c>
      <c r="N15" s="207">
        <v>639.0</v>
      </c>
      <c r="O15" s="207">
        <v>709.0</v>
      </c>
      <c r="P15" s="207">
        <v>107.0</v>
      </c>
      <c r="Q15" s="207">
        <v>227.0</v>
      </c>
      <c r="R15" s="207">
        <v>93.0</v>
      </c>
      <c r="S15" s="207">
        <v>165.0</v>
      </c>
      <c r="T15" s="207">
        <v>4521.0</v>
      </c>
      <c r="U15" s="207">
        <v>584.0</v>
      </c>
      <c r="V15" s="207">
        <v>1813.0</v>
      </c>
      <c r="W15" s="207">
        <v>633.0</v>
      </c>
      <c r="X15" s="207">
        <v>805.0</v>
      </c>
      <c r="Y15" s="207">
        <v>119.0</v>
      </c>
      <c r="Z15" s="207">
        <v>404.0</v>
      </c>
      <c r="AA15" s="207">
        <v>68.0</v>
      </c>
      <c r="AB15" s="207">
        <v>95.0</v>
      </c>
      <c r="AC15" s="207">
        <v>5236.0</v>
      </c>
      <c r="AD15" s="207">
        <v>626.0</v>
      </c>
      <c r="AE15" s="207">
        <v>1975.0</v>
      </c>
      <c r="AF15" s="207">
        <v>896.0</v>
      </c>
      <c r="AG15" s="207">
        <v>1086.0</v>
      </c>
      <c r="AH15" s="207">
        <v>152.0</v>
      </c>
      <c r="AI15" s="207">
        <v>430.0</v>
      </c>
      <c r="AJ15" s="207">
        <v>48.0</v>
      </c>
      <c r="AK15" s="207">
        <v>23.0</v>
      </c>
      <c r="AL15" s="207">
        <v>134.0</v>
      </c>
      <c r="AM15" s="207">
        <v>35.0</v>
      </c>
      <c r="AN15" s="207">
        <v>43.0</v>
      </c>
      <c r="AO15" s="207">
        <v>30.0</v>
      </c>
      <c r="AP15" s="207">
        <v>22.0</v>
      </c>
      <c r="AQ15" s="207">
        <v>0.0</v>
      </c>
      <c r="AR15" s="207">
        <v>4.0</v>
      </c>
      <c r="AS15" s="207">
        <v>0.0</v>
      </c>
      <c r="AT15" s="207">
        <v>0.0</v>
      </c>
      <c r="AU15" s="207">
        <v>3589.0</v>
      </c>
      <c r="AV15" s="207">
        <v>403.0</v>
      </c>
      <c r="AW15" s="207">
        <v>1617.0</v>
      </c>
      <c r="AX15" s="207">
        <v>546.0</v>
      </c>
      <c r="AY15" s="207">
        <v>745.0</v>
      </c>
      <c r="AZ15" s="207">
        <v>118.0</v>
      </c>
      <c r="BA15" s="207">
        <v>105.0</v>
      </c>
      <c r="BB15" s="207">
        <v>50.0</v>
      </c>
      <c r="BC15" s="207">
        <v>5.0</v>
      </c>
      <c r="BD15" s="207">
        <v>4296.0</v>
      </c>
      <c r="BE15" s="207">
        <v>607.0</v>
      </c>
      <c r="BF15" s="207">
        <v>1741.0</v>
      </c>
      <c r="BG15" s="207">
        <v>722.0</v>
      </c>
      <c r="BH15" s="207">
        <v>709.0</v>
      </c>
      <c r="BI15" s="207">
        <v>112.0</v>
      </c>
      <c r="BJ15" s="207">
        <v>367.0</v>
      </c>
      <c r="BK15" s="207">
        <v>38.0</v>
      </c>
      <c r="BL15" s="207">
        <v>0.0</v>
      </c>
      <c r="BM15" s="207">
        <v>5131.0</v>
      </c>
      <c r="BN15" s="207">
        <v>889.0</v>
      </c>
      <c r="BO15" s="207">
        <v>2186.0</v>
      </c>
      <c r="BP15" s="207">
        <v>850.0</v>
      </c>
      <c r="BQ15" s="207">
        <v>732.0</v>
      </c>
      <c r="BR15" s="207">
        <v>111.0</v>
      </c>
      <c r="BS15" s="207">
        <v>272.0</v>
      </c>
      <c r="BT15" s="207">
        <v>65.0</v>
      </c>
      <c r="BU15" s="207">
        <v>26.0</v>
      </c>
      <c r="BV15" s="207">
        <v>4307.0</v>
      </c>
      <c r="BW15" s="207">
        <v>985.0</v>
      </c>
      <c r="BX15" s="207">
        <v>1581.0</v>
      </c>
      <c r="BY15" s="207">
        <v>630.0</v>
      </c>
      <c r="BZ15" s="207">
        <v>698.0</v>
      </c>
      <c r="CA15" s="207">
        <v>88.0</v>
      </c>
      <c r="CB15" s="207">
        <v>282.0</v>
      </c>
      <c r="CC15" s="207">
        <v>27.0</v>
      </c>
      <c r="CD15" s="207">
        <v>16.0</v>
      </c>
    </row>
    <row r="16">
      <c r="A16" s="205" t="s">
        <v>362</v>
      </c>
      <c r="B16" s="206">
        <v>6740.0</v>
      </c>
      <c r="C16" s="206">
        <v>1040.0</v>
      </c>
      <c r="D16" s="206">
        <v>2816.0</v>
      </c>
      <c r="E16" s="206">
        <v>594.0</v>
      </c>
      <c r="F16" s="206">
        <v>1193.0</v>
      </c>
      <c r="G16" s="206">
        <v>236.0</v>
      </c>
      <c r="H16" s="206">
        <v>510.0</v>
      </c>
      <c r="I16" s="206">
        <v>217.0</v>
      </c>
      <c r="J16" s="206">
        <v>134.0</v>
      </c>
      <c r="K16" s="206">
        <v>7792.0</v>
      </c>
      <c r="L16" s="206">
        <v>740.0</v>
      </c>
      <c r="M16" s="206">
        <v>3403.0</v>
      </c>
      <c r="N16" s="206">
        <v>899.0</v>
      </c>
      <c r="O16" s="206">
        <v>1530.0</v>
      </c>
      <c r="P16" s="206">
        <v>270.0</v>
      </c>
      <c r="Q16" s="206">
        <v>465.0</v>
      </c>
      <c r="R16" s="206">
        <v>318.0</v>
      </c>
      <c r="S16" s="206">
        <v>167.0</v>
      </c>
      <c r="T16" s="206">
        <v>7474.0</v>
      </c>
      <c r="U16" s="206">
        <v>664.0</v>
      </c>
      <c r="V16" s="206">
        <v>3449.0</v>
      </c>
      <c r="W16" s="206">
        <v>773.0</v>
      </c>
      <c r="X16" s="206">
        <v>1499.0</v>
      </c>
      <c r="Y16" s="206">
        <v>182.0</v>
      </c>
      <c r="Z16" s="206">
        <v>442.0</v>
      </c>
      <c r="AA16" s="206">
        <v>304.0</v>
      </c>
      <c r="AB16" s="206">
        <v>161.0</v>
      </c>
      <c r="AC16" s="206">
        <v>7627.0</v>
      </c>
      <c r="AD16" s="206">
        <v>585.0</v>
      </c>
      <c r="AE16" s="206">
        <v>3717.0</v>
      </c>
      <c r="AF16" s="206">
        <v>748.0</v>
      </c>
      <c r="AG16" s="206">
        <v>1491.0</v>
      </c>
      <c r="AH16" s="206">
        <v>308.0</v>
      </c>
      <c r="AI16" s="206">
        <v>484.0</v>
      </c>
      <c r="AJ16" s="206">
        <v>223.0</v>
      </c>
      <c r="AK16" s="206">
        <v>71.0</v>
      </c>
      <c r="AL16" s="206">
        <v>24.0</v>
      </c>
      <c r="AM16" s="206">
        <v>5.0</v>
      </c>
      <c r="AN16" s="206">
        <v>10.0</v>
      </c>
      <c r="AO16" s="206">
        <v>0.0</v>
      </c>
      <c r="AP16" s="206">
        <v>9.0</v>
      </c>
      <c r="AQ16" s="206">
        <v>0.0</v>
      </c>
      <c r="AR16" s="206">
        <v>0.0</v>
      </c>
      <c r="AS16" s="206">
        <v>0.0</v>
      </c>
      <c r="AT16" s="206">
        <v>0.0</v>
      </c>
      <c r="AU16" s="206">
        <v>3257.0</v>
      </c>
      <c r="AV16" s="206">
        <v>219.0</v>
      </c>
      <c r="AW16" s="206">
        <v>1909.0</v>
      </c>
      <c r="AX16" s="206">
        <v>329.0</v>
      </c>
      <c r="AY16" s="206">
        <v>559.0</v>
      </c>
      <c r="AZ16" s="206">
        <v>86.0</v>
      </c>
      <c r="BA16" s="206">
        <v>59.0</v>
      </c>
      <c r="BB16" s="206">
        <v>91.0</v>
      </c>
      <c r="BC16" s="206">
        <v>5.0</v>
      </c>
      <c r="BD16" s="206">
        <v>4647.0</v>
      </c>
      <c r="BE16" s="206">
        <v>424.0</v>
      </c>
      <c r="BF16" s="206">
        <v>2420.0</v>
      </c>
      <c r="BG16" s="206">
        <v>575.0</v>
      </c>
      <c r="BH16" s="206">
        <v>802.0</v>
      </c>
      <c r="BI16" s="206">
        <v>78.0</v>
      </c>
      <c r="BJ16" s="206">
        <v>236.0</v>
      </c>
      <c r="BK16" s="206">
        <v>81.0</v>
      </c>
      <c r="BL16" s="206">
        <v>31.0</v>
      </c>
      <c r="BM16" s="206">
        <v>5639.0</v>
      </c>
      <c r="BN16" s="206">
        <v>525.0</v>
      </c>
      <c r="BO16" s="206">
        <v>2656.0</v>
      </c>
      <c r="BP16" s="206">
        <v>663.0</v>
      </c>
      <c r="BQ16" s="206">
        <v>1097.0</v>
      </c>
      <c r="BR16" s="206">
        <v>138.0</v>
      </c>
      <c r="BS16" s="206">
        <v>407.0</v>
      </c>
      <c r="BT16" s="206">
        <v>121.0</v>
      </c>
      <c r="BU16" s="206">
        <v>32.0</v>
      </c>
      <c r="BV16" s="206">
        <v>6722.0</v>
      </c>
      <c r="BW16" s="206">
        <v>577.0</v>
      </c>
      <c r="BX16" s="206">
        <v>3290.0</v>
      </c>
      <c r="BY16" s="206">
        <v>855.0</v>
      </c>
      <c r="BZ16" s="206">
        <v>1280.0</v>
      </c>
      <c r="CA16" s="206">
        <v>141.0</v>
      </c>
      <c r="CB16" s="206">
        <v>384.0</v>
      </c>
      <c r="CC16" s="206">
        <v>127.0</v>
      </c>
      <c r="CD16" s="206">
        <v>68.0</v>
      </c>
    </row>
    <row r="17">
      <c r="A17" s="205" t="s">
        <v>363</v>
      </c>
      <c r="B17" s="207">
        <v>33898.0</v>
      </c>
      <c r="C17" s="207">
        <v>5444.0</v>
      </c>
      <c r="D17" s="207">
        <v>13627.0</v>
      </c>
      <c r="E17" s="207">
        <v>4959.0</v>
      </c>
      <c r="F17" s="207">
        <v>6856.0</v>
      </c>
      <c r="G17" s="207">
        <v>613.0</v>
      </c>
      <c r="H17" s="207">
        <v>1496.0</v>
      </c>
      <c r="I17" s="207">
        <v>330.0</v>
      </c>
      <c r="J17" s="207">
        <v>573.0</v>
      </c>
      <c r="K17" s="207">
        <v>33641.0</v>
      </c>
      <c r="L17" s="207">
        <v>5069.0</v>
      </c>
      <c r="M17" s="207">
        <v>13096.0</v>
      </c>
      <c r="N17" s="207">
        <v>5388.0</v>
      </c>
      <c r="O17" s="207">
        <v>7276.0</v>
      </c>
      <c r="P17" s="207">
        <v>520.0</v>
      </c>
      <c r="Q17" s="207">
        <v>1312.0</v>
      </c>
      <c r="R17" s="207">
        <v>467.0</v>
      </c>
      <c r="S17" s="207">
        <v>513.0</v>
      </c>
      <c r="T17" s="207">
        <v>34621.0</v>
      </c>
      <c r="U17" s="207">
        <v>4987.0</v>
      </c>
      <c r="V17" s="207">
        <v>13717.0</v>
      </c>
      <c r="W17" s="207">
        <v>4932.0</v>
      </c>
      <c r="X17" s="207">
        <v>7028.0</v>
      </c>
      <c r="Y17" s="207">
        <v>661.0</v>
      </c>
      <c r="Z17" s="207">
        <v>1941.0</v>
      </c>
      <c r="AA17" s="207">
        <v>427.0</v>
      </c>
      <c r="AB17" s="207">
        <v>928.0</v>
      </c>
      <c r="AC17" s="207">
        <v>37382.0</v>
      </c>
      <c r="AD17" s="207">
        <v>5687.0</v>
      </c>
      <c r="AE17" s="207">
        <v>15011.0</v>
      </c>
      <c r="AF17" s="207">
        <v>5738.0</v>
      </c>
      <c r="AG17" s="207">
        <v>7559.0</v>
      </c>
      <c r="AH17" s="207">
        <v>578.0</v>
      </c>
      <c r="AI17" s="207">
        <v>1476.0</v>
      </c>
      <c r="AJ17" s="207">
        <v>524.0</v>
      </c>
      <c r="AK17" s="207">
        <v>809.0</v>
      </c>
      <c r="AL17" s="207">
        <v>1015.0</v>
      </c>
      <c r="AM17" s="207">
        <v>200.0</v>
      </c>
      <c r="AN17" s="207">
        <v>420.0</v>
      </c>
      <c r="AO17" s="207">
        <v>184.0</v>
      </c>
      <c r="AP17" s="207">
        <v>186.0</v>
      </c>
      <c r="AQ17" s="207">
        <v>3.0</v>
      </c>
      <c r="AR17" s="207">
        <v>4.0</v>
      </c>
      <c r="AS17" s="207">
        <v>1.0</v>
      </c>
      <c r="AT17" s="207">
        <v>17.0</v>
      </c>
      <c r="AU17" s="207">
        <v>6887.0</v>
      </c>
      <c r="AV17" s="207">
        <v>938.0</v>
      </c>
      <c r="AW17" s="207">
        <v>2870.0</v>
      </c>
      <c r="AX17" s="207">
        <v>1226.0</v>
      </c>
      <c r="AY17" s="207">
        <v>1422.0</v>
      </c>
      <c r="AZ17" s="207">
        <v>102.0</v>
      </c>
      <c r="BA17" s="207">
        <v>109.0</v>
      </c>
      <c r="BB17" s="207">
        <v>50.0</v>
      </c>
      <c r="BC17" s="207">
        <v>170.0</v>
      </c>
      <c r="BD17" s="207">
        <v>29819.0</v>
      </c>
      <c r="BE17" s="207">
        <v>4881.0</v>
      </c>
      <c r="BF17" s="207">
        <v>11315.0</v>
      </c>
      <c r="BG17" s="207">
        <v>5176.0</v>
      </c>
      <c r="BH17" s="207">
        <v>5997.0</v>
      </c>
      <c r="BI17" s="207">
        <v>333.0</v>
      </c>
      <c r="BJ17" s="207">
        <v>1157.0</v>
      </c>
      <c r="BK17" s="207">
        <v>246.0</v>
      </c>
      <c r="BL17" s="207">
        <v>714.0</v>
      </c>
      <c r="BM17" s="207">
        <v>35256.0</v>
      </c>
      <c r="BN17" s="207">
        <v>6013.0</v>
      </c>
      <c r="BO17" s="207">
        <v>13754.0</v>
      </c>
      <c r="BP17" s="207">
        <v>5946.0</v>
      </c>
      <c r="BQ17" s="207">
        <v>6429.0</v>
      </c>
      <c r="BR17" s="207">
        <v>432.0</v>
      </c>
      <c r="BS17" s="207">
        <v>1160.0</v>
      </c>
      <c r="BT17" s="207">
        <v>454.0</v>
      </c>
      <c r="BU17" s="207">
        <v>1068.0</v>
      </c>
      <c r="BV17" s="207">
        <v>37909.0</v>
      </c>
      <c r="BW17" s="207">
        <v>5484.0</v>
      </c>
      <c r="BX17" s="207">
        <v>14925.0</v>
      </c>
      <c r="BY17" s="207">
        <v>6257.0</v>
      </c>
      <c r="BZ17" s="207">
        <v>7877.0</v>
      </c>
      <c r="CA17" s="207">
        <v>655.0</v>
      </c>
      <c r="CB17" s="207">
        <v>1254.0</v>
      </c>
      <c r="CC17" s="207">
        <v>396.0</v>
      </c>
      <c r="CD17" s="207">
        <v>1061.0</v>
      </c>
    </row>
    <row r="18">
      <c r="A18" s="205" t="s">
        <v>364</v>
      </c>
      <c r="B18" s="206">
        <v>4012.0</v>
      </c>
      <c r="C18" s="206">
        <v>665.0</v>
      </c>
      <c r="D18" s="206">
        <v>1819.0</v>
      </c>
      <c r="E18" s="206">
        <v>307.0</v>
      </c>
      <c r="F18" s="206">
        <v>607.0</v>
      </c>
      <c r="G18" s="206">
        <v>104.0</v>
      </c>
      <c r="H18" s="206">
        <v>187.0</v>
      </c>
      <c r="I18" s="206">
        <v>206.0</v>
      </c>
      <c r="J18" s="206">
        <v>117.0</v>
      </c>
      <c r="K18" s="206">
        <v>4305.0</v>
      </c>
      <c r="L18" s="206">
        <v>641.0</v>
      </c>
      <c r="M18" s="206">
        <v>1667.0</v>
      </c>
      <c r="N18" s="206">
        <v>335.0</v>
      </c>
      <c r="O18" s="206">
        <v>706.0</v>
      </c>
      <c r="P18" s="206">
        <v>115.0</v>
      </c>
      <c r="Q18" s="206">
        <v>455.0</v>
      </c>
      <c r="R18" s="206">
        <v>227.0</v>
      </c>
      <c r="S18" s="206">
        <v>159.0</v>
      </c>
      <c r="T18" s="206">
        <v>4251.0</v>
      </c>
      <c r="U18" s="206">
        <v>581.0</v>
      </c>
      <c r="V18" s="206">
        <v>1378.0</v>
      </c>
      <c r="W18" s="206">
        <v>335.0</v>
      </c>
      <c r="X18" s="206">
        <v>740.0</v>
      </c>
      <c r="Y18" s="206">
        <v>92.0</v>
      </c>
      <c r="Z18" s="206">
        <v>808.0</v>
      </c>
      <c r="AA18" s="206">
        <v>218.0</v>
      </c>
      <c r="AB18" s="206">
        <v>99.0</v>
      </c>
      <c r="AC18" s="206">
        <v>4646.0</v>
      </c>
      <c r="AD18" s="206">
        <v>801.0</v>
      </c>
      <c r="AE18" s="206">
        <v>1536.0</v>
      </c>
      <c r="AF18" s="206">
        <v>437.0</v>
      </c>
      <c r="AG18" s="206">
        <v>861.0</v>
      </c>
      <c r="AH18" s="206">
        <v>70.0</v>
      </c>
      <c r="AI18" s="206">
        <v>677.0</v>
      </c>
      <c r="AJ18" s="206">
        <v>254.0</v>
      </c>
      <c r="AK18" s="206">
        <v>10.0</v>
      </c>
      <c r="AL18" s="206">
        <v>0.0</v>
      </c>
      <c r="AM18" s="206">
        <v>0.0</v>
      </c>
      <c r="AN18" s="206">
        <v>0.0</v>
      </c>
      <c r="AO18" s="206">
        <v>0.0</v>
      </c>
      <c r="AP18" s="206">
        <v>0.0</v>
      </c>
      <c r="AQ18" s="206">
        <v>0.0</v>
      </c>
      <c r="AR18" s="206">
        <v>0.0</v>
      </c>
      <c r="AS18" s="206">
        <v>0.0</v>
      </c>
      <c r="AT18" s="206">
        <v>0.0</v>
      </c>
      <c r="AU18" s="206">
        <v>4418.0</v>
      </c>
      <c r="AV18" s="206">
        <v>705.0</v>
      </c>
      <c r="AW18" s="206">
        <v>2003.0</v>
      </c>
      <c r="AX18" s="206">
        <v>561.0</v>
      </c>
      <c r="AY18" s="206">
        <v>717.0</v>
      </c>
      <c r="AZ18" s="206">
        <v>77.0</v>
      </c>
      <c r="BA18" s="206">
        <v>208.0</v>
      </c>
      <c r="BB18" s="206">
        <v>68.0</v>
      </c>
      <c r="BC18" s="206">
        <v>79.0</v>
      </c>
      <c r="BD18" s="206">
        <v>4423.0</v>
      </c>
      <c r="BE18" s="206">
        <v>487.0</v>
      </c>
      <c r="BF18" s="206">
        <v>1759.0</v>
      </c>
      <c r="BG18" s="206">
        <v>551.0</v>
      </c>
      <c r="BH18" s="206">
        <v>830.0</v>
      </c>
      <c r="BI18" s="206">
        <v>180.0</v>
      </c>
      <c r="BJ18" s="206">
        <v>438.0</v>
      </c>
      <c r="BK18" s="206">
        <v>45.0</v>
      </c>
      <c r="BL18" s="206">
        <v>133.0</v>
      </c>
      <c r="BM18" s="206">
        <v>5868.0</v>
      </c>
      <c r="BN18" s="206">
        <v>628.0</v>
      </c>
      <c r="BO18" s="206">
        <v>2606.0</v>
      </c>
      <c r="BP18" s="206">
        <v>644.0</v>
      </c>
      <c r="BQ18" s="206">
        <v>1061.0</v>
      </c>
      <c r="BR18" s="206">
        <v>209.0</v>
      </c>
      <c r="BS18" s="206">
        <v>412.0</v>
      </c>
      <c r="BT18" s="206">
        <v>229.0</v>
      </c>
      <c r="BU18" s="206">
        <v>79.0</v>
      </c>
      <c r="BV18" s="206">
        <v>6513.0</v>
      </c>
      <c r="BW18" s="206">
        <v>621.0</v>
      </c>
      <c r="BX18" s="206">
        <v>2806.0</v>
      </c>
      <c r="BY18" s="206">
        <v>769.0</v>
      </c>
      <c r="BZ18" s="206">
        <v>1367.0</v>
      </c>
      <c r="CA18" s="206">
        <v>270.0</v>
      </c>
      <c r="CB18" s="206">
        <v>576.0</v>
      </c>
      <c r="CC18" s="206">
        <v>94.0</v>
      </c>
      <c r="CD18" s="206">
        <v>10.0</v>
      </c>
    </row>
    <row r="19">
      <c r="A19" s="205" t="s">
        <v>365</v>
      </c>
      <c r="B19" s="207">
        <v>6785.0</v>
      </c>
      <c r="C19" s="207">
        <v>696.0</v>
      </c>
      <c r="D19" s="207">
        <v>2950.0</v>
      </c>
      <c r="E19" s="207">
        <v>839.0</v>
      </c>
      <c r="F19" s="207">
        <v>1530.0</v>
      </c>
      <c r="G19" s="207">
        <v>201.0</v>
      </c>
      <c r="H19" s="207">
        <v>438.0</v>
      </c>
      <c r="I19" s="207">
        <v>62.0</v>
      </c>
      <c r="J19" s="207">
        <v>69.0</v>
      </c>
      <c r="K19" s="207">
        <v>8142.0</v>
      </c>
      <c r="L19" s="207">
        <v>526.0</v>
      </c>
      <c r="M19" s="207">
        <v>3765.0</v>
      </c>
      <c r="N19" s="207">
        <v>1107.0</v>
      </c>
      <c r="O19" s="207">
        <v>1521.0</v>
      </c>
      <c r="P19" s="207">
        <v>145.0</v>
      </c>
      <c r="Q19" s="207">
        <v>664.0</v>
      </c>
      <c r="R19" s="207">
        <v>187.0</v>
      </c>
      <c r="S19" s="207">
        <v>227.0</v>
      </c>
      <c r="T19" s="207">
        <v>9637.0</v>
      </c>
      <c r="U19" s="207">
        <v>702.0</v>
      </c>
      <c r="V19" s="207">
        <v>4028.0</v>
      </c>
      <c r="W19" s="207">
        <v>1411.0</v>
      </c>
      <c r="X19" s="207">
        <v>2102.0</v>
      </c>
      <c r="Y19" s="207">
        <v>218.0</v>
      </c>
      <c r="Z19" s="207">
        <v>799.0</v>
      </c>
      <c r="AA19" s="207">
        <v>255.0</v>
      </c>
      <c r="AB19" s="207">
        <v>122.0</v>
      </c>
      <c r="AC19" s="207">
        <v>9370.0</v>
      </c>
      <c r="AD19" s="207">
        <v>1019.0</v>
      </c>
      <c r="AE19" s="207">
        <v>3981.0</v>
      </c>
      <c r="AF19" s="207">
        <v>1422.0</v>
      </c>
      <c r="AG19" s="207">
        <v>1802.0</v>
      </c>
      <c r="AH19" s="207">
        <v>208.0</v>
      </c>
      <c r="AI19" s="207">
        <v>712.0</v>
      </c>
      <c r="AJ19" s="207">
        <v>189.0</v>
      </c>
      <c r="AK19" s="207">
        <v>37.0</v>
      </c>
      <c r="AL19" s="207">
        <v>1838.0</v>
      </c>
      <c r="AM19" s="207">
        <v>219.0</v>
      </c>
      <c r="AN19" s="207">
        <v>866.0</v>
      </c>
      <c r="AO19" s="207">
        <v>434.0</v>
      </c>
      <c r="AP19" s="207">
        <v>295.0</v>
      </c>
      <c r="AQ19" s="207">
        <v>17.0</v>
      </c>
      <c r="AR19" s="207">
        <v>4.0</v>
      </c>
      <c r="AS19" s="207">
        <v>3.0</v>
      </c>
      <c r="AT19" s="207">
        <v>0.0</v>
      </c>
      <c r="AU19" s="207">
        <v>6815.0</v>
      </c>
      <c r="AV19" s="207">
        <v>1149.0</v>
      </c>
      <c r="AW19" s="207">
        <v>2905.0</v>
      </c>
      <c r="AX19" s="207">
        <v>1164.0</v>
      </c>
      <c r="AY19" s="207">
        <v>1156.0</v>
      </c>
      <c r="AZ19" s="207">
        <v>153.0</v>
      </c>
      <c r="BA19" s="207">
        <v>216.0</v>
      </c>
      <c r="BB19" s="207">
        <v>64.0</v>
      </c>
      <c r="BC19" s="207">
        <v>8.0</v>
      </c>
      <c r="BD19" s="207">
        <v>8743.0</v>
      </c>
      <c r="BE19" s="207">
        <v>1175.0</v>
      </c>
      <c r="BF19" s="207">
        <v>3317.0</v>
      </c>
      <c r="BG19" s="207">
        <v>1359.0</v>
      </c>
      <c r="BH19" s="207">
        <v>1648.0</v>
      </c>
      <c r="BI19" s="207">
        <v>178.0</v>
      </c>
      <c r="BJ19" s="207">
        <v>992.0</v>
      </c>
      <c r="BK19" s="207">
        <v>50.0</v>
      </c>
      <c r="BL19" s="207">
        <v>24.0</v>
      </c>
      <c r="BM19" s="207">
        <v>12394.0</v>
      </c>
      <c r="BN19" s="207">
        <v>1245.0</v>
      </c>
      <c r="BO19" s="207">
        <v>5246.0</v>
      </c>
      <c r="BP19" s="207">
        <v>2211.0</v>
      </c>
      <c r="BQ19" s="207">
        <v>2236.0</v>
      </c>
      <c r="BR19" s="207">
        <v>288.0</v>
      </c>
      <c r="BS19" s="207">
        <v>1035.0</v>
      </c>
      <c r="BT19" s="207">
        <v>115.0</v>
      </c>
      <c r="BU19" s="207">
        <v>18.0</v>
      </c>
      <c r="BV19" s="207">
        <v>12263.0</v>
      </c>
      <c r="BW19" s="207">
        <v>1035.0</v>
      </c>
      <c r="BX19" s="207">
        <v>5236.0</v>
      </c>
      <c r="BY19" s="207">
        <v>2149.0</v>
      </c>
      <c r="BZ19" s="207">
        <v>2346.0</v>
      </c>
      <c r="CA19" s="207">
        <v>242.0</v>
      </c>
      <c r="CB19" s="207">
        <v>1034.0</v>
      </c>
      <c r="CC19" s="207">
        <v>184.0</v>
      </c>
      <c r="CD19" s="207">
        <v>37.0</v>
      </c>
    </row>
    <row r="20">
      <c r="A20" s="205" t="s">
        <v>366</v>
      </c>
      <c r="B20" s="206">
        <v>3957.0</v>
      </c>
      <c r="C20" s="206">
        <v>553.0</v>
      </c>
      <c r="D20" s="206">
        <v>1577.0</v>
      </c>
      <c r="E20" s="206">
        <v>422.0</v>
      </c>
      <c r="F20" s="206">
        <v>802.0</v>
      </c>
      <c r="G20" s="206">
        <v>290.0</v>
      </c>
      <c r="H20" s="206">
        <v>201.0</v>
      </c>
      <c r="I20" s="206">
        <v>10.0</v>
      </c>
      <c r="J20" s="206">
        <v>102.0</v>
      </c>
      <c r="K20" s="206">
        <v>3762.0</v>
      </c>
      <c r="L20" s="206">
        <v>545.0</v>
      </c>
      <c r="M20" s="206">
        <v>1778.0</v>
      </c>
      <c r="N20" s="206">
        <v>299.0</v>
      </c>
      <c r="O20" s="206">
        <v>630.0</v>
      </c>
      <c r="P20" s="206">
        <v>181.0</v>
      </c>
      <c r="Q20" s="206">
        <v>207.0</v>
      </c>
      <c r="R20" s="206">
        <v>23.0</v>
      </c>
      <c r="S20" s="206">
        <v>99.0</v>
      </c>
      <c r="T20" s="206">
        <v>2987.0</v>
      </c>
      <c r="U20" s="206">
        <v>542.0</v>
      </c>
      <c r="V20" s="206">
        <v>1289.0</v>
      </c>
      <c r="W20" s="206">
        <v>324.0</v>
      </c>
      <c r="X20" s="206">
        <v>502.0</v>
      </c>
      <c r="Y20" s="206">
        <v>161.0</v>
      </c>
      <c r="Z20" s="206">
        <v>153.0</v>
      </c>
      <c r="AA20" s="206">
        <v>15.0</v>
      </c>
      <c r="AB20" s="206">
        <v>1.0</v>
      </c>
      <c r="AC20" s="206">
        <v>2926.0</v>
      </c>
      <c r="AD20" s="206">
        <v>307.0</v>
      </c>
      <c r="AE20" s="206">
        <v>1496.0</v>
      </c>
      <c r="AF20" s="206">
        <v>365.0</v>
      </c>
      <c r="AG20" s="206">
        <v>482.0</v>
      </c>
      <c r="AH20" s="206">
        <v>128.0</v>
      </c>
      <c r="AI20" s="206">
        <v>111.0</v>
      </c>
      <c r="AJ20" s="206">
        <v>29.0</v>
      </c>
      <c r="AK20" s="206">
        <v>8.0</v>
      </c>
      <c r="AL20" s="206">
        <v>422.0</v>
      </c>
      <c r="AM20" s="206">
        <v>51.0</v>
      </c>
      <c r="AN20" s="206">
        <v>197.0</v>
      </c>
      <c r="AO20" s="206">
        <v>53.0</v>
      </c>
      <c r="AP20" s="206">
        <v>86.0</v>
      </c>
      <c r="AQ20" s="206">
        <v>26.0</v>
      </c>
      <c r="AR20" s="206">
        <v>5.0</v>
      </c>
      <c r="AS20" s="206">
        <v>0.0</v>
      </c>
      <c r="AT20" s="206">
        <v>4.0</v>
      </c>
      <c r="AU20" s="206">
        <v>1623.0</v>
      </c>
      <c r="AV20" s="206">
        <v>193.0</v>
      </c>
      <c r="AW20" s="206">
        <v>872.0</v>
      </c>
      <c r="AX20" s="206">
        <v>195.0</v>
      </c>
      <c r="AY20" s="206">
        <v>263.0</v>
      </c>
      <c r="AZ20" s="206">
        <v>45.0</v>
      </c>
      <c r="BA20" s="206">
        <v>27.0</v>
      </c>
      <c r="BB20" s="206">
        <v>6.0</v>
      </c>
      <c r="BC20" s="206">
        <v>22.0</v>
      </c>
      <c r="BD20" s="206">
        <v>3559.0</v>
      </c>
      <c r="BE20" s="206">
        <v>611.0</v>
      </c>
      <c r="BF20" s="206">
        <v>1601.0</v>
      </c>
      <c r="BG20" s="206">
        <v>407.0</v>
      </c>
      <c r="BH20" s="206">
        <v>626.0</v>
      </c>
      <c r="BI20" s="206">
        <v>82.0</v>
      </c>
      <c r="BJ20" s="206">
        <v>152.0</v>
      </c>
      <c r="BK20" s="206">
        <v>21.0</v>
      </c>
      <c r="BL20" s="206">
        <v>59.0</v>
      </c>
      <c r="BM20" s="206">
        <v>2681.0</v>
      </c>
      <c r="BN20" s="206">
        <v>304.0</v>
      </c>
      <c r="BO20" s="206">
        <v>1381.0</v>
      </c>
      <c r="BP20" s="206">
        <v>304.0</v>
      </c>
      <c r="BQ20" s="206">
        <v>460.0</v>
      </c>
      <c r="BR20" s="206">
        <v>81.0</v>
      </c>
      <c r="BS20" s="206">
        <v>116.0</v>
      </c>
      <c r="BT20" s="206">
        <v>12.0</v>
      </c>
      <c r="BU20" s="206">
        <v>23.0</v>
      </c>
      <c r="BV20" s="206">
        <v>2274.0</v>
      </c>
      <c r="BW20" s="206">
        <v>423.0</v>
      </c>
      <c r="BX20" s="206">
        <v>1030.0</v>
      </c>
      <c r="BY20" s="206">
        <v>269.0</v>
      </c>
      <c r="BZ20" s="206">
        <v>332.0</v>
      </c>
      <c r="CA20" s="206">
        <v>74.0</v>
      </c>
      <c r="CB20" s="206">
        <v>81.0</v>
      </c>
      <c r="CC20" s="206">
        <v>20.0</v>
      </c>
      <c r="CD20" s="206">
        <v>45.0</v>
      </c>
    </row>
    <row r="21">
      <c r="A21" s="205" t="s">
        <v>367</v>
      </c>
      <c r="B21" s="207">
        <v>2852.0</v>
      </c>
      <c r="C21" s="207">
        <v>251.0</v>
      </c>
      <c r="D21" s="207">
        <v>1456.0</v>
      </c>
      <c r="E21" s="207">
        <v>410.0</v>
      </c>
      <c r="F21" s="207">
        <v>391.0</v>
      </c>
      <c r="G21" s="207">
        <v>81.0</v>
      </c>
      <c r="H21" s="207">
        <v>201.0</v>
      </c>
      <c r="I21" s="207">
        <v>23.0</v>
      </c>
      <c r="J21" s="207">
        <v>39.0</v>
      </c>
      <c r="K21" s="207">
        <v>3274.0</v>
      </c>
      <c r="L21" s="207">
        <v>275.0</v>
      </c>
      <c r="M21" s="207">
        <v>1674.0</v>
      </c>
      <c r="N21" s="207">
        <v>459.0</v>
      </c>
      <c r="O21" s="207">
        <v>560.0</v>
      </c>
      <c r="P21" s="207">
        <v>48.0</v>
      </c>
      <c r="Q21" s="207">
        <v>159.0</v>
      </c>
      <c r="R21" s="207">
        <v>29.0</v>
      </c>
      <c r="S21" s="207">
        <v>70.0</v>
      </c>
      <c r="T21" s="207">
        <v>5021.0</v>
      </c>
      <c r="U21" s="207">
        <v>500.0</v>
      </c>
      <c r="V21" s="207">
        <v>2496.0</v>
      </c>
      <c r="W21" s="207">
        <v>685.0</v>
      </c>
      <c r="X21" s="207">
        <v>898.0</v>
      </c>
      <c r="Y21" s="207">
        <v>175.0</v>
      </c>
      <c r="Z21" s="207">
        <v>175.0</v>
      </c>
      <c r="AA21" s="207">
        <v>89.0</v>
      </c>
      <c r="AB21" s="207">
        <v>3.0</v>
      </c>
      <c r="AC21" s="207">
        <v>5684.0</v>
      </c>
      <c r="AD21" s="207">
        <v>466.0</v>
      </c>
      <c r="AE21" s="207">
        <v>3046.0</v>
      </c>
      <c r="AF21" s="207">
        <v>798.0</v>
      </c>
      <c r="AG21" s="207">
        <v>997.0</v>
      </c>
      <c r="AH21" s="207">
        <v>119.0</v>
      </c>
      <c r="AI21" s="207">
        <v>185.0</v>
      </c>
      <c r="AJ21" s="207">
        <v>73.0</v>
      </c>
      <c r="AK21" s="207">
        <v>0.0</v>
      </c>
      <c r="AL21" s="207">
        <v>82.0</v>
      </c>
      <c r="AM21" s="207">
        <v>4.0</v>
      </c>
      <c r="AN21" s="207">
        <v>55.0</v>
      </c>
      <c r="AO21" s="207">
        <v>16.0</v>
      </c>
      <c r="AP21" s="207">
        <v>6.0</v>
      </c>
      <c r="AQ21" s="207">
        <v>0.0</v>
      </c>
      <c r="AR21" s="207">
        <v>0.0</v>
      </c>
      <c r="AS21" s="207">
        <v>1.0</v>
      </c>
      <c r="AT21" s="207">
        <v>0.0</v>
      </c>
      <c r="AU21" s="207">
        <v>1041.0</v>
      </c>
      <c r="AV21" s="207">
        <v>74.0</v>
      </c>
      <c r="AW21" s="207">
        <v>676.0</v>
      </c>
      <c r="AX21" s="207">
        <v>130.0</v>
      </c>
      <c r="AY21" s="207">
        <v>128.0</v>
      </c>
      <c r="AZ21" s="207">
        <v>12.0</v>
      </c>
      <c r="BA21" s="207">
        <v>16.0</v>
      </c>
      <c r="BB21" s="207">
        <v>5.0</v>
      </c>
      <c r="BC21" s="207">
        <v>0.0</v>
      </c>
      <c r="BD21" s="207">
        <v>4275.0</v>
      </c>
      <c r="BE21" s="207">
        <v>473.0</v>
      </c>
      <c r="BF21" s="207">
        <v>1991.0</v>
      </c>
      <c r="BG21" s="207">
        <v>720.0</v>
      </c>
      <c r="BH21" s="207">
        <v>747.0</v>
      </c>
      <c r="BI21" s="207">
        <v>88.0</v>
      </c>
      <c r="BJ21" s="207">
        <v>211.0</v>
      </c>
      <c r="BK21" s="207">
        <v>44.0</v>
      </c>
      <c r="BL21" s="207">
        <v>1.0</v>
      </c>
      <c r="BM21" s="207">
        <v>5606.0</v>
      </c>
      <c r="BN21" s="207">
        <v>543.0</v>
      </c>
      <c r="BO21" s="207">
        <v>2693.0</v>
      </c>
      <c r="BP21" s="207">
        <v>975.0</v>
      </c>
      <c r="BQ21" s="207">
        <v>957.0</v>
      </c>
      <c r="BR21" s="207">
        <v>134.0</v>
      </c>
      <c r="BS21" s="207">
        <v>241.0</v>
      </c>
      <c r="BT21" s="207">
        <v>61.0</v>
      </c>
      <c r="BU21" s="207">
        <v>2.0</v>
      </c>
      <c r="BV21" s="207">
        <v>5947.0</v>
      </c>
      <c r="BW21" s="207">
        <v>456.0</v>
      </c>
      <c r="BX21" s="207">
        <v>2753.0</v>
      </c>
      <c r="BY21" s="207">
        <v>1126.0</v>
      </c>
      <c r="BZ21" s="207">
        <v>1016.0</v>
      </c>
      <c r="CA21" s="207">
        <v>126.0</v>
      </c>
      <c r="CB21" s="207">
        <v>359.0</v>
      </c>
      <c r="CC21" s="207">
        <v>84.0</v>
      </c>
      <c r="CD21" s="207">
        <v>27.0</v>
      </c>
    </row>
    <row r="22">
      <c r="A22" s="205" t="s">
        <v>368</v>
      </c>
      <c r="B22" s="206">
        <v>12652.0</v>
      </c>
      <c r="C22" s="206">
        <v>1575.0</v>
      </c>
      <c r="D22" s="206">
        <v>5800.0</v>
      </c>
      <c r="E22" s="206">
        <v>1313.0</v>
      </c>
      <c r="F22" s="206">
        <v>2656.0</v>
      </c>
      <c r="G22" s="206">
        <v>419.0</v>
      </c>
      <c r="H22" s="206">
        <v>515.0</v>
      </c>
      <c r="I22" s="206">
        <v>222.0</v>
      </c>
      <c r="J22" s="206">
        <v>152.0</v>
      </c>
      <c r="K22" s="206">
        <v>9995.0</v>
      </c>
      <c r="L22" s="206">
        <v>1065.0</v>
      </c>
      <c r="M22" s="206">
        <v>4539.0</v>
      </c>
      <c r="N22" s="206">
        <v>1234.0</v>
      </c>
      <c r="O22" s="206">
        <v>2046.0</v>
      </c>
      <c r="P22" s="206">
        <v>240.0</v>
      </c>
      <c r="Q22" s="206">
        <v>375.0</v>
      </c>
      <c r="R22" s="206">
        <v>264.0</v>
      </c>
      <c r="S22" s="206">
        <v>232.0</v>
      </c>
      <c r="T22" s="206">
        <v>11759.0</v>
      </c>
      <c r="U22" s="206">
        <v>1342.0</v>
      </c>
      <c r="V22" s="206">
        <v>5225.0</v>
      </c>
      <c r="W22" s="206">
        <v>1347.0</v>
      </c>
      <c r="X22" s="206">
        <v>2517.0</v>
      </c>
      <c r="Y22" s="206">
        <v>245.0</v>
      </c>
      <c r="Z22" s="206">
        <v>618.0</v>
      </c>
      <c r="AA22" s="206">
        <v>226.0</v>
      </c>
      <c r="AB22" s="206">
        <v>239.0</v>
      </c>
      <c r="AC22" s="206">
        <v>12016.0</v>
      </c>
      <c r="AD22" s="206">
        <v>1108.0</v>
      </c>
      <c r="AE22" s="206">
        <v>5312.0</v>
      </c>
      <c r="AF22" s="206">
        <v>1387.0</v>
      </c>
      <c r="AG22" s="206">
        <v>2550.0</v>
      </c>
      <c r="AH22" s="206">
        <v>409.0</v>
      </c>
      <c r="AI22" s="206">
        <v>733.0</v>
      </c>
      <c r="AJ22" s="206">
        <v>225.0</v>
      </c>
      <c r="AK22" s="206">
        <v>292.0</v>
      </c>
      <c r="AL22" s="206">
        <v>1546.0</v>
      </c>
      <c r="AM22" s="206">
        <v>162.0</v>
      </c>
      <c r="AN22" s="206">
        <v>688.0</v>
      </c>
      <c r="AO22" s="206">
        <v>235.0</v>
      </c>
      <c r="AP22" s="206">
        <v>343.0</v>
      </c>
      <c r="AQ22" s="206">
        <v>39.0</v>
      </c>
      <c r="AR22" s="206">
        <v>39.0</v>
      </c>
      <c r="AS22" s="206">
        <v>27.0</v>
      </c>
      <c r="AT22" s="206">
        <v>13.0</v>
      </c>
      <c r="AU22" s="206">
        <v>9203.0</v>
      </c>
      <c r="AV22" s="206">
        <v>1133.0</v>
      </c>
      <c r="AW22" s="206">
        <v>4158.0</v>
      </c>
      <c r="AX22" s="206">
        <v>1274.0</v>
      </c>
      <c r="AY22" s="206">
        <v>1829.0</v>
      </c>
      <c r="AZ22" s="206">
        <v>181.0</v>
      </c>
      <c r="BA22" s="206">
        <v>398.0</v>
      </c>
      <c r="BB22" s="206">
        <v>117.0</v>
      </c>
      <c r="BC22" s="206">
        <v>113.0</v>
      </c>
      <c r="BD22" s="206">
        <v>10657.0</v>
      </c>
      <c r="BE22" s="206">
        <v>1305.0</v>
      </c>
      <c r="BF22" s="206">
        <v>4586.0</v>
      </c>
      <c r="BG22" s="206">
        <v>1357.0</v>
      </c>
      <c r="BH22" s="206">
        <v>2172.0</v>
      </c>
      <c r="BI22" s="206">
        <v>240.0</v>
      </c>
      <c r="BJ22" s="206">
        <v>584.0</v>
      </c>
      <c r="BK22" s="206">
        <v>244.0</v>
      </c>
      <c r="BL22" s="206">
        <v>169.0</v>
      </c>
      <c r="BM22" s="206">
        <v>11308.0</v>
      </c>
      <c r="BN22" s="206">
        <v>1233.0</v>
      </c>
      <c r="BO22" s="206">
        <v>4697.0</v>
      </c>
      <c r="BP22" s="206">
        <v>1534.0</v>
      </c>
      <c r="BQ22" s="206">
        <v>2373.0</v>
      </c>
      <c r="BR22" s="206">
        <v>303.0</v>
      </c>
      <c r="BS22" s="206">
        <v>638.0</v>
      </c>
      <c r="BT22" s="206">
        <v>395.0</v>
      </c>
      <c r="BU22" s="206">
        <v>135.0</v>
      </c>
      <c r="BV22" s="206">
        <v>9909.0</v>
      </c>
      <c r="BW22" s="206">
        <v>1179.0</v>
      </c>
      <c r="BX22" s="206">
        <v>4525.0</v>
      </c>
      <c r="BY22" s="206">
        <v>1378.0</v>
      </c>
      <c r="BZ22" s="206">
        <v>1860.0</v>
      </c>
      <c r="CA22" s="206">
        <v>249.0</v>
      </c>
      <c r="CB22" s="206">
        <v>469.0</v>
      </c>
      <c r="CC22" s="206">
        <v>141.0</v>
      </c>
      <c r="CD22" s="206">
        <v>108.0</v>
      </c>
    </row>
    <row r="23">
      <c r="A23" s="205" t="s">
        <v>369</v>
      </c>
      <c r="B23" s="207">
        <v>12619.0</v>
      </c>
      <c r="C23" s="207">
        <v>1416.0</v>
      </c>
      <c r="D23" s="207">
        <v>5959.0</v>
      </c>
      <c r="E23" s="207">
        <v>1332.0</v>
      </c>
      <c r="F23" s="207">
        <v>2354.0</v>
      </c>
      <c r="G23" s="207">
        <v>487.0</v>
      </c>
      <c r="H23" s="207">
        <v>728.0</v>
      </c>
      <c r="I23" s="207">
        <v>204.0</v>
      </c>
      <c r="J23" s="207">
        <v>139.0</v>
      </c>
      <c r="K23" s="207">
        <v>12241.0</v>
      </c>
      <c r="L23" s="207">
        <v>1194.0</v>
      </c>
      <c r="M23" s="207">
        <v>5395.0</v>
      </c>
      <c r="N23" s="207">
        <v>1455.0</v>
      </c>
      <c r="O23" s="207">
        <v>2689.0</v>
      </c>
      <c r="P23" s="207">
        <v>263.0</v>
      </c>
      <c r="Q23" s="207">
        <v>767.0</v>
      </c>
      <c r="R23" s="207">
        <v>162.0</v>
      </c>
      <c r="S23" s="207">
        <v>316.0</v>
      </c>
      <c r="T23" s="207">
        <v>14190.0</v>
      </c>
      <c r="U23" s="207">
        <v>1464.0</v>
      </c>
      <c r="V23" s="207">
        <v>6033.0</v>
      </c>
      <c r="W23" s="207">
        <v>1471.0</v>
      </c>
      <c r="X23" s="207">
        <v>3507.0</v>
      </c>
      <c r="Y23" s="207">
        <v>263.0</v>
      </c>
      <c r="Z23" s="207">
        <v>1079.0</v>
      </c>
      <c r="AA23" s="207">
        <v>184.0</v>
      </c>
      <c r="AB23" s="207">
        <v>189.0</v>
      </c>
      <c r="AC23" s="207">
        <v>11425.0</v>
      </c>
      <c r="AD23" s="207">
        <v>1660.0</v>
      </c>
      <c r="AE23" s="207">
        <v>4856.0</v>
      </c>
      <c r="AF23" s="207">
        <v>1244.0</v>
      </c>
      <c r="AG23" s="207">
        <v>2437.0</v>
      </c>
      <c r="AH23" s="207">
        <v>248.0</v>
      </c>
      <c r="AI23" s="207">
        <v>805.0</v>
      </c>
      <c r="AJ23" s="207">
        <v>120.0</v>
      </c>
      <c r="AK23" s="207">
        <v>55.0</v>
      </c>
      <c r="AL23" s="207">
        <v>772.0</v>
      </c>
      <c r="AM23" s="207">
        <v>130.0</v>
      </c>
      <c r="AN23" s="207">
        <v>360.0</v>
      </c>
      <c r="AO23" s="207">
        <v>141.0</v>
      </c>
      <c r="AP23" s="207">
        <v>123.0</v>
      </c>
      <c r="AQ23" s="207">
        <v>16.0</v>
      </c>
      <c r="AR23" s="207">
        <v>0.0</v>
      </c>
      <c r="AS23" s="207">
        <v>1.0</v>
      </c>
      <c r="AT23" s="207">
        <v>1.0</v>
      </c>
      <c r="AU23" s="207">
        <v>5994.0</v>
      </c>
      <c r="AV23" s="207">
        <v>773.0</v>
      </c>
      <c r="AW23" s="207">
        <v>2686.0</v>
      </c>
      <c r="AX23" s="207">
        <v>1035.0</v>
      </c>
      <c r="AY23" s="207">
        <v>1167.0</v>
      </c>
      <c r="AZ23" s="207">
        <v>108.0</v>
      </c>
      <c r="BA23" s="207">
        <v>169.0</v>
      </c>
      <c r="BB23" s="207">
        <v>30.0</v>
      </c>
      <c r="BC23" s="207">
        <v>26.0</v>
      </c>
      <c r="BD23" s="207">
        <v>11005.0</v>
      </c>
      <c r="BE23" s="207">
        <v>1510.0</v>
      </c>
      <c r="BF23" s="207">
        <v>4678.0</v>
      </c>
      <c r="BG23" s="207">
        <v>1684.0</v>
      </c>
      <c r="BH23" s="207">
        <v>2391.0</v>
      </c>
      <c r="BI23" s="207">
        <v>217.0</v>
      </c>
      <c r="BJ23" s="207">
        <v>431.0</v>
      </c>
      <c r="BK23" s="207">
        <v>90.0</v>
      </c>
      <c r="BL23" s="207">
        <v>4.0</v>
      </c>
      <c r="BM23" s="207">
        <v>15031.0</v>
      </c>
      <c r="BN23" s="207">
        <v>1727.0</v>
      </c>
      <c r="BO23" s="207">
        <v>6826.0</v>
      </c>
      <c r="BP23" s="207">
        <v>2105.0</v>
      </c>
      <c r="BQ23" s="207">
        <v>2740.0</v>
      </c>
      <c r="BR23" s="207">
        <v>252.0</v>
      </c>
      <c r="BS23" s="207">
        <v>1214.0</v>
      </c>
      <c r="BT23" s="207">
        <v>145.0</v>
      </c>
      <c r="BU23" s="207">
        <v>22.0</v>
      </c>
      <c r="BV23" s="207">
        <v>14202.0</v>
      </c>
      <c r="BW23" s="207">
        <v>2598.0</v>
      </c>
      <c r="BX23" s="207">
        <v>6119.0</v>
      </c>
      <c r="BY23" s="207">
        <v>2021.0</v>
      </c>
      <c r="BZ23" s="207">
        <v>2573.0</v>
      </c>
      <c r="CA23" s="207">
        <v>221.0</v>
      </c>
      <c r="CB23" s="207">
        <v>525.0</v>
      </c>
      <c r="CC23" s="207">
        <v>114.0</v>
      </c>
      <c r="CD23" s="207">
        <v>31.0</v>
      </c>
    </row>
    <row r="24">
      <c r="A24" s="205" t="s">
        <v>370</v>
      </c>
      <c r="B24" s="206">
        <v>5366.0</v>
      </c>
      <c r="C24" s="206">
        <v>703.0</v>
      </c>
      <c r="D24" s="206">
        <v>2292.0</v>
      </c>
      <c r="E24" s="206">
        <v>532.0</v>
      </c>
      <c r="F24" s="206">
        <v>802.0</v>
      </c>
      <c r="G24" s="206">
        <v>144.0</v>
      </c>
      <c r="H24" s="206">
        <v>611.0</v>
      </c>
      <c r="I24" s="206">
        <v>153.0</v>
      </c>
      <c r="J24" s="206">
        <v>129.0</v>
      </c>
      <c r="K24" s="206">
        <v>5860.0</v>
      </c>
      <c r="L24" s="206">
        <v>722.0</v>
      </c>
      <c r="M24" s="206">
        <v>2560.0</v>
      </c>
      <c r="N24" s="206">
        <v>628.0</v>
      </c>
      <c r="O24" s="206">
        <v>1172.0</v>
      </c>
      <c r="P24" s="206">
        <v>111.0</v>
      </c>
      <c r="Q24" s="206">
        <v>538.0</v>
      </c>
      <c r="R24" s="206">
        <v>106.0</v>
      </c>
      <c r="S24" s="206">
        <v>23.0</v>
      </c>
      <c r="T24" s="206">
        <v>6020.0</v>
      </c>
      <c r="U24" s="206">
        <v>530.0</v>
      </c>
      <c r="V24" s="206">
        <v>2879.0</v>
      </c>
      <c r="W24" s="206">
        <v>693.0</v>
      </c>
      <c r="X24" s="206">
        <v>1249.0</v>
      </c>
      <c r="Y24" s="206">
        <v>215.0</v>
      </c>
      <c r="Z24" s="206">
        <v>358.0</v>
      </c>
      <c r="AA24" s="206">
        <v>92.0</v>
      </c>
      <c r="AB24" s="206">
        <v>4.0</v>
      </c>
      <c r="AC24" s="206">
        <v>7109.0</v>
      </c>
      <c r="AD24" s="206">
        <v>803.0</v>
      </c>
      <c r="AE24" s="206">
        <v>3083.0</v>
      </c>
      <c r="AF24" s="206">
        <v>851.0</v>
      </c>
      <c r="AG24" s="206">
        <v>1387.0</v>
      </c>
      <c r="AH24" s="206">
        <v>297.0</v>
      </c>
      <c r="AI24" s="206">
        <v>550.0</v>
      </c>
      <c r="AJ24" s="206">
        <v>137.0</v>
      </c>
      <c r="AK24" s="206">
        <v>1.0</v>
      </c>
      <c r="AL24" s="206">
        <v>291.0</v>
      </c>
      <c r="AM24" s="206">
        <v>121.0</v>
      </c>
      <c r="AN24" s="206">
        <v>89.0</v>
      </c>
      <c r="AO24" s="206">
        <v>33.0</v>
      </c>
      <c r="AP24" s="206">
        <v>35.0</v>
      </c>
      <c r="AQ24" s="206">
        <v>7.0</v>
      </c>
      <c r="AR24" s="206">
        <v>6.0</v>
      </c>
      <c r="AS24" s="206">
        <v>0.0</v>
      </c>
      <c r="AT24" s="206">
        <v>0.0</v>
      </c>
      <c r="AU24" s="206">
        <v>1549.0</v>
      </c>
      <c r="AV24" s="206">
        <v>249.0</v>
      </c>
      <c r="AW24" s="206">
        <v>689.0</v>
      </c>
      <c r="AX24" s="206">
        <v>107.0</v>
      </c>
      <c r="AY24" s="206">
        <v>213.0</v>
      </c>
      <c r="AZ24" s="206">
        <v>40.0</v>
      </c>
      <c r="BA24" s="206">
        <v>195.0</v>
      </c>
      <c r="BB24" s="206">
        <v>56.0</v>
      </c>
      <c r="BC24" s="206">
        <v>0.0</v>
      </c>
      <c r="BD24" s="206">
        <v>4747.0</v>
      </c>
      <c r="BE24" s="206">
        <v>507.0</v>
      </c>
      <c r="BF24" s="206">
        <v>2076.0</v>
      </c>
      <c r="BG24" s="206">
        <v>484.0</v>
      </c>
      <c r="BH24" s="206">
        <v>783.0</v>
      </c>
      <c r="BI24" s="206">
        <v>104.0</v>
      </c>
      <c r="BJ24" s="206">
        <v>639.0</v>
      </c>
      <c r="BK24" s="206">
        <v>154.0</v>
      </c>
      <c r="BL24" s="206">
        <v>0.0</v>
      </c>
      <c r="BM24" s="206">
        <v>5733.0</v>
      </c>
      <c r="BN24" s="206">
        <v>604.0</v>
      </c>
      <c r="BO24" s="206">
        <v>2513.0</v>
      </c>
      <c r="BP24" s="206">
        <v>562.0</v>
      </c>
      <c r="BQ24" s="206">
        <v>825.0</v>
      </c>
      <c r="BR24" s="206">
        <v>122.0</v>
      </c>
      <c r="BS24" s="206">
        <v>950.0</v>
      </c>
      <c r="BT24" s="206">
        <v>156.0</v>
      </c>
      <c r="BU24" s="206">
        <v>1.0</v>
      </c>
      <c r="BV24" s="206">
        <v>4091.0</v>
      </c>
      <c r="BW24" s="206">
        <v>530.0</v>
      </c>
      <c r="BX24" s="206">
        <v>1417.0</v>
      </c>
      <c r="BY24" s="206">
        <v>430.0</v>
      </c>
      <c r="BZ24" s="206">
        <v>590.0</v>
      </c>
      <c r="CA24" s="206">
        <v>59.0</v>
      </c>
      <c r="CB24" s="206">
        <v>938.0</v>
      </c>
      <c r="CC24" s="206">
        <v>125.0</v>
      </c>
      <c r="CD24" s="206">
        <v>2.0</v>
      </c>
    </row>
    <row r="25">
      <c r="A25" s="205" t="s">
        <v>371</v>
      </c>
      <c r="B25" s="207">
        <v>5859.0</v>
      </c>
      <c r="C25" s="207">
        <v>730.0</v>
      </c>
      <c r="D25" s="207">
        <v>2708.0</v>
      </c>
      <c r="E25" s="207">
        <v>892.0</v>
      </c>
      <c r="F25" s="207">
        <v>1043.0</v>
      </c>
      <c r="G25" s="207">
        <v>160.0</v>
      </c>
      <c r="H25" s="207">
        <v>258.0</v>
      </c>
      <c r="I25" s="207">
        <v>62.0</v>
      </c>
      <c r="J25" s="207">
        <v>6.0</v>
      </c>
      <c r="K25" s="207">
        <v>3766.0</v>
      </c>
      <c r="L25" s="207">
        <v>392.0</v>
      </c>
      <c r="M25" s="207">
        <v>1744.0</v>
      </c>
      <c r="N25" s="207">
        <v>582.0</v>
      </c>
      <c r="O25" s="207">
        <v>731.0</v>
      </c>
      <c r="P25" s="207">
        <v>100.0</v>
      </c>
      <c r="Q25" s="207">
        <v>74.0</v>
      </c>
      <c r="R25" s="207">
        <v>75.0</v>
      </c>
      <c r="S25" s="207">
        <v>68.0</v>
      </c>
      <c r="T25" s="207">
        <v>3145.0</v>
      </c>
      <c r="U25" s="207">
        <v>378.0</v>
      </c>
      <c r="V25" s="207">
        <v>1514.0</v>
      </c>
      <c r="W25" s="207">
        <v>445.0</v>
      </c>
      <c r="X25" s="207">
        <v>641.0</v>
      </c>
      <c r="Y25" s="207">
        <v>55.0</v>
      </c>
      <c r="Z25" s="207">
        <v>88.0</v>
      </c>
      <c r="AA25" s="207">
        <v>20.0</v>
      </c>
      <c r="AB25" s="207">
        <v>4.0</v>
      </c>
      <c r="AC25" s="207">
        <v>3876.0</v>
      </c>
      <c r="AD25" s="207">
        <v>555.0</v>
      </c>
      <c r="AE25" s="207">
        <v>1814.0</v>
      </c>
      <c r="AF25" s="207">
        <v>510.0</v>
      </c>
      <c r="AG25" s="207">
        <v>705.0</v>
      </c>
      <c r="AH25" s="207">
        <v>84.0</v>
      </c>
      <c r="AI25" s="207">
        <v>155.0</v>
      </c>
      <c r="AJ25" s="207">
        <v>53.0</v>
      </c>
      <c r="AK25" s="207">
        <v>0.0</v>
      </c>
      <c r="AL25" s="207">
        <v>198.0</v>
      </c>
      <c r="AM25" s="207">
        <v>50.0</v>
      </c>
      <c r="AN25" s="207">
        <v>62.0</v>
      </c>
      <c r="AO25" s="207">
        <v>38.0</v>
      </c>
      <c r="AP25" s="207">
        <v>36.0</v>
      </c>
      <c r="AQ25" s="207">
        <v>12.0</v>
      </c>
      <c r="AR25" s="207">
        <v>0.0</v>
      </c>
      <c r="AS25" s="207">
        <v>0.0</v>
      </c>
      <c r="AT25" s="207">
        <v>0.0</v>
      </c>
      <c r="AU25" s="207">
        <v>2191.0</v>
      </c>
      <c r="AV25" s="207">
        <v>440.0</v>
      </c>
      <c r="AW25" s="207">
        <v>808.0</v>
      </c>
      <c r="AX25" s="207">
        <v>409.0</v>
      </c>
      <c r="AY25" s="207">
        <v>439.0</v>
      </c>
      <c r="AZ25" s="207">
        <v>31.0</v>
      </c>
      <c r="BA25" s="207">
        <v>41.0</v>
      </c>
      <c r="BB25" s="207">
        <v>23.0</v>
      </c>
      <c r="BC25" s="207">
        <v>0.0</v>
      </c>
      <c r="BD25" s="207">
        <v>3643.0</v>
      </c>
      <c r="BE25" s="207">
        <v>520.0</v>
      </c>
      <c r="BF25" s="207">
        <v>1490.0</v>
      </c>
      <c r="BG25" s="207">
        <v>528.0</v>
      </c>
      <c r="BH25" s="207">
        <v>747.0</v>
      </c>
      <c r="BI25" s="207">
        <v>63.0</v>
      </c>
      <c r="BJ25" s="207">
        <v>248.0</v>
      </c>
      <c r="BK25" s="207">
        <v>47.0</v>
      </c>
      <c r="BL25" s="207">
        <v>0.0</v>
      </c>
      <c r="BM25" s="207">
        <v>4473.0</v>
      </c>
      <c r="BN25" s="207">
        <v>574.0</v>
      </c>
      <c r="BO25" s="207">
        <v>2022.0</v>
      </c>
      <c r="BP25" s="207">
        <v>657.0</v>
      </c>
      <c r="BQ25" s="207">
        <v>833.0</v>
      </c>
      <c r="BR25" s="207">
        <v>73.0</v>
      </c>
      <c r="BS25" s="207">
        <v>261.0</v>
      </c>
      <c r="BT25" s="207">
        <v>49.0</v>
      </c>
      <c r="BU25" s="207">
        <v>4.0</v>
      </c>
      <c r="BV25" s="207">
        <v>5905.0</v>
      </c>
      <c r="BW25" s="207">
        <v>580.0</v>
      </c>
      <c r="BX25" s="207">
        <v>2911.0</v>
      </c>
      <c r="BY25" s="207">
        <v>914.0</v>
      </c>
      <c r="BZ25" s="207">
        <v>1031.0</v>
      </c>
      <c r="CA25" s="207">
        <v>105.0</v>
      </c>
      <c r="CB25" s="207">
        <v>261.0</v>
      </c>
      <c r="CC25" s="207">
        <v>87.0</v>
      </c>
      <c r="CD25" s="207">
        <v>16.0</v>
      </c>
    </row>
    <row r="26">
      <c r="A26" s="205" t="s">
        <v>372</v>
      </c>
      <c r="B26" s="206">
        <v>888.0</v>
      </c>
      <c r="C26" s="206">
        <v>128.0</v>
      </c>
      <c r="D26" s="206">
        <v>385.0</v>
      </c>
      <c r="E26" s="206">
        <v>101.0</v>
      </c>
      <c r="F26" s="206">
        <v>152.0</v>
      </c>
      <c r="G26" s="206">
        <v>17.0</v>
      </c>
      <c r="H26" s="206">
        <v>63.0</v>
      </c>
      <c r="I26" s="206">
        <v>11.0</v>
      </c>
      <c r="J26" s="206">
        <v>31.0</v>
      </c>
      <c r="K26" s="206">
        <v>791.0</v>
      </c>
      <c r="L26" s="206">
        <v>99.0</v>
      </c>
      <c r="M26" s="206">
        <v>295.0</v>
      </c>
      <c r="N26" s="206">
        <v>76.0</v>
      </c>
      <c r="O26" s="206">
        <v>203.0</v>
      </c>
      <c r="P26" s="206">
        <v>13.0</v>
      </c>
      <c r="Q26" s="206">
        <v>69.0</v>
      </c>
      <c r="R26" s="206">
        <v>14.0</v>
      </c>
      <c r="S26" s="206">
        <v>22.0</v>
      </c>
      <c r="T26" s="206">
        <v>1364.0</v>
      </c>
      <c r="U26" s="206">
        <v>148.0</v>
      </c>
      <c r="V26" s="206">
        <v>446.0</v>
      </c>
      <c r="W26" s="206">
        <v>141.0</v>
      </c>
      <c r="X26" s="206">
        <v>425.0</v>
      </c>
      <c r="Y26" s="206">
        <v>42.0</v>
      </c>
      <c r="Z26" s="206">
        <v>112.0</v>
      </c>
      <c r="AA26" s="206">
        <v>45.0</v>
      </c>
      <c r="AB26" s="206">
        <v>5.0</v>
      </c>
      <c r="AC26" s="206">
        <v>1144.0</v>
      </c>
      <c r="AD26" s="206">
        <v>126.0</v>
      </c>
      <c r="AE26" s="206">
        <v>400.0</v>
      </c>
      <c r="AF26" s="206">
        <v>147.0</v>
      </c>
      <c r="AG26" s="206">
        <v>363.0</v>
      </c>
      <c r="AH26" s="206">
        <v>31.0</v>
      </c>
      <c r="AI26" s="206">
        <v>44.0</v>
      </c>
      <c r="AJ26" s="206">
        <v>29.0</v>
      </c>
      <c r="AK26" s="206">
        <v>4.0</v>
      </c>
      <c r="AL26" s="206">
        <v>149.0</v>
      </c>
      <c r="AM26" s="206">
        <v>17.0</v>
      </c>
      <c r="AN26" s="206">
        <v>67.0</v>
      </c>
      <c r="AO26" s="206">
        <v>17.0</v>
      </c>
      <c r="AP26" s="206">
        <v>33.0</v>
      </c>
      <c r="AQ26" s="206">
        <v>13.0</v>
      </c>
      <c r="AR26" s="206">
        <v>1.0</v>
      </c>
      <c r="AS26" s="206">
        <v>0.0</v>
      </c>
      <c r="AT26" s="206">
        <v>1.0</v>
      </c>
      <c r="AU26" s="206">
        <v>336.0</v>
      </c>
      <c r="AV26" s="206">
        <v>49.0</v>
      </c>
      <c r="AW26" s="206">
        <v>146.0</v>
      </c>
      <c r="AX26" s="206">
        <v>34.0</v>
      </c>
      <c r="AY26" s="206">
        <v>66.0</v>
      </c>
      <c r="AZ26" s="206">
        <v>17.0</v>
      </c>
      <c r="BA26" s="206">
        <v>10.0</v>
      </c>
      <c r="BB26" s="206">
        <v>12.0</v>
      </c>
      <c r="BC26" s="206">
        <v>2.0</v>
      </c>
      <c r="BD26" s="206">
        <v>1075.0</v>
      </c>
      <c r="BE26" s="206">
        <v>125.0</v>
      </c>
      <c r="BF26" s="206">
        <v>519.0</v>
      </c>
      <c r="BG26" s="206">
        <v>111.0</v>
      </c>
      <c r="BH26" s="206">
        <v>238.0</v>
      </c>
      <c r="BI26" s="206">
        <v>54.0</v>
      </c>
      <c r="BJ26" s="206">
        <v>20.0</v>
      </c>
      <c r="BK26" s="206">
        <v>6.0</v>
      </c>
      <c r="BL26" s="206">
        <v>2.0</v>
      </c>
      <c r="BM26" s="206">
        <v>1573.0</v>
      </c>
      <c r="BN26" s="206">
        <v>126.0</v>
      </c>
      <c r="BO26" s="206">
        <v>513.0</v>
      </c>
      <c r="BP26" s="206">
        <v>121.0</v>
      </c>
      <c r="BQ26" s="206">
        <v>431.0</v>
      </c>
      <c r="BR26" s="206">
        <v>66.0</v>
      </c>
      <c r="BS26" s="206">
        <v>290.0</v>
      </c>
      <c r="BT26" s="206">
        <v>22.0</v>
      </c>
      <c r="BU26" s="206">
        <v>4.0</v>
      </c>
      <c r="BV26" s="206">
        <v>1636.0</v>
      </c>
      <c r="BW26" s="206">
        <v>205.0</v>
      </c>
      <c r="BX26" s="206">
        <v>614.0</v>
      </c>
      <c r="BY26" s="206">
        <v>199.0</v>
      </c>
      <c r="BZ26" s="206">
        <v>387.0</v>
      </c>
      <c r="CA26" s="206">
        <v>95.0</v>
      </c>
      <c r="CB26" s="206">
        <v>101.0</v>
      </c>
      <c r="CC26" s="206">
        <v>33.0</v>
      </c>
      <c r="CD26" s="206">
        <v>2.0</v>
      </c>
    </row>
    <row r="27">
      <c r="A27" s="205" t="s">
        <v>373</v>
      </c>
      <c r="B27" s="207">
        <v>6771.0</v>
      </c>
      <c r="C27" s="207">
        <v>854.0</v>
      </c>
      <c r="D27" s="207">
        <v>3245.0</v>
      </c>
      <c r="E27" s="207">
        <v>639.0</v>
      </c>
      <c r="F27" s="207">
        <v>1198.0</v>
      </c>
      <c r="G27" s="207">
        <v>177.0</v>
      </c>
      <c r="H27" s="207">
        <v>538.0</v>
      </c>
      <c r="I27" s="207">
        <v>105.0</v>
      </c>
      <c r="J27" s="207">
        <v>15.0</v>
      </c>
      <c r="K27" s="207">
        <v>6702.0</v>
      </c>
      <c r="L27" s="207">
        <v>668.0</v>
      </c>
      <c r="M27" s="207">
        <v>2735.0</v>
      </c>
      <c r="N27" s="207">
        <v>704.0</v>
      </c>
      <c r="O27" s="207">
        <v>1829.0</v>
      </c>
      <c r="P27" s="207">
        <v>133.0</v>
      </c>
      <c r="Q27" s="207">
        <v>456.0</v>
      </c>
      <c r="R27" s="207">
        <v>90.0</v>
      </c>
      <c r="S27" s="207">
        <v>87.0</v>
      </c>
      <c r="T27" s="207">
        <v>6882.0</v>
      </c>
      <c r="U27" s="207">
        <v>922.0</v>
      </c>
      <c r="V27" s="207">
        <v>2834.0</v>
      </c>
      <c r="W27" s="207">
        <v>763.0</v>
      </c>
      <c r="X27" s="207">
        <v>1446.0</v>
      </c>
      <c r="Y27" s="207">
        <v>178.0</v>
      </c>
      <c r="Z27" s="207">
        <v>510.0</v>
      </c>
      <c r="AA27" s="207">
        <v>125.0</v>
      </c>
      <c r="AB27" s="207">
        <v>104.0</v>
      </c>
      <c r="AC27" s="207">
        <v>6875.0</v>
      </c>
      <c r="AD27" s="207">
        <v>901.0</v>
      </c>
      <c r="AE27" s="207">
        <v>2831.0</v>
      </c>
      <c r="AF27" s="207">
        <v>863.0</v>
      </c>
      <c r="AG27" s="207">
        <v>1484.0</v>
      </c>
      <c r="AH27" s="207">
        <v>145.0</v>
      </c>
      <c r="AI27" s="207">
        <v>500.0</v>
      </c>
      <c r="AJ27" s="207">
        <v>146.0</v>
      </c>
      <c r="AK27" s="207">
        <v>5.0</v>
      </c>
      <c r="AL27" s="207">
        <v>409.0</v>
      </c>
      <c r="AM27" s="207">
        <v>106.0</v>
      </c>
      <c r="AN27" s="207">
        <v>90.0</v>
      </c>
      <c r="AO27" s="207">
        <v>67.0</v>
      </c>
      <c r="AP27" s="207">
        <v>113.0</v>
      </c>
      <c r="AQ27" s="207">
        <v>18.0</v>
      </c>
      <c r="AR27" s="207">
        <v>13.0</v>
      </c>
      <c r="AS27" s="207">
        <v>2.0</v>
      </c>
      <c r="AT27" s="207">
        <v>0.0</v>
      </c>
      <c r="AU27" s="207">
        <v>2004.0</v>
      </c>
      <c r="AV27" s="207">
        <v>341.0</v>
      </c>
      <c r="AW27" s="207">
        <v>740.0</v>
      </c>
      <c r="AX27" s="207">
        <v>320.0</v>
      </c>
      <c r="AY27" s="207">
        <v>469.0</v>
      </c>
      <c r="AZ27" s="207">
        <v>57.0</v>
      </c>
      <c r="BA27" s="207">
        <v>61.0</v>
      </c>
      <c r="BB27" s="207">
        <v>16.0</v>
      </c>
      <c r="BC27" s="207">
        <v>0.0</v>
      </c>
      <c r="BD27" s="207">
        <v>4467.0</v>
      </c>
      <c r="BE27" s="207">
        <v>588.0</v>
      </c>
      <c r="BF27" s="207">
        <v>1758.0</v>
      </c>
      <c r="BG27" s="207">
        <v>657.0</v>
      </c>
      <c r="BH27" s="207">
        <v>1078.0</v>
      </c>
      <c r="BI27" s="207">
        <v>81.0</v>
      </c>
      <c r="BJ27" s="207">
        <v>240.0</v>
      </c>
      <c r="BK27" s="207">
        <v>48.0</v>
      </c>
      <c r="BL27" s="207">
        <v>17.0</v>
      </c>
      <c r="BM27" s="207">
        <v>6119.0</v>
      </c>
      <c r="BN27" s="207">
        <v>801.0</v>
      </c>
      <c r="BO27" s="207">
        <v>2810.0</v>
      </c>
      <c r="BP27" s="207">
        <v>787.0</v>
      </c>
      <c r="BQ27" s="207">
        <v>1163.0</v>
      </c>
      <c r="BR27" s="207">
        <v>225.0</v>
      </c>
      <c r="BS27" s="207">
        <v>219.0</v>
      </c>
      <c r="BT27" s="207">
        <v>102.0</v>
      </c>
      <c r="BU27" s="207">
        <v>12.0</v>
      </c>
      <c r="BV27" s="207">
        <v>6277.0</v>
      </c>
      <c r="BW27" s="207">
        <v>822.0</v>
      </c>
      <c r="BX27" s="207">
        <v>2611.0</v>
      </c>
      <c r="BY27" s="207">
        <v>1156.0</v>
      </c>
      <c r="BZ27" s="207">
        <v>1226.0</v>
      </c>
      <c r="CA27" s="207">
        <v>203.0</v>
      </c>
      <c r="CB27" s="207">
        <v>212.0</v>
      </c>
      <c r="CC27" s="207">
        <v>30.0</v>
      </c>
      <c r="CD27" s="207">
        <v>17.0</v>
      </c>
    </row>
    <row r="28">
      <c r="A28" s="205" t="s">
        <v>374</v>
      </c>
      <c r="B28" s="206">
        <v>2423.0</v>
      </c>
      <c r="C28" s="206">
        <v>621.0</v>
      </c>
      <c r="D28" s="206">
        <v>809.0</v>
      </c>
      <c r="E28" s="206">
        <v>326.0</v>
      </c>
      <c r="F28" s="206">
        <v>418.0</v>
      </c>
      <c r="G28" s="206">
        <v>67.0</v>
      </c>
      <c r="H28" s="206">
        <v>119.0</v>
      </c>
      <c r="I28" s="206">
        <v>61.0</v>
      </c>
      <c r="J28" s="206">
        <v>2.0</v>
      </c>
      <c r="K28" s="206">
        <v>2374.0</v>
      </c>
      <c r="L28" s="206">
        <v>507.0</v>
      </c>
      <c r="M28" s="206">
        <v>717.0</v>
      </c>
      <c r="N28" s="206">
        <v>316.0</v>
      </c>
      <c r="O28" s="206">
        <v>574.0</v>
      </c>
      <c r="P28" s="206">
        <v>58.0</v>
      </c>
      <c r="Q28" s="206">
        <v>121.0</v>
      </c>
      <c r="R28" s="206">
        <v>59.0</v>
      </c>
      <c r="S28" s="206">
        <v>22.0</v>
      </c>
      <c r="T28" s="206">
        <v>2299.0</v>
      </c>
      <c r="U28" s="206">
        <v>454.0</v>
      </c>
      <c r="V28" s="206">
        <v>682.0</v>
      </c>
      <c r="W28" s="206">
        <v>313.0</v>
      </c>
      <c r="X28" s="206">
        <v>609.0</v>
      </c>
      <c r="Y28" s="206">
        <v>48.0</v>
      </c>
      <c r="Z28" s="206">
        <v>148.0</v>
      </c>
      <c r="AA28" s="206">
        <v>43.0</v>
      </c>
      <c r="AB28" s="206">
        <v>2.0</v>
      </c>
      <c r="AC28" s="206">
        <v>2289.0</v>
      </c>
      <c r="AD28" s="206">
        <v>489.0</v>
      </c>
      <c r="AE28" s="206">
        <v>869.0</v>
      </c>
      <c r="AF28" s="206">
        <v>354.0</v>
      </c>
      <c r="AG28" s="206">
        <v>410.0</v>
      </c>
      <c r="AH28" s="206">
        <v>65.0</v>
      </c>
      <c r="AI28" s="206">
        <v>67.0</v>
      </c>
      <c r="AJ28" s="206">
        <v>35.0</v>
      </c>
      <c r="AK28" s="206">
        <v>0.0</v>
      </c>
      <c r="AL28" s="206">
        <v>0.0</v>
      </c>
      <c r="AM28" s="206">
        <v>0.0</v>
      </c>
      <c r="AN28" s="206">
        <v>0.0</v>
      </c>
      <c r="AO28" s="206">
        <v>0.0</v>
      </c>
      <c r="AP28" s="206">
        <v>0.0</v>
      </c>
      <c r="AQ28" s="206">
        <v>0.0</v>
      </c>
      <c r="AR28" s="206">
        <v>0.0</v>
      </c>
      <c r="AS28" s="206">
        <v>0.0</v>
      </c>
      <c r="AT28" s="206">
        <v>0.0</v>
      </c>
      <c r="AU28" s="206">
        <v>74.0</v>
      </c>
      <c r="AV28" s="206">
        <v>24.0</v>
      </c>
      <c r="AW28" s="206">
        <v>15.0</v>
      </c>
      <c r="AX28" s="206">
        <v>14.0</v>
      </c>
      <c r="AY28" s="206">
        <v>13.0</v>
      </c>
      <c r="AZ28" s="206">
        <v>0.0</v>
      </c>
      <c r="BA28" s="206">
        <v>7.0</v>
      </c>
      <c r="BB28" s="206">
        <v>1.0</v>
      </c>
      <c r="BC28" s="206">
        <v>0.0</v>
      </c>
      <c r="BD28" s="206">
        <v>1830.0</v>
      </c>
      <c r="BE28" s="206">
        <v>438.0</v>
      </c>
      <c r="BF28" s="206">
        <v>735.0</v>
      </c>
      <c r="BG28" s="206">
        <v>213.0</v>
      </c>
      <c r="BH28" s="206">
        <v>319.0</v>
      </c>
      <c r="BI28" s="206">
        <v>34.0</v>
      </c>
      <c r="BJ28" s="206">
        <v>66.0</v>
      </c>
      <c r="BK28" s="206">
        <v>13.0</v>
      </c>
      <c r="BL28" s="206">
        <v>12.0</v>
      </c>
      <c r="BM28" s="206">
        <v>2345.0</v>
      </c>
      <c r="BN28" s="206">
        <v>387.0</v>
      </c>
      <c r="BO28" s="206">
        <v>887.0</v>
      </c>
      <c r="BP28" s="206">
        <v>323.0</v>
      </c>
      <c r="BQ28" s="206">
        <v>531.0</v>
      </c>
      <c r="BR28" s="206">
        <v>49.0</v>
      </c>
      <c r="BS28" s="206">
        <v>90.0</v>
      </c>
      <c r="BT28" s="206">
        <v>43.0</v>
      </c>
      <c r="BU28" s="206">
        <v>35.0</v>
      </c>
      <c r="BV28" s="206">
        <v>2254.0</v>
      </c>
      <c r="BW28" s="206">
        <v>283.0</v>
      </c>
      <c r="BX28" s="206">
        <v>819.0</v>
      </c>
      <c r="BY28" s="206">
        <v>330.0</v>
      </c>
      <c r="BZ28" s="206">
        <v>580.0</v>
      </c>
      <c r="CA28" s="206">
        <v>59.0</v>
      </c>
      <c r="CB28" s="206">
        <v>149.0</v>
      </c>
      <c r="CC28" s="206">
        <v>30.0</v>
      </c>
      <c r="CD28" s="206">
        <v>4.0</v>
      </c>
    </row>
    <row r="29">
      <c r="A29" s="205" t="s">
        <v>375</v>
      </c>
      <c r="B29" s="207">
        <v>9625.0</v>
      </c>
      <c r="C29" s="207">
        <v>1184.0</v>
      </c>
      <c r="D29" s="207">
        <v>5025.0</v>
      </c>
      <c r="E29" s="207">
        <v>1147.0</v>
      </c>
      <c r="F29" s="207">
        <v>1666.0</v>
      </c>
      <c r="G29" s="207">
        <v>218.0</v>
      </c>
      <c r="H29" s="207">
        <v>257.0</v>
      </c>
      <c r="I29" s="207">
        <v>118.0</v>
      </c>
      <c r="J29" s="207">
        <v>10.0</v>
      </c>
      <c r="K29" s="207">
        <v>13582.0</v>
      </c>
      <c r="L29" s="207">
        <v>1145.0</v>
      </c>
      <c r="M29" s="207">
        <v>6904.0</v>
      </c>
      <c r="N29" s="207">
        <v>1761.0</v>
      </c>
      <c r="O29" s="207">
        <v>2534.0</v>
      </c>
      <c r="P29" s="207">
        <v>296.0</v>
      </c>
      <c r="Q29" s="207">
        <v>543.0</v>
      </c>
      <c r="R29" s="207">
        <v>254.0</v>
      </c>
      <c r="S29" s="207">
        <v>145.0</v>
      </c>
      <c r="T29" s="207">
        <v>16512.0</v>
      </c>
      <c r="U29" s="207">
        <v>1535.0</v>
      </c>
      <c r="V29" s="207">
        <v>8009.0</v>
      </c>
      <c r="W29" s="207">
        <v>2103.0</v>
      </c>
      <c r="X29" s="207">
        <v>3348.0</v>
      </c>
      <c r="Y29" s="207">
        <v>320.0</v>
      </c>
      <c r="Z29" s="207">
        <v>1008.0</v>
      </c>
      <c r="AA29" s="207">
        <v>189.0</v>
      </c>
      <c r="AB29" s="207">
        <v>0.0</v>
      </c>
      <c r="AC29" s="207">
        <v>17321.0</v>
      </c>
      <c r="AD29" s="207">
        <v>1622.0</v>
      </c>
      <c r="AE29" s="207">
        <v>8700.0</v>
      </c>
      <c r="AF29" s="207">
        <v>2551.0</v>
      </c>
      <c r="AG29" s="207">
        <v>3246.0</v>
      </c>
      <c r="AH29" s="207">
        <v>265.0</v>
      </c>
      <c r="AI29" s="207">
        <v>806.0</v>
      </c>
      <c r="AJ29" s="207">
        <v>131.0</v>
      </c>
      <c r="AK29" s="207">
        <v>0.0</v>
      </c>
      <c r="AL29" s="207">
        <v>2207.0</v>
      </c>
      <c r="AM29" s="207">
        <v>314.0</v>
      </c>
      <c r="AN29" s="207">
        <v>951.0</v>
      </c>
      <c r="AO29" s="207">
        <v>576.0</v>
      </c>
      <c r="AP29" s="207">
        <v>332.0</v>
      </c>
      <c r="AQ29" s="207">
        <v>22.0</v>
      </c>
      <c r="AR29" s="207">
        <v>3.0</v>
      </c>
      <c r="AS29" s="207">
        <v>9.0</v>
      </c>
      <c r="AT29" s="207">
        <v>0.0</v>
      </c>
      <c r="AU29" s="207">
        <v>8234.0</v>
      </c>
      <c r="AV29" s="207">
        <v>759.0</v>
      </c>
      <c r="AW29" s="207">
        <v>4288.0</v>
      </c>
      <c r="AX29" s="207">
        <v>1380.0</v>
      </c>
      <c r="AY29" s="207">
        <v>1274.0</v>
      </c>
      <c r="AZ29" s="207">
        <v>185.0</v>
      </c>
      <c r="BA29" s="207">
        <v>205.0</v>
      </c>
      <c r="BB29" s="207">
        <v>141.0</v>
      </c>
      <c r="BC29" s="207">
        <v>2.0</v>
      </c>
      <c r="BD29" s="207">
        <v>14052.0</v>
      </c>
      <c r="BE29" s="207">
        <v>1591.0</v>
      </c>
      <c r="BF29" s="207">
        <v>6239.0</v>
      </c>
      <c r="BG29" s="207">
        <v>2481.0</v>
      </c>
      <c r="BH29" s="207">
        <v>2679.0</v>
      </c>
      <c r="BI29" s="207">
        <v>235.0</v>
      </c>
      <c r="BJ29" s="207">
        <v>643.0</v>
      </c>
      <c r="BK29" s="207">
        <v>184.0</v>
      </c>
      <c r="BL29" s="207">
        <v>0.0</v>
      </c>
      <c r="BM29" s="207">
        <v>15783.0</v>
      </c>
      <c r="BN29" s="207">
        <v>1576.0</v>
      </c>
      <c r="BO29" s="207">
        <v>7260.0</v>
      </c>
      <c r="BP29" s="207">
        <v>2907.0</v>
      </c>
      <c r="BQ29" s="207">
        <v>3038.0</v>
      </c>
      <c r="BR29" s="207">
        <v>173.0</v>
      </c>
      <c r="BS29" s="207">
        <v>711.0</v>
      </c>
      <c r="BT29" s="207">
        <v>115.0</v>
      </c>
      <c r="BU29" s="207">
        <v>3.0</v>
      </c>
      <c r="BV29" s="207">
        <v>15598.0</v>
      </c>
      <c r="BW29" s="207">
        <v>1667.0</v>
      </c>
      <c r="BX29" s="207">
        <v>7564.0</v>
      </c>
      <c r="BY29" s="207">
        <v>2607.0</v>
      </c>
      <c r="BZ29" s="207">
        <v>2705.0</v>
      </c>
      <c r="CA29" s="207">
        <v>224.0</v>
      </c>
      <c r="CB29" s="207">
        <v>685.0</v>
      </c>
      <c r="CC29" s="207">
        <v>134.0</v>
      </c>
      <c r="CD29" s="207">
        <v>12.0</v>
      </c>
    </row>
    <row r="30">
      <c r="A30" s="205" t="s">
        <v>376</v>
      </c>
      <c r="B30" s="206">
        <v>4660.0</v>
      </c>
      <c r="C30" s="206">
        <v>518.0</v>
      </c>
      <c r="D30" s="206">
        <v>2059.0</v>
      </c>
      <c r="E30" s="206">
        <v>755.0</v>
      </c>
      <c r="F30" s="206">
        <v>832.0</v>
      </c>
      <c r="G30" s="206">
        <v>92.0</v>
      </c>
      <c r="H30" s="206">
        <v>114.0</v>
      </c>
      <c r="I30" s="206">
        <v>241.0</v>
      </c>
      <c r="J30" s="206">
        <v>49.0</v>
      </c>
      <c r="K30" s="206">
        <v>5341.0</v>
      </c>
      <c r="L30" s="206">
        <v>534.0</v>
      </c>
      <c r="M30" s="206">
        <v>2459.0</v>
      </c>
      <c r="N30" s="206">
        <v>800.0</v>
      </c>
      <c r="O30" s="206">
        <v>963.0</v>
      </c>
      <c r="P30" s="206">
        <v>46.0</v>
      </c>
      <c r="Q30" s="206">
        <v>271.0</v>
      </c>
      <c r="R30" s="206">
        <v>50.0</v>
      </c>
      <c r="S30" s="206">
        <v>218.0</v>
      </c>
      <c r="T30" s="206">
        <v>4406.0</v>
      </c>
      <c r="U30" s="206">
        <v>398.0</v>
      </c>
      <c r="V30" s="206">
        <v>1995.0</v>
      </c>
      <c r="W30" s="206">
        <v>727.0</v>
      </c>
      <c r="X30" s="206">
        <v>902.0</v>
      </c>
      <c r="Y30" s="206">
        <v>55.0</v>
      </c>
      <c r="Z30" s="206">
        <v>294.0</v>
      </c>
      <c r="AA30" s="206">
        <v>30.0</v>
      </c>
      <c r="AB30" s="206">
        <v>5.0</v>
      </c>
      <c r="AC30" s="206">
        <v>5546.0</v>
      </c>
      <c r="AD30" s="206">
        <v>562.0</v>
      </c>
      <c r="AE30" s="206">
        <v>2577.0</v>
      </c>
      <c r="AF30" s="206">
        <v>919.0</v>
      </c>
      <c r="AG30" s="206">
        <v>1000.0</v>
      </c>
      <c r="AH30" s="206">
        <v>128.0</v>
      </c>
      <c r="AI30" s="206">
        <v>318.0</v>
      </c>
      <c r="AJ30" s="206">
        <v>41.0</v>
      </c>
      <c r="AK30" s="206">
        <v>1.0</v>
      </c>
      <c r="AL30" s="206">
        <v>869.0</v>
      </c>
      <c r="AM30" s="206">
        <v>101.0</v>
      </c>
      <c r="AN30" s="206">
        <v>434.0</v>
      </c>
      <c r="AO30" s="206">
        <v>147.0</v>
      </c>
      <c r="AP30" s="206">
        <v>165.0</v>
      </c>
      <c r="AQ30" s="206">
        <v>15.0</v>
      </c>
      <c r="AR30" s="206">
        <v>3.0</v>
      </c>
      <c r="AS30" s="206">
        <v>3.0</v>
      </c>
      <c r="AT30" s="206">
        <v>1.0</v>
      </c>
      <c r="AU30" s="206">
        <v>3839.0</v>
      </c>
      <c r="AV30" s="206">
        <v>371.0</v>
      </c>
      <c r="AW30" s="206">
        <v>1773.0</v>
      </c>
      <c r="AX30" s="206">
        <v>948.0</v>
      </c>
      <c r="AY30" s="206">
        <v>641.0</v>
      </c>
      <c r="AZ30" s="206">
        <v>39.0</v>
      </c>
      <c r="BA30" s="206">
        <v>34.0</v>
      </c>
      <c r="BB30" s="206">
        <v>18.0</v>
      </c>
      <c r="BC30" s="206">
        <v>15.0</v>
      </c>
      <c r="BD30" s="206">
        <v>5800.0</v>
      </c>
      <c r="BE30" s="206">
        <v>717.0</v>
      </c>
      <c r="BF30" s="206">
        <v>2498.0</v>
      </c>
      <c r="BG30" s="206">
        <v>1243.0</v>
      </c>
      <c r="BH30" s="206">
        <v>1032.0</v>
      </c>
      <c r="BI30" s="206">
        <v>111.0</v>
      </c>
      <c r="BJ30" s="206">
        <v>118.0</v>
      </c>
      <c r="BK30" s="206">
        <v>46.0</v>
      </c>
      <c r="BL30" s="206">
        <v>35.0</v>
      </c>
      <c r="BM30" s="206">
        <v>6302.0</v>
      </c>
      <c r="BN30" s="206">
        <v>794.0</v>
      </c>
      <c r="BO30" s="206">
        <v>2888.0</v>
      </c>
      <c r="BP30" s="206">
        <v>1107.0</v>
      </c>
      <c r="BQ30" s="206">
        <v>1055.0</v>
      </c>
      <c r="BR30" s="206">
        <v>128.0</v>
      </c>
      <c r="BS30" s="206">
        <v>268.0</v>
      </c>
      <c r="BT30" s="206">
        <v>51.0</v>
      </c>
      <c r="BU30" s="206">
        <v>11.0</v>
      </c>
      <c r="BV30" s="206">
        <v>6246.0</v>
      </c>
      <c r="BW30" s="206">
        <v>902.0</v>
      </c>
      <c r="BX30" s="206">
        <v>2694.0</v>
      </c>
      <c r="BY30" s="206">
        <v>1301.0</v>
      </c>
      <c r="BZ30" s="206">
        <v>1013.0</v>
      </c>
      <c r="CA30" s="206">
        <v>87.0</v>
      </c>
      <c r="CB30" s="206">
        <v>172.0</v>
      </c>
      <c r="CC30" s="206">
        <v>53.0</v>
      </c>
      <c r="CD30" s="206">
        <v>24.0</v>
      </c>
    </row>
    <row r="31">
      <c r="A31" s="205" t="s">
        <v>377</v>
      </c>
      <c r="B31" s="207">
        <v>2254.0</v>
      </c>
      <c r="C31" s="207">
        <v>177.0</v>
      </c>
      <c r="D31" s="207">
        <v>1022.0</v>
      </c>
      <c r="E31" s="207">
        <v>301.0</v>
      </c>
      <c r="F31" s="207">
        <v>431.0</v>
      </c>
      <c r="G31" s="207">
        <v>69.0</v>
      </c>
      <c r="H31" s="207">
        <v>216.0</v>
      </c>
      <c r="I31" s="207">
        <v>28.0</v>
      </c>
      <c r="J31" s="207">
        <v>10.0</v>
      </c>
      <c r="K31" s="207">
        <v>1940.0</v>
      </c>
      <c r="L31" s="207">
        <v>177.0</v>
      </c>
      <c r="M31" s="207">
        <v>747.0</v>
      </c>
      <c r="N31" s="207">
        <v>301.0</v>
      </c>
      <c r="O31" s="207">
        <v>418.0</v>
      </c>
      <c r="P31" s="207">
        <v>53.0</v>
      </c>
      <c r="Q31" s="207">
        <v>173.0</v>
      </c>
      <c r="R31" s="207">
        <v>35.0</v>
      </c>
      <c r="S31" s="207">
        <v>36.0</v>
      </c>
      <c r="T31" s="207">
        <v>2037.0</v>
      </c>
      <c r="U31" s="207">
        <v>264.0</v>
      </c>
      <c r="V31" s="207">
        <v>862.0</v>
      </c>
      <c r="W31" s="207">
        <v>289.0</v>
      </c>
      <c r="X31" s="207">
        <v>252.0</v>
      </c>
      <c r="Y31" s="207">
        <v>32.0</v>
      </c>
      <c r="Z31" s="207">
        <v>309.0</v>
      </c>
      <c r="AA31" s="207">
        <v>12.0</v>
      </c>
      <c r="AB31" s="207">
        <v>17.0</v>
      </c>
      <c r="AC31" s="207">
        <v>2549.0</v>
      </c>
      <c r="AD31" s="207">
        <v>344.0</v>
      </c>
      <c r="AE31" s="207">
        <v>1177.0</v>
      </c>
      <c r="AF31" s="207">
        <v>394.0</v>
      </c>
      <c r="AG31" s="207">
        <v>357.0</v>
      </c>
      <c r="AH31" s="207">
        <v>46.0</v>
      </c>
      <c r="AI31" s="207">
        <v>183.0</v>
      </c>
      <c r="AJ31" s="207">
        <v>48.0</v>
      </c>
      <c r="AK31" s="207">
        <v>0.0</v>
      </c>
      <c r="AL31" s="207">
        <v>128.0</v>
      </c>
      <c r="AM31" s="207">
        <v>1.0</v>
      </c>
      <c r="AN31" s="207">
        <v>89.0</v>
      </c>
      <c r="AO31" s="207">
        <v>2.0</v>
      </c>
      <c r="AP31" s="207">
        <v>23.0</v>
      </c>
      <c r="AQ31" s="207">
        <v>2.0</v>
      </c>
      <c r="AR31" s="207">
        <v>1.0</v>
      </c>
      <c r="AS31" s="207">
        <v>10.0</v>
      </c>
      <c r="AT31" s="207">
        <v>0.0</v>
      </c>
      <c r="AU31" s="207">
        <v>1191.0</v>
      </c>
      <c r="AV31" s="207">
        <v>196.0</v>
      </c>
      <c r="AW31" s="207">
        <v>596.0</v>
      </c>
      <c r="AX31" s="207">
        <v>196.0</v>
      </c>
      <c r="AY31" s="207">
        <v>145.0</v>
      </c>
      <c r="AZ31" s="207">
        <v>7.0</v>
      </c>
      <c r="BA31" s="207">
        <v>30.0</v>
      </c>
      <c r="BB31" s="207">
        <v>21.0</v>
      </c>
      <c r="BC31" s="207">
        <v>0.0</v>
      </c>
      <c r="BD31" s="207">
        <v>2319.0</v>
      </c>
      <c r="BE31" s="207">
        <v>479.0</v>
      </c>
      <c r="BF31" s="207">
        <v>843.0</v>
      </c>
      <c r="BG31" s="207">
        <v>330.0</v>
      </c>
      <c r="BH31" s="207">
        <v>319.0</v>
      </c>
      <c r="BI31" s="207">
        <v>54.0</v>
      </c>
      <c r="BJ31" s="207">
        <v>272.0</v>
      </c>
      <c r="BK31" s="207">
        <v>20.0</v>
      </c>
      <c r="BL31" s="207">
        <v>2.0</v>
      </c>
      <c r="BM31" s="207">
        <v>2349.0</v>
      </c>
      <c r="BN31" s="207">
        <v>302.0</v>
      </c>
      <c r="BO31" s="207">
        <v>855.0</v>
      </c>
      <c r="BP31" s="207">
        <v>290.0</v>
      </c>
      <c r="BQ31" s="207">
        <v>402.0</v>
      </c>
      <c r="BR31" s="207">
        <v>49.0</v>
      </c>
      <c r="BS31" s="207">
        <v>430.0</v>
      </c>
      <c r="BT31" s="207">
        <v>21.0</v>
      </c>
      <c r="BU31" s="207">
        <v>0.0</v>
      </c>
      <c r="BV31" s="207">
        <v>2279.0</v>
      </c>
      <c r="BW31" s="207">
        <v>255.0</v>
      </c>
      <c r="BX31" s="207">
        <v>704.0</v>
      </c>
      <c r="BY31" s="207">
        <v>265.0</v>
      </c>
      <c r="BZ31" s="207">
        <v>496.0</v>
      </c>
      <c r="CA31" s="207">
        <v>61.0</v>
      </c>
      <c r="CB31" s="207">
        <v>454.0</v>
      </c>
      <c r="CC31" s="207">
        <v>41.0</v>
      </c>
      <c r="CD31" s="207">
        <v>3.0</v>
      </c>
    </row>
    <row r="32">
      <c r="A32" s="205" t="s">
        <v>378</v>
      </c>
      <c r="B32" s="206">
        <v>4115.0</v>
      </c>
      <c r="C32" s="206">
        <v>615.0</v>
      </c>
      <c r="D32" s="206">
        <v>1779.0</v>
      </c>
      <c r="E32" s="206">
        <v>352.0</v>
      </c>
      <c r="F32" s="206">
        <v>632.0</v>
      </c>
      <c r="G32" s="206">
        <v>181.0</v>
      </c>
      <c r="H32" s="206">
        <v>440.0</v>
      </c>
      <c r="I32" s="206">
        <v>77.0</v>
      </c>
      <c r="J32" s="206">
        <v>39.0</v>
      </c>
      <c r="K32" s="206">
        <v>4365.0</v>
      </c>
      <c r="L32" s="206">
        <v>571.0</v>
      </c>
      <c r="M32" s="206">
        <v>1960.0</v>
      </c>
      <c r="N32" s="206">
        <v>414.0</v>
      </c>
      <c r="O32" s="206">
        <v>826.0</v>
      </c>
      <c r="P32" s="206">
        <v>112.0</v>
      </c>
      <c r="Q32" s="206">
        <v>383.0</v>
      </c>
      <c r="R32" s="206">
        <v>47.0</v>
      </c>
      <c r="S32" s="206">
        <v>52.0</v>
      </c>
      <c r="T32" s="206">
        <v>5183.0</v>
      </c>
      <c r="U32" s="206">
        <v>715.0</v>
      </c>
      <c r="V32" s="206">
        <v>1942.0</v>
      </c>
      <c r="W32" s="206">
        <v>560.0</v>
      </c>
      <c r="X32" s="206">
        <v>993.0</v>
      </c>
      <c r="Y32" s="206">
        <v>178.0</v>
      </c>
      <c r="Z32" s="206">
        <v>639.0</v>
      </c>
      <c r="AA32" s="206">
        <v>117.0</v>
      </c>
      <c r="AB32" s="206">
        <v>39.0</v>
      </c>
      <c r="AC32" s="206">
        <v>4697.0</v>
      </c>
      <c r="AD32" s="206">
        <v>722.0</v>
      </c>
      <c r="AE32" s="206">
        <v>1834.0</v>
      </c>
      <c r="AF32" s="206">
        <v>508.0</v>
      </c>
      <c r="AG32" s="206">
        <v>962.0</v>
      </c>
      <c r="AH32" s="206">
        <v>113.0</v>
      </c>
      <c r="AI32" s="206">
        <v>436.0</v>
      </c>
      <c r="AJ32" s="206">
        <v>97.0</v>
      </c>
      <c r="AK32" s="206">
        <v>25.0</v>
      </c>
      <c r="AL32" s="206">
        <v>909.0</v>
      </c>
      <c r="AM32" s="206">
        <v>48.0</v>
      </c>
      <c r="AN32" s="206">
        <v>394.0</v>
      </c>
      <c r="AO32" s="206">
        <v>139.0</v>
      </c>
      <c r="AP32" s="206">
        <v>291.0</v>
      </c>
      <c r="AQ32" s="206">
        <v>22.0</v>
      </c>
      <c r="AR32" s="206">
        <v>1.0</v>
      </c>
      <c r="AS32" s="206">
        <v>14.0</v>
      </c>
      <c r="AT32" s="206">
        <v>0.0</v>
      </c>
      <c r="AU32" s="206">
        <v>2794.0</v>
      </c>
      <c r="AV32" s="206">
        <v>344.0</v>
      </c>
      <c r="AW32" s="206">
        <v>1281.0</v>
      </c>
      <c r="AX32" s="206">
        <v>376.0</v>
      </c>
      <c r="AY32" s="206">
        <v>546.0</v>
      </c>
      <c r="AZ32" s="206">
        <v>59.0</v>
      </c>
      <c r="BA32" s="206">
        <v>105.0</v>
      </c>
      <c r="BB32" s="206">
        <v>79.0</v>
      </c>
      <c r="BC32" s="206">
        <v>4.0</v>
      </c>
      <c r="BD32" s="206">
        <v>4546.0</v>
      </c>
      <c r="BE32" s="206">
        <v>824.0</v>
      </c>
      <c r="BF32" s="206">
        <v>1595.0</v>
      </c>
      <c r="BG32" s="206">
        <v>674.0</v>
      </c>
      <c r="BH32" s="206">
        <v>1033.0</v>
      </c>
      <c r="BI32" s="206">
        <v>72.0</v>
      </c>
      <c r="BJ32" s="206">
        <v>285.0</v>
      </c>
      <c r="BK32" s="206">
        <v>16.0</v>
      </c>
      <c r="BL32" s="206">
        <v>47.0</v>
      </c>
      <c r="BM32" s="206">
        <v>5312.0</v>
      </c>
      <c r="BN32" s="206">
        <v>851.0</v>
      </c>
      <c r="BO32" s="206">
        <v>2004.0</v>
      </c>
      <c r="BP32" s="206">
        <v>687.0</v>
      </c>
      <c r="BQ32" s="206">
        <v>1263.0</v>
      </c>
      <c r="BR32" s="206">
        <v>97.0</v>
      </c>
      <c r="BS32" s="206">
        <v>334.0</v>
      </c>
      <c r="BT32" s="206">
        <v>55.0</v>
      </c>
      <c r="BU32" s="206">
        <v>21.0</v>
      </c>
      <c r="BV32" s="206">
        <v>5342.0</v>
      </c>
      <c r="BW32" s="206">
        <v>746.0</v>
      </c>
      <c r="BX32" s="206">
        <v>2000.0</v>
      </c>
      <c r="BY32" s="206">
        <v>704.0</v>
      </c>
      <c r="BZ32" s="206">
        <v>1195.0</v>
      </c>
      <c r="CA32" s="206">
        <v>89.0</v>
      </c>
      <c r="CB32" s="206">
        <v>529.0</v>
      </c>
      <c r="CC32" s="206">
        <v>58.0</v>
      </c>
      <c r="CD32" s="206">
        <v>21.0</v>
      </c>
    </row>
    <row r="33">
      <c r="A33" s="205" t="s">
        <v>379</v>
      </c>
      <c r="B33" s="207">
        <v>1571.0</v>
      </c>
      <c r="C33" s="207">
        <v>207.0</v>
      </c>
      <c r="D33" s="207">
        <v>793.0</v>
      </c>
      <c r="E33" s="207">
        <v>138.0</v>
      </c>
      <c r="F33" s="207">
        <v>232.0</v>
      </c>
      <c r="G33" s="207">
        <v>54.0</v>
      </c>
      <c r="H33" s="207">
        <v>117.0</v>
      </c>
      <c r="I33" s="207">
        <v>25.0</v>
      </c>
      <c r="J33" s="207">
        <v>5.0</v>
      </c>
      <c r="K33" s="207">
        <v>1949.0</v>
      </c>
      <c r="L33" s="207">
        <v>188.0</v>
      </c>
      <c r="M33" s="207">
        <v>749.0</v>
      </c>
      <c r="N33" s="207">
        <v>199.0</v>
      </c>
      <c r="O33" s="207">
        <v>343.0</v>
      </c>
      <c r="P33" s="207">
        <v>59.0</v>
      </c>
      <c r="Q33" s="207">
        <v>310.0</v>
      </c>
      <c r="R33" s="207">
        <v>41.0</v>
      </c>
      <c r="S33" s="207">
        <v>60.0</v>
      </c>
      <c r="T33" s="207">
        <v>1903.0</v>
      </c>
      <c r="U33" s="207">
        <v>218.0</v>
      </c>
      <c r="V33" s="207">
        <v>733.0</v>
      </c>
      <c r="W33" s="207">
        <v>182.0</v>
      </c>
      <c r="X33" s="207">
        <v>402.0</v>
      </c>
      <c r="Y33" s="207">
        <v>85.0</v>
      </c>
      <c r="Z33" s="207">
        <v>243.0</v>
      </c>
      <c r="AA33" s="207">
        <v>35.0</v>
      </c>
      <c r="AB33" s="207">
        <v>5.0</v>
      </c>
      <c r="AC33" s="207">
        <v>1987.0</v>
      </c>
      <c r="AD33" s="207">
        <v>200.0</v>
      </c>
      <c r="AE33" s="207">
        <v>732.0</v>
      </c>
      <c r="AF33" s="207">
        <v>147.0</v>
      </c>
      <c r="AG33" s="207">
        <v>296.0</v>
      </c>
      <c r="AH33" s="207">
        <v>115.0</v>
      </c>
      <c r="AI33" s="207">
        <v>453.0</v>
      </c>
      <c r="AJ33" s="207">
        <v>43.0</v>
      </c>
      <c r="AK33" s="207">
        <v>1.0</v>
      </c>
      <c r="AL33" s="207">
        <v>288.0</v>
      </c>
      <c r="AM33" s="207">
        <v>29.0</v>
      </c>
      <c r="AN33" s="207">
        <v>135.0</v>
      </c>
      <c r="AO33" s="207">
        <v>31.0</v>
      </c>
      <c r="AP33" s="207">
        <v>70.0</v>
      </c>
      <c r="AQ33" s="207">
        <v>19.0</v>
      </c>
      <c r="AR33" s="207">
        <v>1.0</v>
      </c>
      <c r="AS33" s="207">
        <v>3.0</v>
      </c>
      <c r="AT33" s="207">
        <v>0.0</v>
      </c>
      <c r="AU33" s="207">
        <v>838.0</v>
      </c>
      <c r="AV33" s="207">
        <v>64.0</v>
      </c>
      <c r="AW33" s="207">
        <v>422.0</v>
      </c>
      <c r="AX33" s="207">
        <v>92.0</v>
      </c>
      <c r="AY33" s="207">
        <v>121.0</v>
      </c>
      <c r="AZ33" s="207">
        <v>23.0</v>
      </c>
      <c r="BA33" s="207">
        <v>83.0</v>
      </c>
      <c r="BB33" s="207">
        <v>22.0</v>
      </c>
      <c r="BC33" s="207">
        <v>11.0</v>
      </c>
      <c r="BD33" s="207">
        <v>1438.0</v>
      </c>
      <c r="BE33" s="207">
        <v>118.0</v>
      </c>
      <c r="BF33" s="207">
        <v>727.0</v>
      </c>
      <c r="BG33" s="207">
        <v>110.0</v>
      </c>
      <c r="BH33" s="207">
        <v>243.0</v>
      </c>
      <c r="BI33" s="207">
        <v>25.0</v>
      </c>
      <c r="BJ33" s="207">
        <v>173.0</v>
      </c>
      <c r="BK33" s="207">
        <v>28.0</v>
      </c>
      <c r="BL33" s="207">
        <v>14.0</v>
      </c>
      <c r="BM33" s="207">
        <v>2582.0</v>
      </c>
      <c r="BN33" s="207">
        <v>230.0</v>
      </c>
      <c r="BO33" s="207">
        <v>1145.0</v>
      </c>
      <c r="BP33" s="207">
        <v>254.0</v>
      </c>
      <c r="BQ33" s="207">
        <v>562.0</v>
      </c>
      <c r="BR33" s="207">
        <v>113.0</v>
      </c>
      <c r="BS33" s="207">
        <v>257.0</v>
      </c>
      <c r="BT33" s="207">
        <v>21.0</v>
      </c>
      <c r="BU33" s="207">
        <v>0.0</v>
      </c>
      <c r="BV33" s="207">
        <v>2086.0</v>
      </c>
      <c r="BW33" s="207">
        <v>190.0</v>
      </c>
      <c r="BX33" s="207">
        <v>821.0</v>
      </c>
      <c r="BY33" s="207">
        <v>195.0</v>
      </c>
      <c r="BZ33" s="207">
        <v>435.0</v>
      </c>
      <c r="CA33" s="207">
        <v>117.0</v>
      </c>
      <c r="CB33" s="207">
        <v>291.0</v>
      </c>
      <c r="CC33" s="207">
        <v>22.0</v>
      </c>
      <c r="CD33" s="207">
        <v>15.0</v>
      </c>
    </row>
    <row r="34">
      <c r="A34" s="205" t="s">
        <v>380</v>
      </c>
      <c r="B34" s="206">
        <v>3864.0</v>
      </c>
      <c r="C34" s="206">
        <v>857.0</v>
      </c>
      <c r="D34" s="206">
        <v>1569.0</v>
      </c>
      <c r="E34" s="206">
        <v>306.0</v>
      </c>
      <c r="F34" s="206">
        <v>699.0</v>
      </c>
      <c r="G34" s="206">
        <v>150.0</v>
      </c>
      <c r="H34" s="206">
        <v>261.0</v>
      </c>
      <c r="I34" s="206">
        <v>22.0</v>
      </c>
      <c r="J34" s="206">
        <v>0.0</v>
      </c>
      <c r="K34" s="206">
        <v>3751.0</v>
      </c>
      <c r="L34" s="206">
        <v>628.0</v>
      </c>
      <c r="M34" s="206">
        <v>1275.0</v>
      </c>
      <c r="N34" s="206">
        <v>296.0</v>
      </c>
      <c r="O34" s="206">
        <v>853.0</v>
      </c>
      <c r="P34" s="206">
        <v>60.0</v>
      </c>
      <c r="Q34" s="206">
        <v>525.0</v>
      </c>
      <c r="R34" s="206">
        <v>60.0</v>
      </c>
      <c r="S34" s="206">
        <v>54.0</v>
      </c>
      <c r="T34" s="206">
        <v>3631.0</v>
      </c>
      <c r="U34" s="206">
        <v>356.0</v>
      </c>
      <c r="V34" s="206">
        <v>1281.0</v>
      </c>
      <c r="W34" s="206">
        <v>304.0</v>
      </c>
      <c r="X34" s="206">
        <v>971.0</v>
      </c>
      <c r="Y34" s="206">
        <v>178.0</v>
      </c>
      <c r="Z34" s="206">
        <v>478.0</v>
      </c>
      <c r="AA34" s="206">
        <v>61.0</v>
      </c>
      <c r="AB34" s="206">
        <v>2.0</v>
      </c>
      <c r="AC34" s="206">
        <v>3478.0</v>
      </c>
      <c r="AD34" s="206">
        <v>406.0</v>
      </c>
      <c r="AE34" s="206">
        <v>1353.0</v>
      </c>
      <c r="AF34" s="206">
        <v>287.0</v>
      </c>
      <c r="AG34" s="206">
        <v>725.0</v>
      </c>
      <c r="AH34" s="206">
        <v>147.0</v>
      </c>
      <c r="AI34" s="206">
        <v>520.0</v>
      </c>
      <c r="AJ34" s="206">
        <v>38.0</v>
      </c>
      <c r="AK34" s="206">
        <v>2.0</v>
      </c>
      <c r="AL34" s="206">
        <v>0.0</v>
      </c>
      <c r="AM34" s="206">
        <v>0.0</v>
      </c>
      <c r="AN34" s="206">
        <v>0.0</v>
      </c>
      <c r="AO34" s="206">
        <v>0.0</v>
      </c>
      <c r="AP34" s="206">
        <v>0.0</v>
      </c>
      <c r="AQ34" s="206">
        <v>0.0</v>
      </c>
      <c r="AR34" s="206">
        <v>0.0</v>
      </c>
      <c r="AS34" s="206">
        <v>0.0</v>
      </c>
      <c r="AT34" s="206">
        <v>0.0</v>
      </c>
      <c r="AU34" s="206">
        <v>287.0</v>
      </c>
      <c r="AV34" s="206">
        <v>36.0</v>
      </c>
      <c r="AW34" s="206">
        <v>86.0</v>
      </c>
      <c r="AX34" s="206">
        <v>32.0</v>
      </c>
      <c r="AY34" s="206">
        <v>83.0</v>
      </c>
      <c r="AZ34" s="206">
        <v>25.0</v>
      </c>
      <c r="BA34" s="206">
        <v>12.0</v>
      </c>
      <c r="BB34" s="206">
        <v>13.0</v>
      </c>
      <c r="BC34" s="206">
        <v>0.0</v>
      </c>
      <c r="BD34" s="206">
        <v>1994.0</v>
      </c>
      <c r="BE34" s="206">
        <v>152.0</v>
      </c>
      <c r="BF34" s="206">
        <v>821.0</v>
      </c>
      <c r="BG34" s="206">
        <v>179.0</v>
      </c>
      <c r="BH34" s="206">
        <v>458.0</v>
      </c>
      <c r="BI34" s="206">
        <v>56.0</v>
      </c>
      <c r="BJ34" s="206">
        <v>301.0</v>
      </c>
      <c r="BK34" s="206">
        <v>24.0</v>
      </c>
      <c r="BL34" s="206">
        <v>3.0</v>
      </c>
      <c r="BM34" s="206">
        <v>2897.0</v>
      </c>
      <c r="BN34" s="206">
        <v>381.0</v>
      </c>
      <c r="BO34" s="206">
        <v>1120.0</v>
      </c>
      <c r="BP34" s="206">
        <v>295.0</v>
      </c>
      <c r="BQ34" s="206">
        <v>676.0</v>
      </c>
      <c r="BR34" s="206">
        <v>138.0</v>
      </c>
      <c r="BS34" s="206">
        <v>259.0</v>
      </c>
      <c r="BT34" s="206">
        <v>26.0</v>
      </c>
      <c r="BU34" s="206">
        <v>2.0</v>
      </c>
      <c r="BV34" s="206">
        <v>3731.0</v>
      </c>
      <c r="BW34" s="206">
        <v>326.0</v>
      </c>
      <c r="BX34" s="206">
        <v>1376.0</v>
      </c>
      <c r="BY34" s="206">
        <v>373.0</v>
      </c>
      <c r="BZ34" s="206">
        <v>1092.0</v>
      </c>
      <c r="CA34" s="206">
        <v>208.0</v>
      </c>
      <c r="CB34" s="206">
        <v>323.0</v>
      </c>
      <c r="CC34" s="206">
        <v>32.0</v>
      </c>
      <c r="CD34" s="206">
        <v>1.0</v>
      </c>
    </row>
    <row r="35">
      <c r="A35" s="205" t="s">
        <v>381</v>
      </c>
      <c r="B35" s="207">
        <v>1564.0</v>
      </c>
      <c r="C35" s="207">
        <v>188.0</v>
      </c>
      <c r="D35" s="207">
        <v>711.0</v>
      </c>
      <c r="E35" s="207">
        <v>214.0</v>
      </c>
      <c r="F35" s="207">
        <v>273.0</v>
      </c>
      <c r="G35" s="207">
        <v>106.0</v>
      </c>
      <c r="H35" s="207">
        <v>42.0</v>
      </c>
      <c r="I35" s="207">
        <v>14.0</v>
      </c>
      <c r="J35" s="207">
        <v>16.0</v>
      </c>
      <c r="K35" s="207">
        <v>1343.0</v>
      </c>
      <c r="L35" s="207">
        <v>115.0</v>
      </c>
      <c r="M35" s="207">
        <v>491.0</v>
      </c>
      <c r="N35" s="207">
        <v>235.0</v>
      </c>
      <c r="O35" s="207">
        <v>328.0</v>
      </c>
      <c r="P35" s="207">
        <v>93.0</v>
      </c>
      <c r="Q35" s="207">
        <v>41.0</v>
      </c>
      <c r="R35" s="207">
        <v>6.0</v>
      </c>
      <c r="S35" s="207">
        <v>34.0</v>
      </c>
      <c r="T35" s="207">
        <v>2308.0</v>
      </c>
      <c r="U35" s="207">
        <v>150.0</v>
      </c>
      <c r="V35" s="207">
        <v>913.0</v>
      </c>
      <c r="W35" s="207">
        <v>436.0</v>
      </c>
      <c r="X35" s="207">
        <v>558.0</v>
      </c>
      <c r="Y35" s="207">
        <v>68.0</v>
      </c>
      <c r="Z35" s="207">
        <v>136.0</v>
      </c>
      <c r="AA35" s="207">
        <v>6.0</v>
      </c>
      <c r="AB35" s="207">
        <v>41.0</v>
      </c>
      <c r="AC35" s="207">
        <v>2292.0</v>
      </c>
      <c r="AD35" s="207">
        <v>173.0</v>
      </c>
      <c r="AE35" s="207">
        <v>996.0</v>
      </c>
      <c r="AF35" s="207">
        <v>388.0</v>
      </c>
      <c r="AG35" s="207">
        <v>539.0</v>
      </c>
      <c r="AH35" s="207">
        <v>79.0</v>
      </c>
      <c r="AI35" s="207">
        <v>80.0</v>
      </c>
      <c r="AJ35" s="207">
        <v>17.0</v>
      </c>
      <c r="AK35" s="207">
        <v>20.0</v>
      </c>
      <c r="AL35" s="207">
        <v>8.0</v>
      </c>
      <c r="AM35" s="207">
        <v>2.0</v>
      </c>
      <c r="AN35" s="207">
        <v>3.0</v>
      </c>
      <c r="AO35" s="207">
        <v>2.0</v>
      </c>
      <c r="AP35" s="207">
        <v>1.0</v>
      </c>
      <c r="AQ35" s="207">
        <v>0.0</v>
      </c>
      <c r="AR35" s="207">
        <v>0.0</v>
      </c>
      <c r="AS35" s="207">
        <v>0.0</v>
      </c>
      <c r="AT35" s="207">
        <v>0.0</v>
      </c>
      <c r="AU35" s="207">
        <v>870.0</v>
      </c>
      <c r="AV35" s="207">
        <v>76.0</v>
      </c>
      <c r="AW35" s="207">
        <v>298.0</v>
      </c>
      <c r="AX35" s="207">
        <v>283.0</v>
      </c>
      <c r="AY35" s="207">
        <v>175.0</v>
      </c>
      <c r="AZ35" s="207">
        <v>14.0</v>
      </c>
      <c r="BA35" s="207">
        <v>4.0</v>
      </c>
      <c r="BB35" s="207">
        <v>1.0</v>
      </c>
      <c r="BC35" s="207">
        <v>19.0</v>
      </c>
      <c r="BD35" s="207">
        <v>2551.0</v>
      </c>
      <c r="BE35" s="207">
        <v>231.0</v>
      </c>
      <c r="BF35" s="207">
        <v>1152.0</v>
      </c>
      <c r="BG35" s="207">
        <v>475.0</v>
      </c>
      <c r="BH35" s="207">
        <v>500.0</v>
      </c>
      <c r="BI35" s="207">
        <v>106.0</v>
      </c>
      <c r="BJ35" s="207">
        <v>55.0</v>
      </c>
      <c r="BK35" s="207">
        <v>23.0</v>
      </c>
      <c r="BL35" s="207">
        <v>9.0</v>
      </c>
      <c r="BM35" s="207">
        <v>2567.0</v>
      </c>
      <c r="BN35" s="207">
        <v>228.0</v>
      </c>
      <c r="BO35" s="207">
        <v>1223.0</v>
      </c>
      <c r="BP35" s="207">
        <v>484.0</v>
      </c>
      <c r="BQ35" s="207">
        <v>416.0</v>
      </c>
      <c r="BR35" s="207">
        <v>128.0</v>
      </c>
      <c r="BS35" s="207">
        <v>77.0</v>
      </c>
      <c r="BT35" s="207">
        <v>4.0</v>
      </c>
      <c r="BU35" s="207">
        <v>7.0</v>
      </c>
      <c r="BV35" s="207">
        <v>2509.0</v>
      </c>
      <c r="BW35" s="207">
        <v>242.0</v>
      </c>
      <c r="BX35" s="207">
        <v>1076.0</v>
      </c>
      <c r="BY35" s="207">
        <v>527.0</v>
      </c>
      <c r="BZ35" s="207">
        <v>453.0</v>
      </c>
      <c r="CA35" s="207">
        <v>128.0</v>
      </c>
      <c r="CB35" s="207">
        <v>42.0</v>
      </c>
      <c r="CC35" s="207">
        <v>26.0</v>
      </c>
      <c r="CD35" s="207">
        <v>15.0</v>
      </c>
    </row>
    <row r="36">
      <c r="A36" s="205" t="s">
        <v>382</v>
      </c>
      <c r="B36" s="206">
        <v>2677.0</v>
      </c>
      <c r="C36" s="206">
        <v>360.0</v>
      </c>
      <c r="D36" s="206">
        <v>908.0</v>
      </c>
      <c r="E36" s="206">
        <v>146.0</v>
      </c>
      <c r="F36" s="206">
        <v>584.0</v>
      </c>
      <c r="G36" s="206">
        <v>95.0</v>
      </c>
      <c r="H36" s="206">
        <v>541.0</v>
      </c>
      <c r="I36" s="206">
        <v>40.0</v>
      </c>
      <c r="J36" s="206">
        <v>3.0</v>
      </c>
      <c r="K36" s="206">
        <v>2341.0</v>
      </c>
      <c r="L36" s="206">
        <v>276.0</v>
      </c>
      <c r="M36" s="206">
        <v>1103.0</v>
      </c>
      <c r="N36" s="206">
        <v>257.0</v>
      </c>
      <c r="O36" s="206">
        <v>323.0</v>
      </c>
      <c r="P36" s="206">
        <v>46.0</v>
      </c>
      <c r="Q36" s="206">
        <v>273.0</v>
      </c>
      <c r="R36" s="206">
        <v>5.0</v>
      </c>
      <c r="S36" s="206">
        <v>58.0</v>
      </c>
      <c r="T36" s="206">
        <v>2973.0</v>
      </c>
      <c r="U36" s="206">
        <v>299.0</v>
      </c>
      <c r="V36" s="206">
        <v>1530.0</v>
      </c>
      <c r="W36" s="206">
        <v>340.0</v>
      </c>
      <c r="X36" s="206">
        <v>551.0</v>
      </c>
      <c r="Y36" s="206">
        <v>50.0</v>
      </c>
      <c r="Z36" s="206">
        <v>182.0</v>
      </c>
      <c r="AA36" s="206">
        <v>21.0</v>
      </c>
      <c r="AB36" s="206">
        <v>0.0</v>
      </c>
      <c r="AC36" s="206">
        <v>2541.0</v>
      </c>
      <c r="AD36" s="206">
        <v>248.0</v>
      </c>
      <c r="AE36" s="206">
        <v>1257.0</v>
      </c>
      <c r="AF36" s="206">
        <v>271.0</v>
      </c>
      <c r="AG36" s="206">
        <v>403.0</v>
      </c>
      <c r="AH36" s="206">
        <v>75.0</v>
      </c>
      <c r="AI36" s="206">
        <v>266.0</v>
      </c>
      <c r="AJ36" s="206">
        <v>6.0</v>
      </c>
      <c r="AK36" s="206">
        <v>15.0</v>
      </c>
      <c r="AL36" s="206">
        <v>65.0</v>
      </c>
      <c r="AM36" s="206">
        <v>2.0</v>
      </c>
      <c r="AN36" s="206">
        <v>41.0</v>
      </c>
      <c r="AO36" s="206">
        <v>7.0</v>
      </c>
      <c r="AP36" s="206">
        <v>13.0</v>
      </c>
      <c r="AQ36" s="206">
        <v>1.0</v>
      </c>
      <c r="AR36" s="206">
        <v>0.0</v>
      </c>
      <c r="AS36" s="206">
        <v>1.0</v>
      </c>
      <c r="AT36" s="206">
        <v>0.0</v>
      </c>
      <c r="AU36" s="206">
        <v>173.0</v>
      </c>
      <c r="AV36" s="206">
        <v>3.0</v>
      </c>
      <c r="AW36" s="206">
        <v>97.0</v>
      </c>
      <c r="AX36" s="206">
        <v>15.0</v>
      </c>
      <c r="AY36" s="206">
        <v>16.0</v>
      </c>
      <c r="AZ36" s="206">
        <v>0.0</v>
      </c>
      <c r="BA36" s="206">
        <v>40.0</v>
      </c>
      <c r="BB36" s="206">
        <v>2.0</v>
      </c>
      <c r="BC36" s="206">
        <v>0.0</v>
      </c>
      <c r="BD36" s="206">
        <v>1827.0</v>
      </c>
      <c r="BE36" s="206">
        <v>133.0</v>
      </c>
      <c r="BF36" s="206">
        <v>859.0</v>
      </c>
      <c r="BG36" s="206">
        <v>218.0</v>
      </c>
      <c r="BH36" s="206">
        <v>293.0</v>
      </c>
      <c r="BI36" s="206">
        <v>50.0</v>
      </c>
      <c r="BJ36" s="206">
        <v>263.0</v>
      </c>
      <c r="BK36" s="206">
        <v>11.0</v>
      </c>
      <c r="BL36" s="206">
        <v>0.0</v>
      </c>
      <c r="BM36" s="206">
        <v>1712.0</v>
      </c>
      <c r="BN36" s="206">
        <v>301.0</v>
      </c>
      <c r="BO36" s="206">
        <v>705.0</v>
      </c>
      <c r="BP36" s="206">
        <v>93.0</v>
      </c>
      <c r="BQ36" s="206">
        <v>344.0</v>
      </c>
      <c r="BR36" s="206">
        <v>33.0</v>
      </c>
      <c r="BS36" s="206">
        <v>230.0</v>
      </c>
      <c r="BT36" s="206">
        <v>6.0</v>
      </c>
      <c r="BU36" s="206">
        <v>0.0</v>
      </c>
      <c r="BV36" s="206">
        <v>2070.0</v>
      </c>
      <c r="BW36" s="206">
        <v>326.0</v>
      </c>
      <c r="BX36" s="206">
        <v>896.0</v>
      </c>
      <c r="BY36" s="206">
        <v>159.0</v>
      </c>
      <c r="BZ36" s="206">
        <v>379.0</v>
      </c>
      <c r="CA36" s="206">
        <v>96.0</v>
      </c>
      <c r="CB36" s="206">
        <v>190.0</v>
      </c>
      <c r="CC36" s="206">
        <v>18.0</v>
      </c>
      <c r="CD36" s="206">
        <v>6.0</v>
      </c>
    </row>
    <row r="37">
      <c r="A37" s="205" t="s">
        <v>383</v>
      </c>
      <c r="B37" s="207">
        <v>2808.0</v>
      </c>
      <c r="C37" s="207">
        <v>268.0</v>
      </c>
      <c r="D37" s="207">
        <v>1400.0</v>
      </c>
      <c r="E37" s="207">
        <v>423.0</v>
      </c>
      <c r="F37" s="207">
        <v>534.0</v>
      </c>
      <c r="G37" s="207">
        <v>81.0</v>
      </c>
      <c r="H37" s="207">
        <v>59.0</v>
      </c>
      <c r="I37" s="207">
        <v>39.0</v>
      </c>
      <c r="J37" s="207">
        <v>4.0</v>
      </c>
      <c r="K37" s="207">
        <v>4383.0</v>
      </c>
      <c r="L37" s="207">
        <v>306.0</v>
      </c>
      <c r="M37" s="207">
        <v>2306.0</v>
      </c>
      <c r="N37" s="207">
        <v>656.0</v>
      </c>
      <c r="O37" s="207">
        <v>787.0</v>
      </c>
      <c r="P37" s="207">
        <v>97.0</v>
      </c>
      <c r="Q37" s="207">
        <v>103.0</v>
      </c>
      <c r="R37" s="207">
        <v>101.0</v>
      </c>
      <c r="S37" s="207">
        <v>27.0</v>
      </c>
      <c r="T37" s="207">
        <v>4855.0</v>
      </c>
      <c r="U37" s="207">
        <v>350.0</v>
      </c>
      <c r="V37" s="207">
        <v>2405.0</v>
      </c>
      <c r="W37" s="207">
        <v>756.0</v>
      </c>
      <c r="X37" s="207">
        <v>955.0</v>
      </c>
      <c r="Y37" s="207">
        <v>105.0</v>
      </c>
      <c r="Z37" s="207">
        <v>190.0</v>
      </c>
      <c r="AA37" s="207">
        <v>76.0</v>
      </c>
      <c r="AB37" s="207">
        <v>18.0</v>
      </c>
      <c r="AC37" s="207">
        <v>4641.0</v>
      </c>
      <c r="AD37" s="207">
        <v>336.0</v>
      </c>
      <c r="AE37" s="207">
        <v>2209.0</v>
      </c>
      <c r="AF37" s="207">
        <v>730.0</v>
      </c>
      <c r="AG37" s="207">
        <v>1023.0</v>
      </c>
      <c r="AH37" s="207">
        <v>87.0</v>
      </c>
      <c r="AI37" s="207">
        <v>168.0</v>
      </c>
      <c r="AJ37" s="207">
        <v>87.0</v>
      </c>
      <c r="AK37" s="207">
        <v>1.0</v>
      </c>
      <c r="AL37" s="207">
        <v>736.0</v>
      </c>
      <c r="AM37" s="207">
        <v>68.0</v>
      </c>
      <c r="AN37" s="207">
        <v>420.0</v>
      </c>
      <c r="AO37" s="207">
        <v>92.0</v>
      </c>
      <c r="AP37" s="207">
        <v>117.0</v>
      </c>
      <c r="AQ37" s="207">
        <v>14.0</v>
      </c>
      <c r="AR37" s="207">
        <v>1.0</v>
      </c>
      <c r="AS37" s="207">
        <v>24.0</v>
      </c>
      <c r="AT37" s="207">
        <v>0.0</v>
      </c>
      <c r="AU37" s="207">
        <v>2375.0</v>
      </c>
      <c r="AV37" s="207">
        <v>236.0</v>
      </c>
      <c r="AW37" s="207">
        <v>1168.0</v>
      </c>
      <c r="AX37" s="207">
        <v>320.0</v>
      </c>
      <c r="AY37" s="207">
        <v>538.0</v>
      </c>
      <c r="AZ37" s="207">
        <v>43.0</v>
      </c>
      <c r="BA37" s="207">
        <v>24.0</v>
      </c>
      <c r="BB37" s="207">
        <v>44.0</v>
      </c>
      <c r="BC37" s="207">
        <v>2.0</v>
      </c>
      <c r="BD37" s="207">
        <v>4129.0</v>
      </c>
      <c r="BE37" s="207">
        <v>514.0</v>
      </c>
      <c r="BF37" s="207">
        <v>1777.0</v>
      </c>
      <c r="BG37" s="207">
        <v>600.0</v>
      </c>
      <c r="BH37" s="207">
        <v>938.0</v>
      </c>
      <c r="BI37" s="207">
        <v>66.0</v>
      </c>
      <c r="BJ37" s="207">
        <v>134.0</v>
      </c>
      <c r="BK37" s="207">
        <v>98.0</v>
      </c>
      <c r="BL37" s="207">
        <v>2.0</v>
      </c>
      <c r="BM37" s="207">
        <v>3889.0</v>
      </c>
      <c r="BN37" s="207">
        <v>498.0</v>
      </c>
      <c r="BO37" s="207">
        <v>1598.0</v>
      </c>
      <c r="BP37" s="207">
        <v>664.0</v>
      </c>
      <c r="BQ37" s="207">
        <v>785.0</v>
      </c>
      <c r="BR37" s="207">
        <v>78.0</v>
      </c>
      <c r="BS37" s="207">
        <v>209.0</v>
      </c>
      <c r="BT37" s="207">
        <v>45.0</v>
      </c>
      <c r="BU37" s="207">
        <v>12.0</v>
      </c>
      <c r="BV37" s="207">
        <v>3764.0</v>
      </c>
      <c r="BW37" s="207">
        <v>400.0</v>
      </c>
      <c r="BX37" s="207">
        <v>1437.0</v>
      </c>
      <c r="BY37" s="207">
        <v>712.0</v>
      </c>
      <c r="BZ37" s="207">
        <v>897.0</v>
      </c>
      <c r="CA37" s="207">
        <v>127.0</v>
      </c>
      <c r="CB37" s="207">
        <v>119.0</v>
      </c>
      <c r="CC37" s="207">
        <v>69.0</v>
      </c>
      <c r="CD37" s="207">
        <v>3.0</v>
      </c>
    </row>
    <row r="38">
      <c r="A38" s="205" t="s">
        <v>384</v>
      </c>
      <c r="B38" s="206">
        <v>3925.0</v>
      </c>
      <c r="C38" s="206">
        <v>629.0</v>
      </c>
      <c r="D38" s="206">
        <v>1898.0</v>
      </c>
      <c r="E38" s="206">
        <v>457.0</v>
      </c>
      <c r="F38" s="206">
        <v>654.0</v>
      </c>
      <c r="G38" s="206">
        <v>84.0</v>
      </c>
      <c r="H38" s="206">
        <v>126.0</v>
      </c>
      <c r="I38" s="206">
        <v>65.0</v>
      </c>
      <c r="J38" s="206">
        <v>12.0</v>
      </c>
      <c r="K38" s="206">
        <v>3468.0</v>
      </c>
      <c r="L38" s="206">
        <v>287.0</v>
      </c>
      <c r="M38" s="206">
        <v>1978.0</v>
      </c>
      <c r="N38" s="206">
        <v>352.0</v>
      </c>
      <c r="O38" s="206">
        <v>517.0</v>
      </c>
      <c r="P38" s="206">
        <v>64.0</v>
      </c>
      <c r="Q38" s="206">
        <v>140.0</v>
      </c>
      <c r="R38" s="206">
        <v>33.0</v>
      </c>
      <c r="S38" s="206">
        <v>97.0</v>
      </c>
      <c r="T38" s="206">
        <v>4421.0</v>
      </c>
      <c r="U38" s="206">
        <v>540.0</v>
      </c>
      <c r="V38" s="206">
        <v>2073.0</v>
      </c>
      <c r="W38" s="206">
        <v>484.0</v>
      </c>
      <c r="X38" s="206">
        <v>821.0</v>
      </c>
      <c r="Y38" s="206">
        <v>121.0</v>
      </c>
      <c r="Z38" s="206">
        <v>203.0</v>
      </c>
      <c r="AA38" s="206">
        <v>175.0</v>
      </c>
      <c r="AB38" s="206">
        <v>4.0</v>
      </c>
      <c r="AC38" s="206">
        <v>3498.0</v>
      </c>
      <c r="AD38" s="206">
        <v>408.0</v>
      </c>
      <c r="AE38" s="206">
        <v>1759.0</v>
      </c>
      <c r="AF38" s="206">
        <v>414.0</v>
      </c>
      <c r="AG38" s="206">
        <v>608.0</v>
      </c>
      <c r="AH38" s="206">
        <v>96.0</v>
      </c>
      <c r="AI38" s="206">
        <v>164.0</v>
      </c>
      <c r="AJ38" s="206">
        <v>29.0</v>
      </c>
      <c r="AK38" s="206">
        <v>20.0</v>
      </c>
      <c r="AL38" s="206">
        <v>211.0</v>
      </c>
      <c r="AM38" s="206">
        <v>51.0</v>
      </c>
      <c r="AN38" s="206">
        <v>95.0</v>
      </c>
      <c r="AO38" s="206">
        <v>21.0</v>
      </c>
      <c r="AP38" s="206">
        <v>29.0</v>
      </c>
      <c r="AQ38" s="206">
        <v>2.0</v>
      </c>
      <c r="AR38" s="206">
        <v>11.0</v>
      </c>
      <c r="AS38" s="206">
        <v>0.0</v>
      </c>
      <c r="AT38" s="206">
        <v>2.0</v>
      </c>
      <c r="AU38" s="206">
        <v>1736.0</v>
      </c>
      <c r="AV38" s="206">
        <v>417.0</v>
      </c>
      <c r="AW38" s="206">
        <v>839.0</v>
      </c>
      <c r="AX38" s="206">
        <v>220.0</v>
      </c>
      <c r="AY38" s="206">
        <v>193.0</v>
      </c>
      <c r="AZ38" s="206">
        <v>23.0</v>
      </c>
      <c r="BA38" s="206">
        <v>35.0</v>
      </c>
      <c r="BB38" s="206">
        <v>4.0</v>
      </c>
      <c r="BC38" s="206">
        <v>5.0</v>
      </c>
      <c r="BD38" s="206">
        <v>3534.0</v>
      </c>
      <c r="BE38" s="206">
        <v>588.0</v>
      </c>
      <c r="BF38" s="206">
        <v>1434.0</v>
      </c>
      <c r="BG38" s="206">
        <v>455.0</v>
      </c>
      <c r="BH38" s="206">
        <v>662.0</v>
      </c>
      <c r="BI38" s="206">
        <v>84.0</v>
      </c>
      <c r="BJ38" s="206">
        <v>205.0</v>
      </c>
      <c r="BK38" s="206">
        <v>82.0</v>
      </c>
      <c r="BL38" s="206">
        <v>24.0</v>
      </c>
      <c r="BM38" s="206">
        <v>3806.0</v>
      </c>
      <c r="BN38" s="206">
        <v>385.0</v>
      </c>
      <c r="BO38" s="206">
        <v>1706.0</v>
      </c>
      <c r="BP38" s="206">
        <v>511.0</v>
      </c>
      <c r="BQ38" s="206">
        <v>593.0</v>
      </c>
      <c r="BR38" s="206">
        <v>109.0</v>
      </c>
      <c r="BS38" s="206">
        <v>359.0</v>
      </c>
      <c r="BT38" s="206">
        <v>141.0</v>
      </c>
      <c r="BU38" s="206">
        <v>2.0</v>
      </c>
      <c r="BV38" s="206">
        <v>3648.0</v>
      </c>
      <c r="BW38" s="206">
        <v>563.0</v>
      </c>
      <c r="BX38" s="206">
        <v>1503.0</v>
      </c>
      <c r="BY38" s="206">
        <v>398.0</v>
      </c>
      <c r="BZ38" s="206">
        <v>529.0</v>
      </c>
      <c r="CA38" s="206">
        <v>56.0</v>
      </c>
      <c r="CB38" s="206">
        <v>280.0</v>
      </c>
      <c r="CC38" s="206">
        <v>318.0</v>
      </c>
      <c r="CD38" s="206">
        <v>1.0</v>
      </c>
    </row>
    <row r="39">
      <c r="A39" s="205" t="s">
        <v>385</v>
      </c>
      <c r="B39" s="207">
        <v>2886.0</v>
      </c>
      <c r="C39" s="207">
        <v>305.0</v>
      </c>
      <c r="D39" s="207">
        <v>1368.0</v>
      </c>
      <c r="E39" s="207">
        <v>409.0</v>
      </c>
      <c r="F39" s="207">
        <v>535.0</v>
      </c>
      <c r="G39" s="207">
        <v>60.0</v>
      </c>
      <c r="H39" s="207">
        <v>135.0</v>
      </c>
      <c r="I39" s="207">
        <v>47.0</v>
      </c>
      <c r="J39" s="207">
        <v>27.0</v>
      </c>
      <c r="K39" s="207">
        <v>2972.0</v>
      </c>
      <c r="L39" s="207">
        <v>244.0</v>
      </c>
      <c r="M39" s="207">
        <v>1424.0</v>
      </c>
      <c r="N39" s="207">
        <v>385.0</v>
      </c>
      <c r="O39" s="207">
        <v>689.0</v>
      </c>
      <c r="P39" s="207">
        <v>51.0</v>
      </c>
      <c r="Q39" s="207">
        <v>141.0</v>
      </c>
      <c r="R39" s="207">
        <v>18.0</v>
      </c>
      <c r="S39" s="207">
        <v>20.0</v>
      </c>
      <c r="T39" s="207">
        <v>3429.0</v>
      </c>
      <c r="U39" s="207">
        <v>326.0</v>
      </c>
      <c r="V39" s="207">
        <v>1593.0</v>
      </c>
      <c r="W39" s="207">
        <v>501.0</v>
      </c>
      <c r="X39" s="207">
        <v>687.0</v>
      </c>
      <c r="Y39" s="207">
        <v>100.0</v>
      </c>
      <c r="Z39" s="207">
        <v>191.0</v>
      </c>
      <c r="AA39" s="207">
        <v>24.0</v>
      </c>
      <c r="AB39" s="207">
        <v>7.0</v>
      </c>
      <c r="AC39" s="207">
        <v>3606.0</v>
      </c>
      <c r="AD39" s="207">
        <v>278.0</v>
      </c>
      <c r="AE39" s="207">
        <v>1631.0</v>
      </c>
      <c r="AF39" s="207">
        <v>615.0</v>
      </c>
      <c r="AG39" s="207">
        <v>722.0</v>
      </c>
      <c r="AH39" s="207">
        <v>83.0</v>
      </c>
      <c r="AI39" s="207">
        <v>237.0</v>
      </c>
      <c r="AJ39" s="207">
        <v>18.0</v>
      </c>
      <c r="AK39" s="207">
        <v>22.0</v>
      </c>
      <c r="AL39" s="207">
        <v>13.0</v>
      </c>
      <c r="AM39" s="207">
        <v>4.0</v>
      </c>
      <c r="AN39" s="207">
        <v>4.0</v>
      </c>
      <c r="AO39" s="207">
        <v>0.0</v>
      </c>
      <c r="AP39" s="207">
        <v>3.0</v>
      </c>
      <c r="AQ39" s="207">
        <v>1.0</v>
      </c>
      <c r="AR39" s="207">
        <v>1.0</v>
      </c>
      <c r="AS39" s="207">
        <v>0.0</v>
      </c>
      <c r="AT39" s="207">
        <v>0.0</v>
      </c>
      <c r="AU39" s="207">
        <v>1009.0</v>
      </c>
      <c r="AV39" s="207">
        <v>66.0</v>
      </c>
      <c r="AW39" s="207">
        <v>511.0</v>
      </c>
      <c r="AX39" s="207">
        <v>196.0</v>
      </c>
      <c r="AY39" s="207">
        <v>182.0</v>
      </c>
      <c r="AZ39" s="207">
        <v>33.0</v>
      </c>
      <c r="BA39" s="207">
        <v>6.0</v>
      </c>
      <c r="BB39" s="207">
        <v>12.0</v>
      </c>
      <c r="BC39" s="207">
        <v>3.0</v>
      </c>
      <c r="BD39" s="207">
        <v>2410.0</v>
      </c>
      <c r="BE39" s="207">
        <v>396.0</v>
      </c>
      <c r="BF39" s="207">
        <v>1061.0</v>
      </c>
      <c r="BG39" s="207">
        <v>447.0</v>
      </c>
      <c r="BH39" s="207">
        <v>395.0</v>
      </c>
      <c r="BI39" s="207">
        <v>32.0</v>
      </c>
      <c r="BJ39" s="207">
        <v>59.0</v>
      </c>
      <c r="BK39" s="207">
        <v>10.0</v>
      </c>
      <c r="BL39" s="207">
        <v>10.0</v>
      </c>
      <c r="BM39" s="207">
        <v>2454.0</v>
      </c>
      <c r="BN39" s="207">
        <v>388.0</v>
      </c>
      <c r="BO39" s="207">
        <v>1050.0</v>
      </c>
      <c r="BP39" s="207">
        <v>483.0</v>
      </c>
      <c r="BQ39" s="207">
        <v>368.0</v>
      </c>
      <c r="BR39" s="207">
        <v>54.0</v>
      </c>
      <c r="BS39" s="207">
        <v>78.0</v>
      </c>
      <c r="BT39" s="207">
        <v>19.0</v>
      </c>
      <c r="BU39" s="207">
        <v>14.0</v>
      </c>
      <c r="BV39" s="207">
        <v>2567.0</v>
      </c>
      <c r="BW39" s="207">
        <v>306.0</v>
      </c>
      <c r="BX39" s="207">
        <v>1144.0</v>
      </c>
      <c r="BY39" s="207">
        <v>553.0</v>
      </c>
      <c r="BZ39" s="207">
        <v>396.0</v>
      </c>
      <c r="CA39" s="207">
        <v>50.0</v>
      </c>
      <c r="CB39" s="207">
        <v>40.0</v>
      </c>
      <c r="CC39" s="207">
        <v>70.0</v>
      </c>
      <c r="CD39" s="207">
        <v>8.0</v>
      </c>
    </row>
    <row r="40">
      <c r="A40" s="205" t="s">
        <v>386</v>
      </c>
      <c r="B40" s="206">
        <v>3525.0</v>
      </c>
      <c r="C40" s="206">
        <v>303.0</v>
      </c>
      <c r="D40" s="206">
        <v>1723.0</v>
      </c>
      <c r="E40" s="206">
        <v>364.0</v>
      </c>
      <c r="F40" s="206">
        <v>556.0</v>
      </c>
      <c r="G40" s="206">
        <v>163.0</v>
      </c>
      <c r="H40" s="206">
        <v>233.0</v>
      </c>
      <c r="I40" s="206">
        <v>114.0</v>
      </c>
      <c r="J40" s="206">
        <v>69.0</v>
      </c>
      <c r="K40" s="206">
        <v>4523.0</v>
      </c>
      <c r="L40" s="206">
        <v>385.0</v>
      </c>
      <c r="M40" s="206">
        <v>2174.0</v>
      </c>
      <c r="N40" s="206">
        <v>520.0</v>
      </c>
      <c r="O40" s="206">
        <v>742.0</v>
      </c>
      <c r="P40" s="206">
        <v>105.0</v>
      </c>
      <c r="Q40" s="206">
        <v>364.0</v>
      </c>
      <c r="R40" s="206">
        <v>121.0</v>
      </c>
      <c r="S40" s="206">
        <v>112.0</v>
      </c>
      <c r="T40" s="206">
        <v>4591.0</v>
      </c>
      <c r="U40" s="206">
        <v>407.0</v>
      </c>
      <c r="V40" s="206">
        <v>2220.0</v>
      </c>
      <c r="W40" s="206">
        <v>532.0</v>
      </c>
      <c r="X40" s="206">
        <v>690.0</v>
      </c>
      <c r="Y40" s="206">
        <v>108.0</v>
      </c>
      <c r="Z40" s="206">
        <v>380.0</v>
      </c>
      <c r="AA40" s="206">
        <v>146.0</v>
      </c>
      <c r="AB40" s="206">
        <v>108.0</v>
      </c>
      <c r="AC40" s="206">
        <v>5062.0</v>
      </c>
      <c r="AD40" s="206">
        <v>384.0</v>
      </c>
      <c r="AE40" s="206">
        <v>2348.0</v>
      </c>
      <c r="AF40" s="206">
        <v>712.0</v>
      </c>
      <c r="AG40" s="206">
        <v>867.0</v>
      </c>
      <c r="AH40" s="206">
        <v>158.0</v>
      </c>
      <c r="AI40" s="206">
        <v>296.0</v>
      </c>
      <c r="AJ40" s="206">
        <v>93.0</v>
      </c>
      <c r="AK40" s="206">
        <v>204.0</v>
      </c>
      <c r="AL40" s="206">
        <v>10.0</v>
      </c>
      <c r="AM40" s="206">
        <v>0.0</v>
      </c>
      <c r="AN40" s="206">
        <v>1.0</v>
      </c>
      <c r="AO40" s="206">
        <v>6.0</v>
      </c>
      <c r="AP40" s="206">
        <v>0.0</v>
      </c>
      <c r="AQ40" s="206">
        <v>0.0</v>
      </c>
      <c r="AR40" s="206">
        <v>0.0</v>
      </c>
      <c r="AS40" s="206">
        <v>3.0</v>
      </c>
      <c r="AT40" s="206">
        <v>0.0</v>
      </c>
      <c r="AU40" s="206">
        <v>3444.0</v>
      </c>
      <c r="AV40" s="206">
        <v>607.0</v>
      </c>
      <c r="AW40" s="206">
        <v>1517.0</v>
      </c>
      <c r="AX40" s="206">
        <v>603.0</v>
      </c>
      <c r="AY40" s="206">
        <v>545.0</v>
      </c>
      <c r="AZ40" s="206">
        <v>64.0</v>
      </c>
      <c r="BA40" s="206">
        <v>17.0</v>
      </c>
      <c r="BB40" s="206">
        <v>58.0</v>
      </c>
      <c r="BC40" s="206">
        <v>33.0</v>
      </c>
      <c r="BD40" s="206">
        <v>3889.0</v>
      </c>
      <c r="BE40" s="206">
        <v>778.0</v>
      </c>
      <c r="BF40" s="206">
        <v>1595.0</v>
      </c>
      <c r="BG40" s="206">
        <v>548.0</v>
      </c>
      <c r="BH40" s="206">
        <v>564.0</v>
      </c>
      <c r="BI40" s="206">
        <v>60.0</v>
      </c>
      <c r="BJ40" s="206">
        <v>210.0</v>
      </c>
      <c r="BK40" s="206">
        <v>88.0</v>
      </c>
      <c r="BL40" s="206">
        <v>46.0</v>
      </c>
      <c r="BM40" s="206">
        <v>4145.0</v>
      </c>
      <c r="BN40" s="206">
        <v>912.0</v>
      </c>
      <c r="BO40" s="206">
        <v>1709.0</v>
      </c>
      <c r="BP40" s="206">
        <v>607.0</v>
      </c>
      <c r="BQ40" s="206">
        <v>477.0</v>
      </c>
      <c r="BR40" s="206">
        <v>96.0</v>
      </c>
      <c r="BS40" s="206">
        <v>249.0</v>
      </c>
      <c r="BT40" s="206">
        <v>60.0</v>
      </c>
      <c r="BU40" s="206">
        <v>35.0</v>
      </c>
      <c r="BV40" s="206">
        <v>4031.0</v>
      </c>
      <c r="BW40" s="206">
        <v>614.0</v>
      </c>
      <c r="BX40" s="206">
        <v>1583.0</v>
      </c>
      <c r="BY40" s="206">
        <v>611.0</v>
      </c>
      <c r="BZ40" s="206">
        <v>596.0</v>
      </c>
      <c r="CA40" s="206">
        <v>168.0</v>
      </c>
      <c r="CB40" s="206">
        <v>327.0</v>
      </c>
      <c r="CC40" s="206">
        <v>94.0</v>
      </c>
      <c r="CD40" s="206">
        <v>38.0</v>
      </c>
    </row>
    <row r="41">
      <c r="A41" s="208" t="s">
        <v>387</v>
      </c>
      <c r="B41" s="209">
        <f>SUM(B8:B40)</f>
        <v>344050</v>
      </c>
      <c r="C41" s="210"/>
      <c r="D41" s="210"/>
      <c r="E41" s="210"/>
      <c r="F41" s="210"/>
      <c r="G41" s="210"/>
      <c r="H41" s="210"/>
      <c r="I41" s="210"/>
      <c r="J41" s="210"/>
      <c r="K41" s="209">
        <f>SUM(K8:K40)</f>
        <v>354046</v>
      </c>
      <c r="L41" s="210"/>
      <c r="M41" s="210"/>
      <c r="N41" s="210"/>
      <c r="O41" s="210"/>
      <c r="P41" s="210"/>
      <c r="Q41" s="210"/>
      <c r="R41" s="210"/>
      <c r="S41" s="210"/>
      <c r="T41" s="209">
        <f>SUM(T8:T40)</f>
        <v>379904</v>
      </c>
      <c r="U41" s="210"/>
      <c r="V41" s="210"/>
      <c r="W41" s="210"/>
      <c r="X41" s="210"/>
      <c r="Y41" s="210"/>
      <c r="Z41" s="210"/>
      <c r="AA41" s="210"/>
      <c r="AB41" s="210"/>
      <c r="AC41" s="209">
        <f>SUM(AC8:AC40)</f>
        <v>387850</v>
      </c>
      <c r="AD41" s="210"/>
      <c r="AE41" s="210"/>
      <c r="AF41" s="210"/>
      <c r="AG41" s="210"/>
      <c r="AH41" s="210"/>
      <c r="AI41" s="210"/>
      <c r="AJ41" s="210"/>
      <c r="AK41" s="210"/>
      <c r="AL41" s="209">
        <f>SUM(AL8:AL40)</f>
        <v>27138</v>
      </c>
      <c r="AM41" s="210"/>
      <c r="AN41" s="210"/>
      <c r="AO41" s="210"/>
      <c r="AP41" s="210"/>
      <c r="AQ41" s="210"/>
      <c r="AR41" s="210"/>
      <c r="AS41" s="210"/>
      <c r="AT41" s="210"/>
      <c r="AU41" s="209">
        <f>SUM(AU8:AU40)</f>
        <v>169006</v>
      </c>
      <c r="AV41" s="210"/>
      <c r="AW41" s="210"/>
      <c r="AX41" s="210"/>
      <c r="AY41" s="210"/>
      <c r="AZ41" s="210"/>
      <c r="BA41" s="210"/>
      <c r="BB41" s="210"/>
      <c r="BC41" s="210"/>
      <c r="BD41" s="209">
        <f>SUM(BD8:BD40)</f>
        <v>320834</v>
      </c>
      <c r="BE41" s="210"/>
      <c r="BF41" s="210"/>
      <c r="BG41" s="210"/>
      <c r="BH41" s="210"/>
      <c r="BI41" s="210"/>
      <c r="BJ41" s="210"/>
      <c r="BK41" s="210"/>
      <c r="BL41" s="210"/>
      <c r="BM41" s="209">
        <f>SUM(BM8:BM40)</f>
        <v>376972</v>
      </c>
      <c r="BN41" s="210"/>
      <c r="BO41" s="210"/>
      <c r="BP41" s="210"/>
      <c r="BQ41" s="210"/>
      <c r="BR41" s="210"/>
      <c r="BS41" s="210"/>
      <c r="BT41" s="210"/>
      <c r="BU41" s="210"/>
      <c r="BV41" s="209">
        <f>SUM(BV8:BV40)</f>
        <v>376752</v>
      </c>
      <c r="BW41" s="210"/>
      <c r="BX41" s="210"/>
      <c r="BY41" s="210"/>
      <c r="BZ41" s="210"/>
      <c r="CA41" s="210"/>
      <c r="CB41" s="210"/>
      <c r="CC41" s="210"/>
      <c r="CD41" s="210"/>
    </row>
    <row r="42">
      <c r="A42" s="19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  <c r="BB42" s="197"/>
      <c r="BC42" s="197"/>
      <c r="BD42" s="197"/>
      <c r="BE42" s="197"/>
      <c r="BF42" s="197"/>
      <c r="BG42" s="197"/>
      <c r="BH42" s="197"/>
      <c r="BI42" s="197"/>
      <c r="BJ42" s="197"/>
      <c r="BK42" s="197"/>
      <c r="BL42" s="197"/>
      <c r="BM42" s="197"/>
      <c r="BN42" s="197"/>
      <c r="BO42" s="197"/>
      <c r="BP42" s="197"/>
      <c r="BQ42" s="197"/>
      <c r="BR42" s="197"/>
      <c r="BS42" s="197"/>
      <c r="BT42" s="197"/>
      <c r="BU42" s="197"/>
      <c r="BV42" s="197"/>
      <c r="BW42" s="197"/>
      <c r="BX42" s="197"/>
      <c r="BY42" s="197"/>
      <c r="BZ42" s="197"/>
      <c r="CA42" s="197"/>
      <c r="CB42" s="197"/>
      <c r="CC42" s="197"/>
      <c r="CD42" s="197"/>
    </row>
    <row r="43">
      <c r="A43" s="211" t="s">
        <v>388</v>
      </c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197"/>
      <c r="AY43" s="197"/>
      <c r="AZ43" s="197"/>
      <c r="BA43" s="197"/>
      <c r="BB43" s="197"/>
      <c r="BC43" s="197"/>
      <c r="BD43" s="197"/>
      <c r="BE43" s="197"/>
      <c r="BF43" s="197"/>
      <c r="BG43" s="197"/>
      <c r="BH43" s="197"/>
      <c r="BI43" s="197"/>
      <c r="BJ43" s="197"/>
      <c r="BK43" s="197"/>
      <c r="BL43" s="197"/>
      <c r="BM43" s="197"/>
      <c r="BN43" s="197"/>
      <c r="BO43" s="197"/>
      <c r="BP43" s="197"/>
      <c r="BQ43" s="197"/>
      <c r="BR43" s="197"/>
      <c r="BS43" s="197"/>
      <c r="BT43" s="197"/>
      <c r="BU43" s="197"/>
      <c r="BV43" s="197"/>
      <c r="BW43" s="197"/>
      <c r="BX43" s="197"/>
      <c r="BY43" s="197"/>
      <c r="BZ43" s="197"/>
      <c r="CA43" s="197"/>
      <c r="CB43" s="197"/>
      <c r="CC43" s="197"/>
      <c r="CD43" s="197"/>
    </row>
    <row r="44">
      <c r="A44" s="212" t="s">
        <v>389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197"/>
      <c r="AY44" s="197"/>
      <c r="AZ44" s="197"/>
      <c r="BA44" s="197"/>
      <c r="BB44" s="197"/>
      <c r="BC44" s="197"/>
      <c r="BD44" s="197"/>
      <c r="BE44" s="197"/>
      <c r="BF44" s="197"/>
      <c r="BG44" s="197"/>
      <c r="BH44" s="197"/>
      <c r="BI44" s="197"/>
      <c r="BJ44" s="197"/>
      <c r="BK44" s="197"/>
      <c r="BL44" s="197"/>
      <c r="BM44" s="197"/>
      <c r="BN44" s="197"/>
      <c r="BO44" s="197"/>
      <c r="BP44" s="197"/>
      <c r="BQ44" s="197"/>
      <c r="BR44" s="197"/>
      <c r="BS44" s="197"/>
      <c r="BT44" s="197"/>
      <c r="BU44" s="197"/>
      <c r="BV44" s="197"/>
      <c r="BW44" s="197"/>
      <c r="BX44" s="197"/>
      <c r="BY44" s="197"/>
      <c r="BZ44" s="197"/>
      <c r="CA44" s="197"/>
      <c r="CB44" s="197"/>
      <c r="CC44" s="197"/>
      <c r="CD44" s="197"/>
    </row>
    <row r="45">
      <c r="A45" s="212" t="s">
        <v>390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197"/>
      <c r="AY45" s="197"/>
      <c r="AZ45" s="197"/>
      <c r="BA45" s="197"/>
      <c r="BB45" s="197"/>
      <c r="BC45" s="197"/>
      <c r="BD45" s="197"/>
      <c r="BE45" s="197"/>
      <c r="BF45" s="197"/>
      <c r="BG45" s="197"/>
      <c r="BH45" s="197"/>
      <c r="BI45" s="197"/>
      <c r="BJ45" s="197"/>
      <c r="BK45" s="197"/>
      <c r="BL45" s="197"/>
      <c r="BM45" s="197"/>
      <c r="BN45" s="197"/>
      <c r="BO45" s="197"/>
      <c r="BP45" s="197"/>
      <c r="BQ45" s="197"/>
      <c r="BR45" s="197"/>
      <c r="BS45" s="197"/>
      <c r="BT45" s="197"/>
      <c r="BU45" s="197"/>
      <c r="BV45" s="197"/>
      <c r="BW45" s="197"/>
      <c r="BX45" s="197"/>
      <c r="BY45" s="197"/>
      <c r="BZ45" s="197"/>
      <c r="CA45" s="197"/>
      <c r="CB45" s="197"/>
      <c r="CC45" s="197"/>
      <c r="CD45" s="197"/>
    </row>
    <row r="46">
      <c r="A46" s="212" t="s">
        <v>391</v>
      </c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197"/>
      <c r="AY46" s="197"/>
      <c r="AZ46" s="197"/>
      <c r="BA46" s="197"/>
      <c r="BB46" s="197"/>
      <c r="BC46" s="197"/>
      <c r="BD46" s="197"/>
      <c r="BE46" s="197"/>
      <c r="BF46" s="197"/>
      <c r="BG46" s="197"/>
      <c r="BH46" s="197"/>
      <c r="BI46" s="197"/>
      <c r="BJ46" s="197"/>
      <c r="BK46" s="197"/>
      <c r="BL46" s="197"/>
      <c r="BM46" s="197"/>
      <c r="BN46" s="197"/>
      <c r="BO46" s="197"/>
      <c r="BP46" s="197"/>
      <c r="BQ46" s="197"/>
      <c r="BR46" s="197"/>
      <c r="BS46" s="197"/>
      <c r="BT46" s="197"/>
      <c r="BU46" s="197"/>
      <c r="BV46" s="197"/>
      <c r="BW46" s="197"/>
      <c r="BX46" s="197"/>
      <c r="BY46" s="197"/>
      <c r="BZ46" s="197"/>
      <c r="CA46" s="197"/>
      <c r="CB46" s="197"/>
      <c r="CC46" s="197"/>
      <c r="CD46" s="197"/>
    </row>
    <row r="47">
      <c r="A47" s="213" t="s">
        <v>392</v>
      </c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197"/>
      <c r="AY47" s="197"/>
      <c r="AZ47" s="197"/>
      <c r="BA47" s="197"/>
      <c r="BB47" s="197"/>
      <c r="BC47" s="197"/>
      <c r="BD47" s="197"/>
      <c r="BE47" s="197"/>
      <c r="BF47" s="197"/>
      <c r="BG47" s="197"/>
      <c r="BH47" s="197"/>
      <c r="BI47" s="197"/>
      <c r="BJ47" s="197"/>
      <c r="BK47" s="197"/>
      <c r="BL47" s="197"/>
      <c r="BM47" s="197"/>
      <c r="BN47" s="197"/>
      <c r="BO47" s="197"/>
      <c r="BP47" s="197"/>
      <c r="BQ47" s="197"/>
      <c r="BR47" s="197"/>
      <c r="BS47" s="197"/>
      <c r="BT47" s="197"/>
      <c r="BU47" s="197"/>
      <c r="BV47" s="197"/>
      <c r="BW47" s="197"/>
      <c r="BX47" s="197"/>
      <c r="BY47" s="197"/>
      <c r="BZ47" s="197"/>
      <c r="CA47" s="197"/>
      <c r="CB47" s="197"/>
      <c r="CC47" s="197"/>
      <c r="CD47" s="197"/>
    </row>
    <row r="48">
      <c r="A48" s="197" t="s">
        <v>334</v>
      </c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197"/>
      <c r="AY48" s="197"/>
      <c r="AZ48" s="197"/>
      <c r="BA48" s="197"/>
      <c r="BB48" s="197"/>
      <c r="BC48" s="197"/>
      <c r="BD48" s="197"/>
      <c r="BE48" s="197"/>
      <c r="BF48" s="197"/>
      <c r="BG48" s="197"/>
      <c r="BH48" s="197"/>
      <c r="BI48" s="197"/>
      <c r="BJ48" s="197"/>
      <c r="BK48" s="197"/>
      <c r="BL48" s="197"/>
      <c r="BM48" s="197"/>
      <c r="BN48" s="197"/>
      <c r="BO48" s="197"/>
      <c r="BP48" s="197"/>
      <c r="BQ48" s="197"/>
      <c r="BR48" s="197"/>
      <c r="BS48" s="197"/>
      <c r="BT48" s="197"/>
      <c r="BU48" s="197"/>
      <c r="BV48" s="197"/>
      <c r="BW48" s="197"/>
      <c r="BX48" s="197"/>
      <c r="BY48" s="197"/>
      <c r="BZ48" s="197"/>
      <c r="CA48" s="197"/>
      <c r="CB48" s="197"/>
      <c r="CC48" s="197"/>
      <c r="CD48" s="197"/>
    </row>
    <row r="49">
      <c r="A49" s="197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197"/>
      <c r="AY49" s="197"/>
      <c r="AZ49" s="197"/>
      <c r="BA49" s="197"/>
      <c r="BB49" s="197"/>
      <c r="BC49" s="197"/>
      <c r="BD49" s="197"/>
      <c r="BE49" s="197"/>
      <c r="BF49" s="197"/>
      <c r="BG49" s="197"/>
      <c r="BH49" s="197"/>
      <c r="BI49" s="197"/>
      <c r="BJ49" s="197"/>
      <c r="BK49" s="197"/>
      <c r="BL49" s="197"/>
      <c r="BM49" s="197"/>
      <c r="BN49" s="197"/>
      <c r="BO49" s="197"/>
      <c r="BP49" s="197"/>
      <c r="BQ49" s="197"/>
      <c r="BR49" s="197"/>
      <c r="BS49" s="197"/>
      <c r="BT49" s="197"/>
      <c r="BU49" s="197"/>
      <c r="BV49" s="197"/>
      <c r="BW49" s="197"/>
      <c r="BX49" s="197"/>
      <c r="BY49" s="197"/>
      <c r="BZ49" s="197"/>
      <c r="CA49" s="197"/>
      <c r="CB49" s="197"/>
      <c r="CC49" s="197"/>
      <c r="CD49" s="197"/>
    </row>
    <row r="50">
      <c r="A50" s="197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197"/>
      <c r="AU50" s="197"/>
      <c r="AV50" s="197"/>
      <c r="AW50" s="197"/>
      <c r="AX50" s="197"/>
      <c r="AY50" s="197"/>
      <c r="AZ50" s="197"/>
      <c r="BA50" s="197"/>
      <c r="BB50" s="197"/>
      <c r="BC50" s="197"/>
      <c r="BD50" s="197"/>
      <c r="BE50" s="197"/>
      <c r="BF50" s="197"/>
      <c r="BG50" s="197"/>
      <c r="BH50" s="197"/>
      <c r="BI50" s="197"/>
      <c r="BJ50" s="197"/>
      <c r="BK50" s="197"/>
      <c r="BL50" s="197"/>
      <c r="BM50" s="197"/>
      <c r="BN50" s="197"/>
      <c r="BO50" s="197"/>
      <c r="BP50" s="197"/>
      <c r="BQ50" s="197"/>
      <c r="BR50" s="197"/>
      <c r="BS50" s="197"/>
      <c r="BT50" s="197"/>
      <c r="BU50" s="197"/>
      <c r="BV50" s="197"/>
      <c r="BW50" s="197"/>
      <c r="BX50" s="197"/>
      <c r="BY50" s="197"/>
      <c r="BZ50" s="197"/>
      <c r="CA50" s="197"/>
      <c r="CB50" s="197"/>
      <c r="CC50" s="197"/>
      <c r="CD50" s="197"/>
    </row>
    <row r="5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197"/>
      <c r="AY51" s="197"/>
      <c r="AZ51" s="197"/>
      <c r="BA51" s="197"/>
      <c r="BB51" s="197"/>
      <c r="BC51" s="197"/>
      <c r="BD51" s="197"/>
      <c r="BE51" s="197"/>
      <c r="BF51" s="197"/>
      <c r="BG51" s="197"/>
      <c r="BH51" s="197"/>
      <c r="BI51" s="197"/>
      <c r="BJ51" s="197"/>
      <c r="BK51" s="197"/>
      <c r="BL51" s="197"/>
      <c r="BM51" s="197"/>
      <c r="BN51" s="197"/>
      <c r="BO51" s="197"/>
      <c r="BP51" s="197"/>
      <c r="BQ51" s="197"/>
      <c r="BR51" s="197"/>
      <c r="BS51" s="197"/>
      <c r="BT51" s="197"/>
      <c r="BU51" s="197"/>
      <c r="BV51" s="197"/>
      <c r="BW51" s="197"/>
      <c r="BX51" s="197"/>
      <c r="BY51" s="197"/>
      <c r="BZ51" s="197"/>
      <c r="CA51" s="197"/>
      <c r="CB51" s="197"/>
      <c r="CC51" s="197"/>
      <c r="CD51" s="197"/>
    </row>
    <row r="52">
      <c r="A52" s="197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197"/>
      <c r="AY52" s="197"/>
      <c r="AZ52" s="197"/>
      <c r="BA52" s="197"/>
      <c r="BB52" s="197"/>
      <c r="BC52" s="197"/>
      <c r="BD52" s="197"/>
      <c r="BE52" s="197"/>
      <c r="BF52" s="197"/>
      <c r="BG52" s="197"/>
      <c r="BH52" s="197"/>
      <c r="BI52" s="197"/>
      <c r="BJ52" s="197"/>
      <c r="BK52" s="197"/>
      <c r="BL52" s="197"/>
      <c r="BM52" s="197"/>
      <c r="BN52" s="197"/>
      <c r="BO52" s="197"/>
      <c r="BP52" s="197"/>
      <c r="BQ52" s="197"/>
      <c r="BR52" s="197"/>
      <c r="BS52" s="197"/>
      <c r="BT52" s="197"/>
      <c r="BU52" s="197"/>
      <c r="BV52" s="197"/>
      <c r="BW52" s="197"/>
      <c r="BX52" s="197"/>
      <c r="BY52" s="197"/>
      <c r="BZ52" s="197"/>
      <c r="CA52" s="197"/>
      <c r="CB52" s="197"/>
      <c r="CC52" s="197"/>
      <c r="CD52" s="197"/>
    </row>
  </sheetData>
  <mergeCells count="10">
    <mergeCell ref="BD6:BL6"/>
    <mergeCell ref="BM6:BU6"/>
    <mergeCell ref="BV6:CD6"/>
    <mergeCell ref="A6:A7"/>
    <mergeCell ref="B6:J6"/>
    <mergeCell ref="K6:S6"/>
    <mergeCell ref="T6:AB6"/>
    <mergeCell ref="AC6:AK6"/>
    <mergeCell ref="AL6:AT6"/>
    <mergeCell ref="AU6:BC6"/>
  </mergeCells>
  <drawing r:id="rId1"/>
</worksheet>
</file>